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24226"/>
  <mc:AlternateContent xmlns:mc="http://schemas.openxmlformats.org/markup-compatibility/2006">
    <mc:Choice Requires="x15">
      <x15ac:absPath xmlns:x15ac="http://schemas.microsoft.com/office/spreadsheetml/2010/11/ac" url="C:\Users\Usuario\Downloads\"/>
    </mc:Choice>
  </mc:AlternateContent>
  <xr:revisionPtr revIDLastSave="0" documentId="13_ncr:1_{1449DBB8-4D09-401A-BB14-F07C50762B1F}" xr6:coauthVersionLast="47" xr6:coauthVersionMax="47" xr10:uidLastSave="{00000000-0000-0000-0000-000000000000}"/>
  <bookViews>
    <workbookView xWindow="-110" yWindow="-110" windowWidth="19420" windowHeight="10300" tabRatio="601" firstSheet="5" activeTab="9" xr2:uid="{00000000-000D-0000-FFFF-FFFF00000000}"/>
  </bookViews>
  <sheets>
    <sheet name="Diario" sheetId="28" state="hidden" r:id="rId1"/>
    <sheet name="Tesoreria" sheetId="27" state="hidden" r:id="rId2"/>
    <sheet name="Detalles" sheetId="24" state="hidden" r:id="rId3"/>
    <sheet name="Articulos" sheetId="22" state="hidden" r:id="rId4"/>
    <sheet name="Contribuyentes" sheetId="23" state="hidden" r:id="rId5"/>
    <sheet name="Parametros" sheetId="1" r:id="rId6"/>
    <sheet name="LIQ_IMPUESTOS" sheetId="16" r:id="rId7"/>
    <sheet name="103" sheetId="5" r:id="rId8"/>
    <sheet name="104" sheetId="4" r:id="rId9"/>
    <sheet name="COMPRAS" sheetId="2" r:id="rId10"/>
    <sheet name="VENTAS" sheetId="6" r:id="rId11"/>
    <sheet name="REEMBOLSOS" sheetId="3" r:id="rId12"/>
    <sheet name="EXPORTACIONES" sheetId="7" r:id="rId13"/>
    <sheet name="ANULADOS" sheetId="8" r:id="rId14"/>
    <sheet name="GUIAS" sheetId="29" r:id="rId15"/>
    <sheet name="TALON" sheetId="21" r:id="rId16"/>
    <sheet name="GASTOSP" sheetId="30" r:id="rId17"/>
  </sheets>
  <definedNames>
    <definedName name="_xlnm._FilterDatabase" localSheetId="13" hidden="1">ANULADOS!$A$6:$J$6</definedName>
    <definedName name="_xlnm._FilterDatabase" localSheetId="3" hidden="1">Articulos!$A$6:$N$17</definedName>
    <definedName name="_xlnm._FilterDatabase" localSheetId="9" hidden="1">COMPRAS!$A$6:$EL$68</definedName>
    <definedName name="_xlnm._FilterDatabase" localSheetId="4" hidden="1">Contribuyentes!$A$6:$M$19</definedName>
    <definedName name="_xlnm._FilterDatabase" localSheetId="2" hidden="1">Detalles!$A$6:$AI$6</definedName>
    <definedName name="_xlnm._FilterDatabase" localSheetId="0" hidden="1">Diario!$A$6:$M$6</definedName>
    <definedName name="_xlnm._FilterDatabase" localSheetId="12" hidden="1">EXPORTACIONES!$A$6:$AR$6</definedName>
    <definedName name="_xlnm._FilterDatabase" localSheetId="16" hidden="1">GASTOSP!$A$6:$V$9</definedName>
    <definedName name="_xlnm._FilterDatabase" localSheetId="14" hidden="1">GUIAS!$A$6:$AC$6</definedName>
    <definedName name="_xlnm._FilterDatabase" localSheetId="5" hidden="1">Parametros!$A$267:$U$406</definedName>
    <definedName name="_xlnm._FilterDatabase" localSheetId="11" hidden="1">REEMBOLSOS!$A$6:$AE$6</definedName>
    <definedName name="_xlnm._FilterDatabase" localSheetId="1" hidden="1">Tesoreria!$A$6:$Q$6</definedName>
    <definedName name="_xlnm._FilterDatabase" localSheetId="10" hidden="1">VENTAS!$A$6:$CV$486</definedName>
    <definedName name="_xlnm.Print_Area" localSheetId="7">'103'!$A:$AJ</definedName>
    <definedName name="_xlnm.Print_Area" localSheetId="8">'104'!$A:$AL</definedName>
    <definedName name="asiCOM">Parametros!$C$1146:$J$1172</definedName>
    <definedName name="cfgEmpresa">Parametros!$B$2:$L$121</definedName>
    <definedName name="ComprobantesCOM">Parametros!$C$190:$C$218</definedName>
    <definedName name="ComprobantesEXP">Parametros!$C$155:$C$162</definedName>
    <definedName name="ComprobantesVEN">Parametros!$C$166:$C$186</definedName>
    <definedName name="Distritos">Parametros!$C$1049:$C$1063</definedName>
    <definedName name="gruContableGAS">Parametros!$C$1146:$C$1172</definedName>
    <definedName name="gruContableING">Parametros!$C$1138:$C$1142</definedName>
    <definedName name="ingExterior">Parametros!$C$1067:$C$1106</definedName>
    <definedName name="IVAs">Parametros!$C$125:$C$134</definedName>
    <definedName name="LIQ_PER">LIQ_IMPUESTOS!$C$5:$C$16</definedName>
    <definedName name="ListaActividades">Parametros!$C$138:$C$150</definedName>
    <definedName name="meses_103">'103'!$C$5:$N$5</definedName>
    <definedName name="meses_104">'104'!$C$4:$N$4</definedName>
    <definedName name="NumDocs">Parametros!$C$52:$J$62</definedName>
    <definedName name="pagos">Parametros!$C$243:$C$264</definedName>
    <definedName name="paises">Parametros!$C$411:$C$670</definedName>
    <definedName name="paises17a">Parametros!$C$674:$C$763</definedName>
    <definedName name="paises17b">Parametros!$G$674:$G$763</definedName>
    <definedName name="paisesEXP">Parametros!$C$767:$C$1025</definedName>
    <definedName name="Regimen">Parametros!$D$39</definedName>
    <definedName name="Regimenes">Parametros!$C$1029:$C$1038</definedName>
    <definedName name="Retenciones">Parametros!$C$268:$C$407</definedName>
    <definedName name="sustentos">Parametros!$C$222:$C$239</definedName>
    <definedName name="tarifasIVA">Parametros!$E$128:$E$133</definedName>
    <definedName name="tbIBPs">Parametros!$C$1125:$J$1126</definedName>
    <definedName name="tbIBPs2">Parametros!$D$1125:$D$1126</definedName>
    <definedName name="tbICEs">Parametros!$C$1110:$J$1121</definedName>
    <definedName name="tbICEs2">Parametros!$D$1110:$D$1121</definedName>
    <definedName name="tbl_Empre">Parametros!$N$5:$Q$10</definedName>
    <definedName name="tbl_NegPop">Parametros!$S$5:$U$9</definedName>
    <definedName name="TipoPagos">Parametros!$C$243:$J$264</definedName>
    <definedName name="tiposexp">Parametros!$C$1042:$C$1045</definedName>
    <definedName name="XLSperiodo">Parametros!$D$20</definedName>
    <definedName name="XLSversion">Parametros!$D$100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C64" i="4" l="1"/>
  <c r="AC63" i="4"/>
  <c r="AX5" i="2"/>
  <c r="AV5" i="2"/>
  <c r="DC65" i="2"/>
  <c r="DC66" i="2"/>
  <c r="DC67" i="2"/>
  <c r="DC68" i="2"/>
  <c r="AV7" i="2"/>
  <c r="BQ15" i="2"/>
  <c r="R11" i="6" l="1"/>
  <c r="U11" i="6"/>
  <c r="X11" i="6"/>
  <c r="AK11" i="6"/>
  <c r="BG11" i="6" s="1"/>
  <c r="AM11" i="6"/>
  <c r="BH11" i="6" s="1"/>
  <c r="AO11" i="6"/>
  <c r="BI11" i="6" s="1"/>
  <c r="BE11" i="6"/>
  <c r="BJ11" i="6"/>
  <c r="BK11" i="6"/>
  <c r="R12" i="6"/>
  <c r="U12" i="6"/>
  <c r="X12" i="6"/>
  <c r="AK12" i="6"/>
  <c r="BG12" i="6" s="1"/>
  <c r="AM12" i="6"/>
  <c r="AO12" i="6"/>
  <c r="BI12" i="6" s="1"/>
  <c r="BE12" i="6"/>
  <c r="BJ12" i="6"/>
  <c r="BK12" i="6"/>
  <c r="R13" i="6"/>
  <c r="U13" i="6"/>
  <c r="X13" i="6"/>
  <c r="AK13" i="6"/>
  <c r="BG13" i="6" s="1"/>
  <c r="AM13" i="6"/>
  <c r="BH13" i="6" s="1"/>
  <c r="AO13" i="6"/>
  <c r="BI13" i="6" s="1"/>
  <c r="BE13" i="6"/>
  <c r="BJ13" i="6"/>
  <c r="BK13" i="6"/>
  <c r="R14" i="6"/>
  <c r="U14" i="6"/>
  <c r="X14" i="6"/>
  <c r="AK14" i="6"/>
  <c r="BG14" i="6" s="1"/>
  <c r="AM14" i="6"/>
  <c r="BH14" i="6" s="1"/>
  <c r="AO14" i="6"/>
  <c r="BI14" i="6" s="1"/>
  <c r="BE14" i="6"/>
  <c r="BJ14" i="6"/>
  <c r="BK14" i="6"/>
  <c r="R15" i="6"/>
  <c r="U15" i="6"/>
  <c r="X15" i="6"/>
  <c r="AK15" i="6"/>
  <c r="BG15" i="6" s="1"/>
  <c r="AM15" i="6"/>
  <c r="BH15" i="6" s="1"/>
  <c r="AO15" i="6"/>
  <c r="BI15" i="6" s="1"/>
  <c r="BE15" i="6"/>
  <c r="BJ15" i="6"/>
  <c r="BK15" i="6"/>
  <c r="R16" i="6"/>
  <c r="U16" i="6"/>
  <c r="X16" i="6"/>
  <c r="AK16" i="6"/>
  <c r="BG16" i="6" s="1"/>
  <c r="AM16" i="6"/>
  <c r="BH16" i="6" s="1"/>
  <c r="AO16" i="6"/>
  <c r="BI16" i="6" s="1"/>
  <c r="BE16" i="6"/>
  <c r="BJ16" i="6"/>
  <c r="BK16" i="6"/>
  <c r="R17" i="6"/>
  <c r="U17" i="6"/>
  <c r="X17" i="6"/>
  <c r="AK17" i="6"/>
  <c r="BG17" i="6" s="1"/>
  <c r="AM17" i="6"/>
  <c r="BH17" i="6" s="1"/>
  <c r="AO17" i="6"/>
  <c r="BI17" i="6" s="1"/>
  <c r="BE17" i="6"/>
  <c r="BJ17" i="6"/>
  <c r="BK17" i="6"/>
  <c r="R18" i="6"/>
  <c r="U18" i="6"/>
  <c r="X18" i="6"/>
  <c r="AK18" i="6"/>
  <c r="BG18" i="6" s="1"/>
  <c r="AM18" i="6"/>
  <c r="BH18" i="6" s="1"/>
  <c r="AO18" i="6"/>
  <c r="BI18" i="6" s="1"/>
  <c r="BE18" i="6"/>
  <c r="BJ18" i="6"/>
  <c r="BK18" i="6"/>
  <c r="R19" i="6"/>
  <c r="U19" i="6"/>
  <c r="X19" i="6"/>
  <c r="AK19" i="6"/>
  <c r="BG19" i="6" s="1"/>
  <c r="AM19" i="6"/>
  <c r="BH19" i="6" s="1"/>
  <c r="AO19" i="6"/>
  <c r="BI19" i="6" s="1"/>
  <c r="BE19" i="6"/>
  <c r="BJ19" i="6"/>
  <c r="BK19" i="6"/>
  <c r="R20" i="6"/>
  <c r="U20" i="6"/>
  <c r="X20" i="6"/>
  <c r="AK20" i="6"/>
  <c r="BG20" i="6" s="1"/>
  <c r="AM20" i="6"/>
  <c r="AO20" i="6"/>
  <c r="BI20" i="6" s="1"/>
  <c r="BE20" i="6"/>
  <c r="BJ20" i="6"/>
  <c r="BK20" i="6"/>
  <c r="R21" i="6"/>
  <c r="U21" i="6"/>
  <c r="X21" i="6"/>
  <c r="AK21" i="6"/>
  <c r="BG21" i="6" s="1"/>
  <c r="AM21" i="6"/>
  <c r="BH21" i="6" s="1"/>
  <c r="AO21" i="6"/>
  <c r="BI21" i="6" s="1"/>
  <c r="BE21" i="6"/>
  <c r="BJ21" i="6"/>
  <c r="BK21" i="6"/>
  <c r="R22" i="6"/>
  <c r="U22" i="6"/>
  <c r="X22" i="6"/>
  <c r="AK22" i="6"/>
  <c r="BG22" i="6" s="1"/>
  <c r="AM22" i="6"/>
  <c r="AO22" i="6"/>
  <c r="BI22" i="6" s="1"/>
  <c r="BE22" i="6"/>
  <c r="BJ22" i="6"/>
  <c r="BK22" i="6"/>
  <c r="R23" i="6"/>
  <c r="U23" i="6"/>
  <c r="X23" i="6"/>
  <c r="AK23" i="6"/>
  <c r="BG23" i="6" s="1"/>
  <c r="AM23" i="6"/>
  <c r="AO23" i="6"/>
  <c r="BI23" i="6" s="1"/>
  <c r="BE23" i="6"/>
  <c r="BJ23" i="6"/>
  <c r="BK23" i="6"/>
  <c r="R24" i="6"/>
  <c r="U24" i="6"/>
  <c r="X24" i="6"/>
  <c r="AK24" i="6"/>
  <c r="BG24" i="6" s="1"/>
  <c r="AM24" i="6"/>
  <c r="BH24" i="6" s="1"/>
  <c r="AO24" i="6"/>
  <c r="BI24" i="6" s="1"/>
  <c r="BE24" i="6"/>
  <c r="BJ24" i="6"/>
  <c r="BK24" i="6"/>
  <c r="R25" i="6"/>
  <c r="U25" i="6"/>
  <c r="X25" i="6"/>
  <c r="AK25" i="6"/>
  <c r="BG25" i="6" s="1"/>
  <c r="AM25" i="6"/>
  <c r="BH25" i="6" s="1"/>
  <c r="AO25" i="6"/>
  <c r="BI25" i="6" s="1"/>
  <c r="BE25" i="6"/>
  <c r="BJ25" i="6"/>
  <c r="BK25" i="6"/>
  <c r="R26" i="6"/>
  <c r="U26" i="6"/>
  <c r="X26" i="6"/>
  <c r="AK26" i="6"/>
  <c r="BG26" i="6" s="1"/>
  <c r="AM26" i="6"/>
  <c r="BH26" i="6" s="1"/>
  <c r="AO26" i="6"/>
  <c r="BI26" i="6" s="1"/>
  <c r="BE26" i="6"/>
  <c r="BJ26" i="6"/>
  <c r="BK26" i="6"/>
  <c r="R27" i="6"/>
  <c r="U27" i="6"/>
  <c r="X27" i="6"/>
  <c r="AK27" i="6"/>
  <c r="BG27" i="6" s="1"/>
  <c r="AM27" i="6"/>
  <c r="BH27" i="6" s="1"/>
  <c r="AO27" i="6"/>
  <c r="BI27" i="6" s="1"/>
  <c r="BE27" i="6"/>
  <c r="BJ27" i="6"/>
  <c r="BK27" i="6"/>
  <c r="R28" i="6"/>
  <c r="U28" i="6"/>
  <c r="X28" i="6"/>
  <c r="AK28" i="6"/>
  <c r="BG28" i="6" s="1"/>
  <c r="AM28" i="6"/>
  <c r="AO28" i="6"/>
  <c r="BI28" i="6" s="1"/>
  <c r="BE28" i="6"/>
  <c r="BJ28" i="6"/>
  <c r="BK28" i="6"/>
  <c r="R29" i="6"/>
  <c r="U29" i="6"/>
  <c r="X29" i="6"/>
  <c r="AK29" i="6"/>
  <c r="BG29" i="6" s="1"/>
  <c r="AM29" i="6"/>
  <c r="AO29" i="6"/>
  <c r="BI29" i="6" s="1"/>
  <c r="BE29" i="6"/>
  <c r="BJ29" i="6"/>
  <c r="BK29" i="6"/>
  <c r="R30" i="6"/>
  <c r="U30" i="6"/>
  <c r="X30" i="6"/>
  <c r="AK30" i="6"/>
  <c r="BG30" i="6" s="1"/>
  <c r="AM30" i="6"/>
  <c r="BH30" i="6" s="1"/>
  <c r="AO30" i="6"/>
  <c r="BI30" i="6" s="1"/>
  <c r="BE30" i="6"/>
  <c r="BJ30" i="6"/>
  <c r="BK30" i="6"/>
  <c r="R31" i="6"/>
  <c r="U31" i="6"/>
  <c r="X31" i="6"/>
  <c r="AK31" i="6"/>
  <c r="BG31" i="6" s="1"/>
  <c r="AM31" i="6"/>
  <c r="BH31" i="6" s="1"/>
  <c r="AO31" i="6"/>
  <c r="BI31" i="6" s="1"/>
  <c r="BE31" i="6"/>
  <c r="BJ31" i="6"/>
  <c r="BK31" i="6"/>
  <c r="R32" i="6"/>
  <c r="U32" i="6"/>
  <c r="X32" i="6"/>
  <c r="AK32" i="6"/>
  <c r="BG32" i="6" s="1"/>
  <c r="AM32" i="6"/>
  <c r="BH32" i="6" s="1"/>
  <c r="AO32" i="6"/>
  <c r="BI32" i="6" s="1"/>
  <c r="BE32" i="6"/>
  <c r="BJ32" i="6"/>
  <c r="BK32" i="6"/>
  <c r="R33" i="6"/>
  <c r="U33" i="6"/>
  <c r="X33" i="6"/>
  <c r="AK33" i="6"/>
  <c r="BG33" i="6" s="1"/>
  <c r="AM33" i="6"/>
  <c r="BH33" i="6" s="1"/>
  <c r="AO33" i="6"/>
  <c r="BI33" i="6" s="1"/>
  <c r="BE33" i="6"/>
  <c r="BJ33" i="6"/>
  <c r="BK33" i="6"/>
  <c r="R34" i="6"/>
  <c r="U34" i="6"/>
  <c r="X34" i="6"/>
  <c r="AK34" i="6"/>
  <c r="BG34" i="6" s="1"/>
  <c r="AM34" i="6"/>
  <c r="AO34" i="6"/>
  <c r="BI34" i="6" s="1"/>
  <c r="BE34" i="6"/>
  <c r="BJ34" i="6"/>
  <c r="BK34" i="6"/>
  <c r="R35" i="6"/>
  <c r="U35" i="6"/>
  <c r="X35" i="6"/>
  <c r="AK35" i="6"/>
  <c r="BG35" i="6" s="1"/>
  <c r="AM35" i="6"/>
  <c r="AO35" i="6"/>
  <c r="BI35" i="6" s="1"/>
  <c r="BE35" i="6"/>
  <c r="BJ35" i="6"/>
  <c r="BK35" i="6"/>
  <c r="R36" i="6"/>
  <c r="U36" i="6"/>
  <c r="X36" i="6"/>
  <c r="AK36" i="6"/>
  <c r="BG36" i="6" s="1"/>
  <c r="AM36" i="6"/>
  <c r="AO36" i="6"/>
  <c r="BI36" i="6" s="1"/>
  <c r="BE36" i="6"/>
  <c r="BJ36" i="6"/>
  <c r="BK36" i="6"/>
  <c r="R37" i="6"/>
  <c r="U37" i="6"/>
  <c r="X37" i="6"/>
  <c r="AK37" i="6"/>
  <c r="BG37" i="6" s="1"/>
  <c r="AM37" i="6"/>
  <c r="BH37" i="6" s="1"/>
  <c r="AO37" i="6"/>
  <c r="BI37" i="6" s="1"/>
  <c r="BE37" i="6"/>
  <c r="BJ37" i="6"/>
  <c r="BK37" i="6"/>
  <c r="R38" i="6"/>
  <c r="U38" i="6"/>
  <c r="X38" i="6"/>
  <c r="AK38" i="6"/>
  <c r="BG38" i="6" s="1"/>
  <c r="AM38" i="6"/>
  <c r="AO38" i="6"/>
  <c r="BI38" i="6" s="1"/>
  <c r="BE38" i="6"/>
  <c r="BJ38" i="6"/>
  <c r="BK38" i="6"/>
  <c r="R39" i="6"/>
  <c r="U39" i="6"/>
  <c r="X39" i="6"/>
  <c r="AK39" i="6"/>
  <c r="BG39" i="6" s="1"/>
  <c r="AM39" i="6"/>
  <c r="AO39" i="6"/>
  <c r="BI39" i="6" s="1"/>
  <c r="BE39" i="6"/>
  <c r="BJ39" i="6"/>
  <c r="BK39" i="6"/>
  <c r="R40" i="6"/>
  <c r="U40" i="6"/>
  <c r="X40" i="6"/>
  <c r="AK40" i="6"/>
  <c r="BG40" i="6" s="1"/>
  <c r="AM40" i="6"/>
  <c r="AO40" i="6"/>
  <c r="BI40" i="6" s="1"/>
  <c r="BE40" i="6"/>
  <c r="BJ40" i="6"/>
  <c r="BK40" i="6"/>
  <c r="R41" i="6"/>
  <c r="U41" i="6"/>
  <c r="X41" i="6"/>
  <c r="AK41" i="6"/>
  <c r="BG41" i="6" s="1"/>
  <c r="AM41" i="6"/>
  <c r="BH41" i="6" s="1"/>
  <c r="AO41" i="6"/>
  <c r="BI41" i="6" s="1"/>
  <c r="BE41" i="6"/>
  <c r="BJ41" i="6"/>
  <c r="BK41" i="6"/>
  <c r="R42" i="6"/>
  <c r="U42" i="6"/>
  <c r="X42" i="6"/>
  <c r="AK42" i="6"/>
  <c r="BG42" i="6" s="1"/>
  <c r="AM42" i="6"/>
  <c r="AO42" i="6"/>
  <c r="BI42" i="6" s="1"/>
  <c r="BE42" i="6"/>
  <c r="BJ42" i="6"/>
  <c r="BK42" i="6"/>
  <c r="R43" i="6"/>
  <c r="U43" i="6"/>
  <c r="X43" i="6"/>
  <c r="AK43" i="6"/>
  <c r="BG43" i="6" s="1"/>
  <c r="AM43" i="6"/>
  <c r="BH43" i="6" s="1"/>
  <c r="AO43" i="6"/>
  <c r="BI43" i="6" s="1"/>
  <c r="BE43" i="6"/>
  <c r="BJ43" i="6"/>
  <c r="BK43" i="6"/>
  <c r="R44" i="6"/>
  <c r="U44" i="6"/>
  <c r="X44" i="6"/>
  <c r="AK44" i="6"/>
  <c r="BG44" i="6" s="1"/>
  <c r="AM44" i="6"/>
  <c r="AO44" i="6"/>
  <c r="BI44" i="6" s="1"/>
  <c r="BE44" i="6"/>
  <c r="BJ44" i="6"/>
  <c r="BK44" i="6"/>
  <c r="R45" i="6"/>
  <c r="U45" i="6"/>
  <c r="X45" i="6"/>
  <c r="AK45" i="6"/>
  <c r="BG45" i="6" s="1"/>
  <c r="AM45" i="6"/>
  <c r="AO45" i="6"/>
  <c r="BI45" i="6" s="1"/>
  <c r="BE45" i="6"/>
  <c r="BJ45" i="6"/>
  <c r="BK45" i="6"/>
  <c r="R46" i="6"/>
  <c r="U46" i="6"/>
  <c r="X46" i="6"/>
  <c r="AK46" i="6"/>
  <c r="BG46" i="6" s="1"/>
  <c r="AM46" i="6"/>
  <c r="BH46" i="6" s="1"/>
  <c r="AO46" i="6"/>
  <c r="BI46" i="6" s="1"/>
  <c r="BE46" i="6"/>
  <c r="BJ46" i="6"/>
  <c r="BK46" i="6"/>
  <c r="R47" i="6"/>
  <c r="U47" i="6"/>
  <c r="X47" i="6"/>
  <c r="AK47" i="6"/>
  <c r="BG47" i="6" s="1"/>
  <c r="AM47" i="6"/>
  <c r="AO47" i="6"/>
  <c r="BI47" i="6" s="1"/>
  <c r="BE47" i="6"/>
  <c r="BJ47" i="6"/>
  <c r="BK47" i="6"/>
  <c r="R48" i="6"/>
  <c r="U48" i="6"/>
  <c r="X48" i="6"/>
  <c r="AK48" i="6"/>
  <c r="BG48" i="6" s="1"/>
  <c r="AM48" i="6"/>
  <c r="AO48" i="6"/>
  <c r="BI48" i="6" s="1"/>
  <c r="BE48" i="6"/>
  <c r="BJ48" i="6"/>
  <c r="BK48" i="6"/>
  <c r="R49" i="6"/>
  <c r="U49" i="6"/>
  <c r="X49" i="6"/>
  <c r="AK49" i="6"/>
  <c r="BG49" i="6" s="1"/>
  <c r="AM49" i="6"/>
  <c r="BH49" i="6" s="1"/>
  <c r="AO49" i="6"/>
  <c r="BI49" i="6" s="1"/>
  <c r="BE49" i="6"/>
  <c r="BJ49" i="6"/>
  <c r="BK49" i="6"/>
  <c r="R50" i="6"/>
  <c r="U50" i="6"/>
  <c r="X50" i="6"/>
  <c r="AK50" i="6"/>
  <c r="BG50" i="6" s="1"/>
  <c r="AM50" i="6"/>
  <c r="BH50" i="6" s="1"/>
  <c r="AO50" i="6"/>
  <c r="BI50" i="6" s="1"/>
  <c r="BE50" i="6"/>
  <c r="BJ50" i="6"/>
  <c r="BK50" i="6"/>
  <c r="R51" i="6"/>
  <c r="U51" i="6"/>
  <c r="X51" i="6"/>
  <c r="AK51" i="6"/>
  <c r="BG51" i="6" s="1"/>
  <c r="AM51" i="6"/>
  <c r="BH51" i="6" s="1"/>
  <c r="AO51" i="6"/>
  <c r="BI51" i="6" s="1"/>
  <c r="BE51" i="6"/>
  <c r="BJ51" i="6"/>
  <c r="BK51" i="6"/>
  <c r="R52" i="6"/>
  <c r="U52" i="6"/>
  <c r="X52" i="6"/>
  <c r="AK52" i="6"/>
  <c r="BG52" i="6" s="1"/>
  <c r="AM52" i="6"/>
  <c r="AO52" i="6"/>
  <c r="BI52" i="6" s="1"/>
  <c r="BE52" i="6"/>
  <c r="BJ52" i="6"/>
  <c r="BK52" i="6"/>
  <c r="R53" i="6"/>
  <c r="U53" i="6"/>
  <c r="X53" i="6"/>
  <c r="AK53" i="6"/>
  <c r="BG53" i="6" s="1"/>
  <c r="AM53" i="6"/>
  <c r="AO53" i="6"/>
  <c r="BI53" i="6" s="1"/>
  <c r="BE53" i="6"/>
  <c r="BJ53" i="6"/>
  <c r="BK53" i="6"/>
  <c r="R54" i="6"/>
  <c r="U54" i="6"/>
  <c r="X54" i="6"/>
  <c r="AK54" i="6"/>
  <c r="BG54" i="6" s="1"/>
  <c r="AM54" i="6"/>
  <c r="BH54" i="6" s="1"/>
  <c r="AO54" i="6"/>
  <c r="BI54" i="6" s="1"/>
  <c r="BE54" i="6"/>
  <c r="BJ54" i="6"/>
  <c r="BK54" i="6"/>
  <c r="R55" i="6"/>
  <c r="U55" i="6"/>
  <c r="X55" i="6"/>
  <c r="AK55" i="6"/>
  <c r="BG55" i="6" s="1"/>
  <c r="AM55" i="6"/>
  <c r="BH55" i="6" s="1"/>
  <c r="AO55" i="6"/>
  <c r="BI55" i="6" s="1"/>
  <c r="BE55" i="6"/>
  <c r="BJ55" i="6"/>
  <c r="BK55" i="6"/>
  <c r="R56" i="6"/>
  <c r="U56" i="6"/>
  <c r="X56" i="6"/>
  <c r="AK56" i="6"/>
  <c r="BG56" i="6" s="1"/>
  <c r="AM56" i="6"/>
  <c r="BH56" i="6" s="1"/>
  <c r="AO56" i="6"/>
  <c r="BI56" i="6" s="1"/>
  <c r="BE56" i="6"/>
  <c r="BJ56" i="6"/>
  <c r="BK56" i="6"/>
  <c r="R57" i="6"/>
  <c r="U57" i="6"/>
  <c r="X57" i="6"/>
  <c r="AK57" i="6"/>
  <c r="BG57" i="6" s="1"/>
  <c r="AM57" i="6"/>
  <c r="BH57" i="6" s="1"/>
  <c r="AO57" i="6"/>
  <c r="BI57" i="6" s="1"/>
  <c r="BE57" i="6"/>
  <c r="BJ57" i="6"/>
  <c r="BK57" i="6"/>
  <c r="R58" i="6"/>
  <c r="U58" i="6"/>
  <c r="X58" i="6"/>
  <c r="AK58" i="6"/>
  <c r="BG58" i="6" s="1"/>
  <c r="AM58" i="6"/>
  <c r="BH58" i="6" s="1"/>
  <c r="AO58" i="6"/>
  <c r="BI58" i="6" s="1"/>
  <c r="BE58" i="6"/>
  <c r="BJ58" i="6"/>
  <c r="BK58" i="6"/>
  <c r="R59" i="6"/>
  <c r="U59" i="6"/>
  <c r="X59" i="6"/>
  <c r="AK59" i="6"/>
  <c r="BG59" i="6" s="1"/>
  <c r="AM59" i="6"/>
  <c r="BH59" i="6" s="1"/>
  <c r="AO59" i="6"/>
  <c r="BI59" i="6" s="1"/>
  <c r="BE59" i="6"/>
  <c r="BJ59" i="6"/>
  <c r="BK59" i="6"/>
  <c r="R60" i="6"/>
  <c r="U60" i="6"/>
  <c r="X60" i="6"/>
  <c r="AK60" i="6"/>
  <c r="BG60" i="6" s="1"/>
  <c r="AM60" i="6"/>
  <c r="BH60" i="6" s="1"/>
  <c r="AO60" i="6"/>
  <c r="BI60" i="6" s="1"/>
  <c r="BE60" i="6"/>
  <c r="BJ60" i="6"/>
  <c r="BK60" i="6"/>
  <c r="R61" i="6"/>
  <c r="U61" i="6"/>
  <c r="X61" i="6"/>
  <c r="AK61" i="6"/>
  <c r="BG61" i="6" s="1"/>
  <c r="AM61" i="6"/>
  <c r="BH61" i="6" s="1"/>
  <c r="AO61" i="6"/>
  <c r="BI61" i="6" s="1"/>
  <c r="BE61" i="6"/>
  <c r="BJ61" i="6"/>
  <c r="BK61" i="6"/>
  <c r="R62" i="6"/>
  <c r="U62" i="6"/>
  <c r="X62" i="6"/>
  <c r="AK62" i="6"/>
  <c r="BG62" i="6" s="1"/>
  <c r="AM62" i="6"/>
  <c r="BH62" i="6" s="1"/>
  <c r="AO62" i="6"/>
  <c r="BI62" i="6" s="1"/>
  <c r="BE62" i="6"/>
  <c r="BJ62" i="6"/>
  <c r="BK62" i="6"/>
  <c r="R63" i="6"/>
  <c r="U63" i="6"/>
  <c r="X63" i="6"/>
  <c r="AK63" i="6"/>
  <c r="BG63" i="6" s="1"/>
  <c r="AM63" i="6"/>
  <c r="BH63" i="6" s="1"/>
  <c r="AO63" i="6"/>
  <c r="BI63" i="6" s="1"/>
  <c r="BE63" i="6"/>
  <c r="BJ63" i="6"/>
  <c r="BK63" i="6"/>
  <c r="R64" i="6"/>
  <c r="U64" i="6"/>
  <c r="X64" i="6"/>
  <c r="AK64" i="6"/>
  <c r="BG64" i="6" s="1"/>
  <c r="AM64" i="6"/>
  <c r="BH64" i="6" s="1"/>
  <c r="AO64" i="6"/>
  <c r="BI64" i="6" s="1"/>
  <c r="BE64" i="6"/>
  <c r="BJ64" i="6"/>
  <c r="BK64" i="6"/>
  <c r="R65" i="6"/>
  <c r="U65" i="6"/>
  <c r="X65" i="6"/>
  <c r="AK65" i="6"/>
  <c r="BG65" i="6" s="1"/>
  <c r="AM65" i="6"/>
  <c r="BH65" i="6" s="1"/>
  <c r="AO65" i="6"/>
  <c r="BI65" i="6" s="1"/>
  <c r="BE65" i="6"/>
  <c r="BJ65" i="6"/>
  <c r="BK65" i="6"/>
  <c r="R66" i="6"/>
  <c r="U66" i="6"/>
  <c r="X66" i="6"/>
  <c r="AK66" i="6"/>
  <c r="BG66" i="6" s="1"/>
  <c r="AM66" i="6"/>
  <c r="BH66" i="6" s="1"/>
  <c r="AO66" i="6"/>
  <c r="BI66" i="6" s="1"/>
  <c r="BE66" i="6"/>
  <c r="BJ66" i="6"/>
  <c r="BK66" i="6"/>
  <c r="R67" i="6"/>
  <c r="U67" i="6"/>
  <c r="X67" i="6"/>
  <c r="AK67" i="6"/>
  <c r="BG67" i="6" s="1"/>
  <c r="AM67" i="6"/>
  <c r="BH67" i="6" s="1"/>
  <c r="AO67" i="6"/>
  <c r="BI67" i="6" s="1"/>
  <c r="BE67" i="6"/>
  <c r="BJ67" i="6"/>
  <c r="BK67" i="6"/>
  <c r="R68" i="6"/>
  <c r="U68" i="6"/>
  <c r="X68" i="6"/>
  <c r="AK68" i="6"/>
  <c r="BG68" i="6" s="1"/>
  <c r="AM68" i="6"/>
  <c r="BH68" i="6" s="1"/>
  <c r="AO68" i="6"/>
  <c r="BI68" i="6" s="1"/>
  <c r="BE68" i="6"/>
  <c r="BJ68" i="6"/>
  <c r="BK68" i="6"/>
  <c r="R69" i="6"/>
  <c r="U69" i="6"/>
  <c r="X69" i="6"/>
  <c r="AK69" i="6"/>
  <c r="BG69" i="6" s="1"/>
  <c r="AM69" i="6"/>
  <c r="BH69" i="6" s="1"/>
  <c r="AO69" i="6"/>
  <c r="BI69" i="6" s="1"/>
  <c r="BE69" i="6"/>
  <c r="BJ69" i="6"/>
  <c r="BK69" i="6"/>
  <c r="R70" i="6"/>
  <c r="U70" i="6"/>
  <c r="X70" i="6"/>
  <c r="AK70" i="6"/>
  <c r="BG70" i="6" s="1"/>
  <c r="AM70" i="6"/>
  <c r="BH70" i="6" s="1"/>
  <c r="AO70" i="6"/>
  <c r="BI70" i="6" s="1"/>
  <c r="BE70" i="6"/>
  <c r="BJ70" i="6"/>
  <c r="BK70" i="6"/>
  <c r="R71" i="6"/>
  <c r="U71" i="6"/>
  <c r="X71" i="6"/>
  <c r="AK71" i="6"/>
  <c r="BG71" i="6" s="1"/>
  <c r="AM71" i="6"/>
  <c r="BH71" i="6" s="1"/>
  <c r="AO71" i="6"/>
  <c r="BI71" i="6" s="1"/>
  <c r="BE71" i="6"/>
  <c r="BJ71" i="6"/>
  <c r="BK71" i="6"/>
  <c r="R72" i="6"/>
  <c r="U72" i="6"/>
  <c r="X72" i="6"/>
  <c r="AK72" i="6"/>
  <c r="BG72" i="6" s="1"/>
  <c r="AM72" i="6"/>
  <c r="BH72" i="6" s="1"/>
  <c r="AO72" i="6"/>
  <c r="BI72" i="6" s="1"/>
  <c r="BE72" i="6"/>
  <c r="BJ72" i="6"/>
  <c r="BK72" i="6"/>
  <c r="R73" i="6"/>
  <c r="U73" i="6"/>
  <c r="X73" i="6"/>
  <c r="AK73" i="6"/>
  <c r="BG73" i="6" s="1"/>
  <c r="AM73" i="6"/>
  <c r="BH73" i="6" s="1"/>
  <c r="AO73" i="6"/>
  <c r="BI73" i="6" s="1"/>
  <c r="BE73" i="6"/>
  <c r="BJ73" i="6"/>
  <c r="BK73" i="6"/>
  <c r="R74" i="6"/>
  <c r="U74" i="6"/>
  <c r="X74" i="6"/>
  <c r="AK74" i="6"/>
  <c r="BG74" i="6" s="1"/>
  <c r="AM74" i="6"/>
  <c r="BH74" i="6" s="1"/>
  <c r="AO74" i="6"/>
  <c r="BI74" i="6" s="1"/>
  <c r="BE74" i="6"/>
  <c r="BJ74" i="6"/>
  <c r="BK74" i="6"/>
  <c r="R75" i="6"/>
  <c r="U75" i="6"/>
  <c r="X75" i="6"/>
  <c r="AK75" i="6"/>
  <c r="BG75" i="6" s="1"/>
  <c r="AM75" i="6"/>
  <c r="BH75" i="6" s="1"/>
  <c r="AO75" i="6"/>
  <c r="BI75" i="6" s="1"/>
  <c r="BE75" i="6"/>
  <c r="BJ75" i="6"/>
  <c r="BK75" i="6"/>
  <c r="R76" i="6"/>
  <c r="U76" i="6"/>
  <c r="X76" i="6"/>
  <c r="AK76" i="6"/>
  <c r="BG76" i="6" s="1"/>
  <c r="AM76" i="6"/>
  <c r="BH76" i="6" s="1"/>
  <c r="AO76" i="6"/>
  <c r="BI76" i="6" s="1"/>
  <c r="BE76" i="6"/>
  <c r="BJ76" i="6"/>
  <c r="BK76" i="6"/>
  <c r="R77" i="6"/>
  <c r="U77" i="6"/>
  <c r="X77" i="6"/>
  <c r="AK77" i="6"/>
  <c r="BG77" i="6" s="1"/>
  <c r="AM77" i="6"/>
  <c r="BH77" i="6" s="1"/>
  <c r="AO77" i="6"/>
  <c r="BI77" i="6" s="1"/>
  <c r="BE77" i="6"/>
  <c r="BJ77" i="6"/>
  <c r="BK77" i="6"/>
  <c r="R78" i="6"/>
  <c r="U78" i="6"/>
  <c r="X78" i="6"/>
  <c r="AK78" i="6"/>
  <c r="BG78" i="6" s="1"/>
  <c r="AM78" i="6"/>
  <c r="AO78" i="6"/>
  <c r="BI78" i="6" s="1"/>
  <c r="BE78" i="6"/>
  <c r="BJ78" i="6"/>
  <c r="BK78" i="6"/>
  <c r="R79" i="6"/>
  <c r="U79" i="6"/>
  <c r="X79" i="6"/>
  <c r="AK79" i="6"/>
  <c r="BG79" i="6" s="1"/>
  <c r="AM79" i="6"/>
  <c r="AO79" i="6"/>
  <c r="BI79" i="6" s="1"/>
  <c r="BE79" i="6"/>
  <c r="BJ79" i="6"/>
  <c r="BK79" i="6"/>
  <c r="R80" i="6"/>
  <c r="U80" i="6"/>
  <c r="X80" i="6"/>
  <c r="AK80" i="6"/>
  <c r="BG80" i="6" s="1"/>
  <c r="AM80" i="6"/>
  <c r="AO80" i="6"/>
  <c r="BI80" i="6" s="1"/>
  <c r="BE80" i="6"/>
  <c r="BJ80" i="6"/>
  <c r="BK80" i="6"/>
  <c r="R81" i="6"/>
  <c r="U81" i="6"/>
  <c r="X81" i="6"/>
  <c r="AK81" i="6"/>
  <c r="BG81" i="6" s="1"/>
  <c r="AM81" i="6"/>
  <c r="AO81" i="6"/>
  <c r="BI81" i="6" s="1"/>
  <c r="BE81" i="6"/>
  <c r="BJ81" i="6"/>
  <c r="BK81" i="6"/>
  <c r="R82" i="6"/>
  <c r="U82" i="6"/>
  <c r="X82" i="6"/>
  <c r="AK82" i="6"/>
  <c r="BG82" i="6" s="1"/>
  <c r="AM82" i="6"/>
  <c r="AO82" i="6"/>
  <c r="BI82" i="6" s="1"/>
  <c r="BE82" i="6"/>
  <c r="BJ82" i="6"/>
  <c r="BK82" i="6"/>
  <c r="R83" i="6"/>
  <c r="U83" i="6"/>
  <c r="X83" i="6"/>
  <c r="AK83" i="6"/>
  <c r="BG83" i="6" s="1"/>
  <c r="AM83" i="6"/>
  <c r="BH83" i="6" s="1"/>
  <c r="AO83" i="6"/>
  <c r="BI83" i="6" s="1"/>
  <c r="BE83" i="6"/>
  <c r="BJ83" i="6"/>
  <c r="BK83" i="6"/>
  <c r="R84" i="6"/>
  <c r="U84" i="6"/>
  <c r="X84" i="6"/>
  <c r="AK84" i="6"/>
  <c r="BG84" i="6" s="1"/>
  <c r="AM84" i="6"/>
  <c r="BH84" i="6" s="1"/>
  <c r="AO84" i="6"/>
  <c r="BI84" i="6" s="1"/>
  <c r="BE84" i="6"/>
  <c r="BJ84" i="6"/>
  <c r="BK84" i="6"/>
  <c r="R85" i="6"/>
  <c r="U85" i="6"/>
  <c r="X85" i="6"/>
  <c r="AK85" i="6"/>
  <c r="BG85" i="6" s="1"/>
  <c r="AM85" i="6"/>
  <c r="AO85" i="6"/>
  <c r="BI85" i="6" s="1"/>
  <c r="BE85" i="6"/>
  <c r="BJ85" i="6"/>
  <c r="BK85" i="6"/>
  <c r="R86" i="6"/>
  <c r="U86" i="6"/>
  <c r="X86" i="6"/>
  <c r="AK86" i="6"/>
  <c r="BG86" i="6" s="1"/>
  <c r="AM86" i="6"/>
  <c r="AO86" i="6"/>
  <c r="BI86" i="6" s="1"/>
  <c r="BE86" i="6"/>
  <c r="BJ86" i="6"/>
  <c r="BK86" i="6"/>
  <c r="R87" i="6"/>
  <c r="U87" i="6"/>
  <c r="X87" i="6"/>
  <c r="AK87" i="6"/>
  <c r="BG87" i="6" s="1"/>
  <c r="AM87" i="6"/>
  <c r="BH87" i="6" s="1"/>
  <c r="AO87" i="6"/>
  <c r="BI87" i="6" s="1"/>
  <c r="BE87" i="6"/>
  <c r="BJ87" i="6"/>
  <c r="BK87" i="6"/>
  <c r="R88" i="6"/>
  <c r="U88" i="6"/>
  <c r="X88" i="6"/>
  <c r="AK88" i="6"/>
  <c r="BG88" i="6" s="1"/>
  <c r="AM88" i="6"/>
  <c r="BH88" i="6" s="1"/>
  <c r="AO88" i="6"/>
  <c r="BI88" i="6" s="1"/>
  <c r="BE88" i="6"/>
  <c r="BJ88" i="6"/>
  <c r="BK88" i="6"/>
  <c r="R89" i="6"/>
  <c r="U89" i="6"/>
  <c r="X89" i="6"/>
  <c r="AK89" i="6"/>
  <c r="BG89" i="6" s="1"/>
  <c r="AM89" i="6"/>
  <c r="AO89" i="6"/>
  <c r="BI89" i="6" s="1"/>
  <c r="BE89" i="6"/>
  <c r="BJ89" i="6"/>
  <c r="BK89" i="6"/>
  <c r="R90" i="6"/>
  <c r="U90" i="6"/>
  <c r="X90" i="6"/>
  <c r="AK90" i="6"/>
  <c r="BG90" i="6" s="1"/>
  <c r="AM90" i="6"/>
  <c r="AO90" i="6"/>
  <c r="BI90" i="6" s="1"/>
  <c r="BE90" i="6"/>
  <c r="BJ90" i="6"/>
  <c r="BK90" i="6"/>
  <c r="R91" i="6"/>
  <c r="U91" i="6"/>
  <c r="X91" i="6"/>
  <c r="AK91" i="6"/>
  <c r="BG91" i="6" s="1"/>
  <c r="AM91" i="6"/>
  <c r="BH91" i="6" s="1"/>
  <c r="AO91" i="6"/>
  <c r="BI91" i="6" s="1"/>
  <c r="BE91" i="6"/>
  <c r="BJ91" i="6"/>
  <c r="BK91" i="6"/>
  <c r="R92" i="6"/>
  <c r="U92" i="6"/>
  <c r="X92" i="6"/>
  <c r="AK92" i="6"/>
  <c r="BG92" i="6" s="1"/>
  <c r="AM92" i="6"/>
  <c r="BH92" i="6" s="1"/>
  <c r="AO92" i="6"/>
  <c r="BI92" i="6" s="1"/>
  <c r="BE92" i="6"/>
  <c r="BJ92" i="6"/>
  <c r="BK92" i="6"/>
  <c r="R93" i="6"/>
  <c r="U93" i="6"/>
  <c r="X93" i="6"/>
  <c r="AK93" i="6"/>
  <c r="BG93" i="6" s="1"/>
  <c r="AM93" i="6"/>
  <c r="BH93" i="6" s="1"/>
  <c r="AO93" i="6"/>
  <c r="BI93" i="6" s="1"/>
  <c r="BE93" i="6"/>
  <c r="BJ93" i="6"/>
  <c r="BK93" i="6"/>
  <c r="R94" i="6"/>
  <c r="U94" i="6"/>
  <c r="X94" i="6"/>
  <c r="AK94" i="6"/>
  <c r="BG94" i="6" s="1"/>
  <c r="AM94" i="6"/>
  <c r="AO94" i="6"/>
  <c r="BI94" i="6" s="1"/>
  <c r="BE94" i="6"/>
  <c r="BJ94" i="6"/>
  <c r="BK94" i="6"/>
  <c r="R95" i="6"/>
  <c r="U95" i="6"/>
  <c r="X95" i="6"/>
  <c r="AK95" i="6"/>
  <c r="BG95" i="6" s="1"/>
  <c r="AM95" i="6"/>
  <c r="AO95" i="6"/>
  <c r="BI95" i="6" s="1"/>
  <c r="BE95" i="6"/>
  <c r="BJ95" i="6"/>
  <c r="BK95" i="6"/>
  <c r="R96" i="6"/>
  <c r="U96" i="6"/>
  <c r="X96" i="6"/>
  <c r="AK96" i="6"/>
  <c r="BG96" i="6" s="1"/>
  <c r="AM96" i="6"/>
  <c r="AO96" i="6"/>
  <c r="BI96" i="6" s="1"/>
  <c r="BE96" i="6"/>
  <c r="BJ96" i="6"/>
  <c r="BK96" i="6"/>
  <c r="R97" i="6"/>
  <c r="U97" i="6"/>
  <c r="X97" i="6"/>
  <c r="AK97" i="6"/>
  <c r="BG97" i="6" s="1"/>
  <c r="AM97" i="6"/>
  <c r="AO97" i="6"/>
  <c r="BI97" i="6" s="1"/>
  <c r="BE97" i="6"/>
  <c r="BJ97" i="6"/>
  <c r="BK97" i="6"/>
  <c r="R98" i="6"/>
  <c r="U98" i="6"/>
  <c r="X98" i="6"/>
  <c r="AK98" i="6"/>
  <c r="BG98" i="6" s="1"/>
  <c r="AM98" i="6"/>
  <c r="AO98" i="6"/>
  <c r="BI98" i="6" s="1"/>
  <c r="BE98" i="6"/>
  <c r="BJ98" i="6"/>
  <c r="BK98" i="6"/>
  <c r="R99" i="6"/>
  <c r="U99" i="6"/>
  <c r="X99" i="6"/>
  <c r="AK99" i="6"/>
  <c r="BG99" i="6" s="1"/>
  <c r="AM99" i="6"/>
  <c r="AO99" i="6"/>
  <c r="BI99" i="6" s="1"/>
  <c r="BE99" i="6"/>
  <c r="BJ99" i="6"/>
  <c r="BK99" i="6"/>
  <c r="R100" i="6"/>
  <c r="U100" i="6"/>
  <c r="X100" i="6"/>
  <c r="AK100" i="6"/>
  <c r="BG100" i="6" s="1"/>
  <c r="AM100" i="6"/>
  <c r="AO100" i="6"/>
  <c r="BI100" i="6" s="1"/>
  <c r="BE100" i="6"/>
  <c r="BJ100" i="6"/>
  <c r="BK100" i="6"/>
  <c r="R101" i="6"/>
  <c r="U101" i="6"/>
  <c r="X101" i="6"/>
  <c r="AK101" i="6"/>
  <c r="BG101" i="6" s="1"/>
  <c r="AM101" i="6"/>
  <c r="AO101" i="6"/>
  <c r="BI101" i="6" s="1"/>
  <c r="BE101" i="6"/>
  <c r="BJ101" i="6"/>
  <c r="BK101" i="6"/>
  <c r="R102" i="6"/>
  <c r="U102" i="6"/>
  <c r="X102" i="6"/>
  <c r="AK102" i="6"/>
  <c r="BG102" i="6" s="1"/>
  <c r="AM102" i="6"/>
  <c r="AO102" i="6"/>
  <c r="BI102" i="6" s="1"/>
  <c r="BE102" i="6"/>
  <c r="BJ102" i="6"/>
  <c r="BK102" i="6"/>
  <c r="R103" i="6"/>
  <c r="U103" i="6"/>
  <c r="X103" i="6"/>
  <c r="AK103" i="6"/>
  <c r="BG103" i="6" s="1"/>
  <c r="AM103" i="6"/>
  <c r="AO103" i="6"/>
  <c r="BI103" i="6" s="1"/>
  <c r="BE103" i="6"/>
  <c r="BJ103" i="6"/>
  <c r="BK103" i="6"/>
  <c r="R104" i="6"/>
  <c r="U104" i="6"/>
  <c r="X104" i="6"/>
  <c r="AK104" i="6"/>
  <c r="BG104" i="6" s="1"/>
  <c r="AM104" i="6"/>
  <c r="AO104" i="6"/>
  <c r="BI104" i="6" s="1"/>
  <c r="BE104" i="6"/>
  <c r="BJ104" i="6"/>
  <c r="BK104" i="6"/>
  <c r="R105" i="6"/>
  <c r="U105" i="6"/>
  <c r="X105" i="6"/>
  <c r="AK105" i="6"/>
  <c r="BG105" i="6" s="1"/>
  <c r="AM105" i="6"/>
  <c r="AO105" i="6"/>
  <c r="BI105" i="6" s="1"/>
  <c r="BE105" i="6"/>
  <c r="BJ105" i="6"/>
  <c r="BK105" i="6"/>
  <c r="R106" i="6"/>
  <c r="U106" i="6"/>
  <c r="X106" i="6"/>
  <c r="AK106" i="6"/>
  <c r="BG106" i="6" s="1"/>
  <c r="AM106" i="6"/>
  <c r="AO106" i="6"/>
  <c r="BI106" i="6" s="1"/>
  <c r="BE106" i="6"/>
  <c r="BJ106" i="6"/>
  <c r="BK106" i="6"/>
  <c r="R107" i="6"/>
  <c r="U107" i="6"/>
  <c r="X107" i="6"/>
  <c r="AK107" i="6"/>
  <c r="BG107" i="6" s="1"/>
  <c r="AM107" i="6"/>
  <c r="AO107" i="6"/>
  <c r="BI107" i="6" s="1"/>
  <c r="BE107" i="6"/>
  <c r="BJ107" i="6"/>
  <c r="BK107" i="6"/>
  <c r="R108" i="6"/>
  <c r="U108" i="6"/>
  <c r="X108" i="6"/>
  <c r="AK108" i="6"/>
  <c r="BG108" i="6" s="1"/>
  <c r="AM108" i="6"/>
  <c r="AO108" i="6"/>
  <c r="BI108" i="6" s="1"/>
  <c r="BE108" i="6"/>
  <c r="BJ108" i="6"/>
  <c r="BK108" i="6"/>
  <c r="R109" i="6"/>
  <c r="U109" i="6"/>
  <c r="X109" i="6"/>
  <c r="AK109" i="6"/>
  <c r="BG109" i="6" s="1"/>
  <c r="AM109" i="6"/>
  <c r="AO109" i="6"/>
  <c r="BI109" i="6" s="1"/>
  <c r="BE109" i="6"/>
  <c r="BJ109" i="6"/>
  <c r="BK109" i="6"/>
  <c r="R110" i="6"/>
  <c r="U110" i="6"/>
  <c r="X110" i="6"/>
  <c r="AK110" i="6"/>
  <c r="BG110" i="6" s="1"/>
  <c r="AM110" i="6"/>
  <c r="AO110" i="6"/>
  <c r="BI110" i="6" s="1"/>
  <c r="BE110" i="6"/>
  <c r="BJ110" i="6"/>
  <c r="BK110" i="6"/>
  <c r="R111" i="6"/>
  <c r="U111" i="6"/>
  <c r="X111" i="6"/>
  <c r="AK111" i="6"/>
  <c r="BG111" i="6" s="1"/>
  <c r="AM111" i="6"/>
  <c r="AO111" i="6"/>
  <c r="BI111" i="6" s="1"/>
  <c r="BE111" i="6"/>
  <c r="BJ111" i="6"/>
  <c r="BK111" i="6"/>
  <c r="R112" i="6"/>
  <c r="U112" i="6"/>
  <c r="X112" i="6"/>
  <c r="AK112" i="6"/>
  <c r="BG112" i="6" s="1"/>
  <c r="AM112" i="6"/>
  <c r="AO112" i="6"/>
  <c r="BI112" i="6" s="1"/>
  <c r="BE112" i="6"/>
  <c r="BJ112" i="6"/>
  <c r="BK112" i="6"/>
  <c r="R113" i="6"/>
  <c r="U113" i="6"/>
  <c r="X113" i="6"/>
  <c r="AK113" i="6"/>
  <c r="BG113" i="6" s="1"/>
  <c r="AM113" i="6"/>
  <c r="AO113" i="6"/>
  <c r="BI113" i="6" s="1"/>
  <c r="BE113" i="6"/>
  <c r="BJ113" i="6"/>
  <c r="BK113" i="6"/>
  <c r="R114" i="6"/>
  <c r="U114" i="6"/>
  <c r="X114" i="6"/>
  <c r="AK114" i="6"/>
  <c r="BG114" i="6" s="1"/>
  <c r="AM114" i="6"/>
  <c r="AO114" i="6"/>
  <c r="BI114" i="6" s="1"/>
  <c r="BE114" i="6"/>
  <c r="BJ114" i="6"/>
  <c r="BK114" i="6"/>
  <c r="R115" i="6"/>
  <c r="U115" i="6"/>
  <c r="X115" i="6"/>
  <c r="AK115" i="6"/>
  <c r="BG115" i="6" s="1"/>
  <c r="AM115" i="6"/>
  <c r="AO115" i="6"/>
  <c r="BI115" i="6" s="1"/>
  <c r="BE115" i="6"/>
  <c r="BJ115" i="6"/>
  <c r="BK115" i="6"/>
  <c r="R116" i="6"/>
  <c r="U116" i="6"/>
  <c r="X116" i="6"/>
  <c r="AK116" i="6"/>
  <c r="BG116" i="6" s="1"/>
  <c r="AM116" i="6"/>
  <c r="AO116" i="6"/>
  <c r="BI116" i="6" s="1"/>
  <c r="BE116" i="6"/>
  <c r="BJ116" i="6"/>
  <c r="BK116" i="6"/>
  <c r="R117" i="6"/>
  <c r="U117" i="6"/>
  <c r="X117" i="6"/>
  <c r="AK117" i="6"/>
  <c r="BG117" i="6" s="1"/>
  <c r="AM117" i="6"/>
  <c r="AO117" i="6"/>
  <c r="BI117" i="6" s="1"/>
  <c r="BE117" i="6"/>
  <c r="BJ117" i="6"/>
  <c r="BK117" i="6"/>
  <c r="R118" i="6"/>
  <c r="U118" i="6"/>
  <c r="X118" i="6"/>
  <c r="AK118" i="6"/>
  <c r="BG118" i="6" s="1"/>
  <c r="AM118" i="6"/>
  <c r="AO118" i="6"/>
  <c r="BI118" i="6" s="1"/>
  <c r="BE118" i="6"/>
  <c r="BJ118" i="6"/>
  <c r="BK118" i="6"/>
  <c r="R119" i="6"/>
  <c r="U119" i="6"/>
  <c r="X119" i="6"/>
  <c r="AK119" i="6"/>
  <c r="BG119" i="6" s="1"/>
  <c r="AM119" i="6"/>
  <c r="AO119" i="6"/>
  <c r="BI119" i="6" s="1"/>
  <c r="BE119" i="6"/>
  <c r="BJ119" i="6"/>
  <c r="BK119" i="6"/>
  <c r="R120" i="6"/>
  <c r="U120" i="6"/>
  <c r="X120" i="6"/>
  <c r="AK120" i="6"/>
  <c r="BG120" i="6" s="1"/>
  <c r="AM120" i="6"/>
  <c r="AO120" i="6"/>
  <c r="BI120" i="6" s="1"/>
  <c r="BE120" i="6"/>
  <c r="BJ120" i="6"/>
  <c r="BK120" i="6"/>
  <c r="R121" i="6"/>
  <c r="U121" i="6"/>
  <c r="X121" i="6"/>
  <c r="AK121" i="6"/>
  <c r="BG121" i="6" s="1"/>
  <c r="AM121" i="6"/>
  <c r="AO121" i="6"/>
  <c r="BI121" i="6" s="1"/>
  <c r="BE121" i="6"/>
  <c r="BJ121" i="6"/>
  <c r="BK121" i="6"/>
  <c r="R122" i="6"/>
  <c r="U122" i="6"/>
  <c r="X122" i="6"/>
  <c r="AK122" i="6"/>
  <c r="BG122" i="6" s="1"/>
  <c r="AM122" i="6"/>
  <c r="AO122" i="6"/>
  <c r="BI122" i="6" s="1"/>
  <c r="BE122" i="6"/>
  <c r="BJ122" i="6"/>
  <c r="BK122" i="6"/>
  <c r="R123" i="6"/>
  <c r="U123" i="6"/>
  <c r="X123" i="6"/>
  <c r="AK123" i="6"/>
  <c r="BG123" i="6" s="1"/>
  <c r="AM123" i="6"/>
  <c r="AO123" i="6"/>
  <c r="BI123" i="6" s="1"/>
  <c r="BE123" i="6"/>
  <c r="BJ123" i="6"/>
  <c r="BK123" i="6"/>
  <c r="R124" i="6"/>
  <c r="U124" i="6"/>
  <c r="X124" i="6"/>
  <c r="AK124" i="6"/>
  <c r="BG124" i="6" s="1"/>
  <c r="AM124" i="6"/>
  <c r="BH124" i="6" s="1"/>
  <c r="AO124" i="6"/>
  <c r="BI124" i="6" s="1"/>
  <c r="BE124" i="6"/>
  <c r="BJ124" i="6"/>
  <c r="BK124" i="6"/>
  <c r="R125" i="6"/>
  <c r="U125" i="6"/>
  <c r="X125" i="6"/>
  <c r="AK125" i="6"/>
  <c r="BG125" i="6" s="1"/>
  <c r="AM125" i="6"/>
  <c r="BH125" i="6" s="1"/>
  <c r="AO125" i="6"/>
  <c r="BI125" i="6" s="1"/>
  <c r="BE125" i="6"/>
  <c r="BJ125" i="6"/>
  <c r="BK125" i="6"/>
  <c r="R126" i="6"/>
  <c r="U126" i="6"/>
  <c r="X126" i="6"/>
  <c r="AK126" i="6"/>
  <c r="BG126" i="6" s="1"/>
  <c r="AM126" i="6"/>
  <c r="AO126" i="6"/>
  <c r="BI126" i="6" s="1"/>
  <c r="BE126" i="6"/>
  <c r="BJ126" i="6"/>
  <c r="BK126" i="6"/>
  <c r="R127" i="6"/>
  <c r="U127" i="6"/>
  <c r="X127" i="6"/>
  <c r="AK127" i="6"/>
  <c r="BG127" i="6" s="1"/>
  <c r="AM127" i="6"/>
  <c r="BH127" i="6" s="1"/>
  <c r="AO127" i="6"/>
  <c r="BI127" i="6" s="1"/>
  <c r="BE127" i="6"/>
  <c r="BJ127" i="6"/>
  <c r="BK127" i="6"/>
  <c r="R128" i="6"/>
  <c r="U128" i="6"/>
  <c r="X128" i="6"/>
  <c r="AK128" i="6"/>
  <c r="BG128" i="6" s="1"/>
  <c r="AM128" i="6"/>
  <c r="AO128" i="6"/>
  <c r="BI128" i="6" s="1"/>
  <c r="BE128" i="6"/>
  <c r="BJ128" i="6"/>
  <c r="BK128" i="6"/>
  <c r="R129" i="6"/>
  <c r="U129" i="6"/>
  <c r="X129" i="6"/>
  <c r="AK129" i="6"/>
  <c r="BG129" i="6" s="1"/>
  <c r="AM129" i="6"/>
  <c r="AO129" i="6"/>
  <c r="BI129" i="6" s="1"/>
  <c r="BE129" i="6"/>
  <c r="BJ129" i="6"/>
  <c r="BK129" i="6"/>
  <c r="R130" i="6"/>
  <c r="U130" i="6"/>
  <c r="X130" i="6"/>
  <c r="AK130" i="6"/>
  <c r="BG130" i="6" s="1"/>
  <c r="AM130" i="6"/>
  <c r="CA130" i="6" s="1"/>
  <c r="AO130" i="6"/>
  <c r="BI130" i="6" s="1"/>
  <c r="BE130" i="6"/>
  <c r="BJ130" i="6"/>
  <c r="BK130" i="6"/>
  <c r="R131" i="6"/>
  <c r="U131" i="6"/>
  <c r="X131" i="6"/>
  <c r="AK131" i="6"/>
  <c r="BG131" i="6" s="1"/>
  <c r="AM131" i="6"/>
  <c r="AO131" i="6"/>
  <c r="BI131" i="6" s="1"/>
  <c r="BE131" i="6"/>
  <c r="BJ131" i="6"/>
  <c r="BK131" i="6"/>
  <c r="R132" i="6"/>
  <c r="U132" i="6"/>
  <c r="X132" i="6"/>
  <c r="AK132" i="6"/>
  <c r="BG132" i="6" s="1"/>
  <c r="AM132" i="6"/>
  <c r="AO132" i="6"/>
  <c r="BI132" i="6" s="1"/>
  <c r="BE132" i="6"/>
  <c r="BJ132" i="6"/>
  <c r="BK132" i="6"/>
  <c r="R133" i="6"/>
  <c r="U133" i="6"/>
  <c r="X133" i="6"/>
  <c r="AK133" i="6"/>
  <c r="BG133" i="6" s="1"/>
  <c r="AM133" i="6"/>
  <c r="CA133" i="6" s="1"/>
  <c r="AO133" i="6"/>
  <c r="BI133" i="6" s="1"/>
  <c r="BE133" i="6"/>
  <c r="BJ133" i="6"/>
  <c r="BK133" i="6"/>
  <c r="R134" i="6"/>
  <c r="U134" i="6"/>
  <c r="X134" i="6"/>
  <c r="AK134" i="6"/>
  <c r="BG134" i="6" s="1"/>
  <c r="AM134" i="6"/>
  <c r="AO134" i="6"/>
  <c r="BI134" i="6" s="1"/>
  <c r="BE134" i="6"/>
  <c r="BJ134" i="6"/>
  <c r="BK134" i="6"/>
  <c r="R135" i="6"/>
  <c r="U135" i="6"/>
  <c r="X135" i="6"/>
  <c r="AK135" i="6"/>
  <c r="BG135" i="6" s="1"/>
  <c r="AM135" i="6"/>
  <c r="CA135" i="6" s="1"/>
  <c r="AO135" i="6"/>
  <c r="BI135" i="6" s="1"/>
  <c r="BE135" i="6"/>
  <c r="BJ135" i="6"/>
  <c r="BK135" i="6"/>
  <c r="R136" i="6"/>
  <c r="U136" i="6"/>
  <c r="X136" i="6"/>
  <c r="AK136" i="6"/>
  <c r="BG136" i="6" s="1"/>
  <c r="AM136" i="6"/>
  <c r="AO136" i="6"/>
  <c r="BI136" i="6" s="1"/>
  <c r="BE136" i="6"/>
  <c r="BJ136" i="6"/>
  <c r="BK136" i="6"/>
  <c r="R137" i="6"/>
  <c r="U137" i="6"/>
  <c r="X137" i="6"/>
  <c r="AK137" i="6"/>
  <c r="BG137" i="6" s="1"/>
  <c r="AM137" i="6"/>
  <c r="CA137" i="6" s="1"/>
  <c r="AO137" i="6"/>
  <c r="BI137" i="6" s="1"/>
  <c r="BE137" i="6"/>
  <c r="BJ137" i="6"/>
  <c r="BK137" i="6"/>
  <c r="R138" i="6"/>
  <c r="U138" i="6"/>
  <c r="X138" i="6"/>
  <c r="AK138" i="6"/>
  <c r="BG138" i="6" s="1"/>
  <c r="AM138" i="6"/>
  <c r="CA138" i="6" s="1"/>
  <c r="AO138" i="6"/>
  <c r="BI138" i="6" s="1"/>
  <c r="BE138" i="6"/>
  <c r="BJ138" i="6"/>
  <c r="BK138" i="6"/>
  <c r="R139" i="6"/>
  <c r="U139" i="6"/>
  <c r="X139" i="6"/>
  <c r="AK139" i="6"/>
  <c r="BG139" i="6" s="1"/>
  <c r="AM139" i="6"/>
  <c r="CA139" i="6" s="1"/>
  <c r="AO139" i="6"/>
  <c r="BI139" i="6" s="1"/>
  <c r="BE139" i="6"/>
  <c r="BJ139" i="6"/>
  <c r="BK139" i="6"/>
  <c r="R140" i="6"/>
  <c r="U140" i="6"/>
  <c r="X140" i="6"/>
  <c r="AK140" i="6"/>
  <c r="BG140" i="6" s="1"/>
  <c r="AM140" i="6"/>
  <c r="AO140" i="6"/>
  <c r="BI140" i="6" s="1"/>
  <c r="BE140" i="6"/>
  <c r="BJ140" i="6"/>
  <c r="BK140" i="6"/>
  <c r="R141" i="6"/>
  <c r="U141" i="6"/>
  <c r="X141" i="6"/>
  <c r="AK141" i="6"/>
  <c r="BG141" i="6" s="1"/>
  <c r="AM141" i="6"/>
  <c r="CA141" i="6" s="1"/>
  <c r="AO141" i="6"/>
  <c r="BI141" i="6" s="1"/>
  <c r="BE141" i="6"/>
  <c r="BJ141" i="6"/>
  <c r="BK141" i="6"/>
  <c r="R142" i="6"/>
  <c r="U142" i="6"/>
  <c r="X142" i="6"/>
  <c r="AK142" i="6"/>
  <c r="BG142" i="6" s="1"/>
  <c r="AM142" i="6"/>
  <c r="CA142" i="6" s="1"/>
  <c r="AO142" i="6"/>
  <c r="BI142" i="6" s="1"/>
  <c r="BE142" i="6"/>
  <c r="BJ142" i="6"/>
  <c r="BK142" i="6"/>
  <c r="R143" i="6"/>
  <c r="U143" i="6"/>
  <c r="X143" i="6"/>
  <c r="AK143" i="6"/>
  <c r="BG143" i="6" s="1"/>
  <c r="AM143" i="6"/>
  <c r="CA143" i="6" s="1"/>
  <c r="AO143" i="6"/>
  <c r="BI143" i="6" s="1"/>
  <c r="BE143" i="6"/>
  <c r="BJ143" i="6"/>
  <c r="BK143" i="6"/>
  <c r="R144" i="6"/>
  <c r="U144" i="6"/>
  <c r="X144" i="6"/>
  <c r="AK144" i="6"/>
  <c r="BG144" i="6" s="1"/>
  <c r="AM144" i="6"/>
  <c r="AO144" i="6"/>
  <c r="BI144" i="6" s="1"/>
  <c r="BE144" i="6"/>
  <c r="BJ144" i="6"/>
  <c r="BK144" i="6"/>
  <c r="R145" i="6"/>
  <c r="U145" i="6"/>
  <c r="X145" i="6"/>
  <c r="AK145" i="6"/>
  <c r="BG145" i="6" s="1"/>
  <c r="AM145" i="6"/>
  <c r="CA145" i="6" s="1"/>
  <c r="AO145" i="6"/>
  <c r="BI145" i="6" s="1"/>
  <c r="BE145" i="6"/>
  <c r="BJ145" i="6"/>
  <c r="BK145" i="6"/>
  <c r="R146" i="6"/>
  <c r="U146" i="6"/>
  <c r="X146" i="6"/>
  <c r="AK146" i="6"/>
  <c r="BG146" i="6" s="1"/>
  <c r="AM146" i="6"/>
  <c r="CA146" i="6" s="1"/>
  <c r="AO146" i="6"/>
  <c r="BI146" i="6" s="1"/>
  <c r="BE146" i="6"/>
  <c r="BJ146" i="6"/>
  <c r="BK146" i="6"/>
  <c r="R147" i="6"/>
  <c r="U147" i="6"/>
  <c r="X147" i="6"/>
  <c r="AK147" i="6"/>
  <c r="BG147" i="6" s="1"/>
  <c r="AM147" i="6"/>
  <c r="AO147" i="6"/>
  <c r="BI147" i="6" s="1"/>
  <c r="BE147" i="6"/>
  <c r="BJ147" i="6"/>
  <c r="BK147" i="6"/>
  <c r="R148" i="6"/>
  <c r="U148" i="6"/>
  <c r="X148" i="6"/>
  <c r="AK148" i="6"/>
  <c r="BG148" i="6" s="1"/>
  <c r="AM148" i="6"/>
  <c r="BH148" i="6" s="1"/>
  <c r="AO148" i="6"/>
  <c r="BI148" i="6" s="1"/>
  <c r="BE148" i="6"/>
  <c r="BJ148" i="6"/>
  <c r="BK148" i="6"/>
  <c r="R149" i="6"/>
  <c r="U149" i="6"/>
  <c r="X149" i="6"/>
  <c r="AK149" i="6"/>
  <c r="BG149" i="6" s="1"/>
  <c r="AM149" i="6"/>
  <c r="AO149" i="6"/>
  <c r="BI149" i="6" s="1"/>
  <c r="BE149" i="6"/>
  <c r="BJ149" i="6"/>
  <c r="BK149" i="6"/>
  <c r="R150" i="6"/>
  <c r="U150" i="6"/>
  <c r="X150" i="6"/>
  <c r="AK150" i="6"/>
  <c r="BG150" i="6" s="1"/>
  <c r="AM150" i="6"/>
  <c r="BH150" i="6" s="1"/>
  <c r="AO150" i="6"/>
  <c r="BI150" i="6" s="1"/>
  <c r="BE150" i="6"/>
  <c r="BJ150" i="6"/>
  <c r="BK150" i="6"/>
  <c r="R151" i="6"/>
  <c r="U151" i="6"/>
  <c r="X151" i="6"/>
  <c r="AK151" i="6"/>
  <c r="BG151" i="6" s="1"/>
  <c r="AM151" i="6"/>
  <c r="BH151" i="6" s="1"/>
  <c r="AO151" i="6"/>
  <c r="BI151" i="6" s="1"/>
  <c r="BE151" i="6"/>
  <c r="BJ151" i="6"/>
  <c r="BK151" i="6"/>
  <c r="R152" i="6"/>
  <c r="U152" i="6"/>
  <c r="X152" i="6"/>
  <c r="AK152" i="6"/>
  <c r="BG152" i="6" s="1"/>
  <c r="AM152" i="6"/>
  <c r="AO152" i="6"/>
  <c r="BI152" i="6" s="1"/>
  <c r="BE152" i="6"/>
  <c r="BJ152" i="6"/>
  <c r="BK152" i="6"/>
  <c r="R153" i="6"/>
  <c r="U153" i="6"/>
  <c r="X153" i="6"/>
  <c r="AK153" i="6"/>
  <c r="BG153" i="6" s="1"/>
  <c r="AM153" i="6"/>
  <c r="AO153" i="6"/>
  <c r="BI153" i="6" s="1"/>
  <c r="BE153" i="6"/>
  <c r="BJ153" i="6"/>
  <c r="BK153" i="6"/>
  <c r="R154" i="6"/>
  <c r="U154" i="6"/>
  <c r="X154" i="6"/>
  <c r="AK154" i="6"/>
  <c r="BG154" i="6" s="1"/>
  <c r="AM154" i="6"/>
  <c r="BH154" i="6" s="1"/>
  <c r="AO154" i="6"/>
  <c r="BI154" i="6" s="1"/>
  <c r="BE154" i="6"/>
  <c r="BJ154" i="6"/>
  <c r="BK154" i="6"/>
  <c r="R155" i="6"/>
  <c r="U155" i="6"/>
  <c r="X155" i="6"/>
  <c r="AK155" i="6"/>
  <c r="BG155" i="6" s="1"/>
  <c r="AM155" i="6"/>
  <c r="AO155" i="6"/>
  <c r="BI155" i="6" s="1"/>
  <c r="BE155" i="6"/>
  <c r="BJ155" i="6"/>
  <c r="BK155" i="6"/>
  <c r="R156" i="6"/>
  <c r="U156" i="6"/>
  <c r="X156" i="6"/>
  <c r="AK156" i="6"/>
  <c r="BG156" i="6" s="1"/>
  <c r="AM156" i="6"/>
  <c r="AO156" i="6"/>
  <c r="BI156" i="6" s="1"/>
  <c r="BE156" i="6"/>
  <c r="BJ156" i="6"/>
  <c r="BK156" i="6"/>
  <c r="R157" i="6"/>
  <c r="U157" i="6"/>
  <c r="X157" i="6"/>
  <c r="AK157" i="6"/>
  <c r="BG157" i="6" s="1"/>
  <c r="AM157" i="6"/>
  <c r="AO157" i="6"/>
  <c r="BI157" i="6" s="1"/>
  <c r="BE157" i="6"/>
  <c r="BJ157" i="6"/>
  <c r="BK157" i="6"/>
  <c r="R158" i="6"/>
  <c r="U158" i="6"/>
  <c r="X158" i="6"/>
  <c r="AK158" i="6"/>
  <c r="BG158" i="6" s="1"/>
  <c r="AM158" i="6"/>
  <c r="BH158" i="6" s="1"/>
  <c r="AO158" i="6"/>
  <c r="BI158" i="6" s="1"/>
  <c r="BE158" i="6"/>
  <c r="BJ158" i="6"/>
  <c r="BK158" i="6"/>
  <c r="R159" i="6"/>
  <c r="U159" i="6"/>
  <c r="X159" i="6"/>
  <c r="AK159" i="6"/>
  <c r="BG159" i="6" s="1"/>
  <c r="AM159" i="6"/>
  <c r="AO159" i="6"/>
  <c r="BI159" i="6" s="1"/>
  <c r="BE159" i="6"/>
  <c r="BJ159" i="6"/>
  <c r="BK159" i="6"/>
  <c r="R160" i="6"/>
  <c r="U160" i="6"/>
  <c r="X160" i="6"/>
  <c r="AK160" i="6"/>
  <c r="BG160" i="6" s="1"/>
  <c r="AM160" i="6"/>
  <c r="AO160" i="6"/>
  <c r="BI160" i="6" s="1"/>
  <c r="BE160" i="6"/>
  <c r="BJ160" i="6"/>
  <c r="BK160" i="6"/>
  <c r="R161" i="6"/>
  <c r="U161" i="6"/>
  <c r="X161" i="6"/>
  <c r="AK161" i="6"/>
  <c r="BG161" i="6" s="1"/>
  <c r="AM161" i="6"/>
  <c r="AO161" i="6"/>
  <c r="BI161" i="6" s="1"/>
  <c r="BE161" i="6"/>
  <c r="BJ161" i="6"/>
  <c r="BK161" i="6"/>
  <c r="R162" i="6"/>
  <c r="U162" i="6"/>
  <c r="X162" i="6"/>
  <c r="AK162" i="6"/>
  <c r="BG162" i="6" s="1"/>
  <c r="AM162" i="6"/>
  <c r="AO162" i="6"/>
  <c r="BI162" i="6" s="1"/>
  <c r="BE162" i="6"/>
  <c r="BJ162" i="6"/>
  <c r="BK162" i="6"/>
  <c r="R163" i="6"/>
  <c r="U163" i="6"/>
  <c r="X163" i="6"/>
  <c r="AK163" i="6"/>
  <c r="BG163" i="6" s="1"/>
  <c r="AM163" i="6"/>
  <c r="BH163" i="6" s="1"/>
  <c r="AO163" i="6"/>
  <c r="BI163" i="6" s="1"/>
  <c r="BE163" i="6"/>
  <c r="BJ163" i="6"/>
  <c r="BK163" i="6"/>
  <c r="R164" i="6"/>
  <c r="U164" i="6"/>
  <c r="X164" i="6"/>
  <c r="AK164" i="6"/>
  <c r="BG164" i="6" s="1"/>
  <c r="AM164" i="6"/>
  <c r="BH164" i="6" s="1"/>
  <c r="AO164" i="6"/>
  <c r="BI164" i="6" s="1"/>
  <c r="BE164" i="6"/>
  <c r="BJ164" i="6"/>
  <c r="BK164" i="6"/>
  <c r="R165" i="6"/>
  <c r="U165" i="6"/>
  <c r="X165" i="6"/>
  <c r="AK165" i="6"/>
  <c r="BG165" i="6" s="1"/>
  <c r="AM165" i="6"/>
  <c r="BH165" i="6" s="1"/>
  <c r="AO165" i="6"/>
  <c r="BI165" i="6" s="1"/>
  <c r="BE165" i="6"/>
  <c r="BJ165" i="6"/>
  <c r="BK165" i="6"/>
  <c r="R166" i="6"/>
  <c r="U166" i="6"/>
  <c r="X166" i="6"/>
  <c r="AK166" i="6"/>
  <c r="BG166" i="6" s="1"/>
  <c r="AM166" i="6"/>
  <c r="AO166" i="6"/>
  <c r="BI166" i="6" s="1"/>
  <c r="BE166" i="6"/>
  <c r="BJ166" i="6"/>
  <c r="BK166" i="6"/>
  <c r="R167" i="6"/>
  <c r="U167" i="6"/>
  <c r="X167" i="6"/>
  <c r="AK167" i="6"/>
  <c r="BG167" i="6" s="1"/>
  <c r="AM167" i="6"/>
  <c r="BH167" i="6" s="1"/>
  <c r="AO167" i="6"/>
  <c r="BI167" i="6" s="1"/>
  <c r="BE167" i="6"/>
  <c r="BJ167" i="6"/>
  <c r="BK167" i="6"/>
  <c r="R168" i="6"/>
  <c r="U168" i="6"/>
  <c r="X168" i="6"/>
  <c r="AK168" i="6"/>
  <c r="BG168" i="6" s="1"/>
  <c r="AM168" i="6"/>
  <c r="AO168" i="6"/>
  <c r="BI168" i="6" s="1"/>
  <c r="BE168" i="6"/>
  <c r="BJ168" i="6"/>
  <c r="BK168" i="6"/>
  <c r="R169" i="6"/>
  <c r="U169" i="6"/>
  <c r="X169" i="6"/>
  <c r="AK169" i="6"/>
  <c r="BG169" i="6" s="1"/>
  <c r="AM169" i="6"/>
  <c r="BH169" i="6" s="1"/>
  <c r="AO169" i="6"/>
  <c r="BI169" i="6" s="1"/>
  <c r="BE169" i="6"/>
  <c r="BJ169" i="6"/>
  <c r="BK169" i="6"/>
  <c r="R170" i="6"/>
  <c r="U170" i="6"/>
  <c r="X170" i="6"/>
  <c r="AK170" i="6"/>
  <c r="BG170" i="6" s="1"/>
  <c r="AM170" i="6"/>
  <c r="BH170" i="6" s="1"/>
  <c r="AO170" i="6"/>
  <c r="BI170" i="6" s="1"/>
  <c r="BE170" i="6"/>
  <c r="BJ170" i="6"/>
  <c r="BK170" i="6"/>
  <c r="R171" i="6"/>
  <c r="U171" i="6"/>
  <c r="X171" i="6"/>
  <c r="AK171" i="6"/>
  <c r="BG171" i="6" s="1"/>
  <c r="AM171" i="6"/>
  <c r="AO171" i="6"/>
  <c r="BI171" i="6" s="1"/>
  <c r="BE171" i="6"/>
  <c r="BJ171" i="6"/>
  <c r="BK171" i="6"/>
  <c r="R172" i="6"/>
  <c r="U172" i="6"/>
  <c r="X172" i="6"/>
  <c r="AK172" i="6"/>
  <c r="BG172" i="6" s="1"/>
  <c r="AM172" i="6"/>
  <c r="AO172" i="6"/>
  <c r="BI172" i="6" s="1"/>
  <c r="BE172" i="6"/>
  <c r="BJ172" i="6"/>
  <c r="BK172" i="6"/>
  <c r="R173" i="6"/>
  <c r="U173" i="6"/>
  <c r="X173" i="6"/>
  <c r="AK173" i="6"/>
  <c r="BG173" i="6" s="1"/>
  <c r="AM173" i="6"/>
  <c r="BH173" i="6" s="1"/>
  <c r="AO173" i="6"/>
  <c r="BI173" i="6" s="1"/>
  <c r="BE173" i="6"/>
  <c r="BJ173" i="6"/>
  <c r="BK173" i="6"/>
  <c r="R174" i="6"/>
  <c r="U174" i="6"/>
  <c r="X174" i="6"/>
  <c r="AK174" i="6"/>
  <c r="BG174" i="6" s="1"/>
  <c r="AM174" i="6"/>
  <c r="BH174" i="6" s="1"/>
  <c r="AO174" i="6"/>
  <c r="BI174" i="6" s="1"/>
  <c r="BE174" i="6"/>
  <c r="BJ174" i="6"/>
  <c r="BK174" i="6"/>
  <c r="R175" i="6"/>
  <c r="U175" i="6"/>
  <c r="X175" i="6"/>
  <c r="AK175" i="6"/>
  <c r="BG175" i="6" s="1"/>
  <c r="AM175" i="6"/>
  <c r="AO175" i="6"/>
  <c r="BI175" i="6" s="1"/>
  <c r="BE175" i="6"/>
  <c r="BJ175" i="6"/>
  <c r="BK175" i="6"/>
  <c r="R176" i="6"/>
  <c r="U176" i="6"/>
  <c r="X176" i="6"/>
  <c r="AK176" i="6"/>
  <c r="BG176" i="6" s="1"/>
  <c r="AM176" i="6"/>
  <c r="AO176" i="6"/>
  <c r="BI176" i="6" s="1"/>
  <c r="BE176" i="6"/>
  <c r="BJ176" i="6"/>
  <c r="BK176" i="6"/>
  <c r="R177" i="6"/>
  <c r="U177" i="6"/>
  <c r="X177" i="6"/>
  <c r="AK177" i="6"/>
  <c r="BG177" i="6" s="1"/>
  <c r="AM177" i="6"/>
  <c r="BH177" i="6" s="1"/>
  <c r="AO177" i="6"/>
  <c r="BI177" i="6" s="1"/>
  <c r="BE177" i="6"/>
  <c r="BJ177" i="6"/>
  <c r="BK177" i="6"/>
  <c r="R178" i="6"/>
  <c r="U178" i="6"/>
  <c r="X178" i="6"/>
  <c r="AK178" i="6"/>
  <c r="BG178" i="6" s="1"/>
  <c r="AM178" i="6"/>
  <c r="AO178" i="6"/>
  <c r="BI178" i="6" s="1"/>
  <c r="BE178" i="6"/>
  <c r="BJ178" i="6"/>
  <c r="BK178" i="6"/>
  <c r="R179" i="6"/>
  <c r="U179" i="6"/>
  <c r="X179" i="6"/>
  <c r="AK179" i="6"/>
  <c r="BG179" i="6" s="1"/>
  <c r="AM179" i="6"/>
  <c r="BH179" i="6" s="1"/>
  <c r="AO179" i="6"/>
  <c r="BI179" i="6" s="1"/>
  <c r="BE179" i="6"/>
  <c r="BJ179" i="6"/>
  <c r="BK179" i="6"/>
  <c r="R180" i="6"/>
  <c r="U180" i="6"/>
  <c r="X180" i="6"/>
  <c r="AK180" i="6"/>
  <c r="BG180" i="6" s="1"/>
  <c r="AM180" i="6"/>
  <c r="BH180" i="6" s="1"/>
  <c r="AO180" i="6"/>
  <c r="BI180" i="6" s="1"/>
  <c r="BE180" i="6"/>
  <c r="BJ180" i="6"/>
  <c r="BK180" i="6"/>
  <c r="R181" i="6"/>
  <c r="U181" i="6"/>
  <c r="X181" i="6"/>
  <c r="AK181" i="6"/>
  <c r="BG181" i="6" s="1"/>
  <c r="AM181" i="6"/>
  <c r="BH181" i="6" s="1"/>
  <c r="AO181" i="6"/>
  <c r="BI181" i="6" s="1"/>
  <c r="BE181" i="6"/>
  <c r="BJ181" i="6"/>
  <c r="BK181" i="6"/>
  <c r="R182" i="6"/>
  <c r="U182" i="6"/>
  <c r="X182" i="6"/>
  <c r="AK182" i="6"/>
  <c r="BG182" i="6" s="1"/>
  <c r="AM182" i="6"/>
  <c r="AO182" i="6"/>
  <c r="BI182" i="6" s="1"/>
  <c r="BE182" i="6"/>
  <c r="BJ182" i="6"/>
  <c r="BK182" i="6"/>
  <c r="R183" i="6"/>
  <c r="U183" i="6"/>
  <c r="X183" i="6"/>
  <c r="AK183" i="6"/>
  <c r="BG183" i="6" s="1"/>
  <c r="AM183" i="6"/>
  <c r="BH183" i="6" s="1"/>
  <c r="AO183" i="6"/>
  <c r="BI183" i="6" s="1"/>
  <c r="BE183" i="6"/>
  <c r="BJ183" i="6"/>
  <c r="BK183" i="6"/>
  <c r="R184" i="6"/>
  <c r="U184" i="6"/>
  <c r="X184" i="6"/>
  <c r="AK184" i="6"/>
  <c r="BG184" i="6" s="1"/>
  <c r="AM184" i="6"/>
  <c r="BH184" i="6" s="1"/>
  <c r="AO184" i="6"/>
  <c r="BI184" i="6" s="1"/>
  <c r="BE184" i="6"/>
  <c r="BJ184" i="6"/>
  <c r="BK184" i="6"/>
  <c r="R185" i="6"/>
  <c r="U185" i="6"/>
  <c r="X185" i="6"/>
  <c r="AK185" i="6"/>
  <c r="BG185" i="6" s="1"/>
  <c r="AM185" i="6"/>
  <c r="BH185" i="6" s="1"/>
  <c r="AO185" i="6"/>
  <c r="BI185" i="6" s="1"/>
  <c r="BE185" i="6"/>
  <c r="BJ185" i="6"/>
  <c r="BK185" i="6"/>
  <c r="R186" i="6"/>
  <c r="U186" i="6"/>
  <c r="X186" i="6"/>
  <c r="AK186" i="6"/>
  <c r="BG186" i="6" s="1"/>
  <c r="AM186" i="6"/>
  <c r="BH186" i="6" s="1"/>
  <c r="AO186" i="6"/>
  <c r="BI186" i="6" s="1"/>
  <c r="BE186" i="6"/>
  <c r="BJ186" i="6"/>
  <c r="BK186" i="6"/>
  <c r="R187" i="6"/>
  <c r="U187" i="6"/>
  <c r="X187" i="6"/>
  <c r="AK187" i="6"/>
  <c r="BG187" i="6" s="1"/>
  <c r="AM187" i="6"/>
  <c r="BH187" i="6" s="1"/>
  <c r="AO187" i="6"/>
  <c r="BI187" i="6" s="1"/>
  <c r="BE187" i="6"/>
  <c r="BJ187" i="6"/>
  <c r="BK187" i="6"/>
  <c r="R188" i="6"/>
  <c r="U188" i="6"/>
  <c r="X188" i="6"/>
  <c r="AK188" i="6"/>
  <c r="BG188" i="6" s="1"/>
  <c r="AM188" i="6"/>
  <c r="AO188" i="6"/>
  <c r="BI188" i="6" s="1"/>
  <c r="BE188" i="6"/>
  <c r="BJ188" i="6"/>
  <c r="BK188" i="6"/>
  <c r="R189" i="6"/>
  <c r="U189" i="6"/>
  <c r="X189" i="6"/>
  <c r="AK189" i="6"/>
  <c r="BG189" i="6" s="1"/>
  <c r="AM189" i="6"/>
  <c r="AO189" i="6"/>
  <c r="BI189" i="6" s="1"/>
  <c r="BE189" i="6"/>
  <c r="BJ189" i="6"/>
  <c r="BK189" i="6"/>
  <c r="R190" i="6"/>
  <c r="U190" i="6"/>
  <c r="X190" i="6"/>
  <c r="AK190" i="6"/>
  <c r="BG190" i="6" s="1"/>
  <c r="AM190" i="6"/>
  <c r="BH190" i="6" s="1"/>
  <c r="AO190" i="6"/>
  <c r="BI190" i="6" s="1"/>
  <c r="BE190" i="6"/>
  <c r="BJ190" i="6"/>
  <c r="BK190" i="6"/>
  <c r="R191" i="6"/>
  <c r="U191" i="6"/>
  <c r="X191" i="6"/>
  <c r="AK191" i="6"/>
  <c r="BG191" i="6" s="1"/>
  <c r="AM191" i="6"/>
  <c r="CA191" i="6" s="1"/>
  <c r="AO191" i="6"/>
  <c r="BI191" i="6" s="1"/>
  <c r="BE191" i="6"/>
  <c r="BJ191" i="6"/>
  <c r="BK191" i="6"/>
  <c r="R192" i="6"/>
  <c r="U192" i="6"/>
  <c r="X192" i="6"/>
  <c r="AK192" i="6"/>
  <c r="BG192" i="6" s="1"/>
  <c r="AM192" i="6"/>
  <c r="CA192" i="6" s="1"/>
  <c r="AO192" i="6"/>
  <c r="BI192" i="6" s="1"/>
  <c r="BE192" i="6"/>
  <c r="BJ192" i="6"/>
  <c r="BK192" i="6"/>
  <c r="R193" i="6"/>
  <c r="U193" i="6"/>
  <c r="X193" i="6"/>
  <c r="AK193" i="6"/>
  <c r="BG193" i="6" s="1"/>
  <c r="AM193" i="6"/>
  <c r="CA193" i="6" s="1"/>
  <c r="AO193" i="6"/>
  <c r="BI193" i="6" s="1"/>
  <c r="BE193" i="6"/>
  <c r="BJ193" i="6"/>
  <c r="BK193" i="6"/>
  <c r="R194" i="6"/>
  <c r="U194" i="6"/>
  <c r="X194" i="6"/>
  <c r="AK194" i="6"/>
  <c r="BG194" i="6" s="1"/>
  <c r="AM194" i="6"/>
  <c r="AO194" i="6"/>
  <c r="BI194" i="6" s="1"/>
  <c r="BE194" i="6"/>
  <c r="BJ194" i="6"/>
  <c r="BK194" i="6"/>
  <c r="R195" i="6"/>
  <c r="U195" i="6"/>
  <c r="X195" i="6"/>
  <c r="AK195" i="6"/>
  <c r="BG195" i="6" s="1"/>
  <c r="AM195" i="6"/>
  <c r="CA195" i="6" s="1"/>
  <c r="AO195" i="6"/>
  <c r="BI195" i="6" s="1"/>
  <c r="BE195" i="6"/>
  <c r="BJ195" i="6"/>
  <c r="BK195" i="6"/>
  <c r="R196" i="6"/>
  <c r="U196" i="6"/>
  <c r="X196" i="6"/>
  <c r="AK196" i="6"/>
  <c r="BG196" i="6" s="1"/>
  <c r="AM196" i="6"/>
  <c r="AO196" i="6"/>
  <c r="BI196" i="6" s="1"/>
  <c r="BE196" i="6"/>
  <c r="BJ196" i="6"/>
  <c r="BK196" i="6"/>
  <c r="R197" i="6"/>
  <c r="U197" i="6"/>
  <c r="X197" i="6"/>
  <c r="AK197" i="6"/>
  <c r="BG197" i="6" s="1"/>
  <c r="AM197" i="6"/>
  <c r="CA197" i="6" s="1"/>
  <c r="AO197" i="6"/>
  <c r="BI197" i="6" s="1"/>
  <c r="BE197" i="6"/>
  <c r="BJ197" i="6"/>
  <c r="BK197" i="6"/>
  <c r="R198" i="6"/>
  <c r="U198" i="6"/>
  <c r="X198" i="6"/>
  <c r="AK198" i="6"/>
  <c r="BG198" i="6" s="1"/>
  <c r="AM198" i="6"/>
  <c r="CA198" i="6" s="1"/>
  <c r="AO198" i="6"/>
  <c r="BI198" i="6" s="1"/>
  <c r="BE198" i="6"/>
  <c r="BJ198" i="6"/>
  <c r="BK198" i="6"/>
  <c r="R199" i="6"/>
  <c r="U199" i="6"/>
  <c r="X199" i="6"/>
  <c r="AK199" i="6"/>
  <c r="BG199" i="6" s="1"/>
  <c r="AM199" i="6"/>
  <c r="CA199" i="6" s="1"/>
  <c r="AO199" i="6"/>
  <c r="BI199" i="6" s="1"/>
  <c r="BE199" i="6"/>
  <c r="BJ199" i="6"/>
  <c r="BK199" i="6"/>
  <c r="R200" i="6"/>
  <c r="U200" i="6"/>
  <c r="X200" i="6"/>
  <c r="AK200" i="6"/>
  <c r="BG200" i="6" s="1"/>
  <c r="AM200" i="6"/>
  <c r="CA200" i="6" s="1"/>
  <c r="AO200" i="6"/>
  <c r="BI200" i="6" s="1"/>
  <c r="BE200" i="6"/>
  <c r="BJ200" i="6"/>
  <c r="BK200" i="6"/>
  <c r="R201" i="6"/>
  <c r="U201" i="6"/>
  <c r="X201" i="6"/>
  <c r="AK201" i="6"/>
  <c r="BG201" i="6" s="1"/>
  <c r="AM201" i="6"/>
  <c r="CA201" i="6" s="1"/>
  <c r="AO201" i="6"/>
  <c r="BI201" i="6" s="1"/>
  <c r="BE201" i="6"/>
  <c r="BJ201" i="6"/>
  <c r="BK201" i="6"/>
  <c r="R202" i="6"/>
  <c r="U202" i="6"/>
  <c r="X202" i="6"/>
  <c r="AK202" i="6"/>
  <c r="BG202" i="6" s="1"/>
  <c r="AM202" i="6"/>
  <c r="CA202" i="6" s="1"/>
  <c r="AO202" i="6"/>
  <c r="BI202" i="6" s="1"/>
  <c r="BE202" i="6"/>
  <c r="BJ202" i="6"/>
  <c r="BK202" i="6"/>
  <c r="R203" i="6"/>
  <c r="U203" i="6"/>
  <c r="X203" i="6"/>
  <c r="AK203" i="6"/>
  <c r="BG203" i="6" s="1"/>
  <c r="AM203" i="6"/>
  <c r="CA203" i="6" s="1"/>
  <c r="AO203" i="6"/>
  <c r="BI203" i="6" s="1"/>
  <c r="BE203" i="6"/>
  <c r="BJ203" i="6"/>
  <c r="BK203" i="6"/>
  <c r="R204" i="6"/>
  <c r="U204" i="6"/>
  <c r="X204" i="6"/>
  <c r="AK204" i="6"/>
  <c r="BG204" i="6" s="1"/>
  <c r="AM204" i="6"/>
  <c r="AO204" i="6"/>
  <c r="BI204" i="6" s="1"/>
  <c r="BE204" i="6"/>
  <c r="BJ204" i="6"/>
  <c r="BK204" i="6"/>
  <c r="R205" i="6"/>
  <c r="U205" i="6"/>
  <c r="X205" i="6"/>
  <c r="AK205" i="6"/>
  <c r="BG205" i="6" s="1"/>
  <c r="AM205" i="6"/>
  <c r="CA205" i="6" s="1"/>
  <c r="AO205" i="6"/>
  <c r="BI205" i="6" s="1"/>
  <c r="BE205" i="6"/>
  <c r="BJ205" i="6"/>
  <c r="BK205" i="6"/>
  <c r="R206" i="6"/>
  <c r="U206" i="6"/>
  <c r="X206" i="6"/>
  <c r="AK206" i="6"/>
  <c r="BG206" i="6" s="1"/>
  <c r="AM206" i="6"/>
  <c r="CA206" i="6" s="1"/>
  <c r="AO206" i="6"/>
  <c r="BI206" i="6" s="1"/>
  <c r="BE206" i="6"/>
  <c r="BJ206" i="6"/>
  <c r="BK206" i="6"/>
  <c r="R207" i="6"/>
  <c r="U207" i="6"/>
  <c r="X207" i="6"/>
  <c r="AK207" i="6"/>
  <c r="BG207" i="6" s="1"/>
  <c r="AM207" i="6"/>
  <c r="CA207" i="6" s="1"/>
  <c r="AO207" i="6"/>
  <c r="BI207" i="6" s="1"/>
  <c r="BE207" i="6"/>
  <c r="BJ207" i="6"/>
  <c r="BK207" i="6"/>
  <c r="R208" i="6"/>
  <c r="U208" i="6"/>
  <c r="X208" i="6"/>
  <c r="AK208" i="6"/>
  <c r="BG208" i="6" s="1"/>
  <c r="AM208" i="6"/>
  <c r="CA208" i="6" s="1"/>
  <c r="AO208" i="6"/>
  <c r="BI208" i="6" s="1"/>
  <c r="BE208" i="6"/>
  <c r="BJ208" i="6"/>
  <c r="BK208" i="6"/>
  <c r="R209" i="6"/>
  <c r="U209" i="6"/>
  <c r="X209" i="6"/>
  <c r="AK209" i="6"/>
  <c r="BG209" i="6" s="1"/>
  <c r="AM209" i="6"/>
  <c r="CA209" i="6" s="1"/>
  <c r="AO209" i="6"/>
  <c r="BI209" i="6" s="1"/>
  <c r="BE209" i="6"/>
  <c r="BJ209" i="6"/>
  <c r="BK209" i="6"/>
  <c r="R210" i="6"/>
  <c r="U210" i="6"/>
  <c r="X210" i="6"/>
  <c r="AK210" i="6"/>
  <c r="BG210" i="6" s="1"/>
  <c r="AM210" i="6"/>
  <c r="AO210" i="6"/>
  <c r="BI210" i="6" s="1"/>
  <c r="BE210" i="6"/>
  <c r="BJ210" i="6"/>
  <c r="BK210" i="6"/>
  <c r="R211" i="6"/>
  <c r="U211" i="6"/>
  <c r="X211" i="6"/>
  <c r="AK211" i="6"/>
  <c r="BG211" i="6" s="1"/>
  <c r="AM211" i="6"/>
  <c r="CA211" i="6" s="1"/>
  <c r="AO211" i="6"/>
  <c r="BI211" i="6" s="1"/>
  <c r="BE211" i="6"/>
  <c r="BJ211" i="6"/>
  <c r="BK211" i="6"/>
  <c r="R212" i="6"/>
  <c r="U212" i="6"/>
  <c r="X212" i="6"/>
  <c r="AK212" i="6"/>
  <c r="BG212" i="6" s="1"/>
  <c r="AM212" i="6"/>
  <c r="AO212" i="6"/>
  <c r="BI212" i="6" s="1"/>
  <c r="BE212" i="6"/>
  <c r="BJ212" i="6"/>
  <c r="BK212" i="6"/>
  <c r="R213" i="6"/>
  <c r="U213" i="6"/>
  <c r="X213" i="6"/>
  <c r="AK213" i="6"/>
  <c r="BG213" i="6" s="1"/>
  <c r="AM213" i="6"/>
  <c r="CA213" i="6" s="1"/>
  <c r="AO213" i="6"/>
  <c r="BI213" i="6" s="1"/>
  <c r="BE213" i="6"/>
  <c r="BJ213" i="6"/>
  <c r="BK213" i="6"/>
  <c r="R214" i="6"/>
  <c r="U214" i="6"/>
  <c r="X214" i="6"/>
  <c r="AK214" i="6"/>
  <c r="BG214" i="6" s="1"/>
  <c r="AM214" i="6"/>
  <c r="CA214" i="6" s="1"/>
  <c r="AO214" i="6"/>
  <c r="BI214" i="6" s="1"/>
  <c r="BE214" i="6"/>
  <c r="BJ214" i="6"/>
  <c r="BK214" i="6"/>
  <c r="R215" i="6"/>
  <c r="U215" i="6"/>
  <c r="X215" i="6"/>
  <c r="AK215" i="6"/>
  <c r="BG215" i="6" s="1"/>
  <c r="AM215" i="6"/>
  <c r="CA215" i="6" s="1"/>
  <c r="AO215" i="6"/>
  <c r="BI215" i="6" s="1"/>
  <c r="BE215" i="6"/>
  <c r="BJ215" i="6"/>
  <c r="BK215" i="6"/>
  <c r="R216" i="6"/>
  <c r="U216" i="6"/>
  <c r="X216" i="6"/>
  <c r="AK216" i="6"/>
  <c r="BG216" i="6" s="1"/>
  <c r="AM216" i="6"/>
  <c r="AO216" i="6"/>
  <c r="BI216" i="6" s="1"/>
  <c r="BE216" i="6"/>
  <c r="BJ216" i="6"/>
  <c r="BK216" i="6"/>
  <c r="R217" i="6"/>
  <c r="U217" i="6"/>
  <c r="X217" i="6"/>
  <c r="AK217" i="6"/>
  <c r="BG217" i="6" s="1"/>
  <c r="AM217" i="6"/>
  <c r="CA217" i="6" s="1"/>
  <c r="AO217" i="6"/>
  <c r="BI217" i="6" s="1"/>
  <c r="BE217" i="6"/>
  <c r="BJ217" i="6"/>
  <c r="BK217" i="6"/>
  <c r="R218" i="6"/>
  <c r="U218" i="6"/>
  <c r="X218" i="6"/>
  <c r="AK218" i="6"/>
  <c r="BG218" i="6" s="1"/>
  <c r="AM218" i="6"/>
  <c r="CA218" i="6" s="1"/>
  <c r="AO218" i="6"/>
  <c r="BI218" i="6" s="1"/>
  <c r="BE218" i="6"/>
  <c r="BJ218" i="6"/>
  <c r="BK218" i="6"/>
  <c r="R219" i="6"/>
  <c r="U219" i="6"/>
  <c r="X219" i="6"/>
  <c r="AK219" i="6"/>
  <c r="BG219" i="6" s="1"/>
  <c r="AM219" i="6"/>
  <c r="CA219" i="6" s="1"/>
  <c r="AO219" i="6"/>
  <c r="BI219" i="6" s="1"/>
  <c r="BE219" i="6"/>
  <c r="BJ219" i="6"/>
  <c r="BK219" i="6"/>
  <c r="R220" i="6"/>
  <c r="U220" i="6"/>
  <c r="X220" i="6"/>
  <c r="AK220" i="6"/>
  <c r="BG220" i="6" s="1"/>
  <c r="AM220" i="6"/>
  <c r="AO220" i="6"/>
  <c r="BI220" i="6" s="1"/>
  <c r="BE220" i="6"/>
  <c r="BJ220" i="6"/>
  <c r="BK220" i="6"/>
  <c r="R221" i="6"/>
  <c r="U221" i="6"/>
  <c r="X221" i="6"/>
  <c r="AK221" i="6"/>
  <c r="BG221" i="6" s="1"/>
  <c r="AM221" i="6"/>
  <c r="CA221" i="6" s="1"/>
  <c r="AO221" i="6"/>
  <c r="BI221" i="6" s="1"/>
  <c r="BE221" i="6"/>
  <c r="BJ221" i="6"/>
  <c r="BK221" i="6"/>
  <c r="R222" i="6"/>
  <c r="U222" i="6"/>
  <c r="X222" i="6"/>
  <c r="AK222" i="6"/>
  <c r="BG222" i="6" s="1"/>
  <c r="AM222" i="6"/>
  <c r="AO222" i="6"/>
  <c r="BI222" i="6" s="1"/>
  <c r="BE222" i="6"/>
  <c r="BJ222" i="6"/>
  <c r="BK222" i="6"/>
  <c r="R223" i="6"/>
  <c r="U223" i="6"/>
  <c r="X223" i="6"/>
  <c r="AK223" i="6"/>
  <c r="BG223" i="6" s="1"/>
  <c r="AM223" i="6"/>
  <c r="CA223" i="6" s="1"/>
  <c r="AO223" i="6"/>
  <c r="BI223" i="6" s="1"/>
  <c r="BE223" i="6"/>
  <c r="BJ223" i="6"/>
  <c r="BK223" i="6"/>
  <c r="R224" i="6"/>
  <c r="U224" i="6"/>
  <c r="X224" i="6"/>
  <c r="AK224" i="6"/>
  <c r="BG224" i="6" s="1"/>
  <c r="AM224" i="6"/>
  <c r="AO224" i="6"/>
  <c r="BI224" i="6" s="1"/>
  <c r="BE224" i="6"/>
  <c r="BJ224" i="6"/>
  <c r="BK224" i="6"/>
  <c r="R225" i="6"/>
  <c r="U225" i="6"/>
  <c r="X225" i="6"/>
  <c r="AK225" i="6"/>
  <c r="BG225" i="6" s="1"/>
  <c r="AM225" i="6"/>
  <c r="CA225" i="6" s="1"/>
  <c r="AO225" i="6"/>
  <c r="BI225" i="6" s="1"/>
  <c r="BE225" i="6"/>
  <c r="BJ225" i="6"/>
  <c r="BK225" i="6"/>
  <c r="R226" i="6"/>
  <c r="U226" i="6"/>
  <c r="X226" i="6"/>
  <c r="AK226" i="6"/>
  <c r="BG226" i="6" s="1"/>
  <c r="AM226" i="6"/>
  <c r="CA226" i="6" s="1"/>
  <c r="AO226" i="6"/>
  <c r="BI226" i="6" s="1"/>
  <c r="BE226" i="6"/>
  <c r="BJ226" i="6"/>
  <c r="BK226" i="6"/>
  <c r="R227" i="6"/>
  <c r="U227" i="6"/>
  <c r="X227" i="6"/>
  <c r="AK227" i="6"/>
  <c r="BG227" i="6" s="1"/>
  <c r="AM227" i="6"/>
  <c r="CA227" i="6" s="1"/>
  <c r="AO227" i="6"/>
  <c r="BI227" i="6" s="1"/>
  <c r="BE227" i="6"/>
  <c r="BJ227" i="6"/>
  <c r="BK227" i="6"/>
  <c r="R228" i="6"/>
  <c r="U228" i="6"/>
  <c r="X228" i="6"/>
  <c r="AK228" i="6"/>
  <c r="BG228" i="6" s="1"/>
  <c r="AM228" i="6"/>
  <c r="AO228" i="6"/>
  <c r="BI228" i="6" s="1"/>
  <c r="BE228" i="6"/>
  <c r="BJ228" i="6"/>
  <c r="BK228" i="6"/>
  <c r="R229" i="6"/>
  <c r="U229" i="6"/>
  <c r="X229" i="6"/>
  <c r="AK229" i="6"/>
  <c r="BG229" i="6" s="1"/>
  <c r="AM229" i="6"/>
  <c r="CA229" i="6" s="1"/>
  <c r="AO229" i="6"/>
  <c r="BI229" i="6" s="1"/>
  <c r="BE229" i="6"/>
  <c r="BJ229" i="6"/>
  <c r="BK229" i="6"/>
  <c r="R230" i="6"/>
  <c r="U230" i="6"/>
  <c r="X230" i="6"/>
  <c r="AK230" i="6"/>
  <c r="BG230" i="6" s="1"/>
  <c r="AM230" i="6"/>
  <c r="CA230" i="6" s="1"/>
  <c r="AO230" i="6"/>
  <c r="BI230" i="6" s="1"/>
  <c r="BE230" i="6"/>
  <c r="BJ230" i="6"/>
  <c r="BK230" i="6"/>
  <c r="R231" i="6"/>
  <c r="U231" i="6"/>
  <c r="X231" i="6"/>
  <c r="AK231" i="6"/>
  <c r="BG231" i="6" s="1"/>
  <c r="AM231" i="6"/>
  <c r="CA231" i="6" s="1"/>
  <c r="AO231" i="6"/>
  <c r="BI231" i="6" s="1"/>
  <c r="BE231" i="6"/>
  <c r="BJ231" i="6"/>
  <c r="BK231" i="6"/>
  <c r="R232" i="6"/>
  <c r="U232" i="6"/>
  <c r="X232" i="6"/>
  <c r="AK232" i="6"/>
  <c r="BG232" i="6" s="1"/>
  <c r="AM232" i="6"/>
  <c r="AO232" i="6"/>
  <c r="BI232" i="6" s="1"/>
  <c r="BE232" i="6"/>
  <c r="BJ232" i="6"/>
  <c r="BK232" i="6"/>
  <c r="R233" i="6"/>
  <c r="U233" i="6"/>
  <c r="X233" i="6"/>
  <c r="AK233" i="6"/>
  <c r="BG233" i="6" s="1"/>
  <c r="AM233" i="6"/>
  <c r="CA233" i="6" s="1"/>
  <c r="AO233" i="6"/>
  <c r="BI233" i="6" s="1"/>
  <c r="BE233" i="6"/>
  <c r="BJ233" i="6"/>
  <c r="BK233" i="6"/>
  <c r="R234" i="6"/>
  <c r="U234" i="6"/>
  <c r="X234" i="6"/>
  <c r="AK234" i="6"/>
  <c r="BG234" i="6" s="1"/>
  <c r="AM234" i="6"/>
  <c r="CA234" i="6" s="1"/>
  <c r="AO234" i="6"/>
  <c r="BI234" i="6" s="1"/>
  <c r="BE234" i="6"/>
  <c r="BJ234" i="6"/>
  <c r="BK234" i="6"/>
  <c r="R235" i="6"/>
  <c r="U235" i="6"/>
  <c r="X235" i="6"/>
  <c r="AK235" i="6"/>
  <c r="BG235" i="6" s="1"/>
  <c r="AM235" i="6"/>
  <c r="CA235" i="6" s="1"/>
  <c r="AO235" i="6"/>
  <c r="BI235" i="6" s="1"/>
  <c r="BE235" i="6"/>
  <c r="BJ235" i="6"/>
  <c r="BK235" i="6"/>
  <c r="R236" i="6"/>
  <c r="U236" i="6"/>
  <c r="X236" i="6"/>
  <c r="AK236" i="6"/>
  <c r="BG236" i="6" s="1"/>
  <c r="AM236" i="6"/>
  <c r="AO236" i="6"/>
  <c r="BI236" i="6" s="1"/>
  <c r="BE236" i="6"/>
  <c r="BJ236" i="6"/>
  <c r="BK236" i="6"/>
  <c r="R237" i="6"/>
  <c r="U237" i="6"/>
  <c r="X237" i="6"/>
  <c r="AK237" i="6"/>
  <c r="BG237" i="6" s="1"/>
  <c r="AM237" i="6"/>
  <c r="CA237" i="6" s="1"/>
  <c r="AO237" i="6"/>
  <c r="BI237" i="6" s="1"/>
  <c r="BE237" i="6"/>
  <c r="BJ237" i="6"/>
  <c r="BK237" i="6"/>
  <c r="R238" i="6"/>
  <c r="U238" i="6"/>
  <c r="X238" i="6"/>
  <c r="AK238" i="6"/>
  <c r="BG238" i="6" s="1"/>
  <c r="AM238" i="6"/>
  <c r="AO238" i="6"/>
  <c r="BI238" i="6" s="1"/>
  <c r="BE238" i="6"/>
  <c r="BJ238" i="6"/>
  <c r="BK238" i="6"/>
  <c r="R239" i="6"/>
  <c r="U239" i="6"/>
  <c r="X239" i="6"/>
  <c r="AK239" i="6"/>
  <c r="BG239" i="6" s="1"/>
  <c r="AM239" i="6"/>
  <c r="CA239" i="6" s="1"/>
  <c r="AO239" i="6"/>
  <c r="BI239" i="6" s="1"/>
  <c r="BE239" i="6"/>
  <c r="BJ239" i="6"/>
  <c r="BK239" i="6"/>
  <c r="R240" i="6"/>
  <c r="U240" i="6"/>
  <c r="X240" i="6"/>
  <c r="AK240" i="6"/>
  <c r="BG240" i="6" s="1"/>
  <c r="AM240" i="6"/>
  <c r="AO240" i="6"/>
  <c r="BI240" i="6" s="1"/>
  <c r="BE240" i="6"/>
  <c r="BJ240" i="6"/>
  <c r="BK240" i="6"/>
  <c r="R241" i="6"/>
  <c r="U241" i="6"/>
  <c r="X241" i="6"/>
  <c r="AK241" i="6"/>
  <c r="BG241" i="6" s="1"/>
  <c r="AM241" i="6"/>
  <c r="CA241" i="6" s="1"/>
  <c r="AO241" i="6"/>
  <c r="BI241" i="6" s="1"/>
  <c r="BE241" i="6"/>
  <c r="BJ241" i="6"/>
  <c r="BK241" i="6"/>
  <c r="R242" i="6"/>
  <c r="U242" i="6"/>
  <c r="X242" i="6"/>
  <c r="AK242" i="6"/>
  <c r="BG242" i="6" s="1"/>
  <c r="AM242" i="6"/>
  <c r="CA242" i="6" s="1"/>
  <c r="AO242" i="6"/>
  <c r="BI242" i="6" s="1"/>
  <c r="BE242" i="6"/>
  <c r="BJ242" i="6"/>
  <c r="BK242" i="6"/>
  <c r="R243" i="6"/>
  <c r="U243" i="6"/>
  <c r="X243" i="6"/>
  <c r="AK243" i="6"/>
  <c r="BG243" i="6" s="1"/>
  <c r="AM243" i="6"/>
  <c r="CA243" i="6" s="1"/>
  <c r="AO243" i="6"/>
  <c r="BI243" i="6" s="1"/>
  <c r="BE243" i="6"/>
  <c r="BJ243" i="6"/>
  <c r="BK243" i="6"/>
  <c r="R244" i="6"/>
  <c r="U244" i="6"/>
  <c r="X244" i="6"/>
  <c r="AK244" i="6"/>
  <c r="BG244" i="6" s="1"/>
  <c r="AM244" i="6"/>
  <c r="AO244" i="6"/>
  <c r="BI244" i="6" s="1"/>
  <c r="BE244" i="6"/>
  <c r="BJ244" i="6"/>
  <c r="BK244" i="6"/>
  <c r="R245" i="6"/>
  <c r="U245" i="6"/>
  <c r="X245" i="6"/>
  <c r="AK245" i="6"/>
  <c r="BG245" i="6" s="1"/>
  <c r="AM245" i="6"/>
  <c r="CA245" i="6" s="1"/>
  <c r="AO245" i="6"/>
  <c r="BI245" i="6" s="1"/>
  <c r="BE245" i="6"/>
  <c r="BJ245" i="6"/>
  <c r="BK245" i="6"/>
  <c r="R246" i="6"/>
  <c r="U246" i="6"/>
  <c r="X246" i="6"/>
  <c r="AK246" i="6"/>
  <c r="BG246" i="6" s="1"/>
  <c r="AM246" i="6"/>
  <c r="CA246" i="6" s="1"/>
  <c r="AO246" i="6"/>
  <c r="BI246" i="6" s="1"/>
  <c r="BE246" i="6"/>
  <c r="BJ246" i="6"/>
  <c r="BK246" i="6"/>
  <c r="R247" i="6"/>
  <c r="U247" i="6"/>
  <c r="X247" i="6"/>
  <c r="AK247" i="6"/>
  <c r="BG247" i="6" s="1"/>
  <c r="AM247" i="6"/>
  <c r="CA247" i="6" s="1"/>
  <c r="AO247" i="6"/>
  <c r="BI247" i="6" s="1"/>
  <c r="BE247" i="6"/>
  <c r="BJ247" i="6"/>
  <c r="BK247" i="6"/>
  <c r="R248" i="6"/>
  <c r="U248" i="6"/>
  <c r="X248" i="6"/>
  <c r="AK248" i="6"/>
  <c r="BG248" i="6" s="1"/>
  <c r="AM248" i="6"/>
  <c r="AO248" i="6"/>
  <c r="BI248" i="6" s="1"/>
  <c r="BE248" i="6"/>
  <c r="BJ248" i="6"/>
  <c r="BK248" i="6"/>
  <c r="R249" i="6"/>
  <c r="U249" i="6"/>
  <c r="X249" i="6"/>
  <c r="AK249" i="6"/>
  <c r="BG249" i="6" s="1"/>
  <c r="AM249" i="6"/>
  <c r="CA249" i="6" s="1"/>
  <c r="AO249" i="6"/>
  <c r="BI249" i="6" s="1"/>
  <c r="BE249" i="6"/>
  <c r="BJ249" i="6"/>
  <c r="BK249" i="6"/>
  <c r="R250" i="6"/>
  <c r="U250" i="6"/>
  <c r="X250" i="6"/>
  <c r="AK250" i="6"/>
  <c r="BG250" i="6" s="1"/>
  <c r="AM250" i="6"/>
  <c r="CA250" i="6" s="1"/>
  <c r="AO250" i="6"/>
  <c r="BI250" i="6" s="1"/>
  <c r="BE250" i="6"/>
  <c r="BJ250" i="6"/>
  <c r="BK250" i="6"/>
  <c r="R251" i="6"/>
  <c r="U251" i="6"/>
  <c r="X251" i="6"/>
  <c r="AK251" i="6"/>
  <c r="BG251" i="6" s="1"/>
  <c r="AM251" i="6"/>
  <c r="AO251" i="6"/>
  <c r="BI251" i="6" s="1"/>
  <c r="BE251" i="6"/>
  <c r="BJ251" i="6"/>
  <c r="BK251" i="6"/>
  <c r="R252" i="6"/>
  <c r="U252" i="6"/>
  <c r="X252" i="6"/>
  <c r="AK252" i="6"/>
  <c r="BG252" i="6" s="1"/>
  <c r="AM252" i="6"/>
  <c r="AO252" i="6"/>
  <c r="BI252" i="6" s="1"/>
  <c r="BE252" i="6"/>
  <c r="BJ252" i="6"/>
  <c r="BK252" i="6"/>
  <c r="R253" i="6"/>
  <c r="U253" i="6"/>
  <c r="X253" i="6"/>
  <c r="AK253" i="6"/>
  <c r="BG253" i="6" s="1"/>
  <c r="AM253" i="6"/>
  <c r="AO253" i="6"/>
  <c r="BI253" i="6" s="1"/>
  <c r="BE253" i="6"/>
  <c r="BJ253" i="6"/>
  <c r="BK253" i="6"/>
  <c r="R254" i="6"/>
  <c r="U254" i="6"/>
  <c r="X254" i="6"/>
  <c r="AK254" i="6"/>
  <c r="BG254" i="6" s="1"/>
  <c r="AM254" i="6"/>
  <c r="AO254" i="6"/>
  <c r="BI254" i="6" s="1"/>
  <c r="BE254" i="6"/>
  <c r="BJ254" i="6"/>
  <c r="BK254" i="6"/>
  <c r="R255" i="6"/>
  <c r="U255" i="6"/>
  <c r="X255" i="6"/>
  <c r="AK255" i="6"/>
  <c r="BG255" i="6" s="1"/>
  <c r="AM255" i="6"/>
  <c r="AO255" i="6"/>
  <c r="BI255" i="6" s="1"/>
  <c r="BE255" i="6"/>
  <c r="BJ255" i="6"/>
  <c r="BK255" i="6"/>
  <c r="R256" i="6"/>
  <c r="U256" i="6"/>
  <c r="X256" i="6"/>
  <c r="AK256" i="6"/>
  <c r="BG256" i="6" s="1"/>
  <c r="AM256" i="6"/>
  <c r="AO256" i="6"/>
  <c r="BI256" i="6" s="1"/>
  <c r="BE256" i="6"/>
  <c r="BJ256" i="6"/>
  <c r="BK256" i="6"/>
  <c r="R257" i="6"/>
  <c r="U257" i="6"/>
  <c r="X257" i="6"/>
  <c r="AK257" i="6"/>
  <c r="BG257" i="6" s="1"/>
  <c r="AM257" i="6"/>
  <c r="BH257" i="6" s="1"/>
  <c r="AO257" i="6"/>
  <c r="BI257" i="6" s="1"/>
  <c r="BE257" i="6"/>
  <c r="BJ257" i="6"/>
  <c r="BK257" i="6"/>
  <c r="R258" i="6"/>
  <c r="U258" i="6"/>
  <c r="X258" i="6"/>
  <c r="AK258" i="6"/>
  <c r="BG258" i="6" s="1"/>
  <c r="AM258" i="6"/>
  <c r="BH258" i="6" s="1"/>
  <c r="AO258" i="6"/>
  <c r="BI258" i="6" s="1"/>
  <c r="BE258" i="6"/>
  <c r="BJ258" i="6"/>
  <c r="BK258" i="6"/>
  <c r="R259" i="6"/>
  <c r="U259" i="6"/>
  <c r="X259" i="6"/>
  <c r="AK259" i="6"/>
  <c r="BG259" i="6" s="1"/>
  <c r="AM259" i="6"/>
  <c r="BH259" i="6" s="1"/>
  <c r="AO259" i="6"/>
  <c r="BI259" i="6" s="1"/>
  <c r="BE259" i="6"/>
  <c r="BJ259" i="6"/>
  <c r="BK259" i="6"/>
  <c r="R260" i="6"/>
  <c r="U260" i="6"/>
  <c r="X260" i="6"/>
  <c r="AK260" i="6"/>
  <c r="BG260" i="6" s="1"/>
  <c r="AM260" i="6"/>
  <c r="AO260" i="6"/>
  <c r="BI260" i="6" s="1"/>
  <c r="BE260" i="6"/>
  <c r="BJ260" i="6"/>
  <c r="BK260" i="6"/>
  <c r="R261" i="6"/>
  <c r="U261" i="6"/>
  <c r="X261" i="6"/>
  <c r="AK261" i="6"/>
  <c r="BG261" i="6" s="1"/>
  <c r="AM261" i="6"/>
  <c r="BH261" i="6" s="1"/>
  <c r="AO261" i="6"/>
  <c r="BI261" i="6" s="1"/>
  <c r="BE261" i="6"/>
  <c r="BJ261" i="6"/>
  <c r="BK261" i="6"/>
  <c r="R262" i="6"/>
  <c r="U262" i="6"/>
  <c r="X262" i="6"/>
  <c r="AK262" i="6"/>
  <c r="BG262" i="6" s="1"/>
  <c r="AM262" i="6"/>
  <c r="AO262" i="6"/>
  <c r="BI262" i="6" s="1"/>
  <c r="BE262" i="6"/>
  <c r="BJ262" i="6"/>
  <c r="BK262" i="6"/>
  <c r="R263" i="6"/>
  <c r="U263" i="6"/>
  <c r="X263" i="6"/>
  <c r="AK263" i="6"/>
  <c r="BG263" i="6" s="1"/>
  <c r="AM263" i="6"/>
  <c r="BH263" i="6" s="1"/>
  <c r="AO263" i="6"/>
  <c r="BI263" i="6" s="1"/>
  <c r="BE263" i="6"/>
  <c r="BJ263" i="6"/>
  <c r="BK263" i="6"/>
  <c r="R264" i="6"/>
  <c r="U264" i="6"/>
  <c r="X264" i="6"/>
  <c r="AK264" i="6"/>
  <c r="BG264" i="6" s="1"/>
  <c r="AM264" i="6"/>
  <c r="BH264" i="6" s="1"/>
  <c r="AO264" i="6"/>
  <c r="BI264" i="6" s="1"/>
  <c r="BE264" i="6"/>
  <c r="BJ264" i="6"/>
  <c r="BK264" i="6"/>
  <c r="R265" i="6"/>
  <c r="U265" i="6"/>
  <c r="X265" i="6"/>
  <c r="AK265" i="6"/>
  <c r="BG265" i="6" s="1"/>
  <c r="AM265" i="6"/>
  <c r="BH265" i="6" s="1"/>
  <c r="AO265" i="6"/>
  <c r="BI265" i="6" s="1"/>
  <c r="BE265" i="6"/>
  <c r="BJ265" i="6"/>
  <c r="BK265" i="6"/>
  <c r="R266" i="6"/>
  <c r="U266" i="6"/>
  <c r="X266" i="6"/>
  <c r="AK266" i="6"/>
  <c r="BG266" i="6" s="1"/>
  <c r="AM266" i="6"/>
  <c r="BH266" i="6" s="1"/>
  <c r="AO266" i="6"/>
  <c r="BI266" i="6" s="1"/>
  <c r="BE266" i="6"/>
  <c r="BJ266" i="6"/>
  <c r="BK266" i="6"/>
  <c r="R267" i="6"/>
  <c r="U267" i="6"/>
  <c r="X267" i="6"/>
  <c r="AK267" i="6"/>
  <c r="BG267" i="6" s="1"/>
  <c r="AM267" i="6"/>
  <c r="BH267" i="6" s="1"/>
  <c r="AO267" i="6"/>
  <c r="BI267" i="6" s="1"/>
  <c r="BE267" i="6"/>
  <c r="BJ267" i="6"/>
  <c r="BK267" i="6"/>
  <c r="R268" i="6"/>
  <c r="U268" i="6"/>
  <c r="X268" i="6"/>
  <c r="AK268" i="6"/>
  <c r="BG268" i="6" s="1"/>
  <c r="AM268" i="6"/>
  <c r="BH268" i="6" s="1"/>
  <c r="AO268" i="6"/>
  <c r="BI268" i="6" s="1"/>
  <c r="BE268" i="6"/>
  <c r="BJ268" i="6"/>
  <c r="BK268" i="6"/>
  <c r="R269" i="6"/>
  <c r="U269" i="6"/>
  <c r="X269" i="6"/>
  <c r="AK269" i="6"/>
  <c r="BG269" i="6" s="1"/>
  <c r="AM269" i="6"/>
  <c r="BH269" i="6" s="1"/>
  <c r="AO269" i="6"/>
  <c r="BI269" i="6" s="1"/>
  <c r="BE269" i="6"/>
  <c r="BJ269" i="6"/>
  <c r="BK269" i="6"/>
  <c r="R270" i="6"/>
  <c r="U270" i="6"/>
  <c r="X270" i="6"/>
  <c r="AK270" i="6"/>
  <c r="BG270" i="6" s="1"/>
  <c r="AM270" i="6"/>
  <c r="BH270" i="6" s="1"/>
  <c r="AO270" i="6"/>
  <c r="BI270" i="6" s="1"/>
  <c r="BE270" i="6"/>
  <c r="BJ270" i="6"/>
  <c r="BK270" i="6"/>
  <c r="R271" i="6"/>
  <c r="U271" i="6"/>
  <c r="X271" i="6"/>
  <c r="AK271" i="6"/>
  <c r="BG271" i="6" s="1"/>
  <c r="AM271" i="6"/>
  <c r="BH271" i="6" s="1"/>
  <c r="AO271" i="6"/>
  <c r="BI271" i="6" s="1"/>
  <c r="BE271" i="6"/>
  <c r="BJ271" i="6"/>
  <c r="BK271" i="6"/>
  <c r="R272" i="6"/>
  <c r="U272" i="6"/>
  <c r="X272" i="6"/>
  <c r="AK272" i="6"/>
  <c r="BG272" i="6" s="1"/>
  <c r="AM272" i="6"/>
  <c r="BH272" i="6" s="1"/>
  <c r="AO272" i="6"/>
  <c r="BI272" i="6" s="1"/>
  <c r="BE272" i="6"/>
  <c r="BJ272" i="6"/>
  <c r="BK272" i="6"/>
  <c r="R273" i="6"/>
  <c r="U273" i="6"/>
  <c r="X273" i="6"/>
  <c r="AK273" i="6"/>
  <c r="BG273" i="6" s="1"/>
  <c r="AM273" i="6"/>
  <c r="BH273" i="6" s="1"/>
  <c r="AO273" i="6"/>
  <c r="BI273" i="6" s="1"/>
  <c r="BE273" i="6"/>
  <c r="BJ273" i="6"/>
  <c r="BK273" i="6"/>
  <c r="R274" i="6"/>
  <c r="U274" i="6"/>
  <c r="X274" i="6"/>
  <c r="AK274" i="6"/>
  <c r="BG274" i="6" s="1"/>
  <c r="AM274" i="6"/>
  <c r="BH274" i="6" s="1"/>
  <c r="AO274" i="6"/>
  <c r="BI274" i="6" s="1"/>
  <c r="BE274" i="6"/>
  <c r="BJ274" i="6"/>
  <c r="BK274" i="6"/>
  <c r="R275" i="6"/>
  <c r="U275" i="6"/>
  <c r="X275" i="6"/>
  <c r="AK275" i="6"/>
  <c r="BG275" i="6" s="1"/>
  <c r="AM275" i="6"/>
  <c r="BH275" i="6" s="1"/>
  <c r="AO275" i="6"/>
  <c r="BI275" i="6" s="1"/>
  <c r="BE275" i="6"/>
  <c r="BJ275" i="6"/>
  <c r="BK275" i="6"/>
  <c r="R276" i="6"/>
  <c r="U276" i="6"/>
  <c r="X276" i="6"/>
  <c r="AK276" i="6"/>
  <c r="BG276" i="6" s="1"/>
  <c r="AM276" i="6"/>
  <c r="BH276" i="6" s="1"/>
  <c r="AO276" i="6"/>
  <c r="BI276" i="6" s="1"/>
  <c r="BE276" i="6"/>
  <c r="BJ276" i="6"/>
  <c r="BK276" i="6"/>
  <c r="R277" i="6"/>
  <c r="U277" i="6"/>
  <c r="X277" i="6"/>
  <c r="AK277" i="6"/>
  <c r="BG277" i="6" s="1"/>
  <c r="AM277" i="6"/>
  <c r="BH277" i="6" s="1"/>
  <c r="AO277" i="6"/>
  <c r="BI277" i="6" s="1"/>
  <c r="BE277" i="6"/>
  <c r="BJ277" i="6"/>
  <c r="BK277" i="6"/>
  <c r="R278" i="6"/>
  <c r="U278" i="6"/>
  <c r="X278" i="6"/>
  <c r="AK278" i="6"/>
  <c r="BG278" i="6" s="1"/>
  <c r="AM278" i="6"/>
  <c r="BH278" i="6" s="1"/>
  <c r="AO278" i="6"/>
  <c r="BI278" i="6" s="1"/>
  <c r="BE278" i="6"/>
  <c r="BJ278" i="6"/>
  <c r="BK278" i="6"/>
  <c r="R279" i="6"/>
  <c r="U279" i="6"/>
  <c r="X279" i="6"/>
  <c r="AK279" i="6"/>
  <c r="BG279" i="6" s="1"/>
  <c r="AM279" i="6"/>
  <c r="BH279" i="6" s="1"/>
  <c r="AO279" i="6"/>
  <c r="BI279" i="6" s="1"/>
  <c r="BE279" i="6"/>
  <c r="BJ279" i="6"/>
  <c r="BK279" i="6"/>
  <c r="R280" i="6"/>
  <c r="U280" i="6"/>
  <c r="X280" i="6"/>
  <c r="AK280" i="6"/>
  <c r="BG280" i="6" s="1"/>
  <c r="AM280" i="6"/>
  <c r="BH280" i="6" s="1"/>
  <c r="AO280" i="6"/>
  <c r="BI280" i="6" s="1"/>
  <c r="BE280" i="6"/>
  <c r="BJ280" i="6"/>
  <c r="BK280" i="6"/>
  <c r="R281" i="6"/>
  <c r="U281" i="6"/>
  <c r="X281" i="6"/>
  <c r="AK281" i="6"/>
  <c r="BG281" i="6" s="1"/>
  <c r="AM281" i="6"/>
  <c r="BH281" i="6" s="1"/>
  <c r="AO281" i="6"/>
  <c r="BI281" i="6" s="1"/>
  <c r="BE281" i="6"/>
  <c r="BJ281" i="6"/>
  <c r="BK281" i="6"/>
  <c r="R282" i="6"/>
  <c r="U282" i="6"/>
  <c r="X282" i="6"/>
  <c r="AK282" i="6"/>
  <c r="BG282" i="6" s="1"/>
  <c r="AM282" i="6"/>
  <c r="BH282" i="6" s="1"/>
  <c r="AO282" i="6"/>
  <c r="BI282" i="6" s="1"/>
  <c r="BE282" i="6"/>
  <c r="BJ282" i="6"/>
  <c r="BK282" i="6"/>
  <c r="R283" i="6"/>
  <c r="U283" i="6"/>
  <c r="X283" i="6"/>
  <c r="AK283" i="6"/>
  <c r="BG283" i="6" s="1"/>
  <c r="AM283" i="6"/>
  <c r="BH283" i="6" s="1"/>
  <c r="AO283" i="6"/>
  <c r="BI283" i="6" s="1"/>
  <c r="BE283" i="6"/>
  <c r="BJ283" i="6"/>
  <c r="BK283" i="6"/>
  <c r="R284" i="6"/>
  <c r="U284" i="6"/>
  <c r="X284" i="6"/>
  <c r="AK284" i="6"/>
  <c r="BG284" i="6" s="1"/>
  <c r="AM284" i="6"/>
  <c r="BH284" i="6" s="1"/>
  <c r="AO284" i="6"/>
  <c r="BI284" i="6" s="1"/>
  <c r="BE284" i="6"/>
  <c r="BJ284" i="6"/>
  <c r="BK284" i="6"/>
  <c r="R285" i="6"/>
  <c r="U285" i="6"/>
  <c r="X285" i="6"/>
  <c r="AK285" i="6"/>
  <c r="BG285" i="6" s="1"/>
  <c r="AM285" i="6"/>
  <c r="BH285" i="6" s="1"/>
  <c r="AO285" i="6"/>
  <c r="BI285" i="6" s="1"/>
  <c r="BE285" i="6"/>
  <c r="BJ285" i="6"/>
  <c r="BK285" i="6"/>
  <c r="R286" i="6"/>
  <c r="U286" i="6"/>
  <c r="X286" i="6"/>
  <c r="AK286" i="6"/>
  <c r="BG286" i="6" s="1"/>
  <c r="AM286" i="6"/>
  <c r="BH286" i="6" s="1"/>
  <c r="AO286" i="6"/>
  <c r="BI286" i="6" s="1"/>
  <c r="BE286" i="6"/>
  <c r="BJ286" i="6"/>
  <c r="BK286" i="6"/>
  <c r="R287" i="6"/>
  <c r="U287" i="6"/>
  <c r="X287" i="6"/>
  <c r="AK287" i="6"/>
  <c r="BG287" i="6" s="1"/>
  <c r="AM287" i="6"/>
  <c r="BH287" i="6" s="1"/>
  <c r="AO287" i="6"/>
  <c r="BI287" i="6" s="1"/>
  <c r="BE287" i="6"/>
  <c r="BJ287" i="6"/>
  <c r="BK287" i="6"/>
  <c r="R288" i="6"/>
  <c r="U288" i="6"/>
  <c r="X288" i="6"/>
  <c r="AK288" i="6"/>
  <c r="BG288" i="6" s="1"/>
  <c r="AM288" i="6"/>
  <c r="BH288" i="6" s="1"/>
  <c r="AO288" i="6"/>
  <c r="BI288" i="6" s="1"/>
  <c r="BE288" i="6"/>
  <c r="BJ288" i="6"/>
  <c r="BK288" i="6"/>
  <c r="R289" i="6"/>
  <c r="U289" i="6"/>
  <c r="X289" i="6"/>
  <c r="AK289" i="6"/>
  <c r="BG289" i="6" s="1"/>
  <c r="AM289" i="6"/>
  <c r="BH289" i="6" s="1"/>
  <c r="AO289" i="6"/>
  <c r="BI289" i="6" s="1"/>
  <c r="BE289" i="6"/>
  <c r="BJ289" i="6"/>
  <c r="BK289" i="6"/>
  <c r="R290" i="6"/>
  <c r="U290" i="6"/>
  <c r="X290" i="6"/>
  <c r="AK290" i="6"/>
  <c r="BG290" i="6" s="1"/>
  <c r="AM290" i="6"/>
  <c r="BH290" i="6" s="1"/>
  <c r="AO290" i="6"/>
  <c r="BI290" i="6" s="1"/>
  <c r="BE290" i="6"/>
  <c r="BJ290" i="6"/>
  <c r="BK290" i="6"/>
  <c r="R291" i="6"/>
  <c r="U291" i="6"/>
  <c r="X291" i="6"/>
  <c r="AK291" i="6"/>
  <c r="BG291" i="6" s="1"/>
  <c r="AM291" i="6"/>
  <c r="BH291" i="6" s="1"/>
  <c r="AO291" i="6"/>
  <c r="BI291" i="6" s="1"/>
  <c r="BE291" i="6"/>
  <c r="BJ291" i="6"/>
  <c r="BK291" i="6"/>
  <c r="R292" i="6"/>
  <c r="U292" i="6"/>
  <c r="X292" i="6"/>
  <c r="AK292" i="6"/>
  <c r="BG292" i="6" s="1"/>
  <c r="AM292" i="6"/>
  <c r="BH292" i="6" s="1"/>
  <c r="AO292" i="6"/>
  <c r="BI292" i="6" s="1"/>
  <c r="BE292" i="6"/>
  <c r="BJ292" i="6"/>
  <c r="BK292" i="6"/>
  <c r="R293" i="6"/>
  <c r="U293" i="6"/>
  <c r="X293" i="6"/>
  <c r="AK293" i="6"/>
  <c r="BG293" i="6" s="1"/>
  <c r="AM293" i="6"/>
  <c r="BH293" i="6" s="1"/>
  <c r="AO293" i="6"/>
  <c r="BI293" i="6" s="1"/>
  <c r="BE293" i="6"/>
  <c r="BJ293" i="6"/>
  <c r="BK293" i="6"/>
  <c r="R294" i="6"/>
  <c r="U294" i="6"/>
  <c r="X294" i="6"/>
  <c r="AK294" i="6"/>
  <c r="BG294" i="6" s="1"/>
  <c r="AM294" i="6"/>
  <c r="BH294" i="6" s="1"/>
  <c r="AO294" i="6"/>
  <c r="BI294" i="6" s="1"/>
  <c r="BE294" i="6"/>
  <c r="BJ294" i="6"/>
  <c r="BK294" i="6"/>
  <c r="R295" i="6"/>
  <c r="U295" i="6"/>
  <c r="X295" i="6"/>
  <c r="AK295" i="6"/>
  <c r="BG295" i="6" s="1"/>
  <c r="AM295" i="6"/>
  <c r="BH295" i="6" s="1"/>
  <c r="AO295" i="6"/>
  <c r="BI295" i="6" s="1"/>
  <c r="BE295" i="6"/>
  <c r="BJ295" i="6"/>
  <c r="BK295" i="6"/>
  <c r="R296" i="6"/>
  <c r="U296" i="6"/>
  <c r="X296" i="6"/>
  <c r="AK296" i="6"/>
  <c r="BG296" i="6" s="1"/>
  <c r="AM296" i="6"/>
  <c r="BH296" i="6" s="1"/>
  <c r="AO296" i="6"/>
  <c r="BI296" i="6" s="1"/>
  <c r="BE296" i="6"/>
  <c r="BJ296" i="6"/>
  <c r="BK296" i="6"/>
  <c r="R297" i="6"/>
  <c r="U297" i="6"/>
  <c r="X297" i="6"/>
  <c r="AK297" i="6"/>
  <c r="BG297" i="6" s="1"/>
  <c r="AM297" i="6"/>
  <c r="BH297" i="6" s="1"/>
  <c r="AO297" i="6"/>
  <c r="BI297" i="6" s="1"/>
  <c r="BE297" i="6"/>
  <c r="BJ297" i="6"/>
  <c r="BK297" i="6"/>
  <c r="R298" i="6"/>
  <c r="U298" i="6"/>
  <c r="X298" i="6"/>
  <c r="AK298" i="6"/>
  <c r="BG298" i="6" s="1"/>
  <c r="AM298" i="6"/>
  <c r="BH298" i="6" s="1"/>
  <c r="AO298" i="6"/>
  <c r="BI298" i="6" s="1"/>
  <c r="BE298" i="6"/>
  <c r="BJ298" i="6"/>
  <c r="BK298" i="6"/>
  <c r="R299" i="6"/>
  <c r="U299" i="6"/>
  <c r="X299" i="6"/>
  <c r="AK299" i="6"/>
  <c r="BG299" i="6" s="1"/>
  <c r="AM299" i="6"/>
  <c r="BH299" i="6" s="1"/>
  <c r="AO299" i="6"/>
  <c r="BI299" i="6" s="1"/>
  <c r="BE299" i="6"/>
  <c r="BJ299" i="6"/>
  <c r="BK299" i="6"/>
  <c r="R300" i="6"/>
  <c r="U300" i="6"/>
  <c r="X300" i="6"/>
  <c r="AK300" i="6"/>
  <c r="BG300" i="6" s="1"/>
  <c r="AM300" i="6"/>
  <c r="CA300" i="6" s="1"/>
  <c r="AO300" i="6"/>
  <c r="BI300" i="6" s="1"/>
  <c r="BE300" i="6"/>
  <c r="BJ300" i="6"/>
  <c r="BK300" i="6"/>
  <c r="R301" i="6"/>
  <c r="U301" i="6"/>
  <c r="X301" i="6"/>
  <c r="AK301" i="6"/>
  <c r="BG301" i="6" s="1"/>
  <c r="AM301" i="6"/>
  <c r="AO301" i="6"/>
  <c r="BI301" i="6" s="1"/>
  <c r="BE301" i="6"/>
  <c r="BJ301" i="6"/>
  <c r="BK301" i="6"/>
  <c r="R302" i="6"/>
  <c r="U302" i="6"/>
  <c r="X302" i="6"/>
  <c r="AK302" i="6"/>
  <c r="BG302" i="6" s="1"/>
  <c r="AM302" i="6"/>
  <c r="AO302" i="6"/>
  <c r="BI302" i="6" s="1"/>
  <c r="BE302" i="6"/>
  <c r="BJ302" i="6"/>
  <c r="BK302" i="6"/>
  <c r="R303" i="6"/>
  <c r="U303" i="6"/>
  <c r="X303" i="6"/>
  <c r="AK303" i="6"/>
  <c r="BG303" i="6" s="1"/>
  <c r="AM303" i="6"/>
  <c r="BH303" i="6" s="1"/>
  <c r="AO303" i="6"/>
  <c r="BI303" i="6" s="1"/>
  <c r="BE303" i="6"/>
  <c r="BJ303" i="6"/>
  <c r="BK303" i="6"/>
  <c r="R304" i="6"/>
  <c r="U304" i="6"/>
  <c r="X304" i="6"/>
  <c r="AK304" i="6"/>
  <c r="BG304" i="6" s="1"/>
  <c r="AM304" i="6"/>
  <c r="CA304" i="6" s="1"/>
  <c r="AO304" i="6"/>
  <c r="BI304" i="6" s="1"/>
  <c r="BE304" i="6"/>
  <c r="BJ304" i="6"/>
  <c r="BK304" i="6"/>
  <c r="R305" i="6"/>
  <c r="U305" i="6"/>
  <c r="X305" i="6"/>
  <c r="AK305" i="6"/>
  <c r="BG305" i="6" s="1"/>
  <c r="AM305" i="6"/>
  <c r="BH305" i="6" s="1"/>
  <c r="AO305" i="6"/>
  <c r="BI305" i="6" s="1"/>
  <c r="BE305" i="6"/>
  <c r="BJ305" i="6"/>
  <c r="BK305" i="6"/>
  <c r="R306" i="6"/>
  <c r="U306" i="6"/>
  <c r="X306" i="6"/>
  <c r="AK306" i="6"/>
  <c r="BG306" i="6" s="1"/>
  <c r="AM306" i="6"/>
  <c r="CA306" i="6" s="1"/>
  <c r="AO306" i="6"/>
  <c r="BI306" i="6" s="1"/>
  <c r="BE306" i="6"/>
  <c r="BJ306" i="6"/>
  <c r="BK306" i="6"/>
  <c r="R307" i="6"/>
  <c r="U307" i="6"/>
  <c r="X307" i="6"/>
  <c r="AK307" i="6"/>
  <c r="BG307" i="6" s="1"/>
  <c r="AM307" i="6"/>
  <c r="AO307" i="6"/>
  <c r="BI307" i="6" s="1"/>
  <c r="BE307" i="6"/>
  <c r="BJ307" i="6"/>
  <c r="BK307" i="6"/>
  <c r="R308" i="6"/>
  <c r="U308" i="6"/>
  <c r="X308" i="6"/>
  <c r="AK308" i="6"/>
  <c r="BG308" i="6" s="1"/>
  <c r="AM308" i="6"/>
  <c r="CA308" i="6" s="1"/>
  <c r="AO308" i="6"/>
  <c r="BI308" i="6" s="1"/>
  <c r="BE308" i="6"/>
  <c r="BJ308" i="6"/>
  <c r="BK308" i="6"/>
  <c r="R309" i="6"/>
  <c r="U309" i="6"/>
  <c r="X309" i="6"/>
  <c r="AK309" i="6"/>
  <c r="BG309" i="6" s="1"/>
  <c r="AM309" i="6"/>
  <c r="BH309" i="6" s="1"/>
  <c r="AO309" i="6"/>
  <c r="BI309" i="6" s="1"/>
  <c r="BE309" i="6"/>
  <c r="BJ309" i="6"/>
  <c r="BK309" i="6"/>
  <c r="R310" i="6"/>
  <c r="U310" i="6"/>
  <c r="X310" i="6"/>
  <c r="AK310" i="6"/>
  <c r="BG310" i="6" s="1"/>
  <c r="AM310" i="6"/>
  <c r="AO310" i="6"/>
  <c r="BI310" i="6" s="1"/>
  <c r="BE310" i="6"/>
  <c r="BJ310" i="6"/>
  <c r="BK310" i="6"/>
  <c r="R311" i="6"/>
  <c r="U311" i="6"/>
  <c r="X311" i="6"/>
  <c r="AK311" i="6"/>
  <c r="BG311" i="6" s="1"/>
  <c r="AM311" i="6"/>
  <c r="AO311" i="6"/>
  <c r="BI311" i="6" s="1"/>
  <c r="BE311" i="6"/>
  <c r="BJ311" i="6"/>
  <c r="BK311" i="6"/>
  <c r="R312" i="6"/>
  <c r="U312" i="6"/>
  <c r="X312" i="6"/>
  <c r="AK312" i="6"/>
  <c r="BG312" i="6" s="1"/>
  <c r="AM312" i="6"/>
  <c r="CA312" i="6" s="1"/>
  <c r="AO312" i="6"/>
  <c r="BI312" i="6" s="1"/>
  <c r="BE312" i="6"/>
  <c r="BJ312" i="6"/>
  <c r="BK312" i="6"/>
  <c r="R313" i="6"/>
  <c r="U313" i="6"/>
  <c r="X313" i="6"/>
  <c r="AK313" i="6"/>
  <c r="BG313" i="6" s="1"/>
  <c r="AM313" i="6"/>
  <c r="BH313" i="6" s="1"/>
  <c r="AO313" i="6"/>
  <c r="BI313" i="6" s="1"/>
  <c r="BE313" i="6"/>
  <c r="BJ313" i="6"/>
  <c r="BK313" i="6"/>
  <c r="R314" i="6"/>
  <c r="U314" i="6"/>
  <c r="X314" i="6"/>
  <c r="AK314" i="6"/>
  <c r="BG314" i="6" s="1"/>
  <c r="AM314" i="6"/>
  <c r="BH314" i="6" s="1"/>
  <c r="AO314" i="6"/>
  <c r="BI314" i="6" s="1"/>
  <c r="BE314" i="6"/>
  <c r="BJ314" i="6"/>
  <c r="BK314" i="6"/>
  <c r="R315" i="6"/>
  <c r="U315" i="6"/>
  <c r="X315" i="6"/>
  <c r="AK315" i="6"/>
  <c r="BG315" i="6" s="1"/>
  <c r="AM315" i="6"/>
  <c r="CA315" i="6" s="1"/>
  <c r="AO315" i="6"/>
  <c r="BI315" i="6" s="1"/>
  <c r="BE315" i="6"/>
  <c r="BJ315" i="6"/>
  <c r="BK315" i="6"/>
  <c r="R316" i="6"/>
  <c r="U316" i="6"/>
  <c r="X316" i="6"/>
  <c r="AK316" i="6"/>
  <c r="BG316" i="6" s="1"/>
  <c r="AM316" i="6"/>
  <c r="CA316" i="6" s="1"/>
  <c r="AO316" i="6"/>
  <c r="BI316" i="6" s="1"/>
  <c r="BE316" i="6"/>
  <c r="BJ316" i="6"/>
  <c r="BK316" i="6"/>
  <c r="R317" i="6"/>
  <c r="U317" i="6"/>
  <c r="X317" i="6"/>
  <c r="AK317" i="6"/>
  <c r="BG317" i="6" s="1"/>
  <c r="AM317" i="6"/>
  <c r="BH317" i="6" s="1"/>
  <c r="AO317" i="6"/>
  <c r="BI317" i="6" s="1"/>
  <c r="BE317" i="6"/>
  <c r="BJ317" i="6"/>
  <c r="BK317" i="6"/>
  <c r="R318" i="6"/>
  <c r="U318" i="6"/>
  <c r="X318" i="6"/>
  <c r="AK318" i="6"/>
  <c r="BG318" i="6" s="1"/>
  <c r="AM318" i="6"/>
  <c r="CA318" i="6" s="1"/>
  <c r="AO318" i="6"/>
  <c r="BI318" i="6" s="1"/>
  <c r="BE318" i="6"/>
  <c r="BJ318" i="6"/>
  <c r="BK318" i="6"/>
  <c r="R319" i="6"/>
  <c r="U319" i="6"/>
  <c r="X319" i="6"/>
  <c r="AK319" i="6"/>
  <c r="BG319" i="6" s="1"/>
  <c r="AM319" i="6"/>
  <c r="BH319" i="6" s="1"/>
  <c r="AO319" i="6"/>
  <c r="BI319" i="6" s="1"/>
  <c r="BE319" i="6"/>
  <c r="BJ319" i="6"/>
  <c r="BK319" i="6"/>
  <c r="R320" i="6"/>
  <c r="U320" i="6"/>
  <c r="X320" i="6"/>
  <c r="AK320" i="6"/>
  <c r="BG320" i="6" s="1"/>
  <c r="AM320" i="6"/>
  <c r="CA320" i="6" s="1"/>
  <c r="AO320" i="6"/>
  <c r="BI320" i="6" s="1"/>
  <c r="BE320" i="6"/>
  <c r="BJ320" i="6"/>
  <c r="BK320" i="6"/>
  <c r="R321" i="6"/>
  <c r="U321" i="6"/>
  <c r="X321" i="6"/>
  <c r="AK321" i="6"/>
  <c r="BG321" i="6" s="1"/>
  <c r="AM321" i="6"/>
  <c r="BH321" i="6" s="1"/>
  <c r="AO321" i="6"/>
  <c r="BI321" i="6" s="1"/>
  <c r="BE321" i="6"/>
  <c r="BJ321" i="6"/>
  <c r="BK321" i="6"/>
  <c r="R322" i="6"/>
  <c r="U322" i="6"/>
  <c r="X322" i="6"/>
  <c r="AK322" i="6"/>
  <c r="BG322" i="6" s="1"/>
  <c r="AM322" i="6"/>
  <c r="AO322" i="6"/>
  <c r="BI322" i="6" s="1"/>
  <c r="BE322" i="6"/>
  <c r="BJ322" i="6"/>
  <c r="BK322" i="6"/>
  <c r="R323" i="6"/>
  <c r="U323" i="6"/>
  <c r="X323" i="6"/>
  <c r="AK323" i="6"/>
  <c r="BG323" i="6" s="1"/>
  <c r="AM323" i="6"/>
  <c r="BH323" i="6" s="1"/>
  <c r="AO323" i="6"/>
  <c r="BI323" i="6" s="1"/>
  <c r="BE323" i="6"/>
  <c r="BJ323" i="6"/>
  <c r="BK323" i="6"/>
  <c r="R324" i="6"/>
  <c r="U324" i="6"/>
  <c r="X324" i="6"/>
  <c r="AK324" i="6"/>
  <c r="BG324" i="6" s="1"/>
  <c r="AM324" i="6"/>
  <c r="CA324" i="6" s="1"/>
  <c r="AO324" i="6"/>
  <c r="BI324" i="6" s="1"/>
  <c r="BE324" i="6"/>
  <c r="BJ324" i="6"/>
  <c r="BK324" i="6"/>
  <c r="R325" i="6"/>
  <c r="U325" i="6"/>
  <c r="X325" i="6"/>
  <c r="AK325" i="6"/>
  <c r="BG325" i="6" s="1"/>
  <c r="AM325" i="6"/>
  <c r="AO325" i="6"/>
  <c r="BI325" i="6" s="1"/>
  <c r="BE325" i="6"/>
  <c r="BJ325" i="6"/>
  <c r="BK325" i="6"/>
  <c r="R326" i="6"/>
  <c r="U326" i="6"/>
  <c r="X326" i="6"/>
  <c r="AK326" i="6"/>
  <c r="BG326" i="6" s="1"/>
  <c r="AM326" i="6"/>
  <c r="BH326" i="6" s="1"/>
  <c r="AO326" i="6"/>
  <c r="BI326" i="6" s="1"/>
  <c r="BE326" i="6"/>
  <c r="BJ326" i="6"/>
  <c r="BK326" i="6"/>
  <c r="R327" i="6"/>
  <c r="U327" i="6"/>
  <c r="X327" i="6"/>
  <c r="AK327" i="6"/>
  <c r="BG327" i="6" s="1"/>
  <c r="AM327" i="6"/>
  <c r="CA327" i="6" s="1"/>
  <c r="AO327" i="6"/>
  <c r="BI327" i="6" s="1"/>
  <c r="BE327" i="6"/>
  <c r="BJ327" i="6"/>
  <c r="BK327" i="6"/>
  <c r="R328" i="6"/>
  <c r="U328" i="6"/>
  <c r="X328" i="6"/>
  <c r="AK328" i="6"/>
  <c r="BG328" i="6" s="1"/>
  <c r="AM328" i="6"/>
  <c r="CA328" i="6" s="1"/>
  <c r="AO328" i="6"/>
  <c r="BI328" i="6" s="1"/>
  <c r="BE328" i="6"/>
  <c r="BJ328" i="6"/>
  <c r="BK328" i="6"/>
  <c r="R329" i="6"/>
  <c r="U329" i="6"/>
  <c r="X329" i="6"/>
  <c r="AK329" i="6"/>
  <c r="BG329" i="6" s="1"/>
  <c r="AM329" i="6"/>
  <c r="CA329" i="6" s="1"/>
  <c r="AO329" i="6"/>
  <c r="BI329" i="6" s="1"/>
  <c r="BE329" i="6"/>
  <c r="BJ329" i="6"/>
  <c r="BK329" i="6"/>
  <c r="R330" i="6"/>
  <c r="U330" i="6"/>
  <c r="X330" i="6"/>
  <c r="AK330" i="6"/>
  <c r="BG330" i="6" s="1"/>
  <c r="AM330" i="6"/>
  <c r="CA330" i="6" s="1"/>
  <c r="AO330" i="6"/>
  <c r="BI330" i="6" s="1"/>
  <c r="BE330" i="6"/>
  <c r="BJ330" i="6"/>
  <c r="BK330" i="6"/>
  <c r="R331" i="6"/>
  <c r="U331" i="6"/>
  <c r="X331" i="6"/>
  <c r="AK331" i="6"/>
  <c r="BG331" i="6" s="1"/>
  <c r="AM331" i="6"/>
  <c r="BH331" i="6" s="1"/>
  <c r="AO331" i="6"/>
  <c r="BI331" i="6" s="1"/>
  <c r="BE331" i="6"/>
  <c r="BJ331" i="6"/>
  <c r="BK331" i="6"/>
  <c r="R332" i="6"/>
  <c r="U332" i="6"/>
  <c r="X332" i="6"/>
  <c r="AK332" i="6"/>
  <c r="BG332" i="6" s="1"/>
  <c r="AM332" i="6"/>
  <c r="BH332" i="6" s="1"/>
  <c r="AO332" i="6"/>
  <c r="BI332" i="6" s="1"/>
  <c r="BE332" i="6"/>
  <c r="BJ332" i="6"/>
  <c r="BK332" i="6"/>
  <c r="R333" i="6"/>
  <c r="U333" i="6"/>
  <c r="X333" i="6"/>
  <c r="AK333" i="6"/>
  <c r="BG333" i="6" s="1"/>
  <c r="AM333" i="6"/>
  <c r="CA333" i="6" s="1"/>
  <c r="AO333" i="6"/>
  <c r="BI333" i="6" s="1"/>
  <c r="BE333" i="6"/>
  <c r="BJ333" i="6"/>
  <c r="BK333" i="6"/>
  <c r="R334" i="6"/>
  <c r="U334" i="6"/>
  <c r="X334" i="6"/>
  <c r="AK334" i="6"/>
  <c r="BG334" i="6" s="1"/>
  <c r="AM334" i="6"/>
  <c r="CA334" i="6" s="1"/>
  <c r="AO334" i="6"/>
  <c r="BI334" i="6" s="1"/>
  <c r="BE334" i="6"/>
  <c r="BJ334" i="6"/>
  <c r="BK334" i="6"/>
  <c r="R335" i="6"/>
  <c r="U335" i="6"/>
  <c r="X335" i="6"/>
  <c r="AK335" i="6"/>
  <c r="BG335" i="6" s="1"/>
  <c r="AM335" i="6"/>
  <c r="BH335" i="6" s="1"/>
  <c r="AO335" i="6"/>
  <c r="BI335" i="6" s="1"/>
  <c r="BE335" i="6"/>
  <c r="BJ335" i="6"/>
  <c r="BK335" i="6"/>
  <c r="R336" i="6"/>
  <c r="U336" i="6"/>
  <c r="X336" i="6"/>
  <c r="AK336" i="6"/>
  <c r="BG336" i="6" s="1"/>
  <c r="AM336" i="6"/>
  <c r="BH336" i="6" s="1"/>
  <c r="AO336" i="6"/>
  <c r="BI336" i="6" s="1"/>
  <c r="BE336" i="6"/>
  <c r="BJ336" i="6"/>
  <c r="BK336" i="6"/>
  <c r="R337" i="6"/>
  <c r="U337" i="6"/>
  <c r="X337" i="6"/>
  <c r="AK337" i="6"/>
  <c r="BG337" i="6" s="1"/>
  <c r="AM337" i="6"/>
  <c r="CA337" i="6" s="1"/>
  <c r="AO337" i="6"/>
  <c r="BI337" i="6" s="1"/>
  <c r="BE337" i="6"/>
  <c r="BJ337" i="6"/>
  <c r="BK337" i="6"/>
  <c r="R338" i="6"/>
  <c r="U338" i="6"/>
  <c r="X338" i="6"/>
  <c r="AK338" i="6"/>
  <c r="BG338" i="6" s="1"/>
  <c r="AM338" i="6"/>
  <c r="AO338" i="6"/>
  <c r="BI338" i="6" s="1"/>
  <c r="BE338" i="6"/>
  <c r="BJ338" i="6"/>
  <c r="BK338" i="6"/>
  <c r="R339" i="6"/>
  <c r="U339" i="6"/>
  <c r="X339" i="6"/>
  <c r="AK339" i="6"/>
  <c r="BG339" i="6" s="1"/>
  <c r="AM339" i="6"/>
  <c r="BH339" i="6" s="1"/>
  <c r="AO339" i="6"/>
  <c r="BI339" i="6" s="1"/>
  <c r="BE339" i="6"/>
  <c r="BJ339" i="6"/>
  <c r="BK339" i="6"/>
  <c r="R340" i="6"/>
  <c r="U340" i="6"/>
  <c r="X340" i="6"/>
  <c r="AK340" i="6"/>
  <c r="BG340" i="6" s="1"/>
  <c r="AM340" i="6"/>
  <c r="AO340" i="6"/>
  <c r="BI340" i="6" s="1"/>
  <c r="BE340" i="6"/>
  <c r="BJ340" i="6"/>
  <c r="BK340" i="6"/>
  <c r="R341" i="6"/>
  <c r="U341" i="6"/>
  <c r="X341" i="6"/>
  <c r="AK341" i="6"/>
  <c r="BG341" i="6" s="1"/>
  <c r="AM341" i="6"/>
  <c r="AO341" i="6"/>
  <c r="BI341" i="6" s="1"/>
  <c r="BE341" i="6"/>
  <c r="BJ341" i="6"/>
  <c r="BK341" i="6"/>
  <c r="R342" i="6"/>
  <c r="U342" i="6"/>
  <c r="X342" i="6"/>
  <c r="AK342" i="6"/>
  <c r="BG342" i="6" s="1"/>
  <c r="AM342" i="6"/>
  <c r="CA342" i="6" s="1"/>
  <c r="AO342" i="6"/>
  <c r="BI342" i="6" s="1"/>
  <c r="BE342" i="6"/>
  <c r="BJ342" i="6"/>
  <c r="BK342" i="6"/>
  <c r="R343" i="6"/>
  <c r="U343" i="6"/>
  <c r="X343" i="6"/>
  <c r="AK343" i="6"/>
  <c r="BG343" i="6" s="1"/>
  <c r="AM343" i="6"/>
  <c r="BH343" i="6" s="1"/>
  <c r="AO343" i="6"/>
  <c r="BI343" i="6" s="1"/>
  <c r="BE343" i="6"/>
  <c r="BJ343" i="6"/>
  <c r="BK343" i="6"/>
  <c r="R344" i="6"/>
  <c r="U344" i="6"/>
  <c r="X344" i="6"/>
  <c r="AK344" i="6"/>
  <c r="BG344" i="6" s="1"/>
  <c r="AM344" i="6"/>
  <c r="CA344" i="6" s="1"/>
  <c r="AO344" i="6"/>
  <c r="BI344" i="6" s="1"/>
  <c r="BE344" i="6"/>
  <c r="BJ344" i="6"/>
  <c r="BK344" i="6"/>
  <c r="R345" i="6"/>
  <c r="U345" i="6"/>
  <c r="X345" i="6"/>
  <c r="AK345" i="6"/>
  <c r="BG345" i="6" s="1"/>
  <c r="AM345" i="6"/>
  <c r="AO345" i="6"/>
  <c r="BI345" i="6" s="1"/>
  <c r="BE345" i="6"/>
  <c r="BJ345" i="6"/>
  <c r="BK345" i="6"/>
  <c r="R346" i="6"/>
  <c r="U346" i="6"/>
  <c r="X346" i="6"/>
  <c r="AK346" i="6"/>
  <c r="BG346" i="6" s="1"/>
  <c r="AM346" i="6"/>
  <c r="CA346" i="6" s="1"/>
  <c r="AO346" i="6"/>
  <c r="BI346" i="6" s="1"/>
  <c r="BE346" i="6"/>
  <c r="BJ346" i="6"/>
  <c r="BK346" i="6"/>
  <c r="R347" i="6"/>
  <c r="U347" i="6"/>
  <c r="X347" i="6"/>
  <c r="AK347" i="6"/>
  <c r="BG347" i="6" s="1"/>
  <c r="AM347" i="6"/>
  <c r="BH347" i="6" s="1"/>
  <c r="AO347" i="6"/>
  <c r="BI347" i="6" s="1"/>
  <c r="BE347" i="6"/>
  <c r="BJ347" i="6"/>
  <c r="BK347" i="6"/>
  <c r="R348" i="6"/>
  <c r="U348" i="6"/>
  <c r="X348" i="6"/>
  <c r="AK348" i="6"/>
  <c r="BG348" i="6" s="1"/>
  <c r="AM348" i="6"/>
  <c r="AO348" i="6"/>
  <c r="BI348" i="6" s="1"/>
  <c r="BE348" i="6"/>
  <c r="BJ348" i="6"/>
  <c r="BK348" i="6"/>
  <c r="R349" i="6"/>
  <c r="U349" i="6"/>
  <c r="X349" i="6"/>
  <c r="AK349" i="6"/>
  <c r="BG349" i="6" s="1"/>
  <c r="AM349" i="6"/>
  <c r="CA349" i="6" s="1"/>
  <c r="AO349" i="6"/>
  <c r="BI349" i="6" s="1"/>
  <c r="BE349" i="6"/>
  <c r="BJ349" i="6"/>
  <c r="BK349" i="6"/>
  <c r="R350" i="6"/>
  <c r="U350" i="6"/>
  <c r="X350" i="6"/>
  <c r="AK350" i="6"/>
  <c r="BG350" i="6" s="1"/>
  <c r="AM350" i="6"/>
  <c r="CA350" i="6" s="1"/>
  <c r="AO350" i="6"/>
  <c r="BI350" i="6" s="1"/>
  <c r="BE350" i="6"/>
  <c r="BJ350" i="6"/>
  <c r="BK350" i="6"/>
  <c r="R351" i="6"/>
  <c r="U351" i="6"/>
  <c r="X351" i="6"/>
  <c r="AK351" i="6"/>
  <c r="BG351" i="6" s="1"/>
  <c r="AM351" i="6"/>
  <c r="BH351" i="6" s="1"/>
  <c r="AO351" i="6"/>
  <c r="BI351" i="6" s="1"/>
  <c r="BE351" i="6"/>
  <c r="BJ351" i="6"/>
  <c r="BK351" i="6"/>
  <c r="R352" i="6"/>
  <c r="U352" i="6"/>
  <c r="X352" i="6"/>
  <c r="AK352" i="6"/>
  <c r="BG352" i="6" s="1"/>
  <c r="AM352" i="6"/>
  <c r="CA352" i="6" s="1"/>
  <c r="AO352" i="6"/>
  <c r="BI352" i="6" s="1"/>
  <c r="BE352" i="6"/>
  <c r="BJ352" i="6"/>
  <c r="BK352" i="6"/>
  <c r="R353" i="6"/>
  <c r="U353" i="6"/>
  <c r="X353" i="6"/>
  <c r="AK353" i="6"/>
  <c r="BG353" i="6" s="1"/>
  <c r="AM353" i="6"/>
  <c r="BH353" i="6" s="1"/>
  <c r="AO353" i="6"/>
  <c r="BI353" i="6" s="1"/>
  <c r="BE353" i="6"/>
  <c r="BJ353" i="6"/>
  <c r="BK353" i="6"/>
  <c r="R354" i="6"/>
  <c r="U354" i="6"/>
  <c r="X354" i="6"/>
  <c r="AK354" i="6"/>
  <c r="BG354" i="6" s="1"/>
  <c r="AM354" i="6"/>
  <c r="BH354" i="6" s="1"/>
  <c r="AO354" i="6"/>
  <c r="BI354" i="6" s="1"/>
  <c r="BE354" i="6"/>
  <c r="BJ354" i="6"/>
  <c r="BK354" i="6"/>
  <c r="R355" i="6"/>
  <c r="U355" i="6"/>
  <c r="X355" i="6"/>
  <c r="AK355" i="6"/>
  <c r="BG355" i="6" s="1"/>
  <c r="AM355" i="6"/>
  <c r="BH355" i="6" s="1"/>
  <c r="AO355" i="6"/>
  <c r="BI355" i="6" s="1"/>
  <c r="BE355" i="6"/>
  <c r="BJ355" i="6"/>
  <c r="BK355" i="6"/>
  <c r="R356" i="6"/>
  <c r="U356" i="6"/>
  <c r="X356" i="6"/>
  <c r="AK356" i="6"/>
  <c r="BG356" i="6" s="1"/>
  <c r="AM356" i="6"/>
  <c r="BH356" i="6" s="1"/>
  <c r="AO356" i="6"/>
  <c r="BI356" i="6" s="1"/>
  <c r="BE356" i="6"/>
  <c r="BJ356" i="6"/>
  <c r="BK356" i="6"/>
  <c r="R357" i="6"/>
  <c r="U357" i="6"/>
  <c r="X357" i="6"/>
  <c r="AK357" i="6"/>
  <c r="BG357" i="6" s="1"/>
  <c r="AM357" i="6"/>
  <c r="BH357" i="6" s="1"/>
  <c r="AO357" i="6"/>
  <c r="BI357" i="6" s="1"/>
  <c r="BE357" i="6"/>
  <c r="BJ357" i="6"/>
  <c r="BK357" i="6"/>
  <c r="R358" i="6"/>
  <c r="U358" i="6"/>
  <c r="X358" i="6"/>
  <c r="AK358" i="6"/>
  <c r="BG358" i="6" s="1"/>
  <c r="AM358" i="6"/>
  <c r="BH358" i="6" s="1"/>
  <c r="AO358" i="6"/>
  <c r="BI358" i="6" s="1"/>
  <c r="BE358" i="6"/>
  <c r="BJ358" i="6"/>
  <c r="BK358" i="6"/>
  <c r="R359" i="6"/>
  <c r="U359" i="6"/>
  <c r="X359" i="6"/>
  <c r="AK359" i="6"/>
  <c r="BG359" i="6" s="1"/>
  <c r="AM359" i="6"/>
  <c r="BH359" i="6" s="1"/>
  <c r="AO359" i="6"/>
  <c r="BI359" i="6" s="1"/>
  <c r="BE359" i="6"/>
  <c r="BJ359" i="6"/>
  <c r="BK359" i="6"/>
  <c r="R360" i="6"/>
  <c r="U360" i="6"/>
  <c r="X360" i="6"/>
  <c r="AK360" i="6"/>
  <c r="BG360" i="6" s="1"/>
  <c r="AM360" i="6"/>
  <c r="BH360" i="6" s="1"/>
  <c r="AO360" i="6"/>
  <c r="BI360" i="6" s="1"/>
  <c r="BE360" i="6"/>
  <c r="BJ360" i="6"/>
  <c r="BK360" i="6"/>
  <c r="R361" i="6"/>
  <c r="U361" i="6"/>
  <c r="X361" i="6"/>
  <c r="AK361" i="6"/>
  <c r="BG361" i="6" s="1"/>
  <c r="AM361" i="6"/>
  <c r="BH361" i="6" s="1"/>
  <c r="AO361" i="6"/>
  <c r="BI361" i="6" s="1"/>
  <c r="BE361" i="6"/>
  <c r="BJ361" i="6"/>
  <c r="BK361" i="6"/>
  <c r="R362" i="6"/>
  <c r="U362" i="6"/>
  <c r="X362" i="6"/>
  <c r="AK362" i="6"/>
  <c r="BG362" i="6" s="1"/>
  <c r="AM362" i="6"/>
  <c r="BH362" i="6" s="1"/>
  <c r="AO362" i="6"/>
  <c r="BI362" i="6" s="1"/>
  <c r="BE362" i="6"/>
  <c r="BJ362" i="6"/>
  <c r="BK362" i="6"/>
  <c r="R363" i="6"/>
  <c r="U363" i="6"/>
  <c r="X363" i="6"/>
  <c r="AK363" i="6"/>
  <c r="BG363" i="6" s="1"/>
  <c r="AM363" i="6"/>
  <c r="BH363" i="6" s="1"/>
  <c r="AO363" i="6"/>
  <c r="BI363" i="6" s="1"/>
  <c r="BE363" i="6"/>
  <c r="BJ363" i="6"/>
  <c r="BK363" i="6"/>
  <c r="R364" i="6"/>
  <c r="U364" i="6"/>
  <c r="X364" i="6"/>
  <c r="AK364" i="6"/>
  <c r="BG364" i="6" s="1"/>
  <c r="AM364" i="6"/>
  <c r="BH364" i="6" s="1"/>
  <c r="AO364" i="6"/>
  <c r="BI364" i="6" s="1"/>
  <c r="BE364" i="6"/>
  <c r="BJ364" i="6"/>
  <c r="BK364" i="6"/>
  <c r="R365" i="6"/>
  <c r="U365" i="6"/>
  <c r="X365" i="6"/>
  <c r="AK365" i="6"/>
  <c r="BG365" i="6" s="1"/>
  <c r="AM365" i="6"/>
  <c r="BH365" i="6" s="1"/>
  <c r="AO365" i="6"/>
  <c r="BI365" i="6" s="1"/>
  <c r="BE365" i="6"/>
  <c r="BJ365" i="6"/>
  <c r="BK365" i="6"/>
  <c r="R366" i="6"/>
  <c r="U366" i="6"/>
  <c r="X366" i="6"/>
  <c r="AK366" i="6"/>
  <c r="BG366" i="6" s="1"/>
  <c r="AM366" i="6"/>
  <c r="BH366" i="6" s="1"/>
  <c r="AO366" i="6"/>
  <c r="BI366" i="6" s="1"/>
  <c r="BE366" i="6"/>
  <c r="BJ366" i="6"/>
  <c r="BK366" i="6"/>
  <c r="R367" i="6"/>
  <c r="U367" i="6"/>
  <c r="X367" i="6"/>
  <c r="AK367" i="6"/>
  <c r="BG367" i="6" s="1"/>
  <c r="AM367" i="6"/>
  <c r="BH367" i="6" s="1"/>
  <c r="AO367" i="6"/>
  <c r="BI367" i="6" s="1"/>
  <c r="BE367" i="6"/>
  <c r="BJ367" i="6"/>
  <c r="BK367" i="6"/>
  <c r="R368" i="6"/>
  <c r="U368" i="6"/>
  <c r="X368" i="6"/>
  <c r="AK368" i="6"/>
  <c r="BG368" i="6" s="1"/>
  <c r="AM368" i="6"/>
  <c r="BH368" i="6" s="1"/>
  <c r="AO368" i="6"/>
  <c r="BI368" i="6" s="1"/>
  <c r="BE368" i="6"/>
  <c r="BJ368" i="6"/>
  <c r="BK368" i="6"/>
  <c r="R369" i="6"/>
  <c r="U369" i="6"/>
  <c r="X369" i="6"/>
  <c r="AK369" i="6"/>
  <c r="BG369" i="6" s="1"/>
  <c r="AM369" i="6"/>
  <c r="BH369" i="6" s="1"/>
  <c r="AO369" i="6"/>
  <c r="BI369" i="6" s="1"/>
  <c r="BE369" i="6"/>
  <c r="BJ369" i="6"/>
  <c r="BK369" i="6"/>
  <c r="R370" i="6"/>
  <c r="U370" i="6"/>
  <c r="X370" i="6"/>
  <c r="AK370" i="6"/>
  <c r="BG370" i="6" s="1"/>
  <c r="AM370" i="6"/>
  <c r="BH370" i="6" s="1"/>
  <c r="AO370" i="6"/>
  <c r="BI370" i="6" s="1"/>
  <c r="BE370" i="6"/>
  <c r="BJ370" i="6"/>
  <c r="BK370" i="6"/>
  <c r="R371" i="6"/>
  <c r="U371" i="6"/>
  <c r="X371" i="6"/>
  <c r="AK371" i="6"/>
  <c r="BG371" i="6" s="1"/>
  <c r="AM371" i="6"/>
  <c r="BH371" i="6" s="1"/>
  <c r="AO371" i="6"/>
  <c r="BI371" i="6" s="1"/>
  <c r="BE371" i="6"/>
  <c r="BJ371" i="6"/>
  <c r="BK371" i="6"/>
  <c r="R372" i="6"/>
  <c r="U372" i="6"/>
  <c r="X372" i="6"/>
  <c r="AK372" i="6"/>
  <c r="BG372" i="6" s="1"/>
  <c r="AM372" i="6"/>
  <c r="AO372" i="6"/>
  <c r="BI372" i="6" s="1"/>
  <c r="BE372" i="6"/>
  <c r="BJ372" i="6"/>
  <c r="BK372" i="6"/>
  <c r="R373" i="6"/>
  <c r="U373" i="6"/>
  <c r="X373" i="6"/>
  <c r="AK373" i="6"/>
  <c r="BG373" i="6" s="1"/>
  <c r="AM373" i="6"/>
  <c r="AO373" i="6"/>
  <c r="BI373" i="6" s="1"/>
  <c r="BE373" i="6"/>
  <c r="BJ373" i="6"/>
  <c r="BK373" i="6"/>
  <c r="R374" i="6"/>
  <c r="U374" i="6"/>
  <c r="X374" i="6"/>
  <c r="AK374" i="6"/>
  <c r="BG374" i="6" s="1"/>
  <c r="AM374" i="6"/>
  <c r="AO374" i="6"/>
  <c r="BI374" i="6" s="1"/>
  <c r="BE374" i="6"/>
  <c r="BJ374" i="6"/>
  <c r="BK374" i="6"/>
  <c r="R375" i="6"/>
  <c r="U375" i="6"/>
  <c r="X375" i="6"/>
  <c r="AK375" i="6"/>
  <c r="BG375" i="6" s="1"/>
  <c r="AM375" i="6"/>
  <c r="BH375" i="6" s="1"/>
  <c r="AO375" i="6"/>
  <c r="BI375" i="6" s="1"/>
  <c r="BE375" i="6"/>
  <c r="BJ375" i="6"/>
  <c r="BK375" i="6"/>
  <c r="R376" i="6"/>
  <c r="U376" i="6"/>
  <c r="X376" i="6"/>
  <c r="AK376" i="6"/>
  <c r="BG376" i="6" s="1"/>
  <c r="AM376" i="6"/>
  <c r="CA376" i="6" s="1"/>
  <c r="AO376" i="6"/>
  <c r="BI376" i="6" s="1"/>
  <c r="BE376" i="6"/>
  <c r="BJ376" i="6"/>
  <c r="BK376" i="6"/>
  <c r="R377" i="6"/>
  <c r="U377" i="6"/>
  <c r="X377" i="6"/>
  <c r="AK377" i="6"/>
  <c r="BG377" i="6" s="1"/>
  <c r="AM377" i="6"/>
  <c r="BH377" i="6" s="1"/>
  <c r="AO377" i="6"/>
  <c r="BI377" i="6" s="1"/>
  <c r="BE377" i="6"/>
  <c r="BJ377" i="6"/>
  <c r="BK377" i="6"/>
  <c r="R378" i="6"/>
  <c r="U378" i="6"/>
  <c r="X378" i="6"/>
  <c r="AK378" i="6"/>
  <c r="BG378" i="6" s="1"/>
  <c r="AM378" i="6"/>
  <c r="CA378" i="6" s="1"/>
  <c r="AO378" i="6"/>
  <c r="BI378" i="6" s="1"/>
  <c r="BE378" i="6"/>
  <c r="BJ378" i="6"/>
  <c r="BK378" i="6"/>
  <c r="R379" i="6"/>
  <c r="U379" i="6"/>
  <c r="X379" i="6"/>
  <c r="AK379" i="6"/>
  <c r="BG379" i="6" s="1"/>
  <c r="AM379" i="6"/>
  <c r="BH379" i="6" s="1"/>
  <c r="AO379" i="6"/>
  <c r="BI379" i="6" s="1"/>
  <c r="BE379" i="6"/>
  <c r="BJ379" i="6"/>
  <c r="BK379" i="6"/>
  <c r="R380" i="6"/>
  <c r="U380" i="6"/>
  <c r="X380" i="6"/>
  <c r="AK380" i="6"/>
  <c r="BG380" i="6" s="1"/>
  <c r="AM380" i="6"/>
  <c r="CA380" i="6" s="1"/>
  <c r="AO380" i="6"/>
  <c r="BI380" i="6" s="1"/>
  <c r="BE380" i="6"/>
  <c r="BJ380" i="6"/>
  <c r="BK380" i="6"/>
  <c r="R381" i="6"/>
  <c r="U381" i="6"/>
  <c r="X381" i="6"/>
  <c r="AK381" i="6"/>
  <c r="BG381" i="6" s="1"/>
  <c r="AM381" i="6"/>
  <c r="BH381" i="6" s="1"/>
  <c r="AO381" i="6"/>
  <c r="BI381" i="6" s="1"/>
  <c r="BE381" i="6"/>
  <c r="BJ381" i="6"/>
  <c r="BK381" i="6"/>
  <c r="R382" i="6"/>
  <c r="U382" i="6"/>
  <c r="X382" i="6"/>
  <c r="AK382" i="6"/>
  <c r="BG382" i="6" s="1"/>
  <c r="AM382" i="6"/>
  <c r="AO382" i="6"/>
  <c r="BI382" i="6" s="1"/>
  <c r="BE382" i="6"/>
  <c r="BJ382" i="6"/>
  <c r="BK382" i="6"/>
  <c r="R383" i="6"/>
  <c r="U383" i="6"/>
  <c r="X383" i="6"/>
  <c r="AK383" i="6"/>
  <c r="BG383" i="6" s="1"/>
  <c r="AM383" i="6"/>
  <c r="BH383" i="6" s="1"/>
  <c r="AO383" i="6"/>
  <c r="BI383" i="6" s="1"/>
  <c r="BE383" i="6"/>
  <c r="BJ383" i="6"/>
  <c r="BK383" i="6"/>
  <c r="R384" i="6"/>
  <c r="U384" i="6"/>
  <c r="X384" i="6"/>
  <c r="AK384" i="6"/>
  <c r="BG384" i="6" s="1"/>
  <c r="AM384" i="6"/>
  <c r="CA384" i="6" s="1"/>
  <c r="AO384" i="6"/>
  <c r="BI384" i="6" s="1"/>
  <c r="BE384" i="6"/>
  <c r="BJ384" i="6"/>
  <c r="BK384" i="6"/>
  <c r="R385" i="6"/>
  <c r="U385" i="6"/>
  <c r="X385" i="6"/>
  <c r="AK385" i="6"/>
  <c r="BG385" i="6" s="1"/>
  <c r="AM385" i="6"/>
  <c r="BH385" i="6" s="1"/>
  <c r="AO385" i="6"/>
  <c r="BI385" i="6" s="1"/>
  <c r="BE385" i="6"/>
  <c r="BJ385" i="6"/>
  <c r="BK385" i="6"/>
  <c r="R386" i="6"/>
  <c r="U386" i="6"/>
  <c r="X386" i="6"/>
  <c r="AK386" i="6"/>
  <c r="BG386" i="6" s="1"/>
  <c r="AM386" i="6"/>
  <c r="CA386" i="6" s="1"/>
  <c r="AO386" i="6"/>
  <c r="BI386" i="6" s="1"/>
  <c r="BE386" i="6"/>
  <c r="BJ386" i="6"/>
  <c r="BK386" i="6"/>
  <c r="R387" i="6"/>
  <c r="U387" i="6"/>
  <c r="X387" i="6"/>
  <c r="AK387" i="6"/>
  <c r="BG387" i="6" s="1"/>
  <c r="AM387" i="6"/>
  <c r="BH387" i="6" s="1"/>
  <c r="AO387" i="6"/>
  <c r="BI387" i="6" s="1"/>
  <c r="BE387" i="6"/>
  <c r="BJ387" i="6"/>
  <c r="BK387" i="6"/>
  <c r="R388" i="6"/>
  <c r="U388" i="6"/>
  <c r="X388" i="6"/>
  <c r="AK388" i="6"/>
  <c r="BG388" i="6" s="1"/>
  <c r="AM388" i="6"/>
  <c r="CA388" i="6" s="1"/>
  <c r="AO388" i="6"/>
  <c r="BI388" i="6" s="1"/>
  <c r="BE388" i="6"/>
  <c r="BJ388" i="6"/>
  <c r="BK388" i="6"/>
  <c r="R389" i="6"/>
  <c r="U389" i="6"/>
  <c r="X389" i="6"/>
  <c r="AK389" i="6"/>
  <c r="BG389" i="6" s="1"/>
  <c r="AM389" i="6"/>
  <c r="BH389" i="6" s="1"/>
  <c r="AO389" i="6"/>
  <c r="BI389" i="6" s="1"/>
  <c r="BE389" i="6"/>
  <c r="BJ389" i="6"/>
  <c r="BK389" i="6"/>
  <c r="R390" i="6"/>
  <c r="U390" i="6"/>
  <c r="X390" i="6"/>
  <c r="AK390" i="6"/>
  <c r="BG390" i="6" s="1"/>
  <c r="AM390" i="6"/>
  <c r="CA390" i="6" s="1"/>
  <c r="AO390" i="6"/>
  <c r="BI390" i="6" s="1"/>
  <c r="BE390" i="6"/>
  <c r="BJ390" i="6"/>
  <c r="BK390" i="6"/>
  <c r="R391" i="6"/>
  <c r="U391" i="6"/>
  <c r="X391" i="6"/>
  <c r="AK391" i="6"/>
  <c r="BG391" i="6" s="1"/>
  <c r="AM391" i="6"/>
  <c r="BH391" i="6" s="1"/>
  <c r="AO391" i="6"/>
  <c r="BI391" i="6" s="1"/>
  <c r="BE391" i="6"/>
  <c r="BJ391" i="6"/>
  <c r="BK391" i="6"/>
  <c r="R392" i="6"/>
  <c r="U392" i="6"/>
  <c r="X392" i="6"/>
  <c r="AK392" i="6"/>
  <c r="BG392" i="6" s="1"/>
  <c r="AM392" i="6"/>
  <c r="CA392" i="6" s="1"/>
  <c r="AO392" i="6"/>
  <c r="BI392" i="6" s="1"/>
  <c r="BE392" i="6"/>
  <c r="BJ392" i="6"/>
  <c r="BK392" i="6"/>
  <c r="R393" i="6"/>
  <c r="U393" i="6"/>
  <c r="X393" i="6"/>
  <c r="AK393" i="6"/>
  <c r="BG393" i="6" s="1"/>
  <c r="AM393" i="6"/>
  <c r="BH393" i="6" s="1"/>
  <c r="AO393" i="6"/>
  <c r="BI393" i="6" s="1"/>
  <c r="BE393" i="6"/>
  <c r="BJ393" i="6"/>
  <c r="BK393" i="6"/>
  <c r="R394" i="6"/>
  <c r="U394" i="6"/>
  <c r="X394" i="6"/>
  <c r="AK394" i="6"/>
  <c r="BG394" i="6" s="1"/>
  <c r="AM394" i="6"/>
  <c r="CA394" i="6" s="1"/>
  <c r="AO394" i="6"/>
  <c r="BI394" i="6" s="1"/>
  <c r="BE394" i="6"/>
  <c r="BJ394" i="6"/>
  <c r="BK394" i="6"/>
  <c r="R395" i="6"/>
  <c r="U395" i="6"/>
  <c r="X395" i="6"/>
  <c r="AK395" i="6"/>
  <c r="BG395" i="6" s="1"/>
  <c r="AM395" i="6"/>
  <c r="CA395" i="6" s="1"/>
  <c r="AO395" i="6"/>
  <c r="BI395" i="6" s="1"/>
  <c r="BE395" i="6"/>
  <c r="BJ395" i="6"/>
  <c r="BK395" i="6"/>
  <c r="R396" i="6"/>
  <c r="U396" i="6"/>
  <c r="X396" i="6"/>
  <c r="AK396" i="6"/>
  <c r="BG396" i="6" s="1"/>
  <c r="AM396" i="6"/>
  <c r="CA396" i="6" s="1"/>
  <c r="AO396" i="6"/>
  <c r="BI396" i="6" s="1"/>
  <c r="BE396" i="6"/>
  <c r="BJ396" i="6"/>
  <c r="BK396" i="6"/>
  <c r="R397" i="6"/>
  <c r="U397" i="6"/>
  <c r="X397" i="6"/>
  <c r="AK397" i="6"/>
  <c r="BG397" i="6" s="1"/>
  <c r="AM397" i="6"/>
  <c r="CA397" i="6" s="1"/>
  <c r="AO397" i="6"/>
  <c r="BI397" i="6" s="1"/>
  <c r="BE397" i="6"/>
  <c r="BJ397" i="6"/>
  <c r="BK397" i="6"/>
  <c r="R398" i="6"/>
  <c r="U398" i="6"/>
  <c r="X398" i="6"/>
  <c r="AK398" i="6"/>
  <c r="BG398" i="6" s="1"/>
  <c r="AM398" i="6"/>
  <c r="CA398" i="6" s="1"/>
  <c r="AO398" i="6"/>
  <c r="BI398" i="6" s="1"/>
  <c r="BE398" i="6"/>
  <c r="BJ398" i="6"/>
  <c r="BK398" i="6"/>
  <c r="R399" i="6"/>
  <c r="U399" i="6"/>
  <c r="X399" i="6"/>
  <c r="AK399" i="6"/>
  <c r="BG399" i="6" s="1"/>
  <c r="AM399" i="6"/>
  <c r="CA399" i="6" s="1"/>
  <c r="AO399" i="6"/>
  <c r="BI399" i="6" s="1"/>
  <c r="BE399" i="6"/>
  <c r="BJ399" i="6"/>
  <c r="BK399" i="6"/>
  <c r="R400" i="6"/>
  <c r="U400" i="6"/>
  <c r="X400" i="6"/>
  <c r="AK400" i="6"/>
  <c r="BG400" i="6" s="1"/>
  <c r="AM400" i="6"/>
  <c r="CA400" i="6" s="1"/>
  <c r="AO400" i="6"/>
  <c r="BI400" i="6" s="1"/>
  <c r="BE400" i="6"/>
  <c r="BJ400" i="6"/>
  <c r="BK400" i="6"/>
  <c r="R401" i="6"/>
  <c r="U401" i="6"/>
  <c r="X401" i="6"/>
  <c r="AK401" i="6"/>
  <c r="BG401" i="6" s="1"/>
  <c r="AM401" i="6"/>
  <c r="CA401" i="6" s="1"/>
  <c r="AO401" i="6"/>
  <c r="BI401" i="6" s="1"/>
  <c r="BE401" i="6"/>
  <c r="BJ401" i="6"/>
  <c r="BK401" i="6"/>
  <c r="R402" i="6"/>
  <c r="U402" i="6"/>
  <c r="X402" i="6"/>
  <c r="AK402" i="6"/>
  <c r="BG402" i="6" s="1"/>
  <c r="AM402" i="6"/>
  <c r="CA402" i="6" s="1"/>
  <c r="AO402" i="6"/>
  <c r="BI402" i="6" s="1"/>
  <c r="BE402" i="6"/>
  <c r="BJ402" i="6"/>
  <c r="BK402" i="6"/>
  <c r="R403" i="6"/>
  <c r="U403" i="6"/>
  <c r="X403" i="6"/>
  <c r="AK403" i="6"/>
  <c r="BG403" i="6" s="1"/>
  <c r="AM403" i="6"/>
  <c r="CA403" i="6" s="1"/>
  <c r="AO403" i="6"/>
  <c r="BI403" i="6" s="1"/>
  <c r="BE403" i="6"/>
  <c r="BJ403" i="6"/>
  <c r="BK403" i="6"/>
  <c r="R404" i="6"/>
  <c r="U404" i="6"/>
  <c r="X404" i="6"/>
  <c r="AK404" i="6"/>
  <c r="BG404" i="6" s="1"/>
  <c r="AM404" i="6"/>
  <c r="CA404" i="6" s="1"/>
  <c r="AO404" i="6"/>
  <c r="BI404" i="6" s="1"/>
  <c r="BE404" i="6"/>
  <c r="BJ404" i="6"/>
  <c r="BK404" i="6"/>
  <c r="R405" i="6"/>
  <c r="U405" i="6"/>
  <c r="X405" i="6"/>
  <c r="AK405" i="6"/>
  <c r="BG405" i="6" s="1"/>
  <c r="AM405" i="6"/>
  <c r="CA405" i="6" s="1"/>
  <c r="AO405" i="6"/>
  <c r="BI405" i="6" s="1"/>
  <c r="BE405" i="6"/>
  <c r="BJ405" i="6"/>
  <c r="BK405" i="6"/>
  <c r="R406" i="6"/>
  <c r="U406" i="6"/>
  <c r="X406" i="6"/>
  <c r="AK406" i="6"/>
  <c r="BG406" i="6" s="1"/>
  <c r="AM406" i="6"/>
  <c r="BH406" i="6" s="1"/>
  <c r="AO406" i="6"/>
  <c r="BI406" i="6" s="1"/>
  <c r="BE406" i="6"/>
  <c r="BJ406" i="6"/>
  <c r="BK406" i="6"/>
  <c r="R407" i="6"/>
  <c r="U407" i="6"/>
  <c r="X407" i="6"/>
  <c r="AK407" i="6"/>
  <c r="BG407" i="6" s="1"/>
  <c r="AM407" i="6"/>
  <c r="CA407" i="6" s="1"/>
  <c r="AO407" i="6"/>
  <c r="BI407" i="6" s="1"/>
  <c r="BE407" i="6"/>
  <c r="BJ407" i="6"/>
  <c r="BK407" i="6"/>
  <c r="R408" i="6"/>
  <c r="U408" i="6"/>
  <c r="X408" i="6"/>
  <c r="AK408" i="6"/>
  <c r="BG408" i="6" s="1"/>
  <c r="AM408" i="6"/>
  <c r="CA408" i="6" s="1"/>
  <c r="AO408" i="6"/>
  <c r="BI408" i="6" s="1"/>
  <c r="BE408" i="6"/>
  <c r="BJ408" i="6"/>
  <c r="BK408" i="6"/>
  <c r="R409" i="6"/>
  <c r="U409" i="6"/>
  <c r="X409" i="6"/>
  <c r="AK409" i="6"/>
  <c r="BG409" i="6" s="1"/>
  <c r="AM409" i="6"/>
  <c r="CA409" i="6" s="1"/>
  <c r="AO409" i="6"/>
  <c r="BI409" i="6" s="1"/>
  <c r="BE409" i="6"/>
  <c r="BJ409" i="6"/>
  <c r="BK409" i="6"/>
  <c r="R410" i="6"/>
  <c r="U410" i="6"/>
  <c r="X410" i="6"/>
  <c r="AK410" i="6"/>
  <c r="BG410" i="6" s="1"/>
  <c r="AM410" i="6"/>
  <c r="CA410" i="6" s="1"/>
  <c r="AO410" i="6"/>
  <c r="BI410" i="6" s="1"/>
  <c r="BE410" i="6"/>
  <c r="BJ410" i="6"/>
  <c r="BK410" i="6"/>
  <c r="R411" i="6"/>
  <c r="U411" i="6"/>
  <c r="X411" i="6"/>
  <c r="AK411" i="6"/>
  <c r="BG411" i="6" s="1"/>
  <c r="AM411" i="6"/>
  <c r="CA411" i="6" s="1"/>
  <c r="AO411" i="6"/>
  <c r="BI411" i="6" s="1"/>
  <c r="BE411" i="6"/>
  <c r="BJ411" i="6"/>
  <c r="BK411" i="6"/>
  <c r="R412" i="6"/>
  <c r="U412" i="6"/>
  <c r="X412" i="6"/>
  <c r="AK412" i="6"/>
  <c r="BG412" i="6" s="1"/>
  <c r="AM412" i="6"/>
  <c r="CA412" i="6" s="1"/>
  <c r="AO412" i="6"/>
  <c r="BI412" i="6" s="1"/>
  <c r="BE412" i="6"/>
  <c r="BJ412" i="6"/>
  <c r="BK412" i="6"/>
  <c r="R413" i="6"/>
  <c r="U413" i="6"/>
  <c r="X413" i="6"/>
  <c r="AK413" i="6"/>
  <c r="BG413" i="6" s="1"/>
  <c r="AM413" i="6"/>
  <c r="CA413" i="6" s="1"/>
  <c r="AO413" i="6"/>
  <c r="BI413" i="6" s="1"/>
  <c r="BE413" i="6"/>
  <c r="BJ413" i="6"/>
  <c r="BK413" i="6"/>
  <c r="R414" i="6"/>
  <c r="U414" i="6"/>
  <c r="X414" i="6"/>
  <c r="AK414" i="6"/>
  <c r="BG414" i="6" s="1"/>
  <c r="AM414" i="6"/>
  <c r="CA414" i="6" s="1"/>
  <c r="AO414" i="6"/>
  <c r="BI414" i="6" s="1"/>
  <c r="BE414" i="6"/>
  <c r="BJ414" i="6"/>
  <c r="BK414" i="6"/>
  <c r="R415" i="6"/>
  <c r="U415" i="6"/>
  <c r="X415" i="6"/>
  <c r="AK415" i="6"/>
  <c r="BG415" i="6" s="1"/>
  <c r="AM415" i="6"/>
  <c r="BH415" i="6" s="1"/>
  <c r="AO415" i="6"/>
  <c r="BI415" i="6" s="1"/>
  <c r="BE415" i="6"/>
  <c r="BJ415" i="6"/>
  <c r="BK415" i="6"/>
  <c r="R416" i="6"/>
  <c r="U416" i="6"/>
  <c r="X416" i="6"/>
  <c r="AK416" i="6"/>
  <c r="BG416" i="6" s="1"/>
  <c r="AM416" i="6"/>
  <c r="CA416" i="6" s="1"/>
  <c r="AO416" i="6"/>
  <c r="BI416" i="6" s="1"/>
  <c r="BE416" i="6"/>
  <c r="BJ416" i="6"/>
  <c r="BK416" i="6"/>
  <c r="R417" i="6"/>
  <c r="U417" i="6"/>
  <c r="X417" i="6"/>
  <c r="AK417" i="6"/>
  <c r="BG417" i="6" s="1"/>
  <c r="AM417" i="6"/>
  <c r="CA417" i="6" s="1"/>
  <c r="AO417" i="6"/>
  <c r="BI417" i="6" s="1"/>
  <c r="BE417" i="6"/>
  <c r="BJ417" i="6"/>
  <c r="BK417" i="6"/>
  <c r="R418" i="6"/>
  <c r="U418" i="6"/>
  <c r="X418" i="6"/>
  <c r="AK418" i="6"/>
  <c r="BG418" i="6" s="1"/>
  <c r="AM418" i="6"/>
  <c r="CA418" i="6" s="1"/>
  <c r="AO418" i="6"/>
  <c r="BI418" i="6" s="1"/>
  <c r="BE418" i="6"/>
  <c r="BJ418" i="6"/>
  <c r="BK418" i="6"/>
  <c r="R419" i="6"/>
  <c r="U419" i="6"/>
  <c r="X419" i="6"/>
  <c r="AK419" i="6"/>
  <c r="BG419" i="6" s="1"/>
  <c r="AM419" i="6"/>
  <c r="CA419" i="6" s="1"/>
  <c r="AO419" i="6"/>
  <c r="BI419" i="6" s="1"/>
  <c r="BE419" i="6"/>
  <c r="BJ419" i="6"/>
  <c r="BK419" i="6"/>
  <c r="R420" i="6"/>
  <c r="U420" i="6"/>
  <c r="X420" i="6"/>
  <c r="AK420" i="6"/>
  <c r="BG420" i="6" s="1"/>
  <c r="AM420" i="6"/>
  <c r="CA420" i="6" s="1"/>
  <c r="AO420" i="6"/>
  <c r="BI420" i="6" s="1"/>
  <c r="BE420" i="6"/>
  <c r="BJ420" i="6"/>
  <c r="BK420" i="6"/>
  <c r="R421" i="6"/>
  <c r="U421" i="6"/>
  <c r="X421" i="6"/>
  <c r="AK421" i="6"/>
  <c r="BG421" i="6" s="1"/>
  <c r="AM421" i="6"/>
  <c r="CA421" i="6" s="1"/>
  <c r="AO421" i="6"/>
  <c r="BI421" i="6" s="1"/>
  <c r="BE421" i="6"/>
  <c r="BJ421" i="6"/>
  <c r="BK421" i="6"/>
  <c r="R422" i="6"/>
  <c r="U422" i="6"/>
  <c r="X422" i="6"/>
  <c r="AK422" i="6"/>
  <c r="BG422" i="6" s="1"/>
  <c r="AM422" i="6"/>
  <c r="CA422" i="6" s="1"/>
  <c r="AO422" i="6"/>
  <c r="BI422" i="6" s="1"/>
  <c r="BE422" i="6"/>
  <c r="BJ422" i="6"/>
  <c r="BK422" i="6"/>
  <c r="R423" i="6"/>
  <c r="U423" i="6"/>
  <c r="X423" i="6"/>
  <c r="AK423" i="6"/>
  <c r="BG423" i="6" s="1"/>
  <c r="AM423" i="6"/>
  <c r="BH423" i="6" s="1"/>
  <c r="AO423" i="6"/>
  <c r="BI423" i="6" s="1"/>
  <c r="BE423" i="6"/>
  <c r="BJ423" i="6"/>
  <c r="BK423" i="6"/>
  <c r="R424" i="6"/>
  <c r="U424" i="6"/>
  <c r="X424" i="6"/>
  <c r="AK424" i="6"/>
  <c r="BG424" i="6" s="1"/>
  <c r="AM424" i="6"/>
  <c r="CA424" i="6" s="1"/>
  <c r="AO424" i="6"/>
  <c r="BI424" i="6" s="1"/>
  <c r="BE424" i="6"/>
  <c r="BJ424" i="6"/>
  <c r="BK424" i="6"/>
  <c r="R425" i="6"/>
  <c r="U425" i="6"/>
  <c r="X425" i="6"/>
  <c r="AK425" i="6"/>
  <c r="BG425" i="6" s="1"/>
  <c r="AM425" i="6"/>
  <c r="CA425" i="6" s="1"/>
  <c r="AO425" i="6"/>
  <c r="BI425" i="6" s="1"/>
  <c r="BE425" i="6"/>
  <c r="BJ425" i="6"/>
  <c r="BK425" i="6"/>
  <c r="R426" i="6"/>
  <c r="U426" i="6"/>
  <c r="X426" i="6"/>
  <c r="AK426" i="6"/>
  <c r="BG426" i="6" s="1"/>
  <c r="AM426" i="6"/>
  <c r="CA426" i="6" s="1"/>
  <c r="AO426" i="6"/>
  <c r="BI426" i="6" s="1"/>
  <c r="BE426" i="6"/>
  <c r="BJ426" i="6"/>
  <c r="BK426" i="6"/>
  <c r="R427" i="6"/>
  <c r="U427" i="6"/>
  <c r="X427" i="6"/>
  <c r="AK427" i="6"/>
  <c r="BG427" i="6" s="1"/>
  <c r="AM427" i="6"/>
  <c r="BH427" i="6" s="1"/>
  <c r="AO427" i="6"/>
  <c r="BI427" i="6" s="1"/>
  <c r="BE427" i="6"/>
  <c r="BJ427" i="6"/>
  <c r="BK427" i="6"/>
  <c r="R428" i="6"/>
  <c r="U428" i="6"/>
  <c r="X428" i="6"/>
  <c r="AK428" i="6"/>
  <c r="BG428" i="6" s="1"/>
  <c r="AM428" i="6"/>
  <c r="CA428" i="6" s="1"/>
  <c r="AO428" i="6"/>
  <c r="BI428" i="6" s="1"/>
  <c r="BE428" i="6"/>
  <c r="BJ428" i="6"/>
  <c r="BK428" i="6"/>
  <c r="R429" i="6"/>
  <c r="U429" i="6"/>
  <c r="X429" i="6"/>
  <c r="AK429" i="6"/>
  <c r="BG429" i="6" s="1"/>
  <c r="AM429" i="6"/>
  <c r="BH429" i="6" s="1"/>
  <c r="AO429" i="6"/>
  <c r="BI429" i="6" s="1"/>
  <c r="BE429" i="6"/>
  <c r="BJ429" i="6"/>
  <c r="BK429" i="6"/>
  <c r="R430" i="6"/>
  <c r="U430" i="6"/>
  <c r="X430" i="6"/>
  <c r="AK430" i="6"/>
  <c r="BG430" i="6" s="1"/>
  <c r="AM430" i="6"/>
  <c r="CA430" i="6" s="1"/>
  <c r="AO430" i="6"/>
  <c r="BI430" i="6" s="1"/>
  <c r="BE430" i="6"/>
  <c r="BJ430" i="6"/>
  <c r="BK430" i="6"/>
  <c r="R431" i="6"/>
  <c r="U431" i="6"/>
  <c r="X431" i="6"/>
  <c r="AK431" i="6"/>
  <c r="BG431" i="6" s="1"/>
  <c r="AM431" i="6"/>
  <c r="AO431" i="6"/>
  <c r="BI431" i="6" s="1"/>
  <c r="BE431" i="6"/>
  <c r="BJ431" i="6"/>
  <c r="BK431" i="6"/>
  <c r="R432" i="6"/>
  <c r="U432" i="6"/>
  <c r="X432" i="6"/>
  <c r="AK432" i="6"/>
  <c r="BG432" i="6" s="1"/>
  <c r="AM432" i="6"/>
  <c r="AO432" i="6"/>
  <c r="BI432" i="6" s="1"/>
  <c r="BE432" i="6"/>
  <c r="BJ432" i="6"/>
  <c r="BK432" i="6"/>
  <c r="R433" i="6"/>
  <c r="U433" i="6"/>
  <c r="X433" i="6"/>
  <c r="AK433" i="6"/>
  <c r="BG433" i="6" s="1"/>
  <c r="AM433" i="6"/>
  <c r="BH433" i="6" s="1"/>
  <c r="AO433" i="6"/>
  <c r="BI433" i="6" s="1"/>
  <c r="BE433" i="6"/>
  <c r="BJ433" i="6"/>
  <c r="BK433" i="6"/>
  <c r="R434" i="6"/>
  <c r="U434" i="6"/>
  <c r="X434" i="6"/>
  <c r="AK434" i="6"/>
  <c r="BG434" i="6" s="1"/>
  <c r="AM434" i="6"/>
  <c r="BH434" i="6" s="1"/>
  <c r="AO434" i="6"/>
  <c r="BI434" i="6" s="1"/>
  <c r="BE434" i="6"/>
  <c r="BJ434" i="6"/>
  <c r="BK434" i="6"/>
  <c r="R435" i="6"/>
  <c r="U435" i="6"/>
  <c r="X435" i="6"/>
  <c r="AK435" i="6"/>
  <c r="BG435" i="6" s="1"/>
  <c r="AM435" i="6"/>
  <c r="BH435" i="6" s="1"/>
  <c r="AO435" i="6"/>
  <c r="BI435" i="6" s="1"/>
  <c r="BE435" i="6"/>
  <c r="BJ435" i="6"/>
  <c r="BK435" i="6"/>
  <c r="R436" i="6"/>
  <c r="U436" i="6"/>
  <c r="X436" i="6"/>
  <c r="AK436" i="6"/>
  <c r="BG436" i="6" s="1"/>
  <c r="AM436" i="6"/>
  <c r="BH436" i="6" s="1"/>
  <c r="AO436" i="6"/>
  <c r="BI436" i="6" s="1"/>
  <c r="BE436" i="6"/>
  <c r="BJ436" i="6"/>
  <c r="BK436" i="6"/>
  <c r="R437" i="6"/>
  <c r="U437" i="6"/>
  <c r="X437" i="6"/>
  <c r="AK437" i="6"/>
  <c r="BG437" i="6" s="1"/>
  <c r="AM437" i="6"/>
  <c r="BH437" i="6" s="1"/>
  <c r="AO437" i="6"/>
  <c r="BI437" i="6" s="1"/>
  <c r="BE437" i="6"/>
  <c r="BJ437" i="6"/>
  <c r="BK437" i="6"/>
  <c r="R438" i="6"/>
  <c r="U438" i="6"/>
  <c r="X438" i="6"/>
  <c r="AK438" i="6"/>
  <c r="BG438" i="6" s="1"/>
  <c r="AM438" i="6"/>
  <c r="BH438" i="6" s="1"/>
  <c r="AO438" i="6"/>
  <c r="BI438" i="6" s="1"/>
  <c r="BE438" i="6"/>
  <c r="BJ438" i="6"/>
  <c r="BK438" i="6"/>
  <c r="R439" i="6"/>
  <c r="U439" i="6"/>
  <c r="X439" i="6"/>
  <c r="AK439" i="6"/>
  <c r="BG439" i="6" s="1"/>
  <c r="AM439" i="6"/>
  <c r="BH439" i="6" s="1"/>
  <c r="AO439" i="6"/>
  <c r="BI439" i="6" s="1"/>
  <c r="BE439" i="6"/>
  <c r="BJ439" i="6"/>
  <c r="BK439" i="6"/>
  <c r="R440" i="6"/>
  <c r="U440" i="6"/>
  <c r="X440" i="6"/>
  <c r="AK440" i="6"/>
  <c r="BG440" i="6" s="1"/>
  <c r="AM440" i="6"/>
  <c r="CA440" i="6" s="1"/>
  <c r="AO440" i="6"/>
  <c r="BI440" i="6" s="1"/>
  <c r="BE440" i="6"/>
  <c r="BJ440" i="6"/>
  <c r="BK440" i="6"/>
  <c r="R441" i="6"/>
  <c r="U441" i="6"/>
  <c r="X441" i="6"/>
  <c r="AK441" i="6"/>
  <c r="BG441" i="6" s="1"/>
  <c r="AM441" i="6"/>
  <c r="BH441" i="6" s="1"/>
  <c r="AO441" i="6"/>
  <c r="BI441" i="6" s="1"/>
  <c r="BE441" i="6"/>
  <c r="BJ441" i="6"/>
  <c r="BK441" i="6"/>
  <c r="R442" i="6"/>
  <c r="U442" i="6"/>
  <c r="X442" i="6"/>
  <c r="AK442" i="6"/>
  <c r="BG442" i="6" s="1"/>
  <c r="AM442" i="6"/>
  <c r="CA442" i="6" s="1"/>
  <c r="AO442" i="6"/>
  <c r="BI442" i="6" s="1"/>
  <c r="BE442" i="6"/>
  <c r="BJ442" i="6"/>
  <c r="BK442" i="6"/>
  <c r="R443" i="6"/>
  <c r="U443" i="6"/>
  <c r="X443" i="6"/>
  <c r="AK443" i="6"/>
  <c r="BG443" i="6" s="1"/>
  <c r="AM443" i="6"/>
  <c r="AO443" i="6"/>
  <c r="BI443" i="6" s="1"/>
  <c r="BE443" i="6"/>
  <c r="BJ443" i="6"/>
  <c r="BK443" i="6"/>
  <c r="R444" i="6"/>
  <c r="U444" i="6"/>
  <c r="X444" i="6"/>
  <c r="AK444" i="6"/>
  <c r="BG444" i="6" s="1"/>
  <c r="AM444" i="6"/>
  <c r="AO444" i="6"/>
  <c r="BI444" i="6" s="1"/>
  <c r="BE444" i="6"/>
  <c r="BJ444" i="6"/>
  <c r="BK444" i="6"/>
  <c r="R445" i="6"/>
  <c r="U445" i="6"/>
  <c r="X445" i="6"/>
  <c r="AK445" i="6"/>
  <c r="BG445" i="6" s="1"/>
  <c r="AM445" i="6"/>
  <c r="BH445" i="6" s="1"/>
  <c r="AO445" i="6"/>
  <c r="BI445" i="6" s="1"/>
  <c r="BE445" i="6"/>
  <c r="BJ445" i="6"/>
  <c r="BK445" i="6"/>
  <c r="R446" i="6"/>
  <c r="U446" i="6"/>
  <c r="X446" i="6"/>
  <c r="AK446" i="6"/>
  <c r="BG446" i="6" s="1"/>
  <c r="AM446" i="6"/>
  <c r="BH446" i="6" s="1"/>
  <c r="AO446" i="6"/>
  <c r="BI446" i="6" s="1"/>
  <c r="BE446" i="6"/>
  <c r="BJ446" i="6"/>
  <c r="BK446" i="6"/>
  <c r="R447" i="6"/>
  <c r="U447" i="6"/>
  <c r="X447" i="6"/>
  <c r="AK447" i="6"/>
  <c r="BG447" i="6" s="1"/>
  <c r="AM447" i="6"/>
  <c r="BH447" i="6" s="1"/>
  <c r="AO447" i="6"/>
  <c r="BI447" i="6" s="1"/>
  <c r="BE447" i="6"/>
  <c r="BJ447" i="6"/>
  <c r="BK447" i="6"/>
  <c r="R448" i="6"/>
  <c r="U448" i="6"/>
  <c r="X448" i="6"/>
  <c r="AK448" i="6"/>
  <c r="BG448" i="6" s="1"/>
  <c r="AM448" i="6"/>
  <c r="CA448" i="6" s="1"/>
  <c r="AO448" i="6"/>
  <c r="BI448" i="6" s="1"/>
  <c r="BE448" i="6"/>
  <c r="BJ448" i="6"/>
  <c r="BK448" i="6"/>
  <c r="R449" i="6"/>
  <c r="U449" i="6"/>
  <c r="X449" i="6"/>
  <c r="AK449" i="6"/>
  <c r="BG449" i="6" s="1"/>
  <c r="AM449" i="6"/>
  <c r="CA449" i="6" s="1"/>
  <c r="AO449" i="6"/>
  <c r="BI449" i="6" s="1"/>
  <c r="BE449" i="6"/>
  <c r="BJ449" i="6"/>
  <c r="BK449" i="6"/>
  <c r="R450" i="6"/>
  <c r="U450" i="6"/>
  <c r="X450" i="6"/>
  <c r="AK450" i="6"/>
  <c r="BG450" i="6" s="1"/>
  <c r="AM450" i="6"/>
  <c r="CA450" i="6" s="1"/>
  <c r="AO450" i="6"/>
  <c r="BI450" i="6" s="1"/>
  <c r="BE450" i="6"/>
  <c r="BJ450" i="6"/>
  <c r="BK450" i="6"/>
  <c r="R451" i="6"/>
  <c r="U451" i="6"/>
  <c r="X451" i="6"/>
  <c r="AK451" i="6"/>
  <c r="BG451" i="6" s="1"/>
  <c r="AM451" i="6"/>
  <c r="CA451" i="6" s="1"/>
  <c r="AO451" i="6"/>
  <c r="BI451" i="6" s="1"/>
  <c r="BE451" i="6"/>
  <c r="BJ451" i="6"/>
  <c r="BK451" i="6"/>
  <c r="R452" i="6"/>
  <c r="U452" i="6"/>
  <c r="X452" i="6"/>
  <c r="AK452" i="6"/>
  <c r="BG452" i="6" s="1"/>
  <c r="AM452" i="6"/>
  <c r="CA452" i="6" s="1"/>
  <c r="AO452" i="6"/>
  <c r="BI452" i="6" s="1"/>
  <c r="BE452" i="6"/>
  <c r="BJ452" i="6"/>
  <c r="BK452" i="6"/>
  <c r="BH421" i="6" l="1"/>
  <c r="BH214" i="6"/>
  <c r="BH320" i="6"/>
  <c r="BH352" i="6"/>
  <c r="BH234" i="6"/>
  <c r="BH451" i="6"/>
  <c r="BH452" i="6"/>
  <c r="AB11" i="6"/>
  <c r="BH402" i="6"/>
  <c r="BH418" i="6"/>
  <c r="BH413" i="6"/>
  <c r="BH407" i="6"/>
  <c r="BH378" i="6"/>
  <c r="BH419" i="6"/>
  <c r="BH408" i="6"/>
  <c r="BH414" i="6"/>
  <c r="BH409" i="6"/>
  <c r="BH395" i="6"/>
  <c r="CA423" i="6"/>
  <c r="BH396" i="6"/>
  <c r="BH342" i="6"/>
  <c r="CA433" i="6"/>
  <c r="BH392" i="6"/>
  <c r="BH306" i="6"/>
  <c r="BH424" i="6"/>
  <c r="BH242" i="6"/>
  <c r="BH250" i="6"/>
  <c r="BH246" i="6"/>
  <c r="CA434" i="6"/>
  <c r="BH398" i="6"/>
  <c r="BH388" i="6"/>
  <c r="CA439" i="6"/>
  <c r="CA438" i="6"/>
  <c r="CA437" i="6"/>
  <c r="CA436" i="6"/>
  <c r="CA435" i="6"/>
  <c r="BH422" i="6"/>
  <c r="BH403" i="6"/>
  <c r="BH350" i="6"/>
  <c r="BH333" i="6"/>
  <c r="BH198" i="6"/>
  <c r="BH137" i="6"/>
  <c r="CA25" i="6"/>
  <c r="BH146" i="6"/>
  <c r="BH133" i="6"/>
  <c r="BH404" i="6"/>
  <c r="BH376" i="6"/>
  <c r="BH334" i="6"/>
  <c r="BH142" i="6"/>
  <c r="BH449" i="6"/>
  <c r="BH430" i="6"/>
  <c r="BH425" i="6"/>
  <c r="BH394" i="6"/>
  <c r="BH448" i="6"/>
  <c r="BH450" i="6"/>
  <c r="BH440" i="6"/>
  <c r="BH206" i="6"/>
  <c r="BH202" i="6"/>
  <c r="BH346" i="6"/>
  <c r="BH428" i="6"/>
  <c r="BH420" i="6"/>
  <c r="BH412" i="6"/>
  <c r="BH411" i="6"/>
  <c r="BH410" i="6"/>
  <c r="BH397" i="6"/>
  <c r="BH386" i="6"/>
  <c r="BH315" i="6"/>
  <c r="CA445" i="6"/>
  <c r="CA13" i="6"/>
  <c r="BH416" i="6"/>
  <c r="BH405" i="6"/>
  <c r="BH200" i="6"/>
  <c r="CA415" i="6"/>
  <c r="BH230" i="6"/>
  <c r="CA358" i="6"/>
  <c r="CA446" i="6"/>
  <c r="BH344" i="6"/>
  <c r="CA447" i="6"/>
  <c r="BH349" i="6"/>
  <c r="BH318" i="6"/>
  <c r="BH226" i="6"/>
  <c r="BH192" i="6"/>
  <c r="BH139" i="6"/>
  <c r="CA382" i="6"/>
  <c r="BH382" i="6"/>
  <c r="BH442" i="6"/>
  <c r="CA326" i="6"/>
  <c r="BH432" i="6"/>
  <c r="CA432" i="6"/>
  <c r="BH444" i="6"/>
  <c r="CA444" i="6"/>
  <c r="CA338" i="6"/>
  <c r="BH338" i="6"/>
  <c r="CA210" i="6"/>
  <c r="BH210" i="6"/>
  <c r="BH22" i="6"/>
  <c r="CA22" i="6"/>
  <c r="CA310" i="6"/>
  <c r="BH310" i="6"/>
  <c r="BH400" i="6"/>
  <c r="CA325" i="6"/>
  <c r="BH325" i="6"/>
  <c r="CA301" i="6"/>
  <c r="BH301" i="6"/>
  <c r="CA222" i="6"/>
  <c r="BH222" i="6"/>
  <c r="CA238" i="6"/>
  <c r="BH238" i="6"/>
  <c r="CA431" i="6"/>
  <c r="BH431" i="6"/>
  <c r="CA194" i="6"/>
  <c r="BH194" i="6"/>
  <c r="CA443" i="6"/>
  <c r="BH443" i="6"/>
  <c r="CA441" i="6"/>
  <c r="CA429" i="6"/>
  <c r="CA427" i="6"/>
  <c r="BH390" i="6"/>
  <c r="CA165" i="6"/>
  <c r="BH426" i="6"/>
  <c r="BH399" i="6"/>
  <c r="BH384" i="6"/>
  <c r="BH312" i="6"/>
  <c r="BH304" i="6"/>
  <c r="BH218" i="6"/>
  <c r="BH380" i="6"/>
  <c r="BH337" i="6"/>
  <c r="BH329" i="6"/>
  <c r="BH328" i="6"/>
  <c r="BH327" i="6"/>
  <c r="BH324" i="6"/>
  <c r="BH316" i="6"/>
  <c r="BH308" i="6"/>
  <c r="BH300" i="6"/>
  <c r="BL417" i="6"/>
  <c r="AB406" i="6"/>
  <c r="CA177" i="6"/>
  <c r="AB19" i="6"/>
  <c r="CA356" i="6"/>
  <c r="CA303" i="6"/>
  <c r="AB173" i="6"/>
  <c r="BL24" i="6"/>
  <c r="AB221" i="6"/>
  <c r="CA41" i="6"/>
  <c r="AB382" i="6"/>
  <c r="AB379" i="6"/>
  <c r="AB341" i="6"/>
  <c r="CA336" i="6"/>
  <c r="AB279" i="6"/>
  <c r="AB229" i="6"/>
  <c r="AB205" i="6"/>
  <c r="CA354" i="6"/>
  <c r="AB351" i="6"/>
  <c r="CA319" i="6"/>
  <c r="AB237" i="6"/>
  <c r="BL208" i="6"/>
  <c r="CA185" i="6"/>
  <c r="CA173" i="6"/>
  <c r="CA127" i="6"/>
  <c r="CA84" i="6"/>
  <c r="CA49" i="6"/>
  <c r="AB433" i="6"/>
  <c r="AB369" i="6"/>
  <c r="AB329" i="6"/>
  <c r="BL325" i="6"/>
  <c r="CA266" i="6"/>
  <c r="AB245" i="6"/>
  <c r="AB213" i="6"/>
  <c r="BL204" i="6"/>
  <c r="BL286" i="6"/>
  <c r="AB191" i="6"/>
  <c r="BL134" i="6"/>
  <c r="CA15" i="6"/>
  <c r="BL397" i="6"/>
  <c r="AB392" i="6"/>
  <c r="AB387" i="6"/>
  <c r="CA366" i="6"/>
  <c r="AB348" i="6"/>
  <c r="AB342" i="6"/>
  <c r="BL422" i="6"/>
  <c r="AB398" i="6"/>
  <c r="AB320" i="6"/>
  <c r="BL298" i="6"/>
  <c r="BL296" i="6"/>
  <c r="AB294" i="6"/>
  <c r="BL274" i="6"/>
  <c r="CA264" i="6"/>
  <c r="AB249" i="6"/>
  <c r="AB241" i="6"/>
  <c r="AB233" i="6"/>
  <c r="AB225" i="6"/>
  <c r="AB217" i="6"/>
  <c r="BL212" i="6"/>
  <c r="AB206" i="6"/>
  <c r="AB197" i="6"/>
  <c r="AB159" i="6"/>
  <c r="CA18" i="6"/>
  <c r="AB444" i="6"/>
  <c r="BL416" i="6"/>
  <c r="CA362" i="6"/>
  <c r="AB337" i="6"/>
  <c r="AB335" i="6"/>
  <c r="AB310" i="6"/>
  <c r="AB307" i="6"/>
  <c r="AB299" i="6"/>
  <c r="BL278" i="6"/>
  <c r="AB183" i="6"/>
  <c r="CA43" i="6"/>
  <c r="AB40" i="6"/>
  <c r="BH47" i="6"/>
  <c r="CA47" i="6"/>
  <c r="BH330" i="6"/>
  <c r="BH35" i="6"/>
  <c r="CA35" i="6"/>
  <c r="BH20" i="6"/>
  <c r="CA20" i="6"/>
  <c r="BH372" i="6"/>
  <c r="CA372" i="6"/>
  <c r="AB429" i="6"/>
  <c r="BH161" i="6"/>
  <c r="CA161" i="6"/>
  <c r="BH141" i="6"/>
  <c r="AB367" i="6"/>
  <c r="BL345" i="6"/>
  <c r="BH341" i="6"/>
  <c r="CA341" i="6"/>
  <c r="AB435" i="6"/>
  <c r="BH348" i="6"/>
  <c r="CA348" i="6"/>
  <c r="AB311" i="6"/>
  <c r="BL311" i="6"/>
  <c r="BH262" i="6"/>
  <c r="CA262" i="6"/>
  <c r="AB397" i="6"/>
  <c r="BL351" i="6"/>
  <c r="AB304" i="6"/>
  <c r="AB298" i="6"/>
  <c r="AB297" i="6"/>
  <c r="BL291" i="6"/>
  <c r="BL290" i="6"/>
  <c r="AB289" i="6"/>
  <c r="BL281" i="6"/>
  <c r="AB278" i="6"/>
  <c r="AB194" i="6"/>
  <c r="AB162" i="6"/>
  <c r="AB142" i="6"/>
  <c r="CA125" i="6"/>
  <c r="CA93" i="6"/>
  <c r="AB34" i="6"/>
  <c r="AB402" i="6"/>
  <c r="AB381" i="6"/>
  <c r="CA364" i="6"/>
  <c r="AB332" i="6"/>
  <c r="AB322" i="6"/>
  <c r="AB317" i="6"/>
  <c r="BL294" i="6"/>
  <c r="BL292" i="6"/>
  <c r="BL282" i="6"/>
  <c r="BL279" i="6"/>
  <c r="AB250" i="6"/>
  <c r="AB247" i="6"/>
  <c r="AB246" i="6"/>
  <c r="AB243" i="6"/>
  <c r="AB242" i="6"/>
  <c r="AB239" i="6"/>
  <c r="AB238" i="6"/>
  <c r="AB235" i="6"/>
  <c r="AB234" i="6"/>
  <c r="AB231" i="6"/>
  <c r="AB230" i="6"/>
  <c r="AB227" i="6"/>
  <c r="AB226" i="6"/>
  <c r="AB223" i="6"/>
  <c r="AB222" i="6"/>
  <c r="AB219" i="6"/>
  <c r="AB218" i="6"/>
  <c r="AB214" i="6"/>
  <c r="AB198" i="6"/>
  <c r="BL185" i="6"/>
  <c r="BL171" i="6"/>
  <c r="CA150" i="6"/>
  <c r="AB104" i="6"/>
  <c r="AB102" i="6"/>
  <c r="AB100" i="6"/>
  <c r="AB98" i="6"/>
  <c r="AB22" i="6"/>
  <c r="AB16" i="6"/>
  <c r="AB423" i="6"/>
  <c r="BL394" i="6"/>
  <c r="AB390" i="6"/>
  <c r="AB376" i="6"/>
  <c r="AB359" i="6"/>
  <c r="BL414" i="6"/>
  <c r="BL398" i="6"/>
  <c r="AB391" i="6"/>
  <c r="AB384" i="6"/>
  <c r="AB437" i="6"/>
  <c r="AB418" i="6"/>
  <c r="AB416" i="6"/>
  <c r="BL406" i="6"/>
  <c r="BL405" i="6"/>
  <c r="BL385" i="6"/>
  <c r="CA370" i="6"/>
  <c r="BL324" i="6"/>
  <c r="BL295" i="6"/>
  <c r="BL285" i="6"/>
  <c r="AB283" i="6"/>
  <c r="AB271" i="6"/>
  <c r="BL264" i="6"/>
  <c r="AB263" i="6"/>
  <c r="CA258" i="6"/>
  <c r="AB255" i="6"/>
  <c r="BL252" i="6"/>
  <c r="AB199" i="6"/>
  <c r="BL197" i="6"/>
  <c r="AB185" i="6"/>
  <c r="CA179" i="6"/>
  <c r="AB178" i="6"/>
  <c r="AB171" i="6"/>
  <c r="AB168" i="6"/>
  <c r="AB165" i="6"/>
  <c r="AB113" i="6"/>
  <c r="AB111" i="6"/>
  <c r="AB109" i="6"/>
  <c r="CA31" i="6"/>
  <c r="BL30" i="6"/>
  <c r="CA21" i="6"/>
  <c r="CA406" i="6"/>
  <c r="BL402" i="6"/>
  <c r="AB399" i="6"/>
  <c r="BL388" i="6"/>
  <c r="AB385" i="6"/>
  <c r="AB378" i="6"/>
  <c r="CA368" i="6"/>
  <c r="AB361" i="6"/>
  <c r="AB358" i="6"/>
  <c r="BL343" i="6"/>
  <c r="BL339" i="6"/>
  <c r="AB336" i="6"/>
  <c r="CA332" i="6"/>
  <c r="BL329" i="6"/>
  <c r="AB326" i="6"/>
  <c r="BL320" i="6"/>
  <c r="AB319" i="6"/>
  <c r="AB314" i="6"/>
  <c r="AB309" i="6"/>
  <c r="BL309" i="6"/>
  <c r="AB303" i="6"/>
  <c r="AB287" i="6"/>
  <c r="BL280" i="6"/>
  <c r="BL276" i="6"/>
  <c r="BL275" i="6"/>
  <c r="BH260" i="6"/>
  <c r="CA260" i="6"/>
  <c r="AB215" i="6"/>
  <c r="AB207" i="6"/>
  <c r="BH175" i="6"/>
  <c r="CA175" i="6"/>
  <c r="AB175" i="6"/>
  <c r="AB169" i="6"/>
  <c r="BH128" i="6"/>
  <c r="CA128" i="6"/>
  <c r="AB302" i="6"/>
  <c r="BL302" i="6"/>
  <c r="AB422" i="6"/>
  <c r="AB431" i="6"/>
  <c r="AB419" i="6"/>
  <c r="BL418" i="6"/>
  <c r="BL410" i="6"/>
  <c r="BL409" i="6"/>
  <c r="BL392" i="6"/>
  <c r="BL391" i="6"/>
  <c r="AB388" i="6"/>
  <c r="BL381" i="6"/>
  <c r="BL375" i="6"/>
  <c r="AB365" i="6"/>
  <c r="CA360" i="6"/>
  <c r="AB353" i="6"/>
  <c r="BL350" i="6"/>
  <c r="BL346" i="6"/>
  <c r="AB343" i="6"/>
  <c r="BL341" i="6"/>
  <c r="BL340" i="6"/>
  <c r="AB339" i="6"/>
  <c r="AB338" i="6"/>
  <c r="BL337" i="6"/>
  <c r="BL330" i="6"/>
  <c r="AB324" i="6"/>
  <c r="CA323" i="6"/>
  <c r="BL322" i="6"/>
  <c r="CA314" i="6"/>
  <c r="BL307" i="6"/>
  <c r="BL301" i="6"/>
  <c r="BL297" i="6"/>
  <c r="AB295" i="6"/>
  <c r="AB293" i="6"/>
  <c r="AB291" i="6"/>
  <c r="AB282" i="6"/>
  <c r="AB281" i="6"/>
  <c r="BL270" i="6"/>
  <c r="BL254" i="6"/>
  <c r="BL210" i="6"/>
  <c r="AB208" i="6"/>
  <c r="AB192" i="6"/>
  <c r="AB170" i="6"/>
  <c r="BH29" i="6"/>
  <c r="CA29" i="6"/>
  <c r="BH401" i="6"/>
  <c r="AB421" i="6"/>
  <c r="AB441" i="6"/>
  <c r="AB439" i="6"/>
  <c r="AB432" i="6"/>
  <c r="AB405" i="6"/>
  <c r="BL393" i="6"/>
  <c r="AB389" i="6"/>
  <c r="BL384" i="6"/>
  <c r="BL383" i="6"/>
  <c r="AB375" i="6"/>
  <c r="AB357" i="6"/>
  <c r="AB355" i="6"/>
  <c r="AB350" i="6"/>
  <c r="BL348" i="6"/>
  <c r="AB347" i="6"/>
  <c r="AB346" i="6"/>
  <c r="AB345" i="6"/>
  <c r="BL336" i="6"/>
  <c r="BL334" i="6"/>
  <c r="BL323" i="6"/>
  <c r="BL319" i="6"/>
  <c r="BL318" i="6"/>
  <c r="AB313" i="6"/>
  <c r="BL313" i="6"/>
  <c r="AB301" i="6"/>
  <c r="AB285" i="6"/>
  <c r="BH171" i="6"/>
  <c r="CA171" i="6"/>
  <c r="BH168" i="6"/>
  <c r="CA168" i="6"/>
  <c r="AB163" i="6"/>
  <c r="BH85" i="6"/>
  <c r="CA85" i="6"/>
  <c r="BH39" i="6"/>
  <c r="CA39" i="6"/>
  <c r="BH23" i="6"/>
  <c r="CA23" i="6"/>
  <c r="AB203" i="6"/>
  <c r="BL193" i="6"/>
  <c r="AB187" i="6"/>
  <c r="AB181" i="6"/>
  <c r="AB167" i="6"/>
  <c r="AB151" i="6"/>
  <c r="AB129" i="6"/>
  <c r="AB124" i="6"/>
  <c r="AB120" i="6"/>
  <c r="AB118" i="6"/>
  <c r="AB53" i="6"/>
  <c r="AB46" i="6"/>
  <c r="AB38" i="6"/>
  <c r="AB15" i="6"/>
  <c r="BL317" i="6"/>
  <c r="BL316" i="6"/>
  <c r="BL305" i="6"/>
  <c r="BL300" i="6"/>
  <c r="BL299" i="6"/>
  <c r="BL289" i="6"/>
  <c r="AB286" i="6"/>
  <c r="BL284" i="6"/>
  <c r="BL283" i="6"/>
  <c r="AB270" i="6"/>
  <c r="AB211" i="6"/>
  <c r="BL207" i="6"/>
  <c r="AB204" i="6"/>
  <c r="AB196" i="6"/>
  <c r="AB186" i="6"/>
  <c r="AB179" i="6"/>
  <c r="AB177" i="6"/>
  <c r="CA167" i="6"/>
  <c r="BL161" i="6"/>
  <c r="AB153" i="6"/>
  <c r="AB146" i="6"/>
  <c r="AB137" i="6"/>
  <c r="AB135" i="6"/>
  <c r="BL133" i="6"/>
  <c r="AB132" i="6"/>
  <c r="CA51" i="6"/>
  <c r="AB44" i="6"/>
  <c r="CA33" i="6"/>
  <c r="AB17" i="6"/>
  <c r="AB334" i="6"/>
  <c r="BL332" i="6"/>
  <c r="AB331" i="6"/>
  <c r="AB330" i="6"/>
  <c r="BL328" i="6"/>
  <c r="BL314" i="6"/>
  <c r="BL303" i="6"/>
  <c r="BL293" i="6"/>
  <c r="AB290" i="6"/>
  <c r="BL288" i="6"/>
  <c r="BL287" i="6"/>
  <c r="BL268" i="6"/>
  <c r="BL267" i="6"/>
  <c r="BL259" i="6"/>
  <c r="AB254" i="6"/>
  <c r="BL215" i="6"/>
  <c r="AB212" i="6"/>
  <c r="AB209" i="6"/>
  <c r="BL202" i="6"/>
  <c r="AB201" i="6"/>
  <c r="BL199" i="6"/>
  <c r="CA187" i="6"/>
  <c r="CA181" i="6"/>
  <c r="CA163" i="6"/>
  <c r="AB154" i="6"/>
  <c r="AB141" i="6"/>
  <c r="CA92" i="6"/>
  <c r="AB49" i="6"/>
  <c r="AB47" i="6"/>
  <c r="AB42" i="6"/>
  <c r="CA37" i="6"/>
  <c r="BL36" i="6"/>
  <c r="BL28" i="6"/>
  <c r="CA19" i="6"/>
  <c r="CA17" i="6"/>
  <c r="AB14" i="6"/>
  <c r="BL13" i="6"/>
  <c r="AB12" i="6"/>
  <c r="BH345" i="6"/>
  <c r="CA345" i="6"/>
  <c r="BL344" i="6"/>
  <c r="AB344" i="6"/>
  <c r="BL333" i="6"/>
  <c r="AB333" i="6"/>
  <c r="AB425" i="6"/>
  <c r="BL413" i="6"/>
  <c r="AB410" i="6"/>
  <c r="BL389" i="6"/>
  <c r="AB386" i="6"/>
  <c r="BL376" i="6"/>
  <c r="BH340" i="6"/>
  <c r="CA340" i="6"/>
  <c r="AB340" i="6"/>
  <c r="BL321" i="6"/>
  <c r="BL272" i="6"/>
  <c r="BL261" i="6"/>
  <c r="AB261" i="6"/>
  <c r="AB244" i="6"/>
  <c r="BL244" i="6"/>
  <c r="AB236" i="6"/>
  <c r="BL236" i="6"/>
  <c r="BL228" i="6"/>
  <c r="AB228" i="6"/>
  <c r="BL220" i="6"/>
  <c r="AB220" i="6"/>
  <c r="AB436" i="6"/>
  <c r="AB428" i="6"/>
  <c r="AB414" i="6"/>
  <c r="BL408" i="6"/>
  <c r="BL401" i="6"/>
  <c r="AB394" i="6"/>
  <c r="BL386" i="6"/>
  <c r="AB383" i="6"/>
  <c r="BL382" i="6"/>
  <c r="BL380" i="6"/>
  <c r="BL379" i="6"/>
  <c r="BL377" i="6"/>
  <c r="BL374" i="6"/>
  <c r="AB363" i="6"/>
  <c r="BL347" i="6"/>
  <c r="BL338" i="6"/>
  <c r="AB321" i="6"/>
  <c r="AB318" i="6"/>
  <c r="AB316" i="6"/>
  <c r="BL315" i="6"/>
  <c r="AB315" i="6"/>
  <c r="BL312" i="6"/>
  <c r="BL308" i="6"/>
  <c r="AB305" i="6"/>
  <c r="BL304" i="6"/>
  <c r="AB296" i="6"/>
  <c r="AB292" i="6"/>
  <c r="AB288" i="6"/>
  <c r="AB284" i="6"/>
  <c r="AB280" i="6"/>
  <c r="BL277" i="6"/>
  <c r="AB277" i="6"/>
  <c r="BL256" i="6"/>
  <c r="CA248" i="6"/>
  <c r="BH248" i="6"/>
  <c r="CA244" i="6"/>
  <c r="BH244" i="6"/>
  <c r="CA240" i="6"/>
  <c r="BH240" i="6"/>
  <c r="CA236" i="6"/>
  <c r="BH236" i="6"/>
  <c r="CA232" i="6"/>
  <c r="BH232" i="6"/>
  <c r="CA228" i="6"/>
  <c r="BH228" i="6"/>
  <c r="CA224" i="6"/>
  <c r="BH224" i="6"/>
  <c r="CA220" i="6"/>
  <c r="BH220" i="6"/>
  <c r="CA216" i="6"/>
  <c r="BH216" i="6"/>
  <c r="BL426" i="6"/>
  <c r="BH302" i="6"/>
  <c r="CA302" i="6"/>
  <c r="BL269" i="6"/>
  <c r="AB269" i="6"/>
  <c r="BL251" i="6"/>
  <c r="AB251" i="6"/>
  <c r="CA212" i="6"/>
  <c r="BH212" i="6"/>
  <c r="BL155" i="6"/>
  <c r="AB155" i="6"/>
  <c r="AB434" i="6"/>
  <c r="AB426" i="6"/>
  <c r="BL424" i="6"/>
  <c r="BL399" i="6"/>
  <c r="AB393" i="6"/>
  <c r="BL378" i="6"/>
  <c r="AB371" i="6"/>
  <c r="AB325" i="6"/>
  <c r="BL253" i="6"/>
  <c r="AB253" i="6"/>
  <c r="BL248" i="6"/>
  <c r="AB248" i="6"/>
  <c r="BL240" i="6"/>
  <c r="AB240" i="6"/>
  <c r="BL232" i="6"/>
  <c r="AB232" i="6"/>
  <c r="AB224" i="6"/>
  <c r="BL224" i="6"/>
  <c r="AB216" i="6"/>
  <c r="BL216" i="6"/>
  <c r="AB438" i="6"/>
  <c r="AB430" i="6"/>
  <c r="BL420" i="6"/>
  <c r="BL390" i="6"/>
  <c r="BL387" i="6"/>
  <c r="AB380" i="6"/>
  <c r="AB377" i="6"/>
  <c r="AB352" i="6"/>
  <c r="BL349" i="6"/>
  <c r="AB349" i="6"/>
  <c r="BL342" i="6"/>
  <c r="BL335" i="6"/>
  <c r="BL331" i="6"/>
  <c r="AB323" i="6"/>
  <c r="BH322" i="6"/>
  <c r="CA322" i="6"/>
  <c r="AB312" i="6"/>
  <c r="BH311" i="6"/>
  <c r="CA311" i="6"/>
  <c r="BL310" i="6"/>
  <c r="AB308" i="6"/>
  <c r="BH307" i="6"/>
  <c r="CA307" i="6"/>
  <c r="BL306" i="6"/>
  <c r="AB306" i="6"/>
  <c r="AB262" i="6"/>
  <c r="BL262" i="6"/>
  <c r="CA204" i="6"/>
  <c r="BH204" i="6"/>
  <c r="AB372" i="6"/>
  <c r="BL357" i="6"/>
  <c r="AB356" i="6"/>
  <c r="AB300" i="6"/>
  <c r="AB276" i="6"/>
  <c r="AB268" i="6"/>
  <c r="AB260" i="6"/>
  <c r="BL451" i="6"/>
  <c r="AB447" i="6"/>
  <c r="BL443" i="6"/>
  <c r="AB427" i="6"/>
  <c r="BL425" i="6"/>
  <c r="AB420" i="6"/>
  <c r="AB413" i="6"/>
  <c r="AB412" i="6"/>
  <c r="AB401" i="6"/>
  <c r="AB374" i="6"/>
  <c r="AB370" i="6"/>
  <c r="BL356" i="6"/>
  <c r="BL355" i="6"/>
  <c r="AB354" i="6"/>
  <c r="AB275" i="6"/>
  <c r="AB274" i="6"/>
  <c r="BL273" i="6"/>
  <c r="AB267" i="6"/>
  <c r="AB266" i="6"/>
  <c r="BL265" i="6"/>
  <c r="BL260" i="6"/>
  <c r="AB259" i="6"/>
  <c r="AB258" i="6"/>
  <c r="BL257" i="6"/>
  <c r="BL250" i="6"/>
  <c r="BL247" i="6"/>
  <c r="BL246" i="6"/>
  <c r="BL243" i="6"/>
  <c r="BL242" i="6"/>
  <c r="BL239" i="6"/>
  <c r="BL238" i="6"/>
  <c r="BL235" i="6"/>
  <c r="BL234" i="6"/>
  <c r="BL231" i="6"/>
  <c r="BL230" i="6"/>
  <c r="BL227" i="6"/>
  <c r="BL226" i="6"/>
  <c r="BL223" i="6"/>
  <c r="BL222" i="6"/>
  <c r="BL219" i="6"/>
  <c r="BL218" i="6"/>
  <c r="BL214" i="6"/>
  <c r="AB210" i="6"/>
  <c r="BL206" i="6"/>
  <c r="AB202" i="6"/>
  <c r="BL196" i="6"/>
  <c r="AB184" i="6"/>
  <c r="BH153" i="6"/>
  <c r="CA153" i="6"/>
  <c r="AB328" i="6"/>
  <c r="AB252" i="6"/>
  <c r="CA196" i="6"/>
  <c r="BH196" i="6"/>
  <c r="BH155" i="6"/>
  <c r="CA155" i="6"/>
  <c r="BL144" i="6"/>
  <c r="BH81" i="6"/>
  <c r="CA81" i="6"/>
  <c r="BH40" i="6"/>
  <c r="CA40" i="6"/>
  <c r="BL421" i="6"/>
  <c r="BL403" i="6"/>
  <c r="BL395" i="6"/>
  <c r="AB417" i="6"/>
  <c r="BL412" i="6"/>
  <c r="AB409" i="6"/>
  <c r="AB408" i="6"/>
  <c r="AB403" i="6"/>
  <c r="AB395" i="6"/>
  <c r="BL358" i="6"/>
  <c r="BL354" i="6"/>
  <c r="CA351" i="6"/>
  <c r="BL326" i="6"/>
  <c r="AB273" i="6"/>
  <c r="AB272" i="6"/>
  <c r="BL271" i="6"/>
  <c r="BL266" i="6"/>
  <c r="AB265" i="6"/>
  <c r="AB264" i="6"/>
  <c r="BL263" i="6"/>
  <c r="BL258" i="6"/>
  <c r="AB257" i="6"/>
  <c r="AB256" i="6"/>
  <c r="BL255" i="6"/>
  <c r="BL200" i="6"/>
  <c r="AB200" i="6"/>
  <c r="BL198" i="6"/>
  <c r="BL245" i="6"/>
  <c r="BL237" i="6"/>
  <c r="BL229" i="6"/>
  <c r="BL221" i="6"/>
  <c r="BL213" i="6"/>
  <c r="BH208" i="6"/>
  <c r="BL205" i="6"/>
  <c r="AB193" i="6"/>
  <c r="BL192" i="6"/>
  <c r="BH189" i="6"/>
  <c r="CA189" i="6"/>
  <c r="BL189" i="6"/>
  <c r="AB188" i="6"/>
  <c r="AB161" i="6"/>
  <c r="BH157" i="6"/>
  <c r="CA157" i="6"/>
  <c r="BL157" i="6"/>
  <c r="AB156" i="6"/>
  <c r="BL152" i="6"/>
  <c r="BH147" i="6"/>
  <c r="CA147" i="6"/>
  <c r="AB147" i="6"/>
  <c r="BH53" i="6"/>
  <c r="CA53" i="6"/>
  <c r="BH38" i="6"/>
  <c r="CA38" i="6"/>
  <c r="BL211" i="6"/>
  <c r="BL203" i="6"/>
  <c r="BL194" i="6"/>
  <c r="BL191" i="6"/>
  <c r="AB190" i="6"/>
  <c r="BL183" i="6"/>
  <c r="AB182" i="6"/>
  <c r="BH176" i="6"/>
  <c r="CA176" i="6"/>
  <c r="AB176" i="6"/>
  <c r="BH159" i="6"/>
  <c r="CA159" i="6"/>
  <c r="BL159" i="6"/>
  <c r="AB158" i="6"/>
  <c r="BH152" i="6"/>
  <c r="CA152" i="6"/>
  <c r="AB152" i="6"/>
  <c r="AB149" i="6"/>
  <c r="AB148" i="6"/>
  <c r="AB138" i="6"/>
  <c r="BL138" i="6"/>
  <c r="BL136" i="6"/>
  <c r="AB108" i="6"/>
  <c r="AB106" i="6"/>
  <c r="AB97" i="6"/>
  <c r="BH89" i="6"/>
  <c r="CA89" i="6"/>
  <c r="BH44" i="6"/>
  <c r="CA44" i="6"/>
  <c r="BH36" i="6"/>
  <c r="CA36" i="6"/>
  <c r="BL249" i="6"/>
  <c r="BL241" i="6"/>
  <c r="BL233" i="6"/>
  <c r="BL225" i="6"/>
  <c r="BL217" i="6"/>
  <c r="BL209" i="6"/>
  <c r="BL201" i="6"/>
  <c r="AB195" i="6"/>
  <c r="AB189" i="6"/>
  <c r="CA183" i="6"/>
  <c r="BL177" i="6"/>
  <c r="BL167" i="6"/>
  <c r="AB166" i="6"/>
  <c r="BH160" i="6"/>
  <c r="CA160" i="6"/>
  <c r="AB160" i="6"/>
  <c r="AB157" i="6"/>
  <c r="CA151" i="6"/>
  <c r="AB150" i="6"/>
  <c r="BL148" i="6"/>
  <c r="AB139" i="6"/>
  <c r="AB122" i="6"/>
  <c r="AB117" i="6"/>
  <c r="AB115" i="6"/>
  <c r="BH45" i="6"/>
  <c r="CA45" i="6"/>
  <c r="BH42" i="6"/>
  <c r="CA42" i="6"/>
  <c r="BL145" i="6"/>
  <c r="AB144" i="6"/>
  <c r="AB143" i="6"/>
  <c r="BL141" i="6"/>
  <c r="BL137" i="6"/>
  <c r="AB136" i="6"/>
  <c r="AB133" i="6"/>
  <c r="AB131" i="6"/>
  <c r="AB130" i="6"/>
  <c r="AB123" i="6"/>
  <c r="AB116" i="6"/>
  <c r="AB114" i="6"/>
  <c r="AB107" i="6"/>
  <c r="CA88" i="6"/>
  <c r="AB51" i="6"/>
  <c r="CA46" i="6"/>
  <c r="BL32" i="6"/>
  <c r="CA27" i="6"/>
  <c r="CA26" i="6"/>
  <c r="BL20" i="6"/>
  <c r="CA16" i="6"/>
  <c r="CA14" i="6"/>
  <c r="AB13" i="6"/>
  <c r="CA11" i="6"/>
  <c r="BL195" i="6"/>
  <c r="BL187" i="6"/>
  <c r="BL181" i="6"/>
  <c r="AB180" i="6"/>
  <c r="BL179" i="6"/>
  <c r="BL175" i="6"/>
  <c r="AB174" i="6"/>
  <c r="BL173" i="6"/>
  <c r="AB172" i="6"/>
  <c r="BL169" i="6"/>
  <c r="BL165" i="6"/>
  <c r="AB164" i="6"/>
  <c r="BL163" i="6"/>
  <c r="BL146" i="6"/>
  <c r="AB145" i="6"/>
  <c r="BL143" i="6"/>
  <c r="BL142" i="6"/>
  <c r="BL139" i="6"/>
  <c r="BL135" i="6"/>
  <c r="AB134" i="6"/>
  <c r="BL132" i="6"/>
  <c r="BL130" i="6"/>
  <c r="BL129" i="6"/>
  <c r="AB121" i="6"/>
  <c r="AB119" i="6"/>
  <c r="AB112" i="6"/>
  <c r="AB110" i="6"/>
  <c r="AB105" i="6"/>
  <c r="AB103" i="6"/>
  <c r="AB101" i="6"/>
  <c r="AB99" i="6"/>
  <c r="CA30" i="6"/>
  <c r="BL11" i="6"/>
  <c r="BL17" i="6"/>
  <c r="BL15" i="6"/>
  <c r="BL450" i="6"/>
  <c r="BL446" i="6"/>
  <c r="BL441" i="6"/>
  <c r="BL449" i="6"/>
  <c r="BL445" i="6"/>
  <c r="BL442" i="6"/>
  <c r="BL440" i="6"/>
  <c r="BL452" i="6"/>
  <c r="BL448" i="6"/>
  <c r="AB442" i="6"/>
  <c r="AB440" i="6"/>
  <c r="CA391" i="6"/>
  <c r="CA387" i="6"/>
  <c r="CA383" i="6"/>
  <c r="CA379" i="6"/>
  <c r="CA375" i="6"/>
  <c r="CA371" i="6"/>
  <c r="CA367" i="6"/>
  <c r="CA363" i="6"/>
  <c r="CA359" i="6"/>
  <c r="CA355" i="6"/>
  <c r="CA393" i="6"/>
  <c r="CA389" i="6"/>
  <c r="CA385" i="6"/>
  <c r="CA381" i="6"/>
  <c r="CA377" i="6"/>
  <c r="CA369" i="6"/>
  <c r="CA365" i="6"/>
  <c r="CA361" i="6"/>
  <c r="CA357" i="6"/>
  <c r="CA347" i="6"/>
  <c r="CA343" i="6"/>
  <c r="CA339" i="6"/>
  <c r="CA335" i="6"/>
  <c r="CA331" i="6"/>
  <c r="CA321" i="6"/>
  <c r="CA317" i="6"/>
  <c r="CA313" i="6"/>
  <c r="CA309" i="6"/>
  <c r="CA305" i="6"/>
  <c r="BH417" i="6"/>
  <c r="BL415" i="6"/>
  <c r="BL404" i="6"/>
  <c r="AB404" i="6"/>
  <c r="BL396" i="6"/>
  <c r="AB396" i="6"/>
  <c r="BL423" i="6"/>
  <c r="BL400" i="6"/>
  <c r="AB400" i="6"/>
  <c r="BH373" i="6"/>
  <c r="CA373" i="6"/>
  <c r="BL411" i="6"/>
  <c r="BL407" i="6"/>
  <c r="BL427" i="6"/>
  <c r="AB424" i="6"/>
  <c r="AB415" i="6"/>
  <c r="AB411" i="6"/>
  <c r="AB407" i="6"/>
  <c r="BL438" i="6"/>
  <c r="BL436" i="6"/>
  <c r="BL434" i="6"/>
  <c r="BL432" i="6"/>
  <c r="BL430" i="6"/>
  <c r="BL428" i="6"/>
  <c r="BL419" i="6"/>
  <c r="BH374" i="6"/>
  <c r="CA374" i="6"/>
  <c r="BL327" i="6"/>
  <c r="AB327" i="6"/>
  <c r="BL368" i="6"/>
  <c r="BL366" i="6"/>
  <c r="BL364" i="6"/>
  <c r="BL362" i="6"/>
  <c r="BL360" i="6"/>
  <c r="BL439" i="6"/>
  <c r="BL437" i="6"/>
  <c r="BL435" i="6"/>
  <c r="BL433" i="6"/>
  <c r="BL431" i="6"/>
  <c r="BL429" i="6"/>
  <c r="AB368" i="6"/>
  <c r="AB366" i="6"/>
  <c r="AB364" i="6"/>
  <c r="AB362" i="6"/>
  <c r="AB360" i="6"/>
  <c r="CA353" i="6"/>
  <c r="BL352" i="6"/>
  <c r="BL369" i="6"/>
  <c r="BL367" i="6"/>
  <c r="BL365" i="6"/>
  <c r="BL363" i="6"/>
  <c r="BL361" i="6"/>
  <c r="BL359" i="6"/>
  <c r="BL353" i="6"/>
  <c r="CA169" i="6"/>
  <c r="BH156" i="6"/>
  <c r="CA156" i="6"/>
  <c r="BH12" i="6"/>
  <c r="CA12" i="6"/>
  <c r="CA265" i="6"/>
  <c r="CA261" i="6"/>
  <c r="CA257" i="6"/>
  <c r="BH166" i="6"/>
  <c r="CA166" i="6"/>
  <c r="BH162" i="6"/>
  <c r="CA162" i="6"/>
  <c r="BH123" i="6"/>
  <c r="CA123" i="6"/>
  <c r="BH256" i="6"/>
  <c r="CA256" i="6"/>
  <c r="BH188" i="6"/>
  <c r="CA188" i="6"/>
  <c r="BH90" i="6"/>
  <c r="CA90" i="6"/>
  <c r="CA297" i="6"/>
  <c r="CA296" i="6"/>
  <c r="CA295" i="6"/>
  <c r="CA293" i="6"/>
  <c r="CA290" i="6"/>
  <c r="CA288" i="6"/>
  <c r="CA287" i="6"/>
  <c r="CA286" i="6"/>
  <c r="CA285" i="6"/>
  <c r="CA284" i="6"/>
  <c r="CA283" i="6"/>
  <c r="CA282" i="6"/>
  <c r="CA281" i="6"/>
  <c r="CA280" i="6"/>
  <c r="CA279" i="6"/>
  <c r="CA278" i="6"/>
  <c r="CA277" i="6"/>
  <c r="CA276" i="6"/>
  <c r="CA275" i="6"/>
  <c r="CA274" i="6"/>
  <c r="CA273" i="6"/>
  <c r="CA272" i="6"/>
  <c r="CA271" i="6"/>
  <c r="CA270" i="6"/>
  <c r="CA269" i="6"/>
  <c r="CA268" i="6"/>
  <c r="CA267" i="6"/>
  <c r="BH255" i="6"/>
  <c r="CA255" i="6"/>
  <c r="BH253" i="6"/>
  <c r="CA253" i="6"/>
  <c r="BH251" i="6"/>
  <c r="CA251" i="6"/>
  <c r="BH182" i="6"/>
  <c r="CA182" i="6"/>
  <c r="BH178" i="6"/>
  <c r="CA178" i="6"/>
  <c r="BH172" i="6"/>
  <c r="CA172" i="6"/>
  <c r="BH94" i="6"/>
  <c r="CA94" i="6"/>
  <c r="BH86" i="6"/>
  <c r="CA86" i="6"/>
  <c r="BH48" i="6"/>
  <c r="CA48" i="6"/>
  <c r="BH254" i="6"/>
  <c r="CA254" i="6"/>
  <c r="BH252" i="6"/>
  <c r="CA252" i="6"/>
  <c r="BH82" i="6"/>
  <c r="CA82" i="6"/>
  <c r="CA299" i="6"/>
  <c r="CA298" i="6"/>
  <c r="CA294" i="6"/>
  <c r="CA292" i="6"/>
  <c r="CA291" i="6"/>
  <c r="CA289" i="6"/>
  <c r="CA263" i="6"/>
  <c r="CA259" i="6"/>
  <c r="BH149" i="6"/>
  <c r="CA149" i="6"/>
  <c r="BH52" i="6"/>
  <c r="CA52" i="6"/>
  <c r="BH34" i="6"/>
  <c r="CA34" i="6"/>
  <c r="BH28" i="6"/>
  <c r="CA28" i="6"/>
  <c r="BH130" i="6"/>
  <c r="CA184" i="6"/>
  <c r="CA190" i="6"/>
  <c r="CA186" i="6"/>
  <c r="CA180" i="6"/>
  <c r="CA174" i="6"/>
  <c r="CA170" i="6"/>
  <c r="CA164" i="6"/>
  <c r="CA158" i="6"/>
  <c r="CA154" i="6"/>
  <c r="CA124" i="6"/>
  <c r="CA91" i="6"/>
  <c r="CA87" i="6"/>
  <c r="CA83" i="6"/>
  <c r="CA32" i="6"/>
  <c r="CA24" i="6"/>
  <c r="CA131" i="6"/>
  <c r="BH131" i="6"/>
  <c r="BH126" i="6"/>
  <c r="CA126" i="6"/>
  <c r="BL26" i="6"/>
  <c r="AB26" i="6"/>
  <c r="BH249" i="6"/>
  <c r="BH247" i="6"/>
  <c r="BH245" i="6"/>
  <c r="BH243" i="6"/>
  <c r="BH241" i="6"/>
  <c r="BH239" i="6"/>
  <c r="BH237" i="6"/>
  <c r="BH235" i="6"/>
  <c r="BH233" i="6"/>
  <c r="BH231" i="6"/>
  <c r="BH229" i="6"/>
  <c r="BH227" i="6"/>
  <c r="BH225" i="6"/>
  <c r="BH223" i="6"/>
  <c r="BH221" i="6"/>
  <c r="BH219" i="6"/>
  <c r="BH217" i="6"/>
  <c r="BH215" i="6"/>
  <c r="BH213" i="6"/>
  <c r="BH211" i="6"/>
  <c r="BH209" i="6"/>
  <c r="BH207" i="6"/>
  <c r="BH205" i="6"/>
  <c r="BH203" i="6"/>
  <c r="BH201" i="6"/>
  <c r="BH199" i="6"/>
  <c r="BH197" i="6"/>
  <c r="BH195" i="6"/>
  <c r="BH193" i="6"/>
  <c r="BH191" i="6"/>
  <c r="BL131" i="6"/>
  <c r="BL150" i="6"/>
  <c r="CA140" i="6"/>
  <c r="BH140" i="6"/>
  <c r="AB140" i="6"/>
  <c r="BL140" i="6"/>
  <c r="CA144" i="6"/>
  <c r="BH144" i="6"/>
  <c r="BH143" i="6"/>
  <c r="CA134" i="6"/>
  <c r="BH134" i="6"/>
  <c r="BL149" i="6"/>
  <c r="CA148" i="6"/>
  <c r="BL147" i="6"/>
  <c r="BH145" i="6"/>
  <c r="BH138" i="6"/>
  <c r="CA136" i="6"/>
  <c r="BH136" i="6"/>
  <c r="BH135" i="6"/>
  <c r="BL34" i="6"/>
  <c r="AB30" i="6"/>
  <c r="BL18" i="6"/>
  <c r="AB18" i="6"/>
  <c r="BL190" i="6"/>
  <c r="BL188" i="6"/>
  <c r="BL186" i="6"/>
  <c r="BL184" i="6"/>
  <c r="BL182" i="6"/>
  <c r="BL180" i="6"/>
  <c r="BL178" i="6"/>
  <c r="BL176" i="6"/>
  <c r="BL174" i="6"/>
  <c r="BL172" i="6"/>
  <c r="BL170" i="6"/>
  <c r="BL168" i="6"/>
  <c r="BL166" i="6"/>
  <c r="BL164" i="6"/>
  <c r="BL162" i="6"/>
  <c r="BL160" i="6"/>
  <c r="BL158" i="6"/>
  <c r="BL156" i="6"/>
  <c r="BL154" i="6"/>
  <c r="CA132" i="6"/>
  <c r="BH132" i="6"/>
  <c r="BL46" i="6"/>
  <c r="BL42" i="6"/>
  <c r="BL38" i="6"/>
  <c r="BL22" i="6"/>
  <c r="BL12" i="6"/>
  <c r="BL153" i="6"/>
  <c r="BL151" i="6"/>
  <c r="BH129" i="6"/>
  <c r="CA129" i="6"/>
  <c r="BL44" i="6"/>
  <c r="BL40" i="6"/>
  <c r="AB36" i="6"/>
  <c r="AB32" i="6"/>
  <c r="AB28" i="6"/>
  <c r="AB24" i="6"/>
  <c r="AB20" i="6"/>
  <c r="BL45" i="6"/>
  <c r="BL43" i="6"/>
  <c r="BL41" i="6"/>
  <c r="BL39" i="6"/>
  <c r="BL37" i="6"/>
  <c r="BL35" i="6"/>
  <c r="BL33" i="6"/>
  <c r="BL31" i="6"/>
  <c r="BL29" i="6"/>
  <c r="BL27" i="6"/>
  <c r="BL25" i="6"/>
  <c r="BL23" i="6"/>
  <c r="BL21" i="6"/>
  <c r="BL19" i="6"/>
  <c r="CA50" i="6"/>
  <c r="AB45" i="6"/>
  <c r="AB43" i="6"/>
  <c r="AB41" i="6"/>
  <c r="AB39" i="6"/>
  <c r="AB37" i="6"/>
  <c r="AB35" i="6"/>
  <c r="AB33" i="6"/>
  <c r="AB31" i="6"/>
  <c r="AB29" i="6"/>
  <c r="AB27" i="6"/>
  <c r="AB25" i="6"/>
  <c r="AB23" i="6"/>
  <c r="AB21" i="6"/>
  <c r="BL16" i="6"/>
  <c r="BL14" i="6"/>
  <c r="AB452" i="6"/>
  <c r="AB451" i="6"/>
  <c r="AB449" i="6"/>
  <c r="AB448" i="6"/>
  <c r="AB450" i="6"/>
  <c r="AB446" i="6"/>
  <c r="AB445" i="6"/>
  <c r="AB443" i="6"/>
  <c r="BL373" i="6"/>
  <c r="BL447" i="6"/>
  <c r="BL444" i="6"/>
  <c r="AB373" i="6"/>
  <c r="BL371" i="6"/>
  <c r="BL372" i="6"/>
  <c r="BL370" i="6"/>
  <c r="BL128" i="6"/>
  <c r="BL126" i="6"/>
  <c r="BL124" i="6"/>
  <c r="BL96" i="6"/>
  <c r="AB96" i="6"/>
  <c r="BL95" i="6"/>
  <c r="AB95" i="6"/>
  <c r="BL76" i="6"/>
  <c r="AB76" i="6"/>
  <c r="BL72" i="6"/>
  <c r="AB72" i="6"/>
  <c r="BL68" i="6"/>
  <c r="AB68" i="6"/>
  <c r="BL64" i="6"/>
  <c r="AB64" i="6"/>
  <c r="BL60" i="6"/>
  <c r="AB60" i="6"/>
  <c r="BL56" i="6"/>
  <c r="AB56" i="6"/>
  <c r="BL52" i="6"/>
  <c r="AB52" i="6"/>
  <c r="BL48" i="6"/>
  <c r="AB48" i="6"/>
  <c r="AB128" i="6"/>
  <c r="AB126" i="6"/>
  <c r="BL123" i="6"/>
  <c r="BH122" i="6"/>
  <c r="CA122" i="6"/>
  <c r="BL122" i="6"/>
  <c r="BH121" i="6"/>
  <c r="CA121" i="6"/>
  <c r="BL121" i="6"/>
  <c r="BH120" i="6"/>
  <c r="CA120" i="6"/>
  <c r="BL120" i="6"/>
  <c r="BH119" i="6"/>
  <c r="CA119" i="6"/>
  <c r="BL119" i="6"/>
  <c r="BH118" i="6"/>
  <c r="CA118" i="6"/>
  <c r="BL118" i="6"/>
  <c r="BH117" i="6"/>
  <c r="CA117" i="6"/>
  <c r="BL117" i="6"/>
  <c r="BH116" i="6"/>
  <c r="CA116" i="6"/>
  <c r="BL116" i="6"/>
  <c r="BH115" i="6"/>
  <c r="CA115" i="6"/>
  <c r="BL115" i="6"/>
  <c r="BH114" i="6"/>
  <c r="CA114" i="6"/>
  <c r="BL114" i="6"/>
  <c r="BH113" i="6"/>
  <c r="CA113" i="6"/>
  <c r="BL113" i="6"/>
  <c r="BH112" i="6"/>
  <c r="CA112" i="6"/>
  <c r="BL112" i="6"/>
  <c r="BH111" i="6"/>
  <c r="CA111" i="6"/>
  <c r="BL111" i="6"/>
  <c r="BH110" i="6"/>
  <c r="CA110" i="6"/>
  <c r="BL110" i="6"/>
  <c r="BH109" i="6"/>
  <c r="CA109" i="6"/>
  <c r="BL109" i="6"/>
  <c r="BH108" i="6"/>
  <c r="CA108" i="6"/>
  <c r="BL108" i="6"/>
  <c r="BH107" i="6"/>
  <c r="CA107" i="6"/>
  <c r="BL107" i="6"/>
  <c r="BH106" i="6"/>
  <c r="CA106" i="6"/>
  <c r="BL106" i="6"/>
  <c r="BH105" i="6"/>
  <c r="CA105" i="6"/>
  <c r="BL105" i="6"/>
  <c r="BH104" i="6"/>
  <c r="CA104" i="6"/>
  <c r="BL104" i="6"/>
  <c r="BH103" i="6"/>
  <c r="CA103" i="6"/>
  <c r="BL103" i="6"/>
  <c r="BH102" i="6"/>
  <c r="CA102" i="6"/>
  <c r="BL102" i="6"/>
  <c r="BH101" i="6"/>
  <c r="CA101" i="6"/>
  <c r="BL101" i="6"/>
  <c r="BH100" i="6"/>
  <c r="CA100" i="6"/>
  <c r="BL100" i="6"/>
  <c r="BH99" i="6"/>
  <c r="CA99" i="6"/>
  <c r="BL99" i="6"/>
  <c r="BH98" i="6"/>
  <c r="CA98" i="6"/>
  <c r="BL98" i="6"/>
  <c r="BH97" i="6"/>
  <c r="CA97" i="6"/>
  <c r="BL97" i="6"/>
  <c r="BH96" i="6"/>
  <c r="CA96" i="6"/>
  <c r="BH95" i="6"/>
  <c r="CA95" i="6"/>
  <c r="BL94" i="6"/>
  <c r="AB94" i="6"/>
  <c r="BL92" i="6"/>
  <c r="AB92" i="6"/>
  <c r="BL90" i="6"/>
  <c r="AB90" i="6"/>
  <c r="BL88" i="6"/>
  <c r="AB88" i="6"/>
  <c r="BL86" i="6"/>
  <c r="AB86" i="6"/>
  <c r="BL84" i="6"/>
  <c r="AB84" i="6"/>
  <c r="BL82" i="6"/>
  <c r="AB82" i="6"/>
  <c r="BL127" i="6"/>
  <c r="BL125" i="6"/>
  <c r="AB127" i="6"/>
  <c r="AB125" i="6"/>
  <c r="BL81" i="6"/>
  <c r="AB81" i="6"/>
  <c r="BH80" i="6"/>
  <c r="CA80" i="6"/>
  <c r="BL80" i="6"/>
  <c r="AB80" i="6"/>
  <c r="BH79" i="6"/>
  <c r="CA79" i="6"/>
  <c r="BL79" i="6"/>
  <c r="AB79" i="6"/>
  <c r="BH78" i="6"/>
  <c r="CA78" i="6"/>
  <c r="BL78" i="6"/>
  <c r="AB78" i="6"/>
  <c r="BL77" i="6"/>
  <c r="AB77" i="6"/>
  <c r="BL73" i="6"/>
  <c r="AB73" i="6"/>
  <c r="BL69" i="6"/>
  <c r="AB69" i="6"/>
  <c r="BL65" i="6"/>
  <c r="AB65" i="6"/>
  <c r="BL61" i="6"/>
  <c r="AB61" i="6"/>
  <c r="BL57" i="6"/>
  <c r="AB57" i="6"/>
  <c r="BL93" i="6"/>
  <c r="BL91" i="6"/>
  <c r="BL89" i="6"/>
  <c r="BL87" i="6"/>
  <c r="BL85" i="6"/>
  <c r="BL83" i="6"/>
  <c r="BL74" i="6"/>
  <c r="AB74" i="6"/>
  <c r="BL70" i="6"/>
  <c r="AB70" i="6"/>
  <c r="BL66" i="6"/>
  <c r="AB66" i="6"/>
  <c r="BL62" i="6"/>
  <c r="AB62" i="6"/>
  <c r="BL58" i="6"/>
  <c r="AB58" i="6"/>
  <c r="BL54" i="6"/>
  <c r="AB54" i="6"/>
  <c r="BL50" i="6"/>
  <c r="AB50" i="6"/>
  <c r="AB93" i="6"/>
  <c r="AB91" i="6"/>
  <c r="AB89" i="6"/>
  <c r="AB87" i="6"/>
  <c r="AB85" i="6"/>
  <c r="AB83" i="6"/>
  <c r="BL75" i="6"/>
  <c r="AB75" i="6"/>
  <c r="BL71" i="6"/>
  <c r="AB71" i="6"/>
  <c r="BL67" i="6"/>
  <c r="AB67" i="6"/>
  <c r="BL63" i="6"/>
  <c r="AB63" i="6"/>
  <c r="BL59" i="6"/>
  <c r="AB59" i="6"/>
  <c r="BL55" i="6"/>
  <c r="AB55" i="6"/>
  <c r="CA77" i="6"/>
  <c r="CA76" i="6"/>
  <c r="CA75" i="6"/>
  <c r="CA74" i="6"/>
  <c r="CA73" i="6"/>
  <c r="CA72" i="6"/>
  <c r="CA71" i="6"/>
  <c r="CA70" i="6"/>
  <c r="CA69" i="6"/>
  <c r="CA68" i="6"/>
  <c r="CA67" i="6"/>
  <c r="CA66" i="6"/>
  <c r="CA65" i="6"/>
  <c r="CA64" i="6"/>
  <c r="CA63" i="6"/>
  <c r="CA62" i="6"/>
  <c r="CA61" i="6"/>
  <c r="CA60" i="6"/>
  <c r="CA59" i="6"/>
  <c r="CA58" i="6"/>
  <c r="CA57" i="6"/>
  <c r="CA56" i="6"/>
  <c r="CA55" i="6"/>
  <c r="CA54" i="6"/>
  <c r="BL53" i="6"/>
  <c r="BL51" i="6"/>
  <c r="BL49" i="6"/>
  <c r="BL47" i="6"/>
  <c r="Z11" i="2" l="1"/>
  <c r="AC11" i="2"/>
  <c r="AF11" i="2"/>
  <c r="AT11" i="2"/>
  <c r="DE11" i="2" s="1"/>
  <c r="AV11" i="2"/>
  <c r="DF11" i="2" s="1"/>
  <c r="AX11" i="2"/>
  <c r="DG11" i="2" s="1"/>
  <c r="BG11" i="2"/>
  <c r="BH11" i="2"/>
  <c r="BQ11" i="2"/>
  <c r="BZ11" i="2"/>
  <c r="DB11" i="2"/>
  <c r="DH11" i="2"/>
  <c r="DI11" i="2"/>
  <c r="DJ11" i="2"/>
  <c r="DL11" i="2"/>
  <c r="DM11" i="2"/>
  <c r="Z12" i="2"/>
  <c r="AC12" i="2"/>
  <c r="AF12" i="2"/>
  <c r="AT12" i="2"/>
  <c r="DE12" i="2" s="1"/>
  <c r="AV12" i="2"/>
  <c r="DF12" i="2" s="1"/>
  <c r="AX12" i="2"/>
  <c r="DG12" i="2" s="1"/>
  <c r="BG12" i="2"/>
  <c r="BP12" i="2" s="1"/>
  <c r="BH12" i="2"/>
  <c r="BQ12" i="2"/>
  <c r="BZ12" i="2"/>
  <c r="DB12" i="2"/>
  <c r="DH12" i="2"/>
  <c r="DI12" i="2"/>
  <c r="DJ12" i="2"/>
  <c r="DL12" i="2"/>
  <c r="DM12" i="2"/>
  <c r="Z13" i="2"/>
  <c r="AC13" i="2"/>
  <c r="AF13" i="2"/>
  <c r="AT13" i="2"/>
  <c r="DE13" i="2" s="1"/>
  <c r="AV13" i="2"/>
  <c r="DF13" i="2" s="1"/>
  <c r="AX13" i="2"/>
  <c r="DG13" i="2" s="1"/>
  <c r="BG13" i="2"/>
  <c r="BH13" i="2"/>
  <c r="BQ13" i="2"/>
  <c r="BZ13" i="2"/>
  <c r="DB13" i="2"/>
  <c r="DH13" i="2"/>
  <c r="DI13" i="2"/>
  <c r="DJ13" i="2"/>
  <c r="DL13" i="2"/>
  <c r="DM13" i="2"/>
  <c r="Z14" i="2"/>
  <c r="AC14" i="2"/>
  <c r="AF14" i="2"/>
  <c r="AT14" i="2"/>
  <c r="DE14" i="2" s="1"/>
  <c r="AV14" i="2"/>
  <c r="DF14" i="2" s="1"/>
  <c r="AX14" i="2"/>
  <c r="DG14" i="2" s="1"/>
  <c r="BG14" i="2"/>
  <c r="BP14" i="2" s="1"/>
  <c r="BH14" i="2"/>
  <c r="BQ14" i="2"/>
  <c r="BZ14" i="2"/>
  <c r="DB14" i="2"/>
  <c r="DH14" i="2"/>
  <c r="DI14" i="2"/>
  <c r="DJ14" i="2"/>
  <c r="DL14" i="2"/>
  <c r="DM14" i="2"/>
  <c r="Z15" i="2"/>
  <c r="AC15" i="2"/>
  <c r="AF15" i="2"/>
  <c r="AT15" i="2"/>
  <c r="DE15" i="2" s="1"/>
  <c r="AV15" i="2"/>
  <c r="DF15" i="2" s="1"/>
  <c r="AX15" i="2"/>
  <c r="DG15" i="2" s="1"/>
  <c r="BG15" i="2"/>
  <c r="BP15" i="2" s="1"/>
  <c r="BZ15" i="2"/>
  <c r="DB15" i="2"/>
  <c r="DH15" i="2"/>
  <c r="DI15" i="2"/>
  <c r="DJ15" i="2"/>
  <c r="DL15" i="2"/>
  <c r="DM15" i="2"/>
  <c r="Z16" i="2"/>
  <c r="AC16" i="2"/>
  <c r="AF16" i="2"/>
  <c r="AT16" i="2"/>
  <c r="DE16" i="2" s="1"/>
  <c r="AV16" i="2"/>
  <c r="DF16" i="2" s="1"/>
  <c r="AX16" i="2"/>
  <c r="DG16" i="2" s="1"/>
  <c r="BG16" i="2"/>
  <c r="BP16" i="2" s="1"/>
  <c r="BH16" i="2"/>
  <c r="BQ16" i="2"/>
  <c r="BZ16" i="2"/>
  <c r="DB16" i="2"/>
  <c r="DH16" i="2"/>
  <c r="DI16" i="2"/>
  <c r="DJ16" i="2"/>
  <c r="DL16" i="2"/>
  <c r="DM16" i="2"/>
  <c r="Z17" i="2"/>
  <c r="AC17" i="2"/>
  <c r="AF17" i="2"/>
  <c r="AT17" i="2"/>
  <c r="DE17" i="2" s="1"/>
  <c r="AV17" i="2"/>
  <c r="DF17" i="2" s="1"/>
  <c r="AX17" i="2"/>
  <c r="DG17" i="2" s="1"/>
  <c r="BG17" i="2"/>
  <c r="BH17" i="2"/>
  <c r="BQ17" i="2"/>
  <c r="BZ17" i="2"/>
  <c r="DB17" i="2"/>
  <c r="DH17" i="2"/>
  <c r="DI17" i="2"/>
  <c r="DJ17" i="2"/>
  <c r="DL17" i="2"/>
  <c r="DM17" i="2"/>
  <c r="Z18" i="2"/>
  <c r="AC18" i="2"/>
  <c r="AF18" i="2"/>
  <c r="AT18" i="2"/>
  <c r="DE18" i="2" s="1"/>
  <c r="AV18" i="2"/>
  <c r="DF18" i="2" s="1"/>
  <c r="AX18" i="2"/>
  <c r="DG18" i="2" s="1"/>
  <c r="BG18" i="2"/>
  <c r="BP18" i="2" s="1"/>
  <c r="BH18" i="2"/>
  <c r="BQ18" i="2"/>
  <c r="BZ18" i="2"/>
  <c r="DB18" i="2"/>
  <c r="DH18" i="2"/>
  <c r="DI18" i="2"/>
  <c r="DJ18" i="2"/>
  <c r="DL18" i="2"/>
  <c r="DM18" i="2"/>
  <c r="Z19" i="2"/>
  <c r="AC19" i="2"/>
  <c r="AF19" i="2"/>
  <c r="AT19" i="2"/>
  <c r="DE19" i="2" s="1"/>
  <c r="AV19" i="2"/>
  <c r="DF19" i="2" s="1"/>
  <c r="AX19" i="2"/>
  <c r="DG19" i="2" s="1"/>
  <c r="BG19" i="2"/>
  <c r="BH19" i="2"/>
  <c r="BQ19" i="2"/>
  <c r="BZ19" i="2"/>
  <c r="DB19" i="2"/>
  <c r="DH19" i="2"/>
  <c r="DI19" i="2"/>
  <c r="DJ19" i="2"/>
  <c r="DL19" i="2"/>
  <c r="DM19" i="2"/>
  <c r="Z20" i="2"/>
  <c r="AC20" i="2"/>
  <c r="AF20" i="2"/>
  <c r="AT20" i="2"/>
  <c r="DE20" i="2" s="1"/>
  <c r="AV20" i="2"/>
  <c r="DF20" i="2" s="1"/>
  <c r="AX20" i="2"/>
  <c r="DG20" i="2" s="1"/>
  <c r="BG20" i="2"/>
  <c r="BP20" i="2" s="1"/>
  <c r="BH20" i="2"/>
  <c r="BQ20" i="2"/>
  <c r="BZ20" i="2"/>
  <c r="DB20" i="2"/>
  <c r="DH20" i="2"/>
  <c r="DI20" i="2"/>
  <c r="DJ20" i="2"/>
  <c r="DL20" i="2"/>
  <c r="DM20" i="2"/>
  <c r="Z21" i="2"/>
  <c r="AC21" i="2"/>
  <c r="AF21" i="2"/>
  <c r="AT21" i="2"/>
  <c r="DE21" i="2" s="1"/>
  <c r="AV21" i="2"/>
  <c r="DF21" i="2" s="1"/>
  <c r="AX21" i="2"/>
  <c r="DG21" i="2" s="1"/>
  <c r="BG21" i="2"/>
  <c r="BH21" i="2"/>
  <c r="BQ21" i="2"/>
  <c r="BZ21" i="2"/>
  <c r="DB21" i="2"/>
  <c r="DH21" i="2"/>
  <c r="DI21" i="2"/>
  <c r="DJ21" i="2"/>
  <c r="DL21" i="2"/>
  <c r="DM21" i="2"/>
  <c r="Z22" i="2"/>
  <c r="AC22" i="2"/>
  <c r="AF22" i="2"/>
  <c r="AT22" i="2"/>
  <c r="DE22" i="2" s="1"/>
  <c r="AV22" i="2"/>
  <c r="DF22" i="2" s="1"/>
  <c r="AX22" i="2"/>
  <c r="DG22" i="2" s="1"/>
  <c r="BG22" i="2"/>
  <c r="BP22" i="2" s="1"/>
  <c r="BH22" i="2"/>
  <c r="BQ22" i="2"/>
  <c r="BZ22" i="2"/>
  <c r="DB22" i="2"/>
  <c r="DH22" i="2"/>
  <c r="DI22" i="2"/>
  <c r="DJ22" i="2"/>
  <c r="DL22" i="2"/>
  <c r="DM22" i="2"/>
  <c r="Z23" i="2"/>
  <c r="AC23" i="2"/>
  <c r="AF23" i="2"/>
  <c r="AT23" i="2"/>
  <c r="DE23" i="2" s="1"/>
  <c r="AV23" i="2"/>
  <c r="DF23" i="2" s="1"/>
  <c r="AX23" i="2"/>
  <c r="DG23" i="2" s="1"/>
  <c r="BG23" i="2"/>
  <c r="BH23" i="2"/>
  <c r="BQ23" i="2"/>
  <c r="BZ23" i="2"/>
  <c r="DB23" i="2"/>
  <c r="DH23" i="2"/>
  <c r="DI23" i="2"/>
  <c r="DJ23" i="2"/>
  <c r="DL23" i="2"/>
  <c r="DM23" i="2"/>
  <c r="Z24" i="2"/>
  <c r="AC24" i="2"/>
  <c r="AF24" i="2"/>
  <c r="AT24" i="2"/>
  <c r="DE24" i="2" s="1"/>
  <c r="AV24" i="2"/>
  <c r="DF24" i="2" s="1"/>
  <c r="AX24" i="2"/>
  <c r="DG24" i="2" s="1"/>
  <c r="BG24" i="2"/>
  <c r="BP24" i="2" s="1"/>
  <c r="BH24" i="2"/>
  <c r="BQ24" i="2"/>
  <c r="BZ24" i="2"/>
  <c r="DB24" i="2"/>
  <c r="DH24" i="2"/>
  <c r="DI24" i="2"/>
  <c r="DJ24" i="2"/>
  <c r="DL24" i="2"/>
  <c r="DM24" i="2"/>
  <c r="Z25" i="2"/>
  <c r="AC25" i="2"/>
  <c r="AF25" i="2"/>
  <c r="AT25" i="2"/>
  <c r="DE25" i="2" s="1"/>
  <c r="AV25" i="2"/>
  <c r="DF25" i="2" s="1"/>
  <c r="AX25" i="2"/>
  <c r="DG25" i="2" s="1"/>
  <c r="BG25" i="2"/>
  <c r="BP25" i="2" s="1"/>
  <c r="BH25" i="2"/>
  <c r="BQ25" i="2"/>
  <c r="BZ25" i="2"/>
  <c r="DB25" i="2"/>
  <c r="DH25" i="2"/>
  <c r="DI25" i="2"/>
  <c r="DJ25" i="2"/>
  <c r="DL25" i="2"/>
  <c r="DM25" i="2"/>
  <c r="Z26" i="2"/>
  <c r="AC26" i="2"/>
  <c r="AF26" i="2"/>
  <c r="AT26" i="2"/>
  <c r="DE26" i="2" s="1"/>
  <c r="AV26" i="2"/>
  <c r="DF26" i="2" s="1"/>
  <c r="AX26" i="2"/>
  <c r="DG26" i="2" s="1"/>
  <c r="BG26" i="2"/>
  <c r="BP26" i="2" s="1"/>
  <c r="BH26" i="2"/>
  <c r="BQ26" i="2"/>
  <c r="BZ26" i="2"/>
  <c r="DB26" i="2"/>
  <c r="DH26" i="2"/>
  <c r="DI26" i="2"/>
  <c r="DJ26" i="2"/>
  <c r="DL26" i="2"/>
  <c r="DM26" i="2"/>
  <c r="Z27" i="2"/>
  <c r="AC27" i="2"/>
  <c r="AF27" i="2"/>
  <c r="AT27" i="2"/>
  <c r="DE27" i="2" s="1"/>
  <c r="AV27" i="2"/>
  <c r="DF27" i="2" s="1"/>
  <c r="AX27" i="2"/>
  <c r="DG27" i="2" s="1"/>
  <c r="BG27" i="2"/>
  <c r="BH27" i="2"/>
  <c r="BQ27" i="2"/>
  <c r="BZ27" i="2"/>
  <c r="DB27" i="2"/>
  <c r="DH27" i="2"/>
  <c r="DI27" i="2"/>
  <c r="DJ27" i="2"/>
  <c r="DL27" i="2"/>
  <c r="DM27" i="2"/>
  <c r="Z28" i="2"/>
  <c r="AC28" i="2"/>
  <c r="AF28" i="2"/>
  <c r="AT28" i="2"/>
  <c r="DE28" i="2" s="1"/>
  <c r="AV28" i="2"/>
  <c r="DF28" i="2" s="1"/>
  <c r="AX28" i="2"/>
  <c r="DG28" i="2" s="1"/>
  <c r="BG28" i="2"/>
  <c r="BP28" i="2" s="1"/>
  <c r="BH28" i="2"/>
  <c r="BQ28" i="2"/>
  <c r="BZ28" i="2"/>
  <c r="DB28" i="2"/>
  <c r="DH28" i="2"/>
  <c r="DI28" i="2"/>
  <c r="DJ28" i="2"/>
  <c r="DL28" i="2"/>
  <c r="DM28" i="2"/>
  <c r="Z29" i="2"/>
  <c r="AC29" i="2"/>
  <c r="AF29" i="2"/>
  <c r="AT29" i="2"/>
  <c r="DE29" i="2" s="1"/>
  <c r="AV29" i="2"/>
  <c r="DF29" i="2" s="1"/>
  <c r="AX29" i="2"/>
  <c r="DG29" i="2" s="1"/>
  <c r="BG29" i="2"/>
  <c r="BH29" i="2"/>
  <c r="BQ29" i="2"/>
  <c r="BZ29" i="2"/>
  <c r="DB29" i="2"/>
  <c r="DH29" i="2"/>
  <c r="DI29" i="2"/>
  <c r="DJ29" i="2"/>
  <c r="DL29" i="2"/>
  <c r="DM29" i="2"/>
  <c r="Z30" i="2"/>
  <c r="AC30" i="2"/>
  <c r="AF30" i="2"/>
  <c r="AT30" i="2"/>
  <c r="DE30" i="2" s="1"/>
  <c r="AV30" i="2"/>
  <c r="DF30" i="2" s="1"/>
  <c r="AX30" i="2"/>
  <c r="DG30" i="2" s="1"/>
  <c r="BG30" i="2"/>
  <c r="BP30" i="2" s="1"/>
  <c r="BH30" i="2"/>
  <c r="BQ30" i="2"/>
  <c r="BZ30" i="2"/>
  <c r="DB30" i="2"/>
  <c r="DH30" i="2"/>
  <c r="DI30" i="2"/>
  <c r="DJ30" i="2"/>
  <c r="DL30" i="2"/>
  <c r="DM30" i="2"/>
  <c r="Z31" i="2"/>
  <c r="AC31" i="2"/>
  <c r="AF31" i="2"/>
  <c r="AT31" i="2"/>
  <c r="DE31" i="2" s="1"/>
  <c r="AV31" i="2"/>
  <c r="DF31" i="2" s="1"/>
  <c r="AX31" i="2"/>
  <c r="DG31" i="2" s="1"/>
  <c r="BG31" i="2"/>
  <c r="BH31" i="2"/>
  <c r="BQ31" i="2"/>
  <c r="BZ31" i="2"/>
  <c r="DB31" i="2"/>
  <c r="DH31" i="2"/>
  <c r="DI31" i="2"/>
  <c r="DJ31" i="2"/>
  <c r="DL31" i="2"/>
  <c r="DM31" i="2"/>
  <c r="Z32" i="2"/>
  <c r="AC32" i="2"/>
  <c r="AF32" i="2"/>
  <c r="AT32" i="2"/>
  <c r="DE32" i="2" s="1"/>
  <c r="AV32" i="2"/>
  <c r="DF32" i="2" s="1"/>
  <c r="AX32" i="2"/>
  <c r="DG32" i="2" s="1"/>
  <c r="BG32" i="2"/>
  <c r="BP32" i="2" s="1"/>
  <c r="BH32" i="2"/>
  <c r="BQ32" i="2"/>
  <c r="BZ32" i="2"/>
  <c r="DB32" i="2"/>
  <c r="DH32" i="2"/>
  <c r="DI32" i="2"/>
  <c r="DJ32" i="2"/>
  <c r="DL32" i="2"/>
  <c r="DM32" i="2"/>
  <c r="AK11" i="2" l="1"/>
  <c r="BI11" i="2"/>
  <c r="BI19" i="2"/>
  <c r="AK13" i="2"/>
  <c r="BI24" i="2"/>
  <c r="DK23" i="2"/>
  <c r="BI22" i="2"/>
  <c r="BR12" i="2"/>
  <c r="DK27" i="2"/>
  <c r="BI30" i="2"/>
  <c r="AK29" i="2"/>
  <c r="BI28" i="2"/>
  <c r="AK21" i="2"/>
  <c r="BI16" i="2"/>
  <c r="AK15" i="2"/>
  <c r="BI14" i="2"/>
  <c r="BI12" i="2"/>
  <c r="BR25" i="2"/>
  <c r="BI31" i="2"/>
  <c r="BI29" i="2"/>
  <c r="BI27" i="2"/>
  <c r="AK25" i="2"/>
  <c r="BI23" i="2"/>
  <c r="BI21" i="2"/>
  <c r="DK19" i="2"/>
  <c r="DK17" i="2"/>
  <c r="BI17" i="2"/>
  <c r="BI13" i="2"/>
  <c r="DK11" i="2"/>
  <c r="DK25" i="2"/>
  <c r="DK31" i="2"/>
  <c r="AK31" i="2"/>
  <c r="AK27" i="2"/>
  <c r="AK23" i="2"/>
  <c r="DK21" i="2"/>
  <c r="DK15" i="2"/>
  <c r="BI15" i="2"/>
  <c r="DK13" i="2"/>
  <c r="DK22" i="2"/>
  <c r="DK14" i="2"/>
  <c r="DK12" i="2"/>
  <c r="BI32" i="2"/>
  <c r="BI20" i="2"/>
  <c r="BY12" i="2"/>
  <c r="CA12" i="2" s="1"/>
  <c r="DK30" i="2"/>
  <c r="DK29" i="2"/>
  <c r="AK19" i="2"/>
  <c r="AK17" i="2"/>
  <c r="DK28" i="2"/>
  <c r="DK20" i="2"/>
  <c r="BI26" i="2"/>
  <c r="DK26" i="2"/>
  <c r="BI18" i="2"/>
  <c r="DK18" i="2"/>
  <c r="DK32" i="2"/>
  <c r="DK24" i="2"/>
  <c r="DK16" i="2"/>
  <c r="BY22" i="2"/>
  <c r="CA22" i="2" s="1"/>
  <c r="BR22" i="2"/>
  <c r="BY26" i="2"/>
  <c r="CA26" i="2" s="1"/>
  <c r="BR26" i="2"/>
  <c r="BR18" i="2"/>
  <c r="BY18" i="2"/>
  <c r="CA18" i="2" s="1"/>
  <c r="BR32" i="2"/>
  <c r="BY32" i="2"/>
  <c r="CA32" i="2" s="1"/>
  <c r="BR24" i="2"/>
  <c r="BY24" i="2"/>
  <c r="CA24" i="2" s="1"/>
  <c r="BY16" i="2"/>
  <c r="CA16" i="2" s="1"/>
  <c r="BR16" i="2"/>
  <c r="BR14" i="2"/>
  <c r="BY14" i="2"/>
  <c r="CA14" i="2" s="1"/>
  <c r="BY30" i="2"/>
  <c r="CA30" i="2" s="1"/>
  <c r="BR30" i="2"/>
  <c r="BR28" i="2"/>
  <c r="BY28" i="2"/>
  <c r="CA28" i="2" s="1"/>
  <c r="BR20" i="2"/>
  <c r="BY20" i="2"/>
  <c r="CA20" i="2" s="1"/>
  <c r="BP31" i="2"/>
  <c r="BR31" i="2" s="1"/>
  <c r="BP27" i="2"/>
  <c r="BR27" i="2" s="1"/>
  <c r="BP23" i="2"/>
  <c r="BR23" i="2" s="1"/>
  <c r="BP21" i="2"/>
  <c r="BR21" i="2" s="1"/>
  <c r="BP19" i="2"/>
  <c r="BR19" i="2" s="1"/>
  <c r="BP17" i="2"/>
  <c r="BR17" i="2" s="1"/>
  <c r="BR15" i="2"/>
  <c r="BP13" i="2"/>
  <c r="BR13" i="2" s="1"/>
  <c r="BP11" i="2"/>
  <c r="BR11" i="2" s="1"/>
  <c r="AK32" i="2"/>
  <c r="AK26" i="2"/>
  <c r="BY25" i="2"/>
  <c r="CA25" i="2" s="1"/>
  <c r="BI25" i="2"/>
  <c r="AK24" i="2"/>
  <c r="AK22" i="2"/>
  <c r="BY21" i="2"/>
  <c r="CA21" i="2" s="1"/>
  <c r="AK20" i="2"/>
  <c r="AK18" i="2"/>
  <c r="AK16" i="2"/>
  <c r="AK14" i="2"/>
  <c r="AK12" i="2"/>
  <c r="BP29" i="2"/>
  <c r="BR29" i="2" s="1"/>
  <c r="AK30" i="2"/>
  <c r="AK28" i="2"/>
  <c r="R10" i="6"/>
  <c r="U10" i="6"/>
  <c r="X10" i="6"/>
  <c r="AK10" i="6"/>
  <c r="BG10" i="6" s="1"/>
  <c r="AM10" i="6"/>
  <c r="CA10" i="6" s="1"/>
  <c r="AO10" i="6"/>
  <c r="BI10" i="6" s="1"/>
  <c r="BE10" i="6"/>
  <c r="BJ10" i="6"/>
  <c r="BK10" i="6"/>
  <c r="R453" i="6"/>
  <c r="U453" i="6"/>
  <c r="X453" i="6"/>
  <c r="AK453" i="6"/>
  <c r="BG453" i="6" s="1"/>
  <c r="AM453" i="6"/>
  <c r="BH453" i="6" s="1"/>
  <c r="AO453" i="6"/>
  <c r="BI453" i="6" s="1"/>
  <c r="BE453" i="6"/>
  <c r="BJ453" i="6"/>
  <c r="BK453" i="6"/>
  <c r="R454" i="6"/>
  <c r="U454" i="6"/>
  <c r="X454" i="6"/>
  <c r="AK454" i="6"/>
  <c r="BG454" i="6" s="1"/>
  <c r="AM454" i="6"/>
  <c r="BH454" i="6" s="1"/>
  <c r="AO454" i="6"/>
  <c r="BI454" i="6" s="1"/>
  <c r="BE454" i="6"/>
  <c r="BJ454" i="6"/>
  <c r="BK454" i="6"/>
  <c r="R455" i="6"/>
  <c r="U455" i="6"/>
  <c r="X455" i="6"/>
  <c r="AK455" i="6"/>
  <c r="BG455" i="6" s="1"/>
  <c r="AM455" i="6"/>
  <c r="CA455" i="6" s="1"/>
  <c r="AO455" i="6"/>
  <c r="BI455" i="6" s="1"/>
  <c r="BE455" i="6"/>
  <c r="BJ455" i="6"/>
  <c r="BK455" i="6"/>
  <c r="R456" i="6"/>
  <c r="U456" i="6"/>
  <c r="X456" i="6"/>
  <c r="AK456" i="6"/>
  <c r="BG456" i="6" s="1"/>
  <c r="AM456" i="6"/>
  <c r="CA456" i="6" s="1"/>
  <c r="AO456" i="6"/>
  <c r="BI456" i="6" s="1"/>
  <c r="BE456" i="6"/>
  <c r="BJ456" i="6"/>
  <c r="BK456" i="6"/>
  <c r="R457" i="6"/>
  <c r="U457" i="6"/>
  <c r="X457" i="6"/>
  <c r="AK457" i="6"/>
  <c r="BG457" i="6" s="1"/>
  <c r="AM457" i="6"/>
  <c r="BH457" i="6" s="1"/>
  <c r="AO457" i="6"/>
  <c r="BI457" i="6" s="1"/>
  <c r="BE457" i="6"/>
  <c r="BJ457" i="6"/>
  <c r="BK457" i="6"/>
  <c r="R458" i="6"/>
  <c r="U458" i="6"/>
  <c r="X458" i="6"/>
  <c r="AK458" i="6"/>
  <c r="BG458" i="6" s="1"/>
  <c r="AM458" i="6"/>
  <c r="BH458" i="6" s="1"/>
  <c r="AO458" i="6"/>
  <c r="BI458" i="6" s="1"/>
  <c r="BE458" i="6"/>
  <c r="BJ458" i="6"/>
  <c r="BK458" i="6"/>
  <c r="R459" i="6"/>
  <c r="U459" i="6"/>
  <c r="X459" i="6"/>
  <c r="AK459" i="6"/>
  <c r="BG459" i="6" s="1"/>
  <c r="AM459" i="6"/>
  <c r="BH459" i="6" s="1"/>
  <c r="AO459" i="6"/>
  <c r="BI459" i="6" s="1"/>
  <c r="BE459" i="6"/>
  <c r="BJ459" i="6"/>
  <c r="BK459" i="6"/>
  <c r="R460" i="6"/>
  <c r="U460" i="6"/>
  <c r="X460" i="6"/>
  <c r="AK460" i="6"/>
  <c r="BG460" i="6" s="1"/>
  <c r="AM460" i="6"/>
  <c r="CA460" i="6" s="1"/>
  <c r="AO460" i="6"/>
  <c r="BI460" i="6" s="1"/>
  <c r="BE460" i="6"/>
  <c r="BJ460" i="6"/>
  <c r="BK460" i="6"/>
  <c r="R461" i="6"/>
  <c r="U461" i="6"/>
  <c r="X461" i="6"/>
  <c r="AK461" i="6"/>
  <c r="BG461" i="6" s="1"/>
  <c r="AM461" i="6"/>
  <c r="CA461" i="6" s="1"/>
  <c r="AO461" i="6"/>
  <c r="BI461" i="6" s="1"/>
  <c r="BE461" i="6"/>
  <c r="BJ461" i="6"/>
  <c r="BK461" i="6"/>
  <c r="R462" i="6"/>
  <c r="U462" i="6"/>
  <c r="X462" i="6"/>
  <c r="AK462" i="6"/>
  <c r="BG462" i="6" s="1"/>
  <c r="AM462" i="6"/>
  <c r="CA462" i="6" s="1"/>
  <c r="AO462" i="6"/>
  <c r="BI462" i="6" s="1"/>
  <c r="BE462" i="6"/>
  <c r="BJ462" i="6"/>
  <c r="BK462" i="6"/>
  <c r="R463" i="6"/>
  <c r="U463" i="6"/>
  <c r="X463" i="6"/>
  <c r="AK463" i="6"/>
  <c r="BG463" i="6" s="1"/>
  <c r="AM463" i="6"/>
  <c r="CA463" i="6" s="1"/>
  <c r="AO463" i="6"/>
  <c r="BI463" i="6" s="1"/>
  <c r="BE463" i="6"/>
  <c r="BJ463" i="6"/>
  <c r="BK463" i="6"/>
  <c r="R464" i="6"/>
  <c r="U464" i="6"/>
  <c r="X464" i="6"/>
  <c r="AK464" i="6"/>
  <c r="BG464" i="6" s="1"/>
  <c r="AM464" i="6"/>
  <c r="CA464" i="6" s="1"/>
  <c r="AO464" i="6"/>
  <c r="BI464" i="6" s="1"/>
  <c r="BE464" i="6"/>
  <c r="BJ464" i="6"/>
  <c r="BK464" i="6"/>
  <c r="R465" i="6"/>
  <c r="U465" i="6"/>
  <c r="X465" i="6"/>
  <c r="AK465" i="6"/>
  <c r="BG465" i="6" s="1"/>
  <c r="AM465" i="6"/>
  <c r="CA465" i="6" s="1"/>
  <c r="AO465" i="6"/>
  <c r="BI465" i="6" s="1"/>
  <c r="BE465" i="6"/>
  <c r="BJ465" i="6"/>
  <c r="BK465" i="6"/>
  <c r="R466" i="6"/>
  <c r="U466" i="6"/>
  <c r="X466" i="6"/>
  <c r="AK466" i="6"/>
  <c r="BG466" i="6" s="1"/>
  <c r="AM466" i="6"/>
  <c r="CA466" i="6" s="1"/>
  <c r="AO466" i="6"/>
  <c r="BI466" i="6" s="1"/>
  <c r="BE466" i="6"/>
  <c r="BJ466" i="6"/>
  <c r="BK466" i="6"/>
  <c r="R467" i="6"/>
  <c r="U467" i="6"/>
  <c r="X467" i="6"/>
  <c r="AK467" i="6"/>
  <c r="BG467" i="6" s="1"/>
  <c r="AM467" i="6"/>
  <c r="CA467" i="6" s="1"/>
  <c r="AO467" i="6"/>
  <c r="BI467" i="6" s="1"/>
  <c r="BE467" i="6"/>
  <c r="BJ467" i="6"/>
  <c r="BK467" i="6"/>
  <c r="R468" i="6"/>
  <c r="U468" i="6"/>
  <c r="X468" i="6"/>
  <c r="AK468" i="6"/>
  <c r="BG468" i="6" s="1"/>
  <c r="AM468" i="6"/>
  <c r="CA468" i="6" s="1"/>
  <c r="AO468" i="6"/>
  <c r="BI468" i="6" s="1"/>
  <c r="BE468" i="6"/>
  <c r="BJ468" i="6"/>
  <c r="BK468" i="6"/>
  <c r="R469" i="6"/>
  <c r="U469" i="6"/>
  <c r="X469" i="6"/>
  <c r="AK469" i="6"/>
  <c r="BG469" i="6" s="1"/>
  <c r="AM469" i="6"/>
  <c r="CA469" i="6" s="1"/>
  <c r="AO469" i="6"/>
  <c r="BI469" i="6" s="1"/>
  <c r="BE469" i="6"/>
  <c r="BJ469" i="6"/>
  <c r="BK469" i="6"/>
  <c r="R470" i="6"/>
  <c r="U470" i="6"/>
  <c r="X470" i="6"/>
  <c r="AK470" i="6"/>
  <c r="AM470" i="6"/>
  <c r="CA470" i="6" s="1"/>
  <c r="AO470" i="6"/>
  <c r="BI470" i="6" s="1"/>
  <c r="BE470" i="6"/>
  <c r="BG470" i="6"/>
  <c r="BJ470" i="6"/>
  <c r="BK470" i="6"/>
  <c r="R471" i="6"/>
  <c r="U471" i="6"/>
  <c r="X471" i="6"/>
  <c r="AK471" i="6"/>
  <c r="BG471" i="6" s="1"/>
  <c r="AM471" i="6"/>
  <c r="CA471" i="6" s="1"/>
  <c r="AO471" i="6"/>
  <c r="BI471" i="6" s="1"/>
  <c r="BE471" i="6"/>
  <c r="BJ471" i="6"/>
  <c r="BK471" i="6"/>
  <c r="R472" i="6"/>
  <c r="U472" i="6"/>
  <c r="X472" i="6"/>
  <c r="AK472" i="6"/>
  <c r="BG472" i="6" s="1"/>
  <c r="AM472" i="6"/>
  <c r="CA472" i="6" s="1"/>
  <c r="AO472" i="6"/>
  <c r="BI472" i="6" s="1"/>
  <c r="BE472" i="6"/>
  <c r="BJ472" i="6"/>
  <c r="BK472" i="6"/>
  <c r="R473" i="6"/>
  <c r="U473" i="6"/>
  <c r="X473" i="6"/>
  <c r="AK473" i="6"/>
  <c r="BG473" i="6" s="1"/>
  <c r="AM473" i="6"/>
  <c r="CA473" i="6" s="1"/>
  <c r="AO473" i="6"/>
  <c r="BI473" i="6" s="1"/>
  <c r="BE473" i="6"/>
  <c r="BJ473" i="6"/>
  <c r="BK473" i="6"/>
  <c r="R474" i="6"/>
  <c r="U474" i="6"/>
  <c r="X474" i="6"/>
  <c r="AK474" i="6"/>
  <c r="BG474" i="6" s="1"/>
  <c r="AM474" i="6"/>
  <c r="CA474" i="6" s="1"/>
  <c r="AO474" i="6"/>
  <c r="BI474" i="6" s="1"/>
  <c r="BE474" i="6"/>
  <c r="BJ474" i="6"/>
  <c r="BK474" i="6"/>
  <c r="R475" i="6"/>
  <c r="U475" i="6"/>
  <c r="X475" i="6"/>
  <c r="AK475" i="6"/>
  <c r="BG475" i="6" s="1"/>
  <c r="AM475" i="6"/>
  <c r="CA475" i="6" s="1"/>
  <c r="AO475" i="6"/>
  <c r="BI475" i="6" s="1"/>
  <c r="BE475" i="6"/>
  <c r="BJ475" i="6"/>
  <c r="BK475" i="6"/>
  <c r="R476" i="6"/>
  <c r="U476" i="6"/>
  <c r="X476" i="6"/>
  <c r="AK476" i="6"/>
  <c r="BG476" i="6" s="1"/>
  <c r="AM476" i="6"/>
  <c r="CA476" i="6" s="1"/>
  <c r="AO476" i="6"/>
  <c r="BI476" i="6" s="1"/>
  <c r="BE476" i="6"/>
  <c r="BJ476" i="6"/>
  <c r="BK476" i="6"/>
  <c r="R477" i="6"/>
  <c r="U477" i="6"/>
  <c r="X477" i="6"/>
  <c r="AK477" i="6"/>
  <c r="BG477" i="6" s="1"/>
  <c r="AM477" i="6"/>
  <c r="CA477" i="6" s="1"/>
  <c r="AO477" i="6"/>
  <c r="BI477" i="6" s="1"/>
  <c r="BE477" i="6"/>
  <c r="BJ477" i="6"/>
  <c r="BK477" i="6"/>
  <c r="R478" i="6"/>
  <c r="U478" i="6"/>
  <c r="X478" i="6"/>
  <c r="AK478" i="6"/>
  <c r="BG478" i="6" s="1"/>
  <c r="AM478" i="6"/>
  <c r="CA478" i="6" s="1"/>
  <c r="AO478" i="6"/>
  <c r="BI478" i="6" s="1"/>
  <c r="BE478" i="6"/>
  <c r="BJ478" i="6"/>
  <c r="BK478" i="6"/>
  <c r="R479" i="6"/>
  <c r="U479" i="6"/>
  <c r="X479" i="6"/>
  <c r="AK479" i="6"/>
  <c r="BG479" i="6" s="1"/>
  <c r="AM479" i="6"/>
  <c r="CA479" i="6" s="1"/>
  <c r="AO479" i="6"/>
  <c r="BI479" i="6" s="1"/>
  <c r="BE479" i="6"/>
  <c r="BJ479" i="6"/>
  <c r="BK479" i="6"/>
  <c r="R480" i="6"/>
  <c r="U480" i="6"/>
  <c r="X480" i="6"/>
  <c r="AK480" i="6"/>
  <c r="BG480" i="6" s="1"/>
  <c r="AM480" i="6"/>
  <c r="CA480" i="6" s="1"/>
  <c r="AO480" i="6"/>
  <c r="BI480" i="6" s="1"/>
  <c r="BE480" i="6"/>
  <c r="BJ480" i="6"/>
  <c r="BK480" i="6"/>
  <c r="R481" i="6"/>
  <c r="U481" i="6"/>
  <c r="X481" i="6"/>
  <c r="AK481" i="6"/>
  <c r="BG481" i="6" s="1"/>
  <c r="AM481" i="6"/>
  <c r="BH481" i="6" s="1"/>
  <c r="AO481" i="6"/>
  <c r="BI481" i="6" s="1"/>
  <c r="BE481" i="6"/>
  <c r="BJ481" i="6"/>
  <c r="BK481" i="6"/>
  <c r="R482" i="6"/>
  <c r="U482" i="6"/>
  <c r="X482" i="6"/>
  <c r="AK482" i="6"/>
  <c r="BG482" i="6" s="1"/>
  <c r="AM482" i="6"/>
  <c r="CA482" i="6" s="1"/>
  <c r="AO482" i="6"/>
  <c r="BI482" i="6" s="1"/>
  <c r="BE482" i="6"/>
  <c r="BJ482" i="6"/>
  <c r="BK482" i="6"/>
  <c r="CA458" i="6" l="1"/>
  <c r="BH455" i="6"/>
  <c r="BH480" i="6"/>
  <c r="CA481" i="6"/>
  <c r="BH482" i="6"/>
  <c r="BH456" i="6"/>
  <c r="BY23" i="2"/>
  <c r="CA23" i="2" s="1"/>
  <c r="CK23" i="2" s="1"/>
  <c r="BH467" i="6"/>
  <c r="BH460" i="6"/>
  <c r="BH10" i="6"/>
  <c r="BH475" i="6"/>
  <c r="BH476" i="6"/>
  <c r="BH461" i="6"/>
  <c r="BH477" i="6"/>
  <c r="BH462" i="6"/>
  <c r="CK12" i="2"/>
  <c r="BY15" i="2"/>
  <c r="CA15" i="2" s="1"/>
  <c r="DN15" i="2" s="1"/>
  <c r="BH468" i="6"/>
  <c r="BL473" i="6"/>
  <c r="BL455" i="6"/>
  <c r="AB477" i="6"/>
  <c r="BL470" i="6"/>
  <c r="BL466" i="6"/>
  <c r="BL459" i="6"/>
  <c r="BL462" i="6"/>
  <c r="BL453" i="6"/>
  <c r="AB456" i="6"/>
  <c r="CA454" i="6"/>
  <c r="AB454" i="6"/>
  <c r="BH469" i="6"/>
  <c r="BL469" i="6"/>
  <c r="AB455" i="6"/>
  <c r="BL10" i="6"/>
  <c r="BL478" i="6"/>
  <c r="AB461" i="6"/>
  <c r="BL465" i="6"/>
  <c r="BL461" i="6"/>
  <c r="AB469" i="6"/>
  <c r="AB465" i="6"/>
  <c r="BL457" i="6"/>
  <c r="AB460" i="6"/>
  <c r="BL482" i="6"/>
  <c r="BL481" i="6"/>
  <c r="BH479" i="6"/>
  <c r="BL476" i="6"/>
  <c r="BL475" i="6"/>
  <c r="BL474" i="6"/>
  <c r="AB473" i="6"/>
  <c r="BL472" i="6"/>
  <c r="BL471" i="6"/>
  <c r="CA453" i="6"/>
  <c r="BL467" i="6"/>
  <c r="BL468" i="6"/>
  <c r="BL463" i="6"/>
  <c r="AB459" i="6"/>
  <c r="BH470" i="6"/>
  <c r="BL464" i="6"/>
  <c r="CA459" i="6"/>
  <c r="AB458" i="6"/>
  <c r="AB457" i="6"/>
  <c r="AB453" i="6"/>
  <c r="BH474" i="6"/>
  <c r="BH466" i="6"/>
  <c r="BH473" i="6"/>
  <c r="BH472" i="6"/>
  <c r="BH471" i="6"/>
  <c r="BH465" i="6"/>
  <c r="BH464" i="6"/>
  <c r="BH463" i="6"/>
  <c r="CA457" i="6"/>
  <c r="AB481" i="6"/>
  <c r="AB476" i="6"/>
  <c r="AB464" i="6"/>
  <c r="AB471" i="6"/>
  <c r="AB468" i="6"/>
  <c r="AB467" i="6"/>
  <c r="AB463" i="6"/>
  <c r="AB10" i="6"/>
  <c r="AB482" i="6"/>
  <c r="AB480" i="6"/>
  <c r="BL477" i="6"/>
  <c r="AB472" i="6"/>
  <c r="BL480" i="6"/>
  <c r="AB479" i="6"/>
  <c r="AB475" i="6"/>
  <c r="BL479" i="6"/>
  <c r="BH478" i="6"/>
  <c r="AB478" i="6"/>
  <c r="AB474" i="6"/>
  <c r="AB470" i="6"/>
  <c r="AB466" i="6"/>
  <c r="AB462" i="6"/>
  <c r="BL460" i="6"/>
  <c r="BL458" i="6"/>
  <c r="BL456" i="6"/>
  <c r="BL454" i="6"/>
  <c r="DN12" i="2"/>
  <c r="DN26" i="2"/>
  <c r="CK18" i="2"/>
  <c r="BY11" i="2"/>
  <c r="CA11" i="2" s="1"/>
  <c r="DN11" i="2" s="1"/>
  <c r="CK22" i="2"/>
  <c r="DN24" i="2"/>
  <c r="BY13" i="2"/>
  <c r="CA13" i="2" s="1"/>
  <c r="DN13" i="2" s="1"/>
  <c r="DN30" i="2"/>
  <c r="DN16" i="2"/>
  <c r="DN14" i="2"/>
  <c r="CK24" i="2"/>
  <c r="CK21" i="2"/>
  <c r="CK16" i="2"/>
  <c r="DN32" i="2"/>
  <c r="DN18" i="2"/>
  <c r="CK30" i="2"/>
  <c r="BY19" i="2"/>
  <c r="CA19" i="2" s="1"/>
  <c r="DN19" i="2" s="1"/>
  <c r="DN22" i="2"/>
  <c r="BY29" i="2"/>
  <c r="CA29" i="2" s="1"/>
  <c r="CK29" i="2" s="1"/>
  <c r="BY27" i="2"/>
  <c r="CA27" i="2" s="1"/>
  <c r="DN27" i="2" s="1"/>
  <c r="DN20" i="2"/>
  <c r="CK32" i="2"/>
  <c r="CK20" i="2"/>
  <c r="DN21" i="2"/>
  <c r="BY17" i="2"/>
  <c r="CA17" i="2" s="1"/>
  <c r="CK17" i="2" s="1"/>
  <c r="CK25" i="2"/>
  <c r="DN25" i="2"/>
  <c r="BY31" i="2"/>
  <c r="CA31" i="2" s="1"/>
  <c r="CK31" i="2" s="1"/>
  <c r="DN28" i="2"/>
  <c r="CK28" i="2"/>
  <c r="CK14" i="2"/>
  <c r="CK26" i="2"/>
  <c r="Z10" i="2"/>
  <c r="AC10" i="2"/>
  <c r="AF10" i="2"/>
  <c r="AT10" i="2"/>
  <c r="DE10" i="2" s="1"/>
  <c r="AV10" i="2"/>
  <c r="DF10" i="2" s="1"/>
  <c r="AX10" i="2"/>
  <c r="DG10" i="2" s="1"/>
  <c r="BG10" i="2"/>
  <c r="BH10" i="2"/>
  <c r="BQ10" i="2"/>
  <c r="BZ10" i="2"/>
  <c r="DB10" i="2"/>
  <c r="DH10" i="2"/>
  <c r="DI10" i="2"/>
  <c r="DJ10" i="2"/>
  <c r="DL10" i="2"/>
  <c r="DM10" i="2"/>
  <c r="Z33" i="2"/>
  <c r="AC33" i="2"/>
  <c r="AF33" i="2"/>
  <c r="AT33" i="2"/>
  <c r="DE33" i="2" s="1"/>
  <c r="AV33" i="2"/>
  <c r="DF33" i="2" s="1"/>
  <c r="AX33" i="2"/>
  <c r="DG33" i="2" s="1"/>
  <c r="BG33" i="2"/>
  <c r="BH33" i="2"/>
  <c r="BQ33" i="2"/>
  <c r="BZ33" i="2"/>
  <c r="DB33" i="2"/>
  <c r="DH33" i="2"/>
  <c r="DI33" i="2"/>
  <c r="DJ33" i="2"/>
  <c r="DL33" i="2"/>
  <c r="DM33" i="2"/>
  <c r="Z34" i="2"/>
  <c r="AC34" i="2"/>
  <c r="AF34" i="2"/>
  <c r="AT34" i="2"/>
  <c r="DE34" i="2" s="1"/>
  <c r="AV34" i="2"/>
  <c r="DF34" i="2" s="1"/>
  <c r="AX34" i="2"/>
  <c r="DG34" i="2" s="1"/>
  <c r="BG34" i="2"/>
  <c r="BH34" i="2"/>
  <c r="BQ34" i="2"/>
  <c r="BZ34" i="2"/>
  <c r="DB34" i="2"/>
  <c r="DH34" i="2"/>
  <c r="DI34" i="2"/>
  <c r="DJ34" i="2"/>
  <c r="DL34" i="2"/>
  <c r="DM34" i="2"/>
  <c r="Z35" i="2"/>
  <c r="AC35" i="2"/>
  <c r="AF35" i="2"/>
  <c r="AT35" i="2"/>
  <c r="DE35" i="2" s="1"/>
  <c r="AV35" i="2"/>
  <c r="DF35" i="2" s="1"/>
  <c r="AX35" i="2"/>
  <c r="DG35" i="2" s="1"/>
  <c r="BG35" i="2"/>
  <c r="BH35" i="2"/>
  <c r="BQ35" i="2"/>
  <c r="BZ35" i="2"/>
  <c r="DB35" i="2"/>
  <c r="DH35" i="2"/>
  <c r="DI35" i="2"/>
  <c r="DJ35" i="2"/>
  <c r="DL35" i="2"/>
  <c r="DM35" i="2"/>
  <c r="Z36" i="2"/>
  <c r="AC36" i="2"/>
  <c r="AF36" i="2"/>
  <c r="AT36" i="2"/>
  <c r="DE36" i="2" s="1"/>
  <c r="AV36" i="2"/>
  <c r="DF36" i="2" s="1"/>
  <c r="AX36" i="2"/>
  <c r="DG36" i="2" s="1"/>
  <c r="BG36" i="2"/>
  <c r="BH36" i="2"/>
  <c r="BQ36" i="2"/>
  <c r="BZ36" i="2"/>
  <c r="DB36" i="2"/>
  <c r="DH36" i="2"/>
  <c r="DI36" i="2"/>
  <c r="DJ36" i="2"/>
  <c r="DL36" i="2"/>
  <c r="DM36" i="2"/>
  <c r="Z37" i="2"/>
  <c r="AC37" i="2"/>
  <c r="AF37" i="2"/>
  <c r="AT37" i="2"/>
  <c r="DE37" i="2" s="1"/>
  <c r="AV37" i="2"/>
  <c r="DF37" i="2" s="1"/>
  <c r="AX37" i="2"/>
  <c r="DG37" i="2" s="1"/>
  <c r="BG37" i="2"/>
  <c r="BP37" i="2" s="1"/>
  <c r="BH37" i="2"/>
  <c r="BQ37" i="2"/>
  <c r="BZ37" i="2"/>
  <c r="DB37" i="2"/>
  <c r="DH37" i="2"/>
  <c r="DI37" i="2"/>
  <c r="DJ37" i="2"/>
  <c r="DL37" i="2"/>
  <c r="DM37" i="2"/>
  <c r="Z38" i="2"/>
  <c r="AC38" i="2"/>
  <c r="AF38" i="2"/>
  <c r="AT38" i="2"/>
  <c r="DE38" i="2" s="1"/>
  <c r="AV38" i="2"/>
  <c r="DF38" i="2" s="1"/>
  <c r="AX38" i="2"/>
  <c r="DG38" i="2" s="1"/>
  <c r="BG38" i="2"/>
  <c r="BP38" i="2" s="1"/>
  <c r="BH38" i="2"/>
  <c r="BQ38" i="2"/>
  <c r="BZ38" i="2"/>
  <c r="DB38" i="2"/>
  <c r="DH38" i="2"/>
  <c r="DI38" i="2"/>
  <c r="DJ38" i="2"/>
  <c r="DL38" i="2"/>
  <c r="DM38" i="2"/>
  <c r="Z39" i="2"/>
  <c r="AC39" i="2"/>
  <c r="AF39" i="2"/>
  <c r="AT39" i="2"/>
  <c r="DE39" i="2" s="1"/>
  <c r="AV39" i="2"/>
  <c r="DF39" i="2" s="1"/>
  <c r="AX39" i="2"/>
  <c r="DG39" i="2" s="1"/>
  <c r="BG39" i="2"/>
  <c r="BH39" i="2"/>
  <c r="BQ39" i="2"/>
  <c r="BZ39" i="2"/>
  <c r="DB39" i="2"/>
  <c r="DH39" i="2"/>
  <c r="DI39" i="2"/>
  <c r="DJ39" i="2"/>
  <c r="DL39" i="2"/>
  <c r="DM39" i="2"/>
  <c r="Z40" i="2"/>
  <c r="AC40" i="2"/>
  <c r="AF40" i="2"/>
  <c r="AT40" i="2"/>
  <c r="DE40" i="2" s="1"/>
  <c r="AV40" i="2"/>
  <c r="DF40" i="2" s="1"/>
  <c r="AX40" i="2"/>
  <c r="DG40" i="2" s="1"/>
  <c r="BG40" i="2"/>
  <c r="BP40" i="2" s="1"/>
  <c r="BH40" i="2"/>
  <c r="BQ40" i="2"/>
  <c r="BZ40" i="2"/>
  <c r="DB40" i="2"/>
  <c r="DH40" i="2"/>
  <c r="DI40" i="2"/>
  <c r="DJ40" i="2"/>
  <c r="DL40" i="2"/>
  <c r="DM40" i="2"/>
  <c r="Z41" i="2"/>
  <c r="AC41" i="2"/>
  <c r="AF41" i="2"/>
  <c r="AT41" i="2"/>
  <c r="DE41" i="2" s="1"/>
  <c r="AV41" i="2"/>
  <c r="DF41" i="2" s="1"/>
  <c r="AX41" i="2"/>
  <c r="DG41" i="2" s="1"/>
  <c r="BG41" i="2"/>
  <c r="BP41" i="2" s="1"/>
  <c r="BY41" i="2" s="1"/>
  <c r="BH41" i="2"/>
  <c r="BQ41" i="2"/>
  <c r="BZ41" i="2"/>
  <c r="DB41" i="2"/>
  <c r="DH41" i="2"/>
  <c r="DI41" i="2"/>
  <c r="DJ41" i="2"/>
  <c r="DL41" i="2"/>
  <c r="DM41" i="2"/>
  <c r="Z42" i="2"/>
  <c r="AC42" i="2"/>
  <c r="AF42" i="2"/>
  <c r="AT42" i="2"/>
  <c r="DE42" i="2" s="1"/>
  <c r="AV42" i="2"/>
  <c r="DF42" i="2" s="1"/>
  <c r="AX42" i="2"/>
  <c r="DG42" i="2" s="1"/>
  <c r="BG42" i="2"/>
  <c r="BP42" i="2" s="1"/>
  <c r="BH42" i="2"/>
  <c r="BQ42" i="2"/>
  <c r="BZ42" i="2"/>
  <c r="DB42" i="2"/>
  <c r="DH42" i="2"/>
  <c r="DI42" i="2"/>
  <c r="DJ42" i="2"/>
  <c r="DL42" i="2"/>
  <c r="DM42" i="2"/>
  <c r="Z43" i="2"/>
  <c r="AC43" i="2"/>
  <c r="AF43" i="2"/>
  <c r="AT43" i="2"/>
  <c r="DE43" i="2" s="1"/>
  <c r="AV43" i="2"/>
  <c r="DF43" i="2" s="1"/>
  <c r="AX43" i="2"/>
  <c r="DG43" i="2" s="1"/>
  <c r="BG43" i="2"/>
  <c r="BP43" i="2" s="1"/>
  <c r="BH43" i="2"/>
  <c r="BQ43" i="2"/>
  <c r="BZ43" i="2"/>
  <c r="DB43" i="2"/>
  <c r="DH43" i="2"/>
  <c r="DI43" i="2"/>
  <c r="DJ43" i="2"/>
  <c r="DL43" i="2"/>
  <c r="DM43" i="2"/>
  <c r="Z44" i="2"/>
  <c r="AC44" i="2"/>
  <c r="AF44" i="2"/>
  <c r="AT44" i="2"/>
  <c r="DE44" i="2" s="1"/>
  <c r="AV44" i="2"/>
  <c r="DF44" i="2" s="1"/>
  <c r="AX44" i="2"/>
  <c r="DG44" i="2" s="1"/>
  <c r="BG44" i="2"/>
  <c r="BP44" i="2" s="1"/>
  <c r="BH44" i="2"/>
  <c r="BQ44" i="2"/>
  <c r="BZ44" i="2"/>
  <c r="DB44" i="2"/>
  <c r="DH44" i="2"/>
  <c r="DI44" i="2"/>
  <c r="DJ44" i="2"/>
  <c r="DL44" i="2"/>
  <c r="DM44" i="2"/>
  <c r="Z45" i="2"/>
  <c r="AC45" i="2"/>
  <c r="AF45" i="2"/>
  <c r="AT45" i="2"/>
  <c r="DE45" i="2" s="1"/>
  <c r="AV45" i="2"/>
  <c r="DF45" i="2" s="1"/>
  <c r="AX45" i="2"/>
  <c r="DG45" i="2" s="1"/>
  <c r="BG45" i="2"/>
  <c r="BP45" i="2" s="1"/>
  <c r="BH45" i="2"/>
  <c r="BQ45" i="2"/>
  <c r="BZ45" i="2"/>
  <c r="DB45" i="2"/>
  <c r="DH45" i="2"/>
  <c r="DI45" i="2"/>
  <c r="DJ45" i="2"/>
  <c r="DL45" i="2"/>
  <c r="DM45" i="2"/>
  <c r="Z46" i="2"/>
  <c r="AC46" i="2"/>
  <c r="AF46" i="2"/>
  <c r="AT46" i="2"/>
  <c r="DE46" i="2" s="1"/>
  <c r="AV46" i="2"/>
  <c r="DF46" i="2" s="1"/>
  <c r="AX46" i="2"/>
  <c r="DG46" i="2" s="1"/>
  <c r="BG46" i="2"/>
  <c r="BP46" i="2" s="1"/>
  <c r="BH46" i="2"/>
  <c r="BQ46" i="2"/>
  <c r="BZ46" i="2"/>
  <c r="DB46" i="2"/>
  <c r="DH46" i="2"/>
  <c r="DI46" i="2"/>
  <c r="DJ46" i="2"/>
  <c r="DL46" i="2"/>
  <c r="DM46" i="2"/>
  <c r="Z47" i="2"/>
  <c r="AC47" i="2"/>
  <c r="AF47" i="2"/>
  <c r="AT47" i="2"/>
  <c r="DE47" i="2" s="1"/>
  <c r="AV47" i="2"/>
  <c r="DF47" i="2" s="1"/>
  <c r="AX47" i="2"/>
  <c r="DG47" i="2" s="1"/>
  <c r="BG47" i="2"/>
  <c r="BP47" i="2" s="1"/>
  <c r="BH47" i="2"/>
  <c r="BQ47" i="2"/>
  <c r="BZ47" i="2"/>
  <c r="DB47" i="2"/>
  <c r="DH47" i="2"/>
  <c r="DI47" i="2"/>
  <c r="DJ47" i="2"/>
  <c r="DL47" i="2"/>
  <c r="DM47" i="2"/>
  <c r="Z48" i="2"/>
  <c r="AC48" i="2"/>
  <c r="AF48" i="2"/>
  <c r="AT48" i="2"/>
  <c r="DE48" i="2" s="1"/>
  <c r="AV48" i="2"/>
  <c r="DF48" i="2" s="1"/>
  <c r="AX48" i="2"/>
  <c r="DG48" i="2" s="1"/>
  <c r="BG48" i="2"/>
  <c r="BP48" i="2" s="1"/>
  <c r="BH48" i="2"/>
  <c r="BQ48" i="2"/>
  <c r="BZ48" i="2"/>
  <c r="DB48" i="2"/>
  <c r="DH48" i="2"/>
  <c r="DI48" i="2"/>
  <c r="DJ48" i="2"/>
  <c r="DL48" i="2"/>
  <c r="DM48" i="2"/>
  <c r="Z49" i="2"/>
  <c r="AC49" i="2"/>
  <c r="AF49" i="2"/>
  <c r="AT49" i="2"/>
  <c r="DE49" i="2" s="1"/>
  <c r="AV49" i="2"/>
  <c r="DF49" i="2" s="1"/>
  <c r="AX49" i="2"/>
  <c r="DG49" i="2" s="1"/>
  <c r="BG49" i="2"/>
  <c r="BP49" i="2" s="1"/>
  <c r="BH49" i="2"/>
  <c r="BQ49" i="2"/>
  <c r="BZ49" i="2"/>
  <c r="DB49" i="2"/>
  <c r="DH49" i="2"/>
  <c r="DI49" i="2"/>
  <c r="DJ49" i="2"/>
  <c r="DL49" i="2"/>
  <c r="DM49" i="2"/>
  <c r="Z50" i="2"/>
  <c r="AC50" i="2"/>
  <c r="AF50" i="2"/>
  <c r="AT50" i="2"/>
  <c r="DE50" i="2" s="1"/>
  <c r="AV50" i="2"/>
  <c r="DF50" i="2" s="1"/>
  <c r="AX50" i="2"/>
  <c r="DG50" i="2" s="1"/>
  <c r="BG50" i="2"/>
  <c r="BP50" i="2" s="1"/>
  <c r="BH50" i="2"/>
  <c r="BQ50" i="2"/>
  <c r="BZ50" i="2"/>
  <c r="DB50" i="2"/>
  <c r="DH50" i="2"/>
  <c r="DI50" i="2"/>
  <c r="DJ50" i="2"/>
  <c r="DL50" i="2"/>
  <c r="DM50" i="2"/>
  <c r="Z51" i="2"/>
  <c r="AC51" i="2"/>
  <c r="AF51" i="2"/>
  <c r="AT51" i="2"/>
  <c r="DE51" i="2" s="1"/>
  <c r="AV51" i="2"/>
  <c r="DF51" i="2" s="1"/>
  <c r="AX51" i="2"/>
  <c r="DG51" i="2" s="1"/>
  <c r="BG51" i="2"/>
  <c r="BP51" i="2" s="1"/>
  <c r="BH51" i="2"/>
  <c r="BQ51" i="2"/>
  <c r="BZ51" i="2"/>
  <c r="DB51" i="2"/>
  <c r="DH51" i="2"/>
  <c r="DI51" i="2"/>
  <c r="DJ51" i="2"/>
  <c r="DL51" i="2"/>
  <c r="DM51" i="2"/>
  <c r="Z52" i="2"/>
  <c r="AC52" i="2"/>
  <c r="AF52" i="2"/>
  <c r="AT52" i="2"/>
  <c r="DE52" i="2" s="1"/>
  <c r="AV52" i="2"/>
  <c r="DF52" i="2" s="1"/>
  <c r="AX52" i="2"/>
  <c r="DG52" i="2" s="1"/>
  <c r="BG52" i="2"/>
  <c r="BP52" i="2" s="1"/>
  <c r="BH52" i="2"/>
  <c r="BQ52" i="2"/>
  <c r="BZ52" i="2"/>
  <c r="DB52" i="2"/>
  <c r="DH52" i="2"/>
  <c r="DI52" i="2"/>
  <c r="DJ52" i="2"/>
  <c r="DL52" i="2"/>
  <c r="DM52" i="2"/>
  <c r="Z53" i="2"/>
  <c r="AC53" i="2"/>
  <c r="AF53" i="2"/>
  <c r="AT53" i="2"/>
  <c r="DE53" i="2" s="1"/>
  <c r="AV53" i="2"/>
  <c r="DF53" i="2" s="1"/>
  <c r="AX53" i="2"/>
  <c r="DG53" i="2" s="1"/>
  <c r="BG53" i="2"/>
  <c r="BH53" i="2"/>
  <c r="BQ53" i="2"/>
  <c r="BZ53" i="2"/>
  <c r="DB53" i="2"/>
  <c r="DH53" i="2"/>
  <c r="DI53" i="2"/>
  <c r="DJ53" i="2"/>
  <c r="DL53" i="2"/>
  <c r="DM53" i="2"/>
  <c r="Z54" i="2"/>
  <c r="AC54" i="2"/>
  <c r="AF54" i="2"/>
  <c r="AT54" i="2"/>
  <c r="DE54" i="2" s="1"/>
  <c r="AV54" i="2"/>
  <c r="DF54" i="2" s="1"/>
  <c r="AX54" i="2"/>
  <c r="DG54" i="2" s="1"/>
  <c r="BG54" i="2"/>
  <c r="BH54" i="2"/>
  <c r="BQ54" i="2"/>
  <c r="BZ54" i="2"/>
  <c r="DB54" i="2"/>
  <c r="DH54" i="2"/>
  <c r="DI54" i="2"/>
  <c r="DJ54" i="2"/>
  <c r="DL54" i="2"/>
  <c r="DM54" i="2"/>
  <c r="Z55" i="2"/>
  <c r="AC55" i="2"/>
  <c r="AF55" i="2"/>
  <c r="AT55" i="2"/>
  <c r="DE55" i="2" s="1"/>
  <c r="AV55" i="2"/>
  <c r="DF55" i="2" s="1"/>
  <c r="AX55" i="2"/>
  <c r="DG55" i="2" s="1"/>
  <c r="BG55" i="2"/>
  <c r="BP55" i="2" s="1"/>
  <c r="BH55" i="2"/>
  <c r="BQ55" i="2"/>
  <c r="BZ55" i="2"/>
  <c r="DB55" i="2"/>
  <c r="DH55" i="2"/>
  <c r="DI55" i="2"/>
  <c r="DJ55" i="2"/>
  <c r="DL55" i="2"/>
  <c r="DM55" i="2"/>
  <c r="Z56" i="2"/>
  <c r="AC56" i="2"/>
  <c r="AF56" i="2"/>
  <c r="AT56" i="2"/>
  <c r="DE56" i="2" s="1"/>
  <c r="AV56" i="2"/>
  <c r="DF56" i="2" s="1"/>
  <c r="AX56" i="2"/>
  <c r="DG56" i="2" s="1"/>
  <c r="BG56" i="2"/>
  <c r="BP56" i="2" s="1"/>
  <c r="BH56" i="2"/>
  <c r="BQ56" i="2"/>
  <c r="BZ56" i="2"/>
  <c r="DB56" i="2"/>
  <c r="DH56" i="2"/>
  <c r="DI56" i="2"/>
  <c r="DJ56" i="2"/>
  <c r="DL56" i="2"/>
  <c r="DM56" i="2"/>
  <c r="Z57" i="2"/>
  <c r="AC57" i="2"/>
  <c r="AF57" i="2"/>
  <c r="AT57" i="2"/>
  <c r="DE57" i="2" s="1"/>
  <c r="AV57" i="2"/>
  <c r="DF57" i="2" s="1"/>
  <c r="AX57" i="2"/>
  <c r="DG57" i="2" s="1"/>
  <c r="BG57" i="2"/>
  <c r="BP57" i="2" s="1"/>
  <c r="BH57" i="2"/>
  <c r="BQ57" i="2"/>
  <c r="BZ57" i="2"/>
  <c r="DB57" i="2"/>
  <c r="DH57" i="2"/>
  <c r="DI57" i="2"/>
  <c r="DJ57" i="2"/>
  <c r="DL57" i="2"/>
  <c r="DM57" i="2"/>
  <c r="Z58" i="2"/>
  <c r="AC58" i="2"/>
  <c r="AF58" i="2"/>
  <c r="AT58" i="2"/>
  <c r="DE58" i="2" s="1"/>
  <c r="AV58" i="2"/>
  <c r="DF58" i="2" s="1"/>
  <c r="AX58" i="2"/>
  <c r="DG58" i="2" s="1"/>
  <c r="BG58" i="2"/>
  <c r="BP58" i="2" s="1"/>
  <c r="BH58" i="2"/>
  <c r="BQ58" i="2"/>
  <c r="BZ58" i="2"/>
  <c r="DB58" i="2"/>
  <c r="DH58" i="2"/>
  <c r="DI58" i="2"/>
  <c r="DJ58" i="2"/>
  <c r="DL58" i="2"/>
  <c r="DM58" i="2"/>
  <c r="Z59" i="2"/>
  <c r="AC59" i="2"/>
  <c r="AF59" i="2"/>
  <c r="AT59" i="2"/>
  <c r="DE59" i="2" s="1"/>
  <c r="AV59" i="2"/>
  <c r="DF59" i="2" s="1"/>
  <c r="AX59" i="2"/>
  <c r="DG59" i="2" s="1"/>
  <c r="BG59" i="2"/>
  <c r="BP59" i="2" s="1"/>
  <c r="BH59" i="2"/>
  <c r="BQ59" i="2"/>
  <c r="BZ59" i="2"/>
  <c r="DB59" i="2"/>
  <c r="DH59" i="2"/>
  <c r="DI59" i="2"/>
  <c r="DJ59" i="2"/>
  <c r="DL59" i="2"/>
  <c r="DM59" i="2"/>
  <c r="Z60" i="2"/>
  <c r="AC60" i="2"/>
  <c r="AF60" i="2"/>
  <c r="AT60" i="2"/>
  <c r="DE60" i="2" s="1"/>
  <c r="AV60" i="2"/>
  <c r="DF60" i="2" s="1"/>
  <c r="AX60" i="2"/>
  <c r="DG60" i="2" s="1"/>
  <c r="BG60" i="2"/>
  <c r="BP60" i="2" s="1"/>
  <c r="BH60" i="2"/>
  <c r="BQ60" i="2"/>
  <c r="BZ60" i="2"/>
  <c r="DB60" i="2"/>
  <c r="DH60" i="2"/>
  <c r="DI60" i="2"/>
  <c r="DJ60" i="2"/>
  <c r="DL60" i="2"/>
  <c r="DM60" i="2"/>
  <c r="Z61" i="2"/>
  <c r="AC61" i="2"/>
  <c r="AF61" i="2"/>
  <c r="AT61" i="2"/>
  <c r="DE61" i="2" s="1"/>
  <c r="AV61" i="2"/>
  <c r="DF61" i="2" s="1"/>
  <c r="AX61" i="2"/>
  <c r="DG61" i="2" s="1"/>
  <c r="BG61" i="2"/>
  <c r="BH61" i="2"/>
  <c r="BQ61" i="2"/>
  <c r="BZ61" i="2"/>
  <c r="DB61" i="2"/>
  <c r="DH61" i="2"/>
  <c r="DI61" i="2"/>
  <c r="DJ61" i="2"/>
  <c r="DL61" i="2"/>
  <c r="DM61" i="2"/>
  <c r="Z62" i="2"/>
  <c r="AC62" i="2"/>
  <c r="AF62" i="2"/>
  <c r="AT62" i="2"/>
  <c r="DE62" i="2" s="1"/>
  <c r="AV62" i="2"/>
  <c r="DF62" i="2" s="1"/>
  <c r="AX62" i="2"/>
  <c r="DG62" i="2" s="1"/>
  <c r="BG62" i="2"/>
  <c r="BH62" i="2"/>
  <c r="BQ62" i="2"/>
  <c r="BZ62" i="2"/>
  <c r="DB62" i="2"/>
  <c r="DH62" i="2"/>
  <c r="DI62" i="2"/>
  <c r="DJ62" i="2"/>
  <c r="DL62" i="2"/>
  <c r="DM62" i="2"/>
  <c r="Z63" i="2"/>
  <c r="AC63" i="2"/>
  <c r="AF63" i="2"/>
  <c r="AT63" i="2"/>
  <c r="AV63" i="2"/>
  <c r="DF63" i="2" s="1"/>
  <c r="AX63" i="2"/>
  <c r="DG63" i="2" s="1"/>
  <c r="BG63" i="2"/>
  <c r="BP63" i="2" s="1"/>
  <c r="BH63" i="2"/>
  <c r="BQ63" i="2"/>
  <c r="BZ63" i="2"/>
  <c r="DB63" i="2"/>
  <c r="DE63" i="2"/>
  <c r="DH63" i="2"/>
  <c r="DI63" i="2"/>
  <c r="DJ63" i="2"/>
  <c r="DL63" i="2"/>
  <c r="DM63" i="2"/>
  <c r="Z64" i="2"/>
  <c r="AC64" i="2"/>
  <c r="AF64" i="2"/>
  <c r="AT64" i="2"/>
  <c r="AV64" i="2"/>
  <c r="AX64" i="2"/>
  <c r="BG64" i="2"/>
  <c r="BP64" i="2" s="1"/>
  <c r="BH64" i="2"/>
  <c r="BQ64" i="2"/>
  <c r="BZ64" i="2"/>
  <c r="DB64" i="2"/>
  <c r="DE64" i="2"/>
  <c r="DF64" i="2"/>
  <c r="DG64" i="2"/>
  <c r="DH64" i="2"/>
  <c r="DI64" i="2"/>
  <c r="DJ64" i="2"/>
  <c r="DL64" i="2"/>
  <c r="DM64" i="2"/>
  <c r="Z65" i="2"/>
  <c r="AC65" i="2"/>
  <c r="AF65" i="2"/>
  <c r="AT65" i="2"/>
  <c r="AV65" i="2"/>
  <c r="AX65" i="2"/>
  <c r="BG65" i="2"/>
  <c r="BH65" i="2"/>
  <c r="BQ65" i="2"/>
  <c r="BZ65" i="2"/>
  <c r="DB65" i="2"/>
  <c r="DD65" i="2"/>
  <c r="DE65" i="2"/>
  <c r="DF65" i="2"/>
  <c r="DG65" i="2"/>
  <c r="DH65" i="2"/>
  <c r="DI65" i="2"/>
  <c r="DJ65" i="2"/>
  <c r="DL65" i="2"/>
  <c r="DM65" i="2"/>
  <c r="R9" i="6"/>
  <c r="U9" i="6"/>
  <c r="X9" i="6"/>
  <c r="AK9" i="6"/>
  <c r="BG9" i="6" s="1"/>
  <c r="AM9" i="6"/>
  <c r="CA9" i="6" s="1"/>
  <c r="AO9" i="6"/>
  <c r="BI9" i="6" s="1"/>
  <c r="BE9" i="6"/>
  <c r="BJ9" i="6"/>
  <c r="BK9" i="6"/>
  <c r="R483" i="6"/>
  <c r="U483" i="6"/>
  <c r="X483" i="6"/>
  <c r="AK483" i="6"/>
  <c r="BG483" i="6" s="1"/>
  <c r="AM483" i="6"/>
  <c r="BH483" i="6" s="1"/>
  <c r="AO483" i="6"/>
  <c r="BI483" i="6" s="1"/>
  <c r="BE483" i="6"/>
  <c r="BJ483" i="6"/>
  <c r="BK483" i="6"/>
  <c r="R484" i="6"/>
  <c r="U484" i="6"/>
  <c r="X484" i="6"/>
  <c r="AK484" i="6"/>
  <c r="BG484" i="6" s="1"/>
  <c r="AM484" i="6"/>
  <c r="BH484" i="6" s="1"/>
  <c r="AO484" i="6"/>
  <c r="BI484" i="6" s="1"/>
  <c r="BE484" i="6"/>
  <c r="BJ484" i="6"/>
  <c r="BK484" i="6"/>
  <c r="R485" i="6"/>
  <c r="U485" i="6"/>
  <c r="X485" i="6"/>
  <c r="AK485" i="6"/>
  <c r="BG485" i="6" s="1"/>
  <c r="AM485" i="6"/>
  <c r="BH485" i="6" s="1"/>
  <c r="AO485" i="6"/>
  <c r="BI485" i="6" s="1"/>
  <c r="BE485" i="6"/>
  <c r="BJ485" i="6"/>
  <c r="BK485" i="6"/>
  <c r="Z9" i="2"/>
  <c r="AC9" i="2"/>
  <c r="AF9" i="2"/>
  <c r="AT9" i="2"/>
  <c r="DE9" i="2" s="1"/>
  <c r="AV9" i="2"/>
  <c r="DF9" i="2" s="1"/>
  <c r="AX9" i="2"/>
  <c r="DG9" i="2" s="1"/>
  <c r="BG9" i="2"/>
  <c r="BH9" i="2"/>
  <c r="BQ9" i="2"/>
  <c r="BZ9" i="2"/>
  <c r="DB9" i="2"/>
  <c r="DH9" i="2"/>
  <c r="DI9" i="2"/>
  <c r="DJ9" i="2"/>
  <c r="DL9" i="2"/>
  <c r="DM9" i="2"/>
  <c r="Z66" i="2"/>
  <c r="AC66" i="2"/>
  <c r="AF66" i="2"/>
  <c r="AT66" i="2"/>
  <c r="AV66" i="2"/>
  <c r="DF66" i="2" s="1"/>
  <c r="AX66" i="2"/>
  <c r="DG66" i="2" s="1"/>
  <c r="BG66" i="2"/>
  <c r="BP66" i="2" s="1"/>
  <c r="BY66" i="2" s="1"/>
  <c r="BH66" i="2"/>
  <c r="BQ66" i="2"/>
  <c r="BZ66" i="2"/>
  <c r="DB66" i="2"/>
  <c r="DD66" i="2"/>
  <c r="DE66" i="2"/>
  <c r="DH66" i="2"/>
  <c r="DI66" i="2"/>
  <c r="DJ66" i="2"/>
  <c r="DL66" i="2"/>
  <c r="DM66" i="2"/>
  <c r="Z67" i="2"/>
  <c r="AC67" i="2"/>
  <c r="AF67" i="2"/>
  <c r="AT67" i="2"/>
  <c r="DE67" i="2" s="1"/>
  <c r="AV67" i="2"/>
  <c r="AX67" i="2"/>
  <c r="DG67" i="2" s="1"/>
  <c r="BG67" i="2"/>
  <c r="BH67" i="2"/>
  <c r="BQ67" i="2"/>
  <c r="BZ67" i="2"/>
  <c r="DB67" i="2"/>
  <c r="DD67" i="2"/>
  <c r="DF67" i="2"/>
  <c r="DH67" i="2"/>
  <c r="DI67" i="2"/>
  <c r="DJ67" i="2"/>
  <c r="DL67" i="2"/>
  <c r="DM67" i="2"/>
  <c r="DN23" i="2" l="1"/>
  <c r="BH9" i="6"/>
  <c r="CK15" i="2"/>
  <c r="CK19" i="2"/>
  <c r="AB484" i="6"/>
  <c r="AB485" i="6"/>
  <c r="AB9" i="6"/>
  <c r="CA484" i="6"/>
  <c r="BL483" i="6"/>
  <c r="AB483" i="6"/>
  <c r="CK11" i="2"/>
  <c r="DN29" i="2"/>
  <c r="AK36" i="2"/>
  <c r="AK34" i="2"/>
  <c r="AK10" i="2"/>
  <c r="DN17" i="2"/>
  <c r="CK13" i="2"/>
  <c r="DN31" i="2"/>
  <c r="AK38" i="2"/>
  <c r="CK27" i="2"/>
  <c r="BI35" i="2"/>
  <c r="BR58" i="2"/>
  <c r="CA41" i="2"/>
  <c r="BI49" i="2"/>
  <c r="BR46" i="2"/>
  <c r="DK42" i="2"/>
  <c r="DK56" i="2"/>
  <c r="BR47" i="2"/>
  <c r="DK46" i="2"/>
  <c r="DK10" i="2"/>
  <c r="AK54" i="2"/>
  <c r="BI65" i="2"/>
  <c r="BR63" i="2"/>
  <c r="BR52" i="2"/>
  <c r="BR43" i="2"/>
  <c r="BL485" i="6"/>
  <c r="CA485" i="6"/>
  <c r="BL484" i="6"/>
  <c r="CA483" i="6"/>
  <c r="BL9" i="6"/>
  <c r="BP61" i="2"/>
  <c r="BR61" i="2" s="1"/>
  <c r="BR56" i="2"/>
  <c r="BI53" i="2"/>
  <c r="BR42" i="2"/>
  <c r="AK42" i="2"/>
  <c r="DK40" i="2"/>
  <c r="BI39" i="2"/>
  <c r="BI61" i="2"/>
  <c r="AK61" i="2"/>
  <c r="BR60" i="2"/>
  <c r="BI55" i="2"/>
  <c r="DK53" i="2"/>
  <c r="DK34" i="2"/>
  <c r="BI63" i="2"/>
  <c r="BI47" i="2"/>
  <c r="BI41" i="2"/>
  <c r="AK65" i="2"/>
  <c r="AK62" i="2"/>
  <c r="BR57" i="2"/>
  <c r="AK53" i="2"/>
  <c r="AK52" i="2"/>
  <c r="AK51" i="2"/>
  <c r="BR48" i="2"/>
  <c r="BP39" i="2"/>
  <c r="BR39" i="2" s="1"/>
  <c r="BI33" i="2"/>
  <c r="DK65" i="2"/>
  <c r="AK60" i="2"/>
  <c r="BI57" i="2"/>
  <c r="AK56" i="2"/>
  <c r="BI51" i="2"/>
  <c r="BR50" i="2"/>
  <c r="AK50" i="2"/>
  <c r="BI45" i="2"/>
  <c r="BR44" i="2"/>
  <c r="BI43" i="2"/>
  <c r="DK38" i="2"/>
  <c r="BR37" i="2"/>
  <c r="DK44" i="2"/>
  <c r="BI59" i="2"/>
  <c r="BR55" i="2"/>
  <c r="DK48" i="2"/>
  <c r="AK46" i="2"/>
  <c r="DK36" i="2"/>
  <c r="BI64" i="2"/>
  <c r="DK64" i="2"/>
  <c r="DK63" i="2"/>
  <c r="BY59" i="2"/>
  <c r="CA59" i="2" s="1"/>
  <c r="BR59" i="2"/>
  <c r="BR49" i="2"/>
  <c r="BY49" i="2"/>
  <c r="CA49" i="2" s="1"/>
  <c r="BR51" i="2"/>
  <c r="BY51" i="2"/>
  <c r="CA51" i="2" s="1"/>
  <c r="BR45" i="2"/>
  <c r="BY45" i="2"/>
  <c r="CA45" i="2" s="1"/>
  <c r="DK59" i="2"/>
  <c r="BP53" i="2"/>
  <c r="BR53" i="2" s="1"/>
  <c r="DK52" i="2"/>
  <c r="AK9" i="2"/>
  <c r="DK62" i="2"/>
  <c r="AK58" i="2"/>
  <c r="BY47" i="2"/>
  <c r="CA47" i="2" s="1"/>
  <c r="BY43" i="2"/>
  <c r="CA43" i="2" s="1"/>
  <c r="BR41" i="2"/>
  <c r="AK40" i="2"/>
  <c r="BY37" i="2"/>
  <c r="CA37" i="2" s="1"/>
  <c r="BI37" i="2"/>
  <c r="BP35" i="2"/>
  <c r="BR35" i="2" s="1"/>
  <c r="BP33" i="2"/>
  <c r="BR33" i="2" s="1"/>
  <c r="DK57" i="2"/>
  <c r="DK61" i="2"/>
  <c r="DK60" i="2"/>
  <c r="DK55" i="2"/>
  <c r="DK54" i="2"/>
  <c r="DK51" i="2"/>
  <c r="AK48" i="2"/>
  <c r="AK44" i="2"/>
  <c r="BY64" i="2"/>
  <c r="CA64" i="2" s="1"/>
  <c r="BR64" i="2"/>
  <c r="BP65" i="2"/>
  <c r="BR65" i="2" s="1"/>
  <c r="BY63" i="2"/>
  <c r="CA63" i="2" s="1"/>
  <c r="AK63" i="2"/>
  <c r="BI62" i="2"/>
  <c r="BY55" i="2"/>
  <c r="CA55" i="2" s="1"/>
  <c r="AK55" i="2"/>
  <c r="BI54" i="2"/>
  <c r="DK49" i="2"/>
  <c r="AK49" i="2"/>
  <c r="DK47" i="2"/>
  <c r="AK47" i="2"/>
  <c r="DK45" i="2"/>
  <c r="AK45" i="2"/>
  <c r="DK43" i="2"/>
  <c r="AK43" i="2"/>
  <c r="DK41" i="2"/>
  <c r="AK41" i="2"/>
  <c r="BR40" i="2"/>
  <c r="DK39" i="2"/>
  <c r="AK39" i="2"/>
  <c r="BR38" i="2"/>
  <c r="DK37" i="2"/>
  <c r="AK37" i="2"/>
  <c r="DK33" i="2"/>
  <c r="AK64" i="2"/>
  <c r="DK58" i="2"/>
  <c r="BY57" i="2"/>
  <c r="CA57" i="2" s="1"/>
  <c r="AK57" i="2"/>
  <c r="BI56" i="2"/>
  <c r="BY56" i="2"/>
  <c r="CA56" i="2" s="1"/>
  <c r="DK50" i="2"/>
  <c r="BI36" i="2"/>
  <c r="BP36" i="2"/>
  <c r="BR36" i="2" s="1"/>
  <c r="BI60" i="2"/>
  <c r="BY60" i="2"/>
  <c r="CA60" i="2" s="1"/>
  <c r="BI52" i="2"/>
  <c r="BY52" i="2"/>
  <c r="CA52" i="2" s="1"/>
  <c r="BI34" i="2"/>
  <c r="BP34" i="2"/>
  <c r="BR34" i="2" s="1"/>
  <c r="BI10" i="2"/>
  <c r="BP10" i="2"/>
  <c r="BR10" i="2" s="1"/>
  <c r="BP62" i="2"/>
  <c r="BR62" i="2" s="1"/>
  <c r="AK59" i="2"/>
  <c r="BI58" i="2"/>
  <c r="BY58" i="2"/>
  <c r="CA58" i="2" s="1"/>
  <c r="BP54" i="2"/>
  <c r="BR54" i="2" s="1"/>
  <c r="BI50" i="2"/>
  <c r="BY50" i="2"/>
  <c r="CA50" i="2" s="1"/>
  <c r="BI48" i="2"/>
  <c r="BY48" i="2"/>
  <c r="CA48" i="2" s="1"/>
  <c r="BI46" i="2"/>
  <c r="BY46" i="2"/>
  <c r="CA46" i="2" s="1"/>
  <c r="BI44" i="2"/>
  <c r="BY44" i="2"/>
  <c r="CA44" i="2" s="1"/>
  <c r="BI42" i="2"/>
  <c r="BY42" i="2"/>
  <c r="CA42" i="2" s="1"/>
  <c r="BI40" i="2"/>
  <c r="BY40" i="2"/>
  <c r="CA40" i="2" s="1"/>
  <c r="BI38" i="2"/>
  <c r="BY38" i="2"/>
  <c r="CA38" i="2" s="1"/>
  <c r="DK35" i="2"/>
  <c r="AK35" i="2"/>
  <c r="AK33" i="2"/>
  <c r="AK67" i="2"/>
  <c r="DK67" i="2"/>
  <c r="BR66" i="2"/>
  <c r="DK66" i="2"/>
  <c r="DK9" i="2"/>
  <c r="AK66" i="2"/>
  <c r="BI66" i="2"/>
  <c r="BI67" i="2"/>
  <c r="CA66" i="2"/>
  <c r="BI9" i="2"/>
  <c r="BP9" i="2"/>
  <c r="BR9" i="2" s="1"/>
  <c r="BP67" i="2"/>
  <c r="BR67" i="2" s="1"/>
  <c r="DM8" i="2"/>
  <c r="DL8" i="2"/>
  <c r="DJ8" i="2"/>
  <c r="DI8" i="2"/>
  <c r="DH8" i="2"/>
  <c r="DB8" i="2"/>
  <c r="BZ8" i="2"/>
  <c r="BQ8" i="2"/>
  <c r="BH8" i="2"/>
  <c r="BG8" i="2"/>
  <c r="BP8" i="2" s="1"/>
  <c r="AX8" i="2"/>
  <c r="DG8" i="2" s="1"/>
  <c r="AV8" i="2"/>
  <c r="DF8" i="2" s="1"/>
  <c r="AT8" i="2"/>
  <c r="DE8" i="2" s="1"/>
  <c r="AF8" i="2"/>
  <c r="AC8" i="2"/>
  <c r="Z8" i="2"/>
  <c r="B220" i="21"/>
  <c r="B219" i="21"/>
  <c r="B218" i="21"/>
  <c r="B217" i="21"/>
  <c r="B216" i="21"/>
  <c r="B215" i="21"/>
  <c r="B214" i="21"/>
  <c r="B213" i="21"/>
  <c r="B212" i="21"/>
  <c r="B211" i="21"/>
  <c r="B210" i="21"/>
  <c r="B209" i="21"/>
  <c r="B208" i="21"/>
  <c r="B207" i="21"/>
  <c r="B206" i="21"/>
  <c r="B205" i="21"/>
  <c r="B204" i="21"/>
  <c r="B203" i="21"/>
  <c r="B202" i="21"/>
  <c r="B201" i="21"/>
  <c r="B200" i="21"/>
  <c r="B199" i="21"/>
  <c r="B198" i="21"/>
  <c r="B197" i="21"/>
  <c r="B196" i="21"/>
  <c r="B195" i="21"/>
  <c r="B194" i="21"/>
  <c r="B193" i="21"/>
  <c r="B192" i="21"/>
  <c r="B191" i="21"/>
  <c r="B190" i="21"/>
  <c r="B189" i="21"/>
  <c r="B188" i="21"/>
  <c r="B187" i="21"/>
  <c r="B186" i="21"/>
  <c r="B185" i="21"/>
  <c r="B184" i="21"/>
  <c r="B183" i="21"/>
  <c r="B182" i="21"/>
  <c r="B181" i="21"/>
  <c r="B180" i="21"/>
  <c r="B179" i="21"/>
  <c r="B178" i="21"/>
  <c r="B177" i="21"/>
  <c r="B176" i="21"/>
  <c r="B175" i="21"/>
  <c r="B174" i="21"/>
  <c r="B173" i="21"/>
  <c r="B101" i="21"/>
  <c r="B172" i="21"/>
  <c r="B171" i="21"/>
  <c r="B170" i="21"/>
  <c r="B169" i="21"/>
  <c r="B168" i="21"/>
  <c r="B167" i="21"/>
  <c r="B166" i="21"/>
  <c r="B165" i="21"/>
  <c r="B164" i="21"/>
  <c r="B163" i="21"/>
  <c r="B162" i="21"/>
  <c r="B161" i="21"/>
  <c r="B160" i="21"/>
  <c r="B159" i="21"/>
  <c r="B158" i="21"/>
  <c r="B157" i="21"/>
  <c r="B156" i="21"/>
  <c r="B155" i="21"/>
  <c r="B154" i="21"/>
  <c r="B153" i="21"/>
  <c r="B152" i="21"/>
  <c r="B151" i="21"/>
  <c r="B150" i="21"/>
  <c r="B149" i="21"/>
  <c r="B148" i="21"/>
  <c r="B147" i="21"/>
  <c r="B146" i="21"/>
  <c r="B145" i="21"/>
  <c r="B144" i="21"/>
  <c r="B143" i="21"/>
  <c r="B142" i="21"/>
  <c r="B141" i="21"/>
  <c r="B140" i="21"/>
  <c r="B139" i="21"/>
  <c r="B138" i="21"/>
  <c r="B137" i="21"/>
  <c r="B132" i="21"/>
  <c r="B136" i="21"/>
  <c r="B135" i="21"/>
  <c r="B134" i="21"/>
  <c r="B133" i="21"/>
  <c r="B131" i="21"/>
  <c r="B130" i="21"/>
  <c r="B129" i="21"/>
  <c r="B128" i="21"/>
  <c r="B127" i="21"/>
  <c r="B126" i="21"/>
  <c r="B125" i="21"/>
  <c r="B124" i="21"/>
  <c r="B123" i="21"/>
  <c r="B122" i="21"/>
  <c r="B121" i="21"/>
  <c r="B120" i="21"/>
  <c r="B119" i="21"/>
  <c r="B118" i="21"/>
  <c r="B117" i="21"/>
  <c r="B116" i="21"/>
  <c r="B115" i="21"/>
  <c r="B114" i="21"/>
  <c r="B113" i="21"/>
  <c r="B112" i="21"/>
  <c r="B111" i="21"/>
  <c r="B110" i="21"/>
  <c r="B109" i="21"/>
  <c r="B108" i="21"/>
  <c r="B107" i="21"/>
  <c r="B106" i="21"/>
  <c r="B105" i="21"/>
  <c r="B104" i="21"/>
  <c r="B103" i="21"/>
  <c r="B102" i="21"/>
  <c r="B100" i="21"/>
  <c r="B99" i="21"/>
  <c r="B98" i="21"/>
  <c r="B97" i="21"/>
  <c r="B96" i="21"/>
  <c r="B95" i="21"/>
  <c r="B94" i="21"/>
  <c r="B93" i="21"/>
  <c r="B92" i="21"/>
  <c r="B91" i="21"/>
  <c r="B90" i="21"/>
  <c r="B89" i="21"/>
  <c r="B88" i="21"/>
  <c r="B87" i="21"/>
  <c r="B86" i="21"/>
  <c r="B85" i="21"/>
  <c r="B84" i="21"/>
  <c r="DN41" i="2" l="1"/>
  <c r="CK63" i="2"/>
  <c r="BY65" i="2"/>
  <c r="CA65" i="2" s="1"/>
  <c r="CK65" i="2" s="1"/>
  <c r="DN63" i="2"/>
  <c r="CK43" i="2"/>
  <c r="DN49" i="2"/>
  <c r="DN45" i="2"/>
  <c r="CK47" i="2"/>
  <c r="DN59" i="2"/>
  <c r="BY33" i="2"/>
  <c r="CA33" i="2" s="1"/>
  <c r="DN33" i="2" s="1"/>
  <c r="DN55" i="2"/>
  <c r="BY35" i="2"/>
  <c r="CA35" i="2" s="1"/>
  <c r="CK35" i="2" s="1"/>
  <c r="CK41" i="2"/>
  <c r="DN47" i="2"/>
  <c r="BY61" i="2"/>
  <c r="CA61" i="2" s="1"/>
  <c r="CK59" i="2"/>
  <c r="DN37" i="2"/>
  <c r="DN43" i="2"/>
  <c r="CK49" i="2"/>
  <c r="BY53" i="2"/>
  <c r="CA53" i="2" s="1"/>
  <c r="CK45" i="2"/>
  <c r="BY39" i="2"/>
  <c r="CA39" i="2" s="1"/>
  <c r="CK57" i="2"/>
  <c r="CK55" i="2"/>
  <c r="DN66" i="2"/>
  <c r="DN64" i="2"/>
  <c r="DN51" i="2"/>
  <c r="BY10" i="2"/>
  <c r="CA10" i="2" s="1"/>
  <c r="CK10" i="2" s="1"/>
  <c r="CK37" i="2"/>
  <c r="CK38" i="2"/>
  <c r="DN38" i="2"/>
  <c r="DN52" i="2"/>
  <c r="CK52" i="2"/>
  <c r="DN56" i="2"/>
  <c r="CK56" i="2"/>
  <c r="CK51" i="2"/>
  <c r="DN57" i="2"/>
  <c r="CK42" i="2"/>
  <c r="DN42" i="2"/>
  <c r="CK46" i="2"/>
  <c r="DN46" i="2"/>
  <c r="DN50" i="2"/>
  <c r="CK50" i="2"/>
  <c r="DN58" i="2"/>
  <c r="CK58" i="2"/>
  <c r="BY34" i="2"/>
  <c r="CA34" i="2" s="1"/>
  <c r="DN34" i="2" s="1"/>
  <c r="BY54" i="2"/>
  <c r="CA54" i="2" s="1"/>
  <c r="DN54" i="2" s="1"/>
  <c r="CK64" i="2"/>
  <c r="DN60" i="2"/>
  <c r="CK60" i="2"/>
  <c r="BY62" i="2"/>
  <c r="CA62" i="2" s="1"/>
  <c r="DN62" i="2" s="1"/>
  <c r="CK40" i="2"/>
  <c r="DN40" i="2"/>
  <c r="CK44" i="2"/>
  <c r="DN44" i="2"/>
  <c r="CK48" i="2"/>
  <c r="DN48" i="2"/>
  <c r="BY36" i="2"/>
  <c r="CA36" i="2" s="1"/>
  <c r="CK36" i="2" s="1"/>
  <c r="CK66" i="2"/>
  <c r="BY67" i="2"/>
  <c r="CA67" i="2" s="1"/>
  <c r="DN67" i="2" s="1"/>
  <c r="BY9" i="2"/>
  <c r="CA9" i="2" s="1"/>
  <c r="CK9" i="2" s="1"/>
  <c r="AK8" i="2"/>
  <c r="BY8" i="2"/>
  <c r="CA8" i="2" s="1"/>
  <c r="BR8" i="2"/>
  <c r="DK8" i="2"/>
  <c r="BI8" i="2"/>
  <c r="X122" i="5"/>
  <c r="X123" i="5"/>
  <c r="AE122" i="5"/>
  <c r="X102" i="5"/>
  <c r="AE18" i="5"/>
  <c r="X18" i="5"/>
  <c r="BG68" i="2"/>
  <c r="BP68" i="2" s="1"/>
  <c r="BG7" i="2"/>
  <c r="W59" i="16"/>
  <c r="W58" i="16"/>
  <c r="W57" i="16"/>
  <c r="W56" i="16"/>
  <c r="W55" i="16"/>
  <c r="W54" i="16"/>
  <c r="V59" i="16"/>
  <c r="V58" i="16"/>
  <c r="V57" i="16"/>
  <c r="V56" i="16"/>
  <c r="V55" i="16"/>
  <c r="V54" i="16"/>
  <c r="I8" i="8"/>
  <c r="I7" i="8"/>
  <c r="AL9" i="7"/>
  <c r="AJ9" i="7"/>
  <c r="AO9" i="7" s="1"/>
  <c r="AH9" i="7"/>
  <c r="AN9" i="7" s="1"/>
  <c r="U9" i="7"/>
  <c r="AL8" i="7"/>
  <c r="AJ8" i="7"/>
  <c r="AO8" i="7" s="1"/>
  <c r="AH8" i="7"/>
  <c r="AN8" i="7" s="1"/>
  <c r="U8" i="7"/>
  <c r="AL7" i="7"/>
  <c r="AJ7" i="7"/>
  <c r="AO7" i="7" s="1"/>
  <c r="AH7" i="7"/>
  <c r="AN7" i="7" s="1"/>
  <c r="U7" i="7"/>
  <c r="U9" i="30"/>
  <c r="M9" i="30"/>
  <c r="U8" i="30"/>
  <c r="M8" i="30"/>
  <c r="V9" i="3"/>
  <c r="T9" i="3"/>
  <c r="Y9" i="3" s="1"/>
  <c r="V8" i="3"/>
  <c r="T8" i="3"/>
  <c r="V7" i="3"/>
  <c r="T7" i="3"/>
  <c r="Y8" i="3" l="1"/>
  <c r="DN65" i="2"/>
  <c r="CK33" i="2"/>
  <c r="CK34" i="2"/>
  <c r="DN35" i="2"/>
  <c r="CK61" i="2"/>
  <c r="DN61" i="2"/>
  <c r="CK62" i="2"/>
  <c r="DN10" i="2"/>
  <c r="CK53" i="2"/>
  <c r="DN53" i="2"/>
  <c r="CK39" i="2"/>
  <c r="DN39" i="2"/>
  <c r="CK54" i="2"/>
  <c r="DN36" i="2"/>
  <c r="CK67" i="2"/>
  <c r="DN9" i="2"/>
  <c r="BP7" i="2"/>
  <c r="BY7" i="2" s="1"/>
  <c r="DN8" i="2"/>
  <c r="CK8" i="2"/>
  <c r="AE123" i="5"/>
  <c r="BY68" i="2"/>
  <c r="Y7" i="3"/>
  <c r="BK486" i="6" l="1"/>
  <c r="BJ486" i="6"/>
  <c r="BE486" i="6"/>
  <c r="AO486" i="6"/>
  <c r="BI486" i="6" s="1"/>
  <c r="AM486" i="6"/>
  <c r="CA486" i="6" s="1"/>
  <c r="AK486" i="6"/>
  <c r="BG486" i="6" s="1"/>
  <c r="X486" i="6"/>
  <c r="U486" i="6"/>
  <c r="R486" i="6"/>
  <c r="BK8" i="6"/>
  <c r="BJ8" i="6"/>
  <c r="BE8" i="6"/>
  <c r="AO8" i="6"/>
  <c r="BI8" i="6" s="1"/>
  <c r="AM8" i="6"/>
  <c r="CA8" i="6" s="1"/>
  <c r="AK8" i="6"/>
  <c r="BG8" i="6" s="1"/>
  <c r="X8" i="6"/>
  <c r="U8" i="6"/>
  <c r="R8" i="6"/>
  <c r="BK7" i="6"/>
  <c r="BJ7" i="6"/>
  <c r="BE7" i="6"/>
  <c r="AO7" i="6"/>
  <c r="BI7" i="6" s="1"/>
  <c r="AM7" i="6"/>
  <c r="CA7" i="6" s="1"/>
  <c r="AK7" i="6"/>
  <c r="BG7" i="6" s="1"/>
  <c r="X7" i="6"/>
  <c r="U7" i="6"/>
  <c r="R7" i="6"/>
  <c r="DM68" i="2"/>
  <c r="DL68" i="2"/>
  <c r="DJ68" i="2"/>
  <c r="DI68" i="2"/>
  <c r="DH68" i="2"/>
  <c r="DB68" i="2"/>
  <c r="BZ68" i="2"/>
  <c r="BQ68" i="2"/>
  <c r="BH68" i="2"/>
  <c r="AX68" i="2"/>
  <c r="DG68" i="2" s="1"/>
  <c r="AV68" i="2"/>
  <c r="DF68" i="2" s="1"/>
  <c r="AT68" i="2"/>
  <c r="DE68" i="2" s="1"/>
  <c r="AF68" i="2"/>
  <c r="AC68" i="2"/>
  <c r="Z68" i="2"/>
  <c r="DM7" i="2"/>
  <c r="DL7" i="2"/>
  <c r="DJ7" i="2"/>
  <c r="DI7" i="2"/>
  <c r="DH7" i="2"/>
  <c r="DB7" i="2"/>
  <c r="AX7" i="2"/>
  <c r="DG7" i="2" s="1"/>
  <c r="DF7" i="2"/>
  <c r="AT7" i="2"/>
  <c r="DE7" i="2" s="1"/>
  <c r="AF7" i="2"/>
  <c r="AC7" i="2"/>
  <c r="Z7" i="2"/>
  <c r="BZ7" i="2"/>
  <c r="BQ7" i="2"/>
  <c r="BH7" i="2"/>
  <c r="U7" i="30"/>
  <c r="M7" i="30"/>
  <c r="M5" i="30" s="1"/>
  <c r="L5" i="30"/>
  <c r="K5" i="30"/>
  <c r="J5" i="30"/>
  <c r="I5" i="30"/>
  <c r="AB486" i="6" l="1"/>
  <c r="AB8" i="6"/>
  <c r="AK68" i="2"/>
  <c r="AK7" i="2"/>
  <c r="BL486" i="6"/>
  <c r="X51" i="5"/>
  <c r="X47" i="5"/>
  <c r="BH486" i="6"/>
  <c r="DK68" i="2"/>
  <c r="AB7" i="6"/>
  <c r="BH8" i="6"/>
  <c r="BL8" i="6"/>
  <c r="BH7" i="6"/>
  <c r="BL7" i="6"/>
  <c r="CA68" i="2"/>
  <c r="BR68" i="2"/>
  <c r="AE51" i="5"/>
  <c r="BI7" i="2"/>
  <c r="BR7" i="2"/>
  <c r="DK7" i="2"/>
  <c r="CA7" i="2"/>
  <c r="BI68" i="2"/>
  <c r="Z5" i="3"/>
  <c r="AE47" i="5" l="1"/>
  <c r="DN7" i="2"/>
  <c r="CK7" i="2"/>
  <c r="DN68" i="2"/>
  <c r="CK68" i="2"/>
  <c r="S5" i="6"/>
  <c r="U5" i="6"/>
  <c r="X5" i="2"/>
  <c r="T5" i="30"/>
  <c r="S5" i="30"/>
  <c r="R5" i="30"/>
  <c r="Q5" i="30"/>
  <c r="P5" i="30"/>
  <c r="O5" i="30"/>
  <c r="V60" i="16" s="1"/>
  <c r="A1" i="30"/>
  <c r="S9" i="1"/>
  <c r="S7" i="1"/>
  <c r="S6" i="1"/>
  <c r="B4" i="29"/>
  <c r="A1" i="29"/>
  <c r="W5" i="2"/>
  <c r="V5" i="2"/>
  <c r="U5" i="2"/>
  <c r="P5" i="6"/>
  <c r="O5" i="6"/>
  <c r="N5" i="6"/>
  <c r="M5" i="6"/>
  <c r="AF5" i="7"/>
  <c r="AE5" i="7"/>
  <c r="X5" i="3"/>
  <c r="W5" i="3"/>
  <c r="R5" i="3"/>
  <c r="Q5" i="3"/>
  <c r="P5" i="3"/>
  <c r="C11" i="16"/>
  <c r="C5" i="16"/>
  <c r="U5" i="30" l="1"/>
  <c r="Z5" i="2"/>
  <c r="AA5" i="2"/>
  <c r="T5" i="3"/>
  <c r="R5" i="6"/>
  <c r="S8" i="1"/>
  <c r="V5" i="3"/>
  <c r="X5" i="6" l="1"/>
  <c r="V5" i="6"/>
  <c r="AC5" i="2"/>
  <c r="Y5" i="3"/>
  <c r="A22" i="16"/>
  <c r="A37" i="16"/>
  <c r="N10" i="1"/>
  <c r="O7" i="1"/>
  <c r="O8" i="1" s="1"/>
  <c r="N9" i="1" s="1"/>
  <c r="N7" i="1"/>
  <c r="N6" i="1"/>
  <c r="L44" i="16" l="1"/>
  <c r="L43" i="16"/>
  <c r="L41" i="16"/>
  <c r="L39" i="16"/>
  <c r="L30" i="16"/>
  <c r="L29" i="16"/>
  <c r="L26" i="16"/>
  <c r="L25" i="16"/>
  <c r="L24" i="16"/>
  <c r="K44" i="16"/>
  <c r="K39" i="16"/>
  <c r="K30" i="16"/>
  <c r="K29" i="16"/>
  <c r="K41" i="16"/>
  <c r="K26" i="16"/>
  <c r="K25" i="16"/>
  <c r="K24" i="16"/>
  <c r="L40" i="16"/>
  <c r="L28" i="16"/>
  <c r="L45" i="16"/>
  <c r="K40" i="16"/>
  <c r="K28" i="16"/>
  <c r="K45" i="16"/>
  <c r="K43" i="16"/>
  <c r="Z5" i="6"/>
  <c r="AD5" i="2"/>
  <c r="A53" i="16"/>
  <c r="L53" i="16" s="1"/>
  <c r="N8" i="1"/>
  <c r="K42" i="16" l="1"/>
  <c r="L42" i="16"/>
  <c r="L27" i="16"/>
  <c r="K27" i="16"/>
  <c r="AA5" i="6"/>
  <c r="AF5" i="2"/>
  <c r="AB5" i="6" l="1"/>
  <c r="AG5" i="2"/>
  <c r="AC5" i="6" l="1"/>
  <c r="AH5" i="2"/>
  <c r="AJ5" i="7"/>
  <c r="AH5" i="7"/>
  <c r="O5" i="3"/>
  <c r="L48" i="16" l="1"/>
  <c r="K48" i="16"/>
  <c r="L34" i="16"/>
  <c r="L35" i="16" s="1"/>
  <c r="M26" i="16"/>
  <c r="K34" i="16"/>
  <c r="K35" i="16" s="1"/>
  <c r="M30" i="16"/>
  <c r="M24" i="16"/>
  <c r="AI5" i="2"/>
  <c r="M25" i="16" l="1"/>
  <c r="M23" i="16" s="1"/>
  <c r="M29" i="16"/>
  <c r="M28" i="16"/>
  <c r="M48" i="16"/>
  <c r="AJ5" i="2"/>
  <c r="M27" i="16" l="1"/>
  <c r="AK5" i="6"/>
  <c r="AK5" i="2"/>
  <c r="AL5" i="2" l="1"/>
  <c r="K70" i="16"/>
  <c r="K64" i="16"/>
  <c r="L74" i="16"/>
  <c r="AM5" i="6" l="1"/>
  <c r="K74" i="16"/>
  <c r="AT5" i="2" l="1"/>
  <c r="K23" i="16"/>
  <c r="M34" i="16"/>
  <c r="M53" i="16" s="1"/>
  <c r="A54" i="16"/>
  <c r="L54" i="16" s="1"/>
  <c r="L23" i="16" l="1"/>
  <c r="K31" i="16"/>
  <c r="M54" i="16"/>
  <c r="X59" i="16"/>
  <c r="L38" i="16"/>
  <c r="K38" i="16"/>
  <c r="AR5" i="6" l="1"/>
  <c r="K46" i="16"/>
  <c r="K47" i="16" s="1"/>
  <c r="K49" i="16" s="1"/>
  <c r="L46" i="16"/>
  <c r="L47" i="16" s="1"/>
  <c r="L49" i="16" s="1"/>
  <c r="L31" i="16"/>
  <c r="AS5" i="6" l="1"/>
  <c r="M31" i="16"/>
  <c r="M33" i="16" s="1"/>
  <c r="M46" i="16"/>
  <c r="K54" i="16" s="1"/>
  <c r="M47" i="16"/>
  <c r="M49" i="16" s="1"/>
  <c r="X56" i="16"/>
  <c r="X55" i="16"/>
  <c r="X57" i="16"/>
  <c r="X54" i="16"/>
  <c r="AT5" i="6" l="1"/>
  <c r="BG5" i="2"/>
  <c r="M32" i="16"/>
  <c r="M35" i="16" s="1"/>
  <c r="K53" i="16"/>
  <c r="C5" i="4"/>
  <c r="C6" i="5"/>
  <c r="CE5" i="6" l="1"/>
  <c r="BI5" i="2"/>
  <c r="B305" i="21"/>
  <c r="B288" i="21"/>
  <c r="B283" i="21"/>
  <c r="B251" i="21"/>
  <c r="B245" i="21"/>
  <c r="B238" i="21"/>
  <c r="B232" i="21"/>
  <c r="B221" i="21"/>
  <c r="B74" i="21"/>
  <c r="B63" i="21"/>
  <c r="B59" i="21"/>
  <c r="B43" i="21"/>
  <c r="K305" i="21"/>
  <c r="J305" i="21"/>
  <c r="J288" i="21"/>
  <c r="I288" i="21"/>
  <c r="K283" i="21"/>
  <c r="J283" i="21"/>
  <c r="J251" i="21"/>
  <c r="K245" i="21"/>
  <c r="J245" i="21"/>
  <c r="J238" i="21"/>
  <c r="J232" i="21"/>
  <c r="K221" i="21"/>
  <c r="J221" i="21"/>
  <c r="J74" i="21"/>
  <c r="K63" i="21"/>
  <c r="J63" i="21"/>
  <c r="I63" i="21"/>
  <c r="H63" i="21"/>
  <c r="G63" i="21"/>
  <c r="K59" i="21"/>
  <c r="J59" i="21"/>
  <c r="I59" i="21"/>
  <c r="H59" i="21"/>
  <c r="G59" i="21"/>
  <c r="K43" i="21"/>
  <c r="J43" i="21"/>
  <c r="I43" i="21"/>
  <c r="H43" i="21"/>
  <c r="G43" i="21"/>
  <c r="B304" i="21"/>
  <c r="B303" i="21"/>
  <c r="B302" i="21"/>
  <c r="B301" i="21"/>
  <c r="B300" i="21"/>
  <c r="B299" i="21"/>
  <c r="B298" i="21"/>
  <c r="B297" i="21"/>
  <c r="B296" i="21"/>
  <c r="B295" i="21"/>
  <c r="B294" i="21"/>
  <c r="B293" i="21"/>
  <c r="B292" i="21"/>
  <c r="B291" i="21"/>
  <c r="B290" i="21"/>
  <c r="B289" i="21"/>
  <c r="B287" i="21"/>
  <c r="B286" i="21"/>
  <c r="B285" i="21"/>
  <c r="B284" i="21"/>
  <c r="B282" i="21"/>
  <c r="B281" i="21"/>
  <c r="B280" i="21"/>
  <c r="B279" i="21"/>
  <c r="B278" i="21"/>
  <c r="B277" i="21"/>
  <c r="B276" i="21"/>
  <c r="B275" i="21"/>
  <c r="B274" i="21"/>
  <c r="B273" i="21"/>
  <c r="B272" i="21"/>
  <c r="B271" i="21"/>
  <c r="B270" i="21"/>
  <c r="B269" i="21"/>
  <c r="B268" i="21"/>
  <c r="B267" i="21"/>
  <c r="B266" i="21"/>
  <c r="B265" i="21"/>
  <c r="B264" i="21"/>
  <c r="B263" i="21"/>
  <c r="B262" i="21"/>
  <c r="B261" i="21"/>
  <c r="B260" i="21"/>
  <c r="B259" i="21"/>
  <c r="B258" i="21"/>
  <c r="B257" i="21"/>
  <c r="B256" i="21"/>
  <c r="B255" i="21"/>
  <c r="B254" i="21"/>
  <c r="B252" i="21"/>
  <c r="B250" i="21"/>
  <c r="B249" i="21"/>
  <c r="B248" i="21"/>
  <c r="B247" i="21"/>
  <c r="B246" i="21"/>
  <c r="B244" i="21"/>
  <c r="B243" i="21"/>
  <c r="B242" i="21"/>
  <c r="B241" i="21"/>
  <c r="B240" i="21"/>
  <c r="B239" i="21"/>
  <c r="B235" i="21"/>
  <c r="B234" i="21"/>
  <c r="B237" i="21"/>
  <c r="B236" i="21"/>
  <c r="B231" i="21"/>
  <c r="B230" i="21"/>
  <c r="B229" i="21"/>
  <c r="B228" i="21"/>
  <c r="B227" i="21"/>
  <c r="B226" i="21"/>
  <c r="B225" i="21"/>
  <c r="B233" i="21"/>
  <c r="B224" i="21"/>
  <c r="B223" i="21"/>
  <c r="B222" i="21"/>
  <c r="B83" i="21"/>
  <c r="B82" i="21"/>
  <c r="B79" i="21"/>
  <c r="B78" i="21"/>
  <c r="B77" i="21"/>
  <c r="B76" i="21"/>
  <c r="B75" i="21"/>
  <c r="B73" i="21"/>
  <c r="B72" i="21"/>
  <c r="B71" i="21"/>
  <c r="B70" i="21"/>
  <c r="B69" i="21"/>
  <c r="B68" i="21"/>
  <c r="B67" i="21"/>
  <c r="B66" i="21"/>
  <c r="B65" i="21"/>
  <c r="B44" i="21"/>
  <c r="B13" i="21"/>
  <c r="B12" i="21"/>
  <c r="B62" i="21"/>
  <c r="B61" i="21"/>
  <c r="B60" i="21"/>
  <c r="B58" i="21"/>
  <c r="B57" i="21"/>
  <c r="B56" i="21"/>
  <c r="B55" i="21"/>
  <c r="B54" i="21"/>
  <c r="B53" i="21"/>
  <c r="B52" i="21"/>
  <c r="B51" i="21"/>
  <c r="B50" i="21"/>
  <c r="B49" i="21"/>
  <c r="B48" i="21"/>
  <c r="B47" i="21"/>
  <c r="B42" i="21"/>
  <c r="B41" i="21"/>
  <c r="B40" i="21"/>
  <c r="B39" i="21"/>
  <c r="B38" i="21"/>
  <c r="B37" i="21"/>
  <c r="B36" i="21"/>
  <c r="B35" i="21"/>
  <c r="B34" i="21"/>
  <c r="B33" i="21"/>
  <c r="B32" i="21"/>
  <c r="B31" i="21"/>
  <c r="B30" i="21"/>
  <c r="B29" i="21"/>
  <c r="B28" i="21"/>
  <c r="B27" i="21"/>
  <c r="B26" i="21"/>
  <c r="B25" i="21"/>
  <c r="B24" i="21"/>
  <c r="B23" i="21"/>
  <c r="B22" i="21"/>
  <c r="B21" i="21"/>
  <c r="B20" i="21"/>
  <c r="B19" i="21"/>
  <c r="B18" i="21"/>
  <c r="B17" i="21"/>
  <c r="B16" i="21"/>
  <c r="B15" i="21"/>
  <c r="B14" i="21"/>
  <c r="CG5" i="6" l="1"/>
  <c r="BK5" i="2"/>
  <c r="B253" i="21"/>
  <c r="B81" i="21"/>
  <c r="B80" i="21"/>
  <c r="CI5" i="6" l="1"/>
  <c r="V7" i="5"/>
  <c r="U7" i="5"/>
  <c r="T7" i="5"/>
  <c r="S7" i="5"/>
  <c r="U6" i="4"/>
  <c r="T6" i="4"/>
  <c r="S6" i="4"/>
  <c r="R6" i="4"/>
  <c r="B16" i="16"/>
  <c r="B15" i="16"/>
  <c r="B14" i="16"/>
  <c r="B13" i="16"/>
  <c r="B12" i="16"/>
  <c r="B11" i="16"/>
  <c r="B10" i="16"/>
  <c r="B9" i="16"/>
  <c r="B8" i="16"/>
  <c r="B7" i="16"/>
  <c r="B6" i="16"/>
  <c r="B5" i="16"/>
  <c r="B4" i="3"/>
  <c r="D10" i="16" l="1"/>
  <c r="P10" i="16"/>
  <c r="F10" i="16"/>
  <c r="D6" i="16"/>
  <c r="F6" i="16"/>
  <c r="P6" i="16"/>
  <c r="D11" i="16"/>
  <c r="F11" i="16"/>
  <c r="P11" i="16"/>
  <c r="D12" i="16"/>
  <c r="F12" i="16"/>
  <c r="P12" i="16"/>
  <c r="D13" i="16"/>
  <c r="P13" i="16"/>
  <c r="F13" i="16"/>
  <c r="D14" i="16"/>
  <c r="F14" i="16"/>
  <c r="P14" i="16"/>
  <c r="D15" i="16"/>
  <c r="P15" i="16"/>
  <c r="F15" i="16"/>
  <c r="D16" i="16"/>
  <c r="P16" i="16"/>
  <c r="F16" i="16"/>
  <c r="D5" i="16"/>
  <c r="P5" i="16"/>
  <c r="F5" i="16"/>
  <c r="D7" i="16"/>
  <c r="P7" i="16"/>
  <c r="F7" i="16"/>
  <c r="D8" i="16"/>
  <c r="P8" i="16"/>
  <c r="F8" i="16"/>
  <c r="D9" i="16"/>
  <c r="P9" i="16"/>
  <c r="F9" i="16"/>
  <c r="CK5" i="6"/>
  <c r="BP5" i="2"/>
  <c r="H7" i="16"/>
  <c r="E7" i="16"/>
  <c r="I7" i="16"/>
  <c r="E11" i="16"/>
  <c r="H11" i="16"/>
  <c r="I11" i="16"/>
  <c r="H15" i="16"/>
  <c r="E15" i="16"/>
  <c r="I15" i="16"/>
  <c r="H8" i="16"/>
  <c r="I8" i="16"/>
  <c r="E8" i="16"/>
  <c r="H12" i="16"/>
  <c r="I12" i="16"/>
  <c r="E12" i="16"/>
  <c r="I16" i="16"/>
  <c r="E16" i="16"/>
  <c r="H16" i="16"/>
  <c r="I5" i="16"/>
  <c r="E5" i="16"/>
  <c r="H5" i="16"/>
  <c r="H9" i="16"/>
  <c r="I9" i="16"/>
  <c r="H13" i="16"/>
  <c r="E13" i="16"/>
  <c r="I13" i="16"/>
  <c r="E6" i="16"/>
  <c r="H6" i="16"/>
  <c r="I6" i="16"/>
  <c r="E10" i="16"/>
  <c r="I10" i="16"/>
  <c r="H10" i="16"/>
  <c r="H14" i="16"/>
  <c r="E14" i="16"/>
  <c r="I14" i="16"/>
  <c r="B4" i="6"/>
  <c r="B4" i="2"/>
  <c r="CM5" i="6" l="1"/>
  <c r="BR5" i="2"/>
  <c r="W60" i="16"/>
  <c r="X58" i="16"/>
  <c r="X60" i="16" s="1"/>
  <c r="CO5" i="6" l="1"/>
  <c r="BT5" i="2"/>
  <c r="O5" i="7"/>
  <c r="CQ5" i="6" l="1"/>
  <c r="AE112" i="5"/>
  <c r="AE22" i="5"/>
  <c r="AE21" i="5" s="1"/>
  <c r="X93" i="5"/>
  <c r="X119" i="5"/>
  <c r="X118" i="5" s="1"/>
  <c r="AE100" i="5"/>
  <c r="AE101" i="5"/>
  <c r="X100" i="5"/>
  <c r="X148" i="5"/>
  <c r="X147" i="5" s="1"/>
  <c r="X42" i="5"/>
  <c r="X41" i="5" s="1"/>
  <c r="X145" i="5"/>
  <c r="X97" i="5"/>
  <c r="X22" i="5"/>
  <c r="X21" i="5" s="1"/>
  <c r="X95" i="5"/>
  <c r="AE121" i="5"/>
  <c r="AE120" i="5" s="1"/>
  <c r="AE148" i="5"/>
  <c r="AE147" i="5" s="1"/>
  <c r="AE20" i="5"/>
  <c r="AE19" i="5" s="1"/>
  <c r="X44" i="5"/>
  <c r="X43" i="5" s="1"/>
  <c r="X101" i="5"/>
  <c r="X20" i="5"/>
  <c r="X19" i="5" s="1"/>
  <c r="X103" i="5"/>
  <c r="AE119" i="5"/>
  <c r="AE118" i="5" s="1"/>
  <c r="X112" i="5"/>
  <c r="X71" i="5"/>
  <c r="X70" i="5" s="1"/>
  <c r="X121" i="5"/>
  <c r="X120" i="5" s="1"/>
  <c r="AE103" i="5"/>
  <c r="X114" i="5"/>
  <c r="X146" i="5"/>
  <c r="X144" i="5"/>
  <c r="X66" i="5"/>
  <c r="AE44" i="5"/>
  <c r="AE43" i="5" s="1"/>
  <c r="X98" i="5"/>
  <c r="X96" i="5"/>
  <c r="X94" i="5"/>
  <c r="AE42" i="5"/>
  <c r="AE41" i="5" s="1"/>
  <c r="AE71" i="5"/>
  <c r="AE70" i="5" s="1"/>
  <c r="AE114" i="5"/>
  <c r="AE66" i="5"/>
  <c r="B5" i="8"/>
  <c r="C5" i="5"/>
  <c r="AE99" i="5" l="1"/>
  <c r="CS5" i="6"/>
  <c r="X99" i="5"/>
  <c r="X92" i="5"/>
  <c r="BY5" i="2"/>
  <c r="B1" i="16"/>
  <c r="X135" i="4"/>
  <c r="I135" i="4"/>
  <c r="X134" i="4"/>
  <c r="C134" i="4"/>
  <c r="Y22" i="4"/>
  <c r="Z22" i="4" s="1"/>
  <c r="R22" i="4"/>
  <c r="Y21" i="4"/>
  <c r="Z21" i="4" s="1"/>
  <c r="R21" i="4"/>
  <c r="Y20" i="4"/>
  <c r="Z20" i="4" s="1"/>
  <c r="R20" i="4"/>
  <c r="P10" i="4"/>
  <c r="B10" i="4"/>
  <c r="C4" i="4"/>
  <c r="C6" i="16"/>
  <c r="AG111" i="4"/>
  <c r="CU5" i="6" l="1"/>
  <c r="CA5" i="2"/>
  <c r="D5" i="4"/>
  <c r="D4" i="4" s="1"/>
  <c r="D6" i="5"/>
  <c r="D5" i="5" s="1"/>
  <c r="AF5" i="16"/>
  <c r="AE5" i="16"/>
  <c r="C7" i="16"/>
  <c r="CC5" i="2" l="1"/>
  <c r="E5" i="4"/>
  <c r="E4" i="4" s="1"/>
  <c r="E6" i="5"/>
  <c r="E5" i="5" s="1"/>
  <c r="C8" i="16"/>
  <c r="CD5" i="2" l="1"/>
  <c r="F5" i="4"/>
  <c r="F4" i="4" s="1"/>
  <c r="F6" i="5"/>
  <c r="F5" i="5" s="1"/>
  <c r="DD49" i="2" s="1"/>
  <c r="R45" i="4"/>
  <c r="C9" i="16"/>
  <c r="DC25" i="2" l="1"/>
  <c r="DC57" i="2"/>
  <c r="DC64" i="2"/>
  <c r="DC29" i="2"/>
  <c r="DC33" i="2"/>
  <c r="DC61" i="2"/>
  <c r="DC49" i="2"/>
  <c r="DC27" i="2"/>
  <c r="DC46" i="2"/>
  <c r="DC53" i="2"/>
  <c r="DC31" i="2"/>
  <c r="DC62" i="2"/>
  <c r="DC28" i="2"/>
  <c r="DC40" i="2"/>
  <c r="DC43" i="2"/>
  <c r="DC47" i="2"/>
  <c r="DC60" i="2"/>
  <c r="DC37" i="2"/>
  <c r="DC26" i="2"/>
  <c r="DC59" i="2"/>
  <c r="DC45" i="2"/>
  <c r="DC54" i="2"/>
  <c r="DC38" i="2"/>
  <c r="DC51" i="2"/>
  <c r="DC50" i="2"/>
  <c r="DC58" i="2"/>
  <c r="DC36" i="2"/>
  <c r="DC30" i="2"/>
  <c r="DC44" i="2"/>
  <c r="DC32" i="2"/>
  <c r="DC56" i="2"/>
  <c r="DC63" i="2"/>
  <c r="DC41" i="2"/>
  <c r="DC35" i="2"/>
  <c r="DC48" i="2"/>
  <c r="DC42" i="2"/>
  <c r="DC52" i="2"/>
  <c r="DC39" i="2"/>
  <c r="DC55" i="2"/>
  <c r="DC34" i="2"/>
  <c r="CE5" i="2"/>
  <c r="G5" i="4"/>
  <c r="G4" i="4" s="1"/>
  <c r="G6" i="5"/>
  <c r="G5" i="5" s="1"/>
  <c r="R57" i="4"/>
  <c r="Y49" i="4"/>
  <c r="Z49" i="4" s="1"/>
  <c r="Y44" i="4"/>
  <c r="Z44" i="4" s="1"/>
  <c r="AG44" i="4" s="1"/>
  <c r="R49" i="4"/>
  <c r="X57" i="4"/>
  <c r="Y45" i="4"/>
  <c r="Z45" i="4" s="1"/>
  <c r="AG45" i="4" s="1"/>
  <c r="R44" i="4"/>
  <c r="Y46" i="4"/>
  <c r="Z46" i="4" s="1"/>
  <c r="AG46" i="4" s="1"/>
  <c r="R46" i="4"/>
  <c r="C10" i="16"/>
  <c r="CF5" i="2" l="1"/>
  <c r="H5" i="4"/>
  <c r="H4" i="4" s="1"/>
  <c r="H6" i="5"/>
  <c r="H5" i="5" s="1"/>
  <c r="C12" i="16"/>
  <c r="CG5" i="2" l="1"/>
  <c r="J5" i="4"/>
  <c r="J6" i="5"/>
  <c r="J5" i="5" s="1"/>
  <c r="I5" i="4"/>
  <c r="I4" i="4" s="1"/>
  <c r="I6" i="5"/>
  <c r="I5" i="5" s="1"/>
  <c r="CH5" i="2" l="1"/>
  <c r="AE181" i="5"/>
  <c r="J4" i="4"/>
  <c r="C13" i="16"/>
  <c r="CI5" i="2" l="1"/>
  <c r="K5" i="4"/>
  <c r="K4" i="4" s="1"/>
  <c r="K6" i="5"/>
  <c r="K5" i="5" s="1"/>
  <c r="AE186" i="5"/>
  <c r="X107" i="5"/>
  <c r="AE256" i="5"/>
  <c r="AE196" i="5"/>
  <c r="AE270" i="5"/>
  <c r="AE79" i="5"/>
  <c r="X259" i="5"/>
  <c r="AE173" i="5"/>
  <c r="X160" i="5"/>
  <c r="X104" i="5"/>
  <c r="X67" i="5"/>
  <c r="X199" i="5"/>
  <c r="AE138" i="5"/>
  <c r="X284" i="5"/>
  <c r="X128" i="5"/>
  <c r="AE300" i="5"/>
  <c r="X222" i="5"/>
  <c r="X316" i="5"/>
  <c r="X303" i="5"/>
  <c r="X56" i="5"/>
  <c r="X226" i="5"/>
  <c r="X296" i="5"/>
  <c r="AE200" i="5"/>
  <c r="AE169" i="5"/>
  <c r="AE210" i="5"/>
  <c r="AE191" i="5"/>
  <c r="AE140" i="5"/>
  <c r="AE139" i="5" s="1"/>
  <c r="AE84" i="5"/>
  <c r="AE295" i="5"/>
  <c r="X28" i="5"/>
  <c r="X106" i="5"/>
  <c r="AE230" i="5"/>
  <c r="AE213" i="5"/>
  <c r="X142" i="5"/>
  <c r="X276" i="5"/>
  <c r="X257" i="5"/>
  <c r="AE197" i="5"/>
  <c r="X134" i="5"/>
  <c r="AE305" i="5"/>
  <c r="X240" i="5"/>
  <c r="X224" i="5"/>
  <c r="AE110" i="5"/>
  <c r="AE320" i="5"/>
  <c r="X163" i="5"/>
  <c r="AE142" i="5"/>
  <c r="X169" i="5"/>
  <c r="X253" i="5"/>
  <c r="X300" i="5"/>
  <c r="X25" i="5"/>
  <c r="AE246" i="5"/>
  <c r="X72" i="5"/>
  <c r="AE217" i="5"/>
  <c r="AE311" i="5"/>
  <c r="X274" i="5"/>
  <c r="X306" i="5"/>
  <c r="X255" i="5"/>
  <c r="X116" i="5"/>
  <c r="X202" i="5"/>
  <c r="AE263" i="5"/>
  <c r="AE156" i="5"/>
  <c r="X87" i="5"/>
  <c r="X250" i="5"/>
  <c r="AE310" i="5"/>
  <c r="X184" i="5"/>
  <c r="X77" i="5"/>
  <c r="X127" i="5"/>
  <c r="AE222" i="5"/>
  <c r="X301" i="5"/>
  <c r="X26" i="5"/>
  <c r="X177" i="5"/>
  <c r="AE153" i="5"/>
  <c r="X138" i="5"/>
  <c r="AE261" i="5"/>
  <c r="X129" i="5"/>
  <c r="AE52" i="5"/>
  <c r="AE167" i="5"/>
  <c r="X238" i="5"/>
  <c r="X272" i="5"/>
  <c r="X310" i="5"/>
  <c r="X234" i="5"/>
  <c r="X109" i="5"/>
  <c r="X62" i="5"/>
  <c r="X188" i="5"/>
  <c r="AE249" i="5"/>
  <c r="AE278" i="5"/>
  <c r="AE239" i="5"/>
  <c r="X193" i="5"/>
  <c r="AE248" i="5"/>
  <c r="X91" i="5"/>
  <c r="AE155" i="5"/>
  <c r="X34" i="5"/>
  <c r="X287" i="5"/>
  <c r="AE82" i="5"/>
  <c r="AE218" i="5"/>
  <c r="AE212" i="5"/>
  <c r="AE307" i="5"/>
  <c r="AE105" i="5"/>
  <c r="AE316" i="5"/>
  <c r="X239" i="5"/>
  <c r="X29" i="5"/>
  <c r="AE124" i="5"/>
  <c r="X241" i="5"/>
  <c r="X313" i="5"/>
  <c r="X86" i="5"/>
  <c r="X195" i="5"/>
  <c r="X197" i="5"/>
  <c r="X273" i="5"/>
  <c r="AE128" i="5"/>
  <c r="X317" i="5"/>
  <c r="X117" i="5"/>
  <c r="AE159" i="5"/>
  <c r="AE188" i="5"/>
  <c r="X291" i="5"/>
  <c r="AE85" i="5"/>
  <c r="AE193" i="5"/>
  <c r="AE287" i="5"/>
  <c r="AE228" i="5"/>
  <c r="AE31" i="5"/>
  <c r="AE282" i="5"/>
  <c r="AE86" i="5"/>
  <c r="X210" i="5"/>
  <c r="X81" i="5"/>
  <c r="X167" i="5"/>
  <c r="X261" i="5"/>
  <c r="AE48" i="5"/>
  <c r="AE91" i="5"/>
  <c r="AE202" i="5"/>
  <c r="X252" i="5"/>
  <c r="X295" i="5"/>
  <c r="AE67" i="5"/>
  <c r="X156" i="5"/>
  <c r="AE190" i="5"/>
  <c r="X254" i="5"/>
  <c r="X289" i="5"/>
  <c r="AE135" i="5"/>
  <c r="AE258" i="5"/>
  <c r="AE26" i="5"/>
  <c r="AE69" i="5"/>
  <c r="AE195" i="5"/>
  <c r="AE291" i="5"/>
  <c r="X90" i="5"/>
  <c r="AE299" i="5"/>
  <c r="X248" i="5"/>
  <c r="AE117" i="5"/>
  <c r="AE87" i="5"/>
  <c r="AE308" i="5"/>
  <c r="AE226" i="5"/>
  <c r="X48" i="5"/>
  <c r="X155" i="5"/>
  <c r="AE116" i="5"/>
  <c r="X285" i="5"/>
  <c r="AE90" i="5"/>
  <c r="X186" i="5"/>
  <c r="AE247" i="5"/>
  <c r="X173" i="5"/>
  <c r="X216" i="5"/>
  <c r="AE250" i="5"/>
  <c r="AE53" i="5"/>
  <c r="X311" i="5"/>
  <c r="X190" i="5"/>
  <c r="AE251" i="5"/>
  <c r="X185" i="5"/>
  <c r="X68" i="5"/>
  <c r="AE232" i="5"/>
  <c r="X282" i="5"/>
  <c r="X157" i="5"/>
  <c r="X312" i="5"/>
  <c r="X135" i="5"/>
  <c r="X228" i="5"/>
  <c r="X297" i="5"/>
  <c r="AE306" i="5"/>
  <c r="AE107" i="5"/>
  <c r="X58" i="5"/>
  <c r="X206" i="5"/>
  <c r="X268" i="5"/>
  <c r="AE171" i="5"/>
  <c r="AE240" i="5"/>
  <c r="X200" i="5"/>
  <c r="AE314" i="5"/>
  <c r="AE109" i="5"/>
  <c r="X57" i="5"/>
  <c r="AE83" i="5"/>
  <c r="X183" i="5"/>
  <c r="AE206" i="5"/>
  <c r="AE244" i="5"/>
  <c r="AE304" i="5"/>
  <c r="X205" i="5"/>
  <c r="AE285" i="5"/>
  <c r="AE104" i="5"/>
  <c r="AE89" i="5"/>
  <c r="AE214" i="5"/>
  <c r="AE309" i="5"/>
  <c r="X175" i="5"/>
  <c r="AE315" i="5"/>
  <c r="AE262" i="5"/>
  <c r="X27" i="5"/>
  <c r="X187" i="5"/>
  <c r="X181" i="5"/>
  <c r="X53" i="5"/>
  <c r="X270" i="5"/>
  <c r="AE185" i="5"/>
  <c r="AE189" i="5"/>
  <c r="X218" i="5"/>
  <c r="AE302" i="5"/>
  <c r="AE134" i="5"/>
  <c r="X203" i="5"/>
  <c r="X230" i="5"/>
  <c r="X265" i="5"/>
  <c r="X298" i="5"/>
  <c r="AE161" i="5"/>
  <c r="AE267" i="5"/>
  <c r="X136" i="5"/>
  <c r="X84" i="5"/>
  <c r="AE28" i="5"/>
  <c r="AE183" i="5"/>
  <c r="X247" i="5"/>
  <c r="AE276" i="5"/>
  <c r="X319" i="5"/>
  <c r="X59" i="5"/>
  <c r="X214" i="5"/>
  <c r="AE72" i="5"/>
  <c r="AE25" i="5"/>
  <c r="X182" i="5"/>
  <c r="AE205" i="5"/>
  <c r="AE243" i="5"/>
  <c r="AE303" i="5"/>
  <c r="X159" i="5"/>
  <c r="AE238" i="5"/>
  <c r="X78" i="5"/>
  <c r="AE136" i="5"/>
  <c r="X110" i="5"/>
  <c r="X191" i="5"/>
  <c r="AE224" i="5"/>
  <c r="X302" i="5"/>
  <c r="X165" i="5"/>
  <c r="X256" i="5"/>
  <c r="X82" i="5"/>
  <c r="X204" i="5"/>
  <c r="X232" i="5"/>
  <c r="X267" i="5"/>
  <c r="X299" i="5"/>
  <c r="AE157" i="5"/>
  <c r="AE269" i="5"/>
  <c r="X305" i="5"/>
  <c r="AE184" i="5"/>
  <c r="X293" i="5"/>
  <c r="X124" i="5"/>
  <c r="X79" i="5"/>
  <c r="AE175" i="5"/>
  <c r="X242" i="5"/>
  <c r="X278" i="5"/>
  <c r="X314" i="5"/>
  <c r="AE204" i="5"/>
  <c r="AE293" i="5"/>
  <c r="AE34" i="5"/>
  <c r="X171" i="5"/>
  <c r="AE199" i="5"/>
  <c r="X263" i="5"/>
  <c r="AE297" i="5"/>
  <c r="X320" i="5"/>
  <c r="X85" i="5"/>
  <c r="AE143" i="5"/>
  <c r="X249" i="5"/>
  <c r="X198" i="5"/>
  <c r="X220" i="5"/>
  <c r="AE259" i="5"/>
  <c r="AE319" i="5"/>
  <c r="X201" i="5"/>
  <c r="AE268" i="5"/>
  <c r="X60" i="5"/>
  <c r="X31" i="5"/>
  <c r="X52" i="5"/>
  <c r="X208" i="5"/>
  <c r="X246" i="5"/>
  <c r="X318" i="5"/>
  <c r="X80" i="5"/>
  <c r="AE177" i="5"/>
  <c r="X243" i="5"/>
  <c r="X280" i="5"/>
  <c r="X315" i="5"/>
  <c r="X140" i="5"/>
  <c r="AE201" i="5"/>
  <c r="AE280" i="5"/>
  <c r="X322" i="5"/>
  <c r="X213" i="5"/>
  <c r="AE318" i="5"/>
  <c r="AE78" i="5"/>
  <c r="X105" i="5"/>
  <c r="AE68" i="5"/>
  <c r="X161" i="5"/>
  <c r="AE194" i="5"/>
  <c r="X258" i="5"/>
  <c r="AE289" i="5"/>
  <c r="AE236" i="5"/>
  <c r="X304" i="5"/>
  <c r="X192" i="5"/>
  <c r="X212" i="5"/>
  <c r="AE253" i="5"/>
  <c r="AE313" i="5"/>
  <c r="AE254" i="5"/>
  <c r="AE29" i="5"/>
  <c r="X194" i="5"/>
  <c r="AE255" i="5"/>
  <c r="AE77" i="5"/>
  <c r="AE81" i="5"/>
  <c r="AE165" i="5"/>
  <c r="X236" i="5"/>
  <c r="AE274" i="5"/>
  <c r="X309" i="5"/>
  <c r="AE192" i="5"/>
  <c r="AE298" i="5"/>
  <c r="X143" i="5"/>
  <c r="X83" i="5"/>
  <c r="AE27" i="5"/>
  <c r="AE129" i="5"/>
  <c r="AE182" i="5"/>
  <c r="X269" i="5"/>
  <c r="AE216" i="5"/>
  <c r="X196" i="5"/>
  <c r="AE198" i="5"/>
  <c r="X262" i="5"/>
  <c r="AE296" i="5"/>
  <c r="AE127" i="5"/>
  <c r="X244" i="5"/>
  <c r="AE160" i="5"/>
  <c r="AE252" i="5"/>
  <c r="AE312" i="5"/>
  <c r="X189" i="5"/>
  <c r="AE242" i="5"/>
  <c r="X108" i="5"/>
  <c r="X69" i="5"/>
  <c r="AE106" i="5"/>
  <c r="AE234" i="5"/>
  <c r="AE179" i="5"/>
  <c r="AE273" i="5"/>
  <c r="X89" i="5"/>
  <c r="AE272" i="5"/>
  <c r="X153" i="5"/>
  <c r="AE187" i="5"/>
  <c r="X251" i="5"/>
  <c r="AE284" i="5"/>
  <c r="AE80" i="5"/>
  <c r="X179" i="5"/>
  <c r="AE203" i="5"/>
  <c r="AE241" i="5"/>
  <c r="AE301" i="5"/>
  <c r="X217" i="5"/>
  <c r="AE257" i="5"/>
  <c r="X307" i="5"/>
  <c r="AE317" i="5"/>
  <c r="X308" i="5"/>
  <c r="C14" i="16"/>
  <c r="CJ5" i="2" l="1"/>
  <c r="X65" i="5"/>
  <c r="AE65" i="5"/>
  <c r="L5" i="4"/>
  <c r="L4" i="4" s="1"/>
  <c r="L6" i="5"/>
  <c r="L5" i="5" s="1"/>
  <c r="C15" i="16"/>
  <c r="CK5" i="2" l="1"/>
  <c r="M5" i="4"/>
  <c r="M4" i="4" s="1"/>
  <c r="M6" i="5"/>
  <c r="M5" i="5" s="1"/>
  <c r="C16" i="16"/>
  <c r="W7" i="16" l="1"/>
  <c r="O11" i="16"/>
  <c r="T11" i="16"/>
  <c r="X15" i="16"/>
  <c r="Y8" i="16"/>
  <c r="T12" i="16"/>
  <c r="W12" i="16"/>
  <c r="R16" i="16"/>
  <c r="W16" i="16"/>
  <c r="W5" i="16"/>
  <c r="O5" i="16"/>
  <c r="X9" i="16"/>
  <c r="T9" i="16"/>
  <c r="O13" i="16"/>
  <c r="W13" i="16"/>
  <c r="X13" i="16"/>
  <c r="X6" i="16"/>
  <c r="T6" i="16"/>
  <c r="T10" i="16"/>
  <c r="O10" i="16"/>
  <c r="S11" i="16"/>
  <c r="S6" i="16"/>
  <c r="X7" i="16"/>
  <c r="Y15" i="16"/>
  <c r="W8" i="16"/>
  <c r="O8" i="16"/>
  <c r="R12" i="16"/>
  <c r="X16" i="16"/>
  <c r="O16" i="16"/>
  <c r="Y5" i="16"/>
  <c r="T5" i="16"/>
  <c r="W9" i="16"/>
  <c r="Y13" i="16"/>
  <c r="W6" i="16"/>
  <c r="Y6" i="16"/>
  <c r="Y10" i="16"/>
  <c r="R14" i="16"/>
  <c r="S8" i="16"/>
  <c r="S7" i="16"/>
  <c r="S10" i="16"/>
  <c r="R7" i="16"/>
  <c r="O7" i="16"/>
  <c r="Y11" i="16"/>
  <c r="O15" i="16"/>
  <c r="T15" i="16"/>
  <c r="T8" i="16"/>
  <c r="R8" i="16"/>
  <c r="Y12" i="16"/>
  <c r="O12" i="16"/>
  <c r="T16" i="16"/>
  <c r="S5" i="16"/>
  <c r="R9" i="16"/>
  <c r="Y9" i="16"/>
  <c r="R13" i="16"/>
  <c r="O6" i="16"/>
  <c r="R10" i="16"/>
  <c r="T14" i="16"/>
  <c r="O14" i="16"/>
  <c r="S16" i="16"/>
  <c r="S15" i="16"/>
  <c r="S14" i="16"/>
  <c r="T7" i="16"/>
  <c r="Y7" i="16"/>
  <c r="W11" i="16"/>
  <c r="R11" i="16"/>
  <c r="X11" i="16"/>
  <c r="R15" i="16"/>
  <c r="W15" i="16"/>
  <c r="X8" i="16"/>
  <c r="X12" i="16"/>
  <c r="Y16" i="16"/>
  <c r="R5" i="16"/>
  <c r="X5" i="16"/>
  <c r="O9" i="16"/>
  <c r="T13" i="16"/>
  <c r="R6" i="16"/>
  <c r="X10" i="16"/>
  <c r="W10" i="16"/>
  <c r="Y14" i="16"/>
  <c r="W14" i="16"/>
  <c r="X14" i="16"/>
  <c r="S9" i="16"/>
  <c r="S12" i="16"/>
  <c r="S13" i="16"/>
  <c r="N5" i="4"/>
  <c r="N4" i="4" s="1"/>
  <c r="N6" i="5"/>
  <c r="N5" i="5" s="1"/>
  <c r="DD40" i="2" l="1"/>
  <c r="DD30" i="2"/>
  <c r="DD11" i="2"/>
  <c r="DD15" i="2"/>
  <c r="DD48" i="2"/>
  <c r="DD31" i="2"/>
  <c r="DD33" i="2"/>
  <c r="DD23" i="2"/>
  <c r="DD13" i="2"/>
  <c r="DD43" i="2"/>
  <c r="DD32" i="2"/>
  <c r="DD27" i="2"/>
  <c r="DD46" i="2"/>
  <c r="DD64" i="2"/>
  <c r="DD24" i="2"/>
  <c r="DD19" i="2"/>
  <c r="DD55" i="2"/>
  <c r="DD51" i="2"/>
  <c r="DD17" i="2"/>
  <c r="DD56" i="2"/>
  <c r="DD20" i="2"/>
  <c r="DD10" i="2"/>
  <c r="DD50" i="2"/>
  <c r="DD62" i="2"/>
  <c r="DD60" i="2"/>
  <c r="DD39" i="2"/>
  <c r="DD26" i="2"/>
  <c r="DD34" i="2"/>
  <c r="DD63" i="2"/>
  <c r="DD61" i="2"/>
  <c r="DD14" i="2"/>
  <c r="DD45" i="2"/>
  <c r="DD25" i="2"/>
  <c r="DD12" i="2"/>
  <c r="DD9" i="2"/>
  <c r="DD41" i="2"/>
  <c r="DD36" i="2"/>
  <c r="DD58" i="2"/>
  <c r="DD53" i="2"/>
  <c r="DD38" i="2"/>
  <c r="DD37" i="2"/>
  <c r="DD52" i="2"/>
  <c r="DD21" i="2"/>
  <c r="DD22" i="2"/>
  <c r="DD28" i="2"/>
  <c r="DD29" i="2"/>
  <c r="DD59" i="2"/>
  <c r="DD18" i="2"/>
  <c r="DD35" i="2"/>
  <c r="DD47" i="2"/>
  <c r="DD54" i="2"/>
  <c r="DD57" i="2"/>
  <c r="DD8" i="2"/>
  <c r="DD44" i="2"/>
  <c r="DD16" i="2"/>
  <c r="DD42" i="2"/>
  <c r="BF8" i="6"/>
  <c r="BF298" i="6"/>
  <c r="BF46" i="6"/>
  <c r="BF223" i="6"/>
  <c r="BF29" i="6"/>
  <c r="BF284" i="6"/>
  <c r="BF378" i="6"/>
  <c r="BF317" i="6"/>
  <c r="BF138" i="6"/>
  <c r="BF169" i="6"/>
  <c r="BF120" i="6"/>
  <c r="BF77" i="6"/>
  <c r="DC12" i="2"/>
  <c r="BF136" i="6"/>
  <c r="BF422" i="6"/>
  <c r="BF42" i="6"/>
  <c r="BF179" i="6"/>
  <c r="BF481" i="6"/>
  <c r="BF103" i="6"/>
  <c r="BF367" i="6"/>
  <c r="BF19" i="6"/>
  <c r="BF30" i="6"/>
  <c r="BF281" i="6"/>
  <c r="BF345" i="6"/>
  <c r="BF68" i="6"/>
  <c r="BF335" i="6"/>
  <c r="BF110" i="6"/>
  <c r="BF215" i="6"/>
  <c r="BF63" i="6"/>
  <c r="BF377" i="6"/>
  <c r="BF32" i="6"/>
  <c r="BF404" i="6"/>
  <c r="BF182" i="6"/>
  <c r="BF434" i="6"/>
  <c r="BF107" i="6"/>
  <c r="BF196" i="6"/>
  <c r="BF449" i="6"/>
  <c r="BF237" i="6"/>
  <c r="BF101" i="6"/>
  <c r="BF128" i="6"/>
  <c r="BF320" i="6"/>
  <c r="BF442" i="6"/>
  <c r="BF80" i="6"/>
  <c r="BF313" i="6"/>
  <c r="BF384" i="6"/>
  <c r="BF34" i="6"/>
  <c r="BF13" i="6"/>
  <c r="BF318" i="6"/>
  <c r="BF197" i="6"/>
  <c r="BF227" i="6"/>
  <c r="BF454" i="6"/>
  <c r="BF322" i="6"/>
  <c r="BF258" i="6"/>
  <c r="BF154" i="6"/>
  <c r="BF290" i="6"/>
  <c r="BF99" i="6"/>
  <c r="BF245" i="6"/>
  <c r="BF372" i="6"/>
  <c r="BF27" i="6"/>
  <c r="BF249" i="6"/>
  <c r="BF266" i="6"/>
  <c r="BF275" i="6"/>
  <c r="BF221" i="6"/>
  <c r="BF369" i="6"/>
  <c r="BF208" i="6"/>
  <c r="BF15" i="6"/>
  <c r="BF234" i="6"/>
  <c r="BF390" i="6"/>
  <c r="BF285" i="6"/>
  <c r="BF240" i="6"/>
  <c r="BF104" i="6"/>
  <c r="BF45" i="6"/>
  <c r="BF453" i="6"/>
  <c r="BF83" i="6"/>
  <c r="BF81" i="6"/>
  <c r="BF116" i="6"/>
  <c r="BF135" i="6"/>
  <c r="BF250" i="6"/>
  <c r="BF242" i="6"/>
  <c r="BF225" i="6"/>
  <c r="BF102" i="6"/>
  <c r="BF40" i="6"/>
  <c r="BF117" i="6"/>
  <c r="BF482" i="6"/>
  <c r="BF319" i="6"/>
  <c r="BF183" i="6"/>
  <c r="BF248" i="6"/>
  <c r="BF69" i="6"/>
  <c r="BF336" i="6"/>
  <c r="BF97" i="6"/>
  <c r="BF257" i="6"/>
  <c r="BF123" i="6"/>
  <c r="BF37" i="6"/>
  <c r="BF302" i="6"/>
  <c r="BF423" i="6"/>
  <c r="BF445" i="6"/>
  <c r="BF321" i="6"/>
  <c r="BF331" i="6"/>
  <c r="BF10" i="6"/>
  <c r="BF330" i="6"/>
  <c r="BF173" i="6"/>
  <c r="BF409" i="6"/>
  <c r="BF11" i="6"/>
  <c r="BF352" i="6"/>
  <c r="BF467" i="6"/>
  <c r="BF296" i="6"/>
  <c r="BF39" i="6"/>
  <c r="BF305" i="6"/>
  <c r="BF144" i="6"/>
  <c r="BF90" i="6"/>
  <c r="BF87" i="6"/>
  <c r="BF224" i="6"/>
  <c r="BF180" i="6"/>
  <c r="BF411" i="6"/>
  <c r="DC22" i="2"/>
  <c r="BF286" i="6"/>
  <c r="BF401" i="6"/>
  <c r="BF406" i="6"/>
  <c r="BF421" i="6"/>
  <c r="BF209" i="6"/>
  <c r="BF114" i="6"/>
  <c r="BF143" i="6"/>
  <c r="BF303" i="6"/>
  <c r="BF323" i="6"/>
  <c r="BF362" i="6"/>
  <c r="BF91" i="6"/>
  <c r="DC20" i="2"/>
  <c r="BF67" i="6"/>
  <c r="BF270" i="6"/>
  <c r="BF168" i="6"/>
  <c r="BF441" i="6"/>
  <c r="BF172" i="6"/>
  <c r="BF446" i="6"/>
  <c r="BF177" i="6"/>
  <c r="BF278" i="6"/>
  <c r="BF433" i="6"/>
  <c r="BF75" i="6"/>
  <c r="BF85" i="6"/>
  <c r="BF380" i="6"/>
  <c r="BF132" i="6"/>
  <c r="BF92" i="6"/>
  <c r="BF150" i="6"/>
  <c r="BF365" i="6"/>
  <c r="DC18" i="2"/>
  <c r="BF111" i="6"/>
  <c r="BF14" i="6"/>
  <c r="BF308" i="6"/>
  <c r="BF253" i="6"/>
  <c r="BF243" i="6"/>
  <c r="BF265" i="6"/>
  <c r="BF396" i="6"/>
  <c r="BF175" i="6"/>
  <c r="BF312" i="6"/>
  <c r="DC17" i="2"/>
  <c r="BF131" i="6"/>
  <c r="BF397" i="6"/>
  <c r="BF468" i="6"/>
  <c r="BF48" i="6"/>
  <c r="BF49" i="6"/>
  <c r="BF287" i="6"/>
  <c r="BF252" i="6"/>
  <c r="BF70" i="6"/>
  <c r="BF93" i="6"/>
  <c r="BF268" i="6"/>
  <c r="BF311" i="6"/>
  <c r="BF148" i="6"/>
  <c r="BF450" i="6"/>
  <c r="BF105" i="6"/>
  <c r="BF139" i="6"/>
  <c r="BF35" i="6"/>
  <c r="BF471" i="6"/>
  <c r="BF407" i="6"/>
  <c r="BF247" i="6"/>
  <c r="BF474" i="6"/>
  <c r="BF153" i="6"/>
  <c r="BF206" i="6"/>
  <c r="BF155" i="6"/>
  <c r="BF416" i="6"/>
  <c r="BF425" i="6"/>
  <c r="BF419" i="6"/>
  <c r="BF33" i="6"/>
  <c r="BF469" i="6"/>
  <c r="BF109" i="6"/>
  <c r="BF479" i="6"/>
  <c r="BF394" i="6"/>
  <c r="BF113" i="6"/>
  <c r="BF198" i="6"/>
  <c r="BF410" i="6"/>
  <c r="BF272" i="6"/>
  <c r="BF28" i="6"/>
  <c r="BF389" i="6"/>
  <c r="BF424" i="6"/>
  <c r="BF222" i="6"/>
  <c r="BF217" i="6"/>
  <c r="BF346" i="6"/>
  <c r="BF59" i="6"/>
  <c r="BF160" i="6"/>
  <c r="BF36" i="6"/>
  <c r="BF420" i="6"/>
  <c r="BF212" i="6"/>
  <c r="BF348" i="6"/>
  <c r="BF20" i="6"/>
  <c r="BF230" i="6"/>
  <c r="BF269" i="6"/>
  <c r="BF23" i="6"/>
  <c r="BF427" i="6"/>
  <c r="BF166" i="6"/>
  <c r="BF31" i="6"/>
  <c r="BF256" i="6"/>
  <c r="BF360" i="6"/>
  <c r="BF203" i="6"/>
  <c r="BF274" i="6"/>
  <c r="BF478" i="6"/>
  <c r="BF121" i="6"/>
  <c r="BF292" i="6"/>
  <c r="BF141" i="6"/>
  <c r="BF328" i="6"/>
  <c r="BF125" i="6"/>
  <c r="BF122" i="6"/>
  <c r="BF244" i="6"/>
  <c r="BF436" i="6"/>
  <c r="BF473" i="6"/>
  <c r="BF458" i="6"/>
  <c r="BF263" i="6"/>
  <c r="BF205" i="6"/>
  <c r="BF204" i="6"/>
  <c r="BF238" i="6"/>
  <c r="BF51" i="6"/>
  <c r="BF108" i="6"/>
  <c r="BF294" i="6"/>
  <c r="BF429" i="6"/>
  <c r="BF344" i="6"/>
  <c r="BF398" i="6"/>
  <c r="BF261" i="6"/>
  <c r="BF118" i="6"/>
  <c r="BF151" i="6"/>
  <c r="BF185" i="6"/>
  <c r="BF426" i="6"/>
  <c r="BF115" i="6"/>
  <c r="BF112" i="6"/>
  <c r="BF264" i="6"/>
  <c r="BF267" i="6"/>
  <c r="BF359" i="6"/>
  <c r="BF255" i="6"/>
  <c r="BF480" i="6"/>
  <c r="BF295" i="6"/>
  <c r="BF219" i="6"/>
  <c r="BF448" i="6"/>
  <c r="BF52" i="6"/>
  <c r="BF349" i="6"/>
  <c r="BF350" i="6"/>
  <c r="BF332" i="6"/>
  <c r="BF393" i="6"/>
  <c r="BF184" i="6"/>
  <c r="BF289" i="6"/>
  <c r="BF56" i="6"/>
  <c r="BF190" i="6"/>
  <c r="BF254" i="6"/>
  <c r="BF147" i="6"/>
  <c r="BF228" i="6"/>
  <c r="BF73" i="6"/>
  <c r="BF276" i="6"/>
  <c r="BF483" i="6"/>
  <c r="BF95" i="6"/>
  <c r="BF307" i="6"/>
  <c r="BF438" i="6"/>
  <c r="BF358" i="6"/>
  <c r="BF347" i="6"/>
  <c r="BF88" i="6"/>
  <c r="BF54" i="6"/>
  <c r="BF158" i="6"/>
  <c r="BF327" i="6"/>
  <c r="BF41" i="6"/>
  <c r="BF288" i="6"/>
  <c r="BF100" i="6"/>
  <c r="DC10" i="2"/>
  <c r="BF22" i="6"/>
  <c r="BF162" i="6"/>
  <c r="BF476" i="6"/>
  <c r="BF375" i="6"/>
  <c r="BF21" i="6"/>
  <c r="BF235" i="6"/>
  <c r="BF309" i="6"/>
  <c r="BF188" i="6"/>
  <c r="BF53" i="6"/>
  <c r="BF443" i="6"/>
  <c r="BF354" i="6"/>
  <c r="BF233" i="6"/>
  <c r="BF187" i="6"/>
  <c r="BF106" i="6"/>
  <c r="BF25" i="6"/>
  <c r="DC21" i="2"/>
  <c r="BF142" i="6"/>
  <c r="BF78" i="6"/>
  <c r="BF210" i="6"/>
  <c r="BF403" i="6"/>
  <c r="BF376" i="6"/>
  <c r="BF273" i="6"/>
  <c r="BF408" i="6"/>
  <c r="BF463" i="6"/>
  <c r="BF192" i="6"/>
  <c r="BF193" i="6"/>
  <c r="BF383" i="6"/>
  <c r="BF386" i="6"/>
  <c r="BF236" i="6"/>
  <c r="BF351" i="6"/>
  <c r="BF412" i="6"/>
  <c r="BF38" i="6"/>
  <c r="BF299" i="6"/>
  <c r="BF66" i="6"/>
  <c r="BF89" i="6"/>
  <c r="BF214" i="6"/>
  <c r="BF96" i="6"/>
  <c r="BF195" i="6"/>
  <c r="BF211" i="6"/>
  <c r="BF364" i="6"/>
  <c r="BF84" i="6"/>
  <c r="BF329" i="6"/>
  <c r="BF140" i="6"/>
  <c r="DC24" i="2"/>
  <c r="BF461" i="6"/>
  <c r="BF366" i="6"/>
  <c r="BF333" i="6"/>
  <c r="BF191" i="6"/>
  <c r="BF262" i="6"/>
  <c r="BF457" i="6"/>
  <c r="BF124" i="6"/>
  <c r="BF440" i="6"/>
  <c r="BF342" i="6"/>
  <c r="BF174" i="6"/>
  <c r="BF279" i="6"/>
  <c r="BF186" i="6"/>
  <c r="BF9" i="6"/>
  <c r="BF239" i="6"/>
  <c r="DC19" i="2"/>
  <c r="BF271" i="6"/>
  <c r="DC15" i="2"/>
  <c r="BF355" i="6"/>
  <c r="BF370" i="6"/>
  <c r="BF405" i="6"/>
  <c r="BF178" i="6"/>
  <c r="BF71" i="6"/>
  <c r="BF400" i="6"/>
  <c r="DC23" i="2"/>
  <c r="BF47" i="6"/>
  <c r="BF189" i="6"/>
  <c r="BF44" i="6"/>
  <c r="BF134" i="6"/>
  <c r="BF341" i="6"/>
  <c r="BF61" i="6"/>
  <c r="BF304" i="6"/>
  <c r="BF58" i="6"/>
  <c r="BF382" i="6"/>
  <c r="BF466" i="6"/>
  <c r="BF432" i="6"/>
  <c r="BF464" i="6"/>
  <c r="BF72" i="6"/>
  <c r="BF485" i="6"/>
  <c r="BF437" i="6"/>
  <c r="BF76" i="6"/>
  <c r="DC14" i="2"/>
  <c r="BF291" i="6"/>
  <c r="BF199" i="6"/>
  <c r="BF94" i="6"/>
  <c r="BF202" i="6"/>
  <c r="BF146" i="6"/>
  <c r="BF176" i="6"/>
  <c r="BF259" i="6"/>
  <c r="BF167" i="6"/>
  <c r="BF456" i="6"/>
  <c r="BF157" i="6"/>
  <c r="BF310" i="6"/>
  <c r="BF82" i="6"/>
  <c r="BF50" i="6"/>
  <c r="BF325" i="6"/>
  <c r="BF57" i="6"/>
  <c r="BF381" i="6"/>
  <c r="BF79" i="6"/>
  <c r="BF60" i="6"/>
  <c r="BF326" i="6"/>
  <c r="BF149" i="6"/>
  <c r="BF119" i="6"/>
  <c r="BF24" i="6"/>
  <c r="BF465" i="6"/>
  <c r="BF316" i="6"/>
  <c r="DC13" i="2"/>
  <c r="BF472" i="6"/>
  <c r="BF306" i="6"/>
  <c r="BF462" i="6"/>
  <c r="BF232" i="6"/>
  <c r="BF229" i="6"/>
  <c r="BF387" i="6"/>
  <c r="BF353" i="6"/>
  <c r="BF159" i="6"/>
  <c r="BF231" i="6"/>
  <c r="BF200" i="6"/>
  <c r="BF161" i="6"/>
  <c r="BF165" i="6"/>
  <c r="BF280" i="6"/>
  <c r="BF218" i="6"/>
  <c r="BF171" i="6"/>
  <c r="BF251" i="6"/>
  <c r="BF43" i="6"/>
  <c r="BF338" i="6"/>
  <c r="BF356" i="6"/>
  <c r="BF337" i="6"/>
  <c r="BF324" i="6"/>
  <c r="BF340" i="6"/>
  <c r="BF477" i="6"/>
  <c r="BF216" i="6"/>
  <c r="BF470" i="6"/>
  <c r="BF431" i="6"/>
  <c r="BF130" i="6"/>
  <c r="BF12" i="6"/>
  <c r="BF455" i="6"/>
  <c r="BF475" i="6"/>
  <c r="BF152" i="6"/>
  <c r="BF62" i="6"/>
  <c r="BF361" i="6"/>
  <c r="BF246" i="6"/>
  <c r="BF428" i="6"/>
  <c r="BF64" i="6"/>
  <c r="BF444" i="6"/>
  <c r="BF435" i="6"/>
  <c r="BF297" i="6"/>
  <c r="BF459" i="6"/>
  <c r="BF226" i="6"/>
  <c r="BF414" i="6"/>
  <c r="BF17" i="6"/>
  <c r="BF86" i="6"/>
  <c r="BF220" i="6"/>
  <c r="BF213" i="6"/>
  <c r="BF293" i="6"/>
  <c r="BF65" i="6"/>
  <c r="BF127" i="6"/>
  <c r="BF392" i="6"/>
  <c r="BF402" i="6"/>
  <c r="BF334" i="6"/>
  <c r="BF315" i="6"/>
  <c r="BF277" i="6"/>
  <c r="BF260" i="6"/>
  <c r="BF452" i="6"/>
  <c r="BF164" i="6"/>
  <c r="DC11" i="2"/>
  <c r="BF391" i="6"/>
  <c r="BF201" i="6"/>
  <c r="BF137" i="6"/>
  <c r="BF447" i="6"/>
  <c r="BF283" i="6"/>
  <c r="BF363" i="6"/>
  <c r="BF339" i="6"/>
  <c r="BF129" i="6"/>
  <c r="BF156" i="6"/>
  <c r="BF388" i="6"/>
  <c r="BF126" i="6"/>
  <c r="BF181" i="6"/>
  <c r="BF194" i="6"/>
  <c r="BF18" i="6"/>
  <c r="BF395" i="6"/>
  <c r="BF163" i="6"/>
  <c r="BF439" i="6"/>
  <c r="BF314" i="6"/>
  <c r="BF368" i="6"/>
  <c r="BF399" i="6"/>
  <c r="DC9" i="2"/>
  <c r="BF170" i="6"/>
  <c r="BF417" i="6"/>
  <c r="BF357" i="6"/>
  <c r="BF145" i="6"/>
  <c r="BF282" i="6"/>
  <c r="BF371" i="6"/>
  <c r="BF343" i="6"/>
  <c r="BF460" i="6"/>
  <c r="BF207" i="6"/>
  <c r="BF241" i="6"/>
  <c r="BF484" i="6"/>
  <c r="BF300" i="6"/>
  <c r="BF430" i="6"/>
  <c r="BF133" i="6"/>
  <c r="BF26" i="6"/>
  <c r="BF379" i="6"/>
  <c r="BF74" i="6"/>
  <c r="BF98" i="6"/>
  <c r="DC16" i="2"/>
  <c r="BF301" i="6"/>
  <c r="BF55" i="6"/>
  <c r="BF418" i="6"/>
  <c r="BF413" i="6"/>
  <c r="BF373" i="6"/>
  <c r="BF451" i="6"/>
  <c r="DC8" i="2"/>
  <c r="BF415" i="6"/>
  <c r="BF385" i="6"/>
  <c r="BF374" i="6"/>
  <c r="BF16" i="6"/>
  <c r="BF486" i="6"/>
  <c r="AM9" i="7"/>
  <c r="AM8" i="7"/>
  <c r="AM7" i="7"/>
  <c r="BF7" i="6"/>
  <c r="DC7" i="2"/>
  <c r="DD68" i="2"/>
  <c r="DD7" i="2"/>
  <c r="Y18" i="16"/>
  <c r="U5" i="16"/>
  <c r="R40" i="4"/>
  <c r="Y40" i="4"/>
  <c r="Z40" i="4" s="1"/>
  <c r="AG40" i="4" s="1"/>
  <c r="AF29" i="4"/>
  <c r="AE40" i="5"/>
  <c r="AE39" i="5" s="1"/>
  <c r="X40" i="5"/>
  <c r="X39" i="5" s="1"/>
  <c r="X260" i="5"/>
  <c r="AE260" i="5"/>
  <c r="AE32" i="5"/>
  <c r="X32" i="5"/>
  <c r="X30" i="5"/>
  <c r="AE30" i="5"/>
  <c r="X245" i="5"/>
  <c r="AE245" i="5"/>
  <c r="AE24" i="5"/>
  <c r="X24" i="5"/>
  <c r="X76" i="5"/>
  <c r="X75" i="5" s="1"/>
  <c r="AE76" i="5"/>
  <c r="AE75" i="5" s="1"/>
  <c r="X46" i="5"/>
  <c r="AE46" i="5"/>
  <c r="Y41" i="4"/>
  <c r="Z41" i="4" s="1"/>
  <c r="AG41" i="4" s="1"/>
  <c r="R41" i="4"/>
  <c r="X126" i="5"/>
  <c r="X73" i="5"/>
  <c r="AE73" i="5"/>
  <c r="AE126" i="5"/>
  <c r="AE132" i="5"/>
  <c r="AE137" i="5"/>
  <c r="X132" i="5"/>
  <c r="X137" i="5"/>
  <c r="R29" i="4"/>
  <c r="X61" i="5"/>
  <c r="AE33" i="5"/>
  <c r="X33" i="5"/>
  <c r="X63" i="5"/>
  <c r="X38" i="5"/>
  <c r="AE38" i="5"/>
  <c r="X50" i="5"/>
  <c r="AE50" i="5"/>
  <c r="AC36" i="4"/>
  <c r="R51" i="4"/>
  <c r="Y51" i="4"/>
  <c r="Z51" i="4" s="1"/>
  <c r="Y43" i="4"/>
  <c r="Z43" i="4" s="1"/>
  <c r="AG43" i="4" s="1"/>
  <c r="R43" i="4"/>
  <c r="AE37" i="5" l="1"/>
  <c r="AE36" i="5" s="1"/>
  <c r="X37" i="5"/>
  <c r="X36" i="5" s="1"/>
  <c r="X55" i="5"/>
  <c r="AF57" i="4"/>
  <c r="X29" i="4"/>
  <c r="R16" i="4"/>
  <c r="Y16" i="4"/>
  <c r="Z16" i="4" s="1"/>
  <c r="AG16" i="4" s="1"/>
  <c r="X54" i="4"/>
  <c r="R54" i="4"/>
  <c r="Y42" i="4"/>
  <c r="Z42" i="4" s="1"/>
  <c r="AG42" i="4" s="1"/>
  <c r="R42" i="4"/>
  <c r="Y14" i="4"/>
  <c r="Z14" i="4" s="1"/>
  <c r="AG14" i="4" s="1"/>
  <c r="R14" i="4"/>
  <c r="R15" i="4"/>
  <c r="Y15" i="4"/>
  <c r="Z15" i="4" s="1"/>
  <c r="AG15" i="4" s="1"/>
  <c r="R13" i="4"/>
  <c r="AG106" i="4"/>
  <c r="R53" i="4"/>
  <c r="R26" i="4"/>
  <c r="X53" i="4"/>
  <c r="AG102" i="4"/>
  <c r="X26" i="4"/>
  <c r="S18" i="16"/>
  <c r="B4" i="7" l="1"/>
  <c r="L36" i="4"/>
  <c r="J6" i="16" l="1"/>
  <c r="J16" i="16"/>
  <c r="J9" i="16"/>
  <c r="J8" i="16"/>
  <c r="J12" i="16"/>
  <c r="H18" i="16"/>
  <c r="J10" i="16"/>
  <c r="J11" i="16"/>
  <c r="J14" i="16"/>
  <c r="J5" i="16"/>
  <c r="J13" i="16"/>
  <c r="J7" i="16"/>
  <c r="J15" i="16"/>
  <c r="M14" i="16"/>
  <c r="L13" i="16"/>
  <c r="AG13" i="16" s="1"/>
  <c r="M10" i="16"/>
  <c r="L9" i="16"/>
  <c r="AG9" i="16" s="1"/>
  <c r="M6" i="16"/>
  <c r="L5" i="16"/>
  <c r="M9" i="16"/>
  <c r="M15" i="16"/>
  <c r="L14" i="16"/>
  <c r="AG14" i="16" s="1"/>
  <c r="M11" i="16"/>
  <c r="L10" i="16"/>
  <c r="M7" i="16"/>
  <c r="L6" i="16"/>
  <c r="AG6" i="16" s="1"/>
  <c r="L16" i="16"/>
  <c r="M13" i="16"/>
  <c r="L12" i="16"/>
  <c r="AG12" i="16" s="1"/>
  <c r="M16" i="16"/>
  <c r="L15" i="16"/>
  <c r="AG15" i="16" s="1"/>
  <c r="M12" i="16"/>
  <c r="L11" i="16"/>
  <c r="AG11" i="16" s="1"/>
  <c r="M8" i="16"/>
  <c r="L7" i="16"/>
  <c r="AG7" i="16" s="1"/>
  <c r="L8" i="16"/>
  <c r="AG8" i="16" s="1"/>
  <c r="M5" i="16"/>
  <c r="R19" i="4"/>
  <c r="Y13" i="4"/>
  <c r="X28" i="4" s="1"/>
  <c r="AF28" i="4" s="1"/>
  <c r="Y19" i="4"/>
  <c r="J18" i="16" l="1"/>
  <c r="AG10" i="16"/>
  <c r="AG16" i="16"/>
  <c r="M18" i="16"/>
  <c r="I18" i="16"/>
  <c r="AG5" i="16"/>
  <c r="L18" i="16"/>
  <c r="F18" i="16"/>
  <c r="Z19" i="4"/>
  <c r="Z13" i="4"/>
  <c r="AG13" i="4" l="1"/>
  <c r="M55" i="16"/>
  <c r="M60" i="16" s="1"/>
  <c r="AG75" i="4"/>
  <c r="AG18" i="16"/>
  <c r="AG25" i="4" l="1"/>
  <c r="L34" i="4" s="1"/>
  <c r="AE209" i="5" l="1"/>
  <c r="X209" i="5"/>
  <c r="X152" i="5"/>
  <c r="AE152" i="5"/>
  <c r="AE225" i="5"/>
  <c r="X131" i="5"/>
  <c r="AE168" i="5"/>
  <c r="AE286" i="5"/>
  <c r="AE131" i="5"/>
  <c r="X286" i="5"/>
  <c r="AE281" i="5" l="1"/>
  <c r="X172" i="5"/>
  <c r="AE227" i="5"/>
  <c r="X168" i="5"/>
  <c r="X170" i="5"/>
  <c r="AE133" i="5"/>
  <c r="X227" i="5"/>
  <c r="X281" i="5"/>
  <c r="X225" i="5"/>
  <c r="AE172" i="5"/>
  <c r="X283" i="5"/>
  <c r="X229" i="5"/>
  <c r="AE170" i="5"/>
  <c r="AE283" i="5"/>
  <c r="X133" i="5"/>
  <c r="AE229" i="5"/>
  <c r="AE211" i="5"/>
  <c r="X211" i="5"/>
  <c r="AE266" i="5"/>
  <c r="X266" i="5"/>
  <c r="X154" i="5"/>
  <c r="AE154" i="5"/>
  <c r="X125" i="5"/>
  <c r="AE125" i="5"/>
  <c r="L63" i="4" l="1"/>
  <c r="AL9" i="16"/>
  <c r="AL8" i="16"/>
  <c r="AQ12" i="16"/>
  <c r="AQ10" i="16"/>
  <c r="AL6" i="16"/>
  <c r="AQ9" i="16"/>
  <c r="U14" i="16"/>
  <c r="U9" i="16"/>
  <c r="AQ6" i="16"/>
  <c r="AL14" i="16"/>
  <c r="AQ5" i="16"/>
  <c r="U10" i="16"/>
  <c r="U7" i="16"/>
  <c r="U6" i="16"/>
  <c r="AL11" i="16"/>
  <c r="U16" i="16"/>
  <c r="AQ13" i="16"/>
  <c r="AL7" i="16"/>
  <c r="AL13" i="16"/>
  <c r="U15" i="16"/>
  <c r="AL12" i="16"/>
  <c r="U8" i="16"/>
  <c r="AQ15" i="16"/>
  <c r="AQ14" i="16"/>
  <c r="AQ8" i="16"/>
  <c r="AL15" i="16"/>
  <c r="U12" i="16"/>
  <c r="U13" i="16"/>
  <c r="U11" i="16"/>
  <c r="AQ11" i="16"/>
  <c r="AQ7" i="16"/>
  <c r="AG98" i="4"/>
  <c r="AG100" i="4"/>
  <c r="AG97" i="4"/>
  <c r="R39" i="4"/>
  <c r="Y50" i="4"/>
  <c r="Y39" i="4"/>
  <c r="X56" i="4" s="1"/>
  <c r="AF56" i="4" s="1"/>
  <c r="AG101" i="4"/>
  <c r="R50" i="4"/>
  <c r="AG99" i="4"/>
  <c r="AG78" i="4"/>
  <c r="Q11" i="16" l="1"/>
  <c r="AL10" i="16"/>
  <c r="AL16" i="16"/>
  <c r="Q10" i="16"/>
  <c r="Q8" i="16"/>
  <c r="Q6" i="16"/>
  <c r="Q16" i="16"/>
  <c r="Q9" i="16"/>
  <c r="P18" i="16"/>
  <c r="Q7" i="16"/>
  <c r="O18" i="16"/>
  <c r="Q5" i="16"/>
  <c r="G10" i="16"/>
  <c r="G7" i="16"/>
  <c r="G12" i="16"/>
  <c r="G6" i="16"/>
  <c r="G8" i="16"/>
  <c r="G15" i="16"/>
  <c r="G14" i="16"/>
  <c r="G13" i="16"/>
  <c r="G11" i="16"/>
  <c r="G16" i="16"/>
  <c r="R18" i="16"/>
  <c r="W18" i="16"/>
  <c r="AL5" i="16"/>
  <c r="Q15" i="16"/>
  <c r="Q13" i="16"/>
  <c r="Q14" i="16"/>
  <c r="Q12" i="16"/>
  <c r="T18" i="16"/>
  <c r="AG103" i="4"/>
  <c r="AG107" i="4" s="1"/>
  <c r="Y24" i="4"/>
  <c r="Z24" i="4" s="1"/>
  <c r="R24" i="4"/>
  <c r="Y23" i="4"/>
  <c r="R23" i="4"/>
  <c r="Z39" i="4"/>
  <c r="Z50" i="4"/>
  <c r="X55" i="4"/>
  <c r="R52" i="4"/>
  <c r="K11" i="16" l="1"/>
  <c r="AA11" i="16"/>
  <c r="K6" i="16"/>
  <c r="AA6" i="16"/>
  <c r="AB6" i="16" s="1"/>
  <c r="K14" i="16"/>
  <c r="AA14" i="16"/>
  <c r="AB14" i="16" s="1"/>
  <c r="K12" i="16"/>
  <c r="AA12" i="16"/>
  <c r="AB12" i="16" s="1"/>
  <c r="K16" i="16"/>
  <c r="AA16" i="16"/>
  <c r="K7" i="16"/>
  <c r="AA7" i="16"/>
  <c r="AB7" i="16" s="1"/>
  <c r="K13" i="16"/>
  <c r="AA13" i="16"/>
  <c r="AB13" i="16" s="1"/>
  <c r="K10" i="16"/>
  <c r="AA10" i="16"/>
  <c r="K8" i="16"/>
  <c r="AA8" i="16"/>
  <c r="AB8" i="16" s="1"/>
  <c r="AG39" i="4"/>
  <c r="K15" i="16"/>
  <c r="AA15" i="16"/>
  <c r="AB15" i="16" s="1"/>
  <c r="AB11" i="16"/>
  <c r="V11" i="16"/>
  <c r="AL18" i="16"/>
  <c r="V13" i="16"/>
  <c r="V10" i="16"/>
  <c r="V8" i="16"/>
  <c r="V15" i="16"/>
  <c r="V16" i="16"/>
  <c r="V12" i="16"/>
  <c r="V9" i="16"/>
  <c r="R25" i="4"/>
  <c r="V7" i="16"/>
  <c r="V6" i="16"/>
  <c r="G5" i="16"/>
  <c r="AA5" i="16" s="1"/>
  <c r="V14" i="16"/>
  <c r="V5" i="16"/>
  <c r="Q18" i="16"/>
  <c r="U18" i="16"/>
  <c r="Z23" i="4"/>
  <c r="Z25" i="4" s="1"/>
  <c r="AF59" i="4" s="1"/>
  <c r="X27" i="4"/>
  <c r="Z52" i="4"/>
  <c r="Y52" i="4" s="1"/>
  <c r="AG60" i="4" l="1"/>
  <c r="AG61" i="4" s="1"/>
  <c r="AB10" i="16"/>
  <c r="AD10" i="16" s="1"/>
  <c r="K5" i="16"/>
  <c r="L55" i="16"/>
  <c r="L60" i="16" s="1"/>
  <c r="AD13" i="16"/>
  <c r="AC13" i="16"/>
  <c r="AD15" i="16"/>
  <c r="AC15" i="16"/>
  <c r="AD12" i="16"/>
  <c r="AC12" i="16"/>
  <c r="AD11" i="16"/>
  <c r="AC11" i="16"/>
  <c r="AB5" i="16"/>
  <c r="AB16" i="16"/>
  <c r="AD14" i="16"/>
  <c r="AC14" i="16"/>
  <c r="AD8" i="16"/>
  <c r="AC8" i="16"/>
  <c r="AD7" i="16"/>
  <c r="AC7" i="16"/>
  <c r="AC6" i="16"/>
  <c r="AD6" i="16"/>
  <c r="AG52" i="4"/>
  <c r="V18" i="16"/>
  <c r="Y25" i="4"/>
  <c r="AC10" i="16" l="1"/>
  <c r="AD5" i="16"/>
  <c r="AC5" i="16"/>
  <c r="AD16" i="16"/>
  <c r="AC16" i="16"/>
  <c r="AI5" i="16" l="1"/>
  <c r="AH5" i="16"/>
  <c r="AE6" i="16" l="1"/>
  <c r="AF6" i="16"/>
  <c r="AI6" i="16" l="1"/>
  <c r="AF7" i="16" s="1"/>
  <c r="AH6" i="16"/>
  <c r="AE7" i="16" s="1"/>
  <c r="AH7" i="16" l="1"/>
  <c r="AE8" i="16" s="1"/>
  <c r="AI7" i="16"/>
  <c r="AF8" i="16" s="1"/>
  <c r="AI8" i="16" l="1"/>
  <c r="AF9" i="16" s="1"/>
  <c r="AH8" i="16"/>
  <c r="AE9" i="16" s="1"/>
  <c r="X18" i="16" l="1"/>
  <c r="AQ16" i="16"/>
  <c r="AQ18" i="16" s="1"/>
  <c r="X351" i="5"/>
  <c r="I351" i="5"/>
  <c r="X350" i="5"/>
  <c r="G350" i="5"/>
  <c r="AE271" i="5"/>
  <c r="X271" i="5"/>
  <c r="AE141" i="5"/>
  <c r="X141" i="5"/>
  <c r="P12" i="5"/>
  <c r="B12" i="5"/>
  <c r="A1" i="3"/>
  <c r="A1" i="6"/>
  <c r="A1" i="7"/>
  <c r="A1" i="8"/>
  <c r="AE88" i="5" l="1"/>
  <c r="X45" i="5"/>
  <c r="AE45" i="5"/>
  <c r="X158" i="5"/>
  <c r="AE158" i="5"/>
  <c r="X162" i="5"/>
  <c r="AE164" i="5"/>
  <c r="X164" i="5"/>
  <c r="AE166" i="5"/>
  <c r="X166" i="5"/>
  <c r="AE174" i="5"/>
  <c r="X174" i="5"/>
  <c r="AE176" i="5"/>
  <c r="X176" i="5"/>
  <c r="AE178" i="5"/>
  <c r="X178" i="5"/>
  <c r="X207" i="5"/>
  <c r="AE215" i="5"/>
  <c r="X219" i="5"/>
  <c r="X221" i="5"/>
  <c r="AE221" i="5"/>
  <c r="X223" i="5"/>
  <c r="AE223" i="5"/>
  <c r="X231" i="5"/>
  <c r="AE231" i="5"/>
  <c r="X233" i="5"/>
  <c r="AE233" i="5"/>
  <c r="X235" i="5"/>
  <c r="AE235" i="5"/>
  <c r="X264" i="5"/>
  <c r="X275" i="5"/>
  <c r="AE275" i="5"/>
  <c r="X277" i="5"/>
  <c r="AE277" i="5"/>
  <c r="X279" i="5"/>
  <c r="AE279" i="5"/>
  <c r="X288" i="5"/>
  <c r="AE288" i="5"/>
  <c r="X290" i="5"/>
  <c r="AE290" i="5"/>
  <c r="X292" i="5"/>
  <c r="AE292" i="5"/>
  <c r="AE328" i="5"/>
  <c r="A1" i="2"/>
  <c r="AE23" i="5" l="1"/>
  <c r="X294" i="5"/>
  <c r="X237" i="5"/>
  <c r="X215" i="5"/>
  <c r="AE49" i="5"/>
  <c r="X88" i="5"/>
  <c r="X23" i="5"/>
  <c r="AE237" i="5"/>
  <c r="X54" i="5"/>
  <c r="X321" i="5"/>
  <c r="AE294" i="5"/>
  <c r="X49" i="5"/>
  <c r="X139" i="5"/>
  <c r="X180" i="5"/>
  <c r="AE180" i="5"/>
  <c r="X150" i="5" l="1"/>
  <c r="AE150" i="5"/>
  <c r="AE324" i="5"/>
  <c r="X324" i="5"/>
  <c r="AE326" i="5" l="1"/>
  <c r="AE335" i="5" l="1"/>
  <c r="AE338" i="5" s="1"/>
  <c r="AE339" i="5" s="1"/>
  <c r="AK5" i="16" l="1"/>
  <c r="AM5" i="16" l="1"/>
  <c r="AK6" i="16" l="1"/>
  <c r="AM6" i="16" l="1"/>
  <c r="AK7" i="16" l="1"/>
  <c r="AM7" i="16" l="1"/>
  <c r="AK8" i="16" l="1"/>
  <c r="AM8" i="16" l="1"/>
  <c r="B64" i="21" l="1"/>
  <c r="B45" i="21"/>
  <c r="B46" i="21"/>
  <c r="AO18" i="16" l="1"/>
  <c r="AP18" i="16"/>
  <c r="Y5" i="6"/>
  <c r="AO5" i="6"/>
  <c r="E9" i="16"/>
  <c r="E18" i="16" s="1"/>
  <c r="G9" i="16" l="1"/>
  <c r="AA9" i="16" s="1"/>
  <c r="AB9" i="16" s="1"/>
  <c r="AD9" i="16" l="1"/>
  <c r="AD18" i="16" s="1"/>
  <c r="AC9" i="16"/>
  <c r="AB18" i="16"/>
  <c r="G18" i="16"/>
  <c r="K55" i="16" s="1"/>
  <c r="K60" i="16" s="1"/>
  <c r="K61" i="16" s="1"/>
  <c r="K9" i="16"/>
  <c r="K18" i="16" s="1"/>
  <c r="AC18" i="16" l="1"/>
  <c r="AI9" i="16"/>
  <c r="AF10" i="16" s="1"/>
  <c r="AH9" i="16"/>
  <c r="AE10" i="16" s="1"/>
  <c r="AK9" i="16"/>
  <c r="AM9" i="16" l="1"/>
  <c r="AI10" i="16"/>
  <c r="AF11" i="16" s="1"/>
  <c r="AK10" i="16"/>
  <c r="AM10" i="16" s="1"/>
  <c r="AH10" i="16"/>
  <c r="AE11" i="16" s="1"/>
  <c r="AH11" i="16" l="1"/>
  <c r="AE12" i="16" s="1"/>
  <c r="AI11" i="16"/>
  <c r="AF12" i="16" s="1"/>
  <c r="AK11" i="16"/>
  <c r="AM11" i="16" s="1"/>
  <c r="AI12" i="16" l="1"/>
  <c r="AF13" i="16" s="1"/>
  <c r="AH12" i="16"/>
  <c r="AE13" i="16" s="1"/>
  <c r="AK12" i="16"/>
  <c r="AM12" i="16" s="1"/>
  <c r="AI13" i="16" l="1"/>
  <c r="AF14" i="16" s="1"/>
  <c r="AH13" i="16"/>
  <c r="AE14" i="16" s="1"/>
  <c r="AK13" i="16"/>
  <c r="AI14" i="16" l="1"/>
  <c r="AF15" i="16" s="1"/>
  <c r="AH14" i="16"/>
  <c r="AE15" i="16" s="1"/>
  <c r="AK14" i="16"/>
  <c r="AM14" i="16" s="1"/>
  <c r="AM13" i="16"/>
  <c r="AI15" i="16" l="1"/>
  <c r="AF16" i="16" s="1"/>
  <c r="AH15" i="16"/>
  <c r="AE16" i="16" s="1"/>
  <c r="AK15" i="16"/>
  <c r="AM15" i="16" s="1"/>
  <c r="AG71" i="4" l="1"/>
  <c r="AH16" i="16"/>
  <c r="AH18" i="16" s="1"/>
  <c r="AK16" i="16"/>
  <c r="AI16" i="16"/>
  <c r="AI18" i="16" s="1"/>
  <c r="AE18" i="16"/>
  <c r="AG72" i="4"/>
  <c r="AF18" i="16"/>
  <c r="AM16" i="16" l="1"/>
  <c r="AM18" i="16" s="1"/>
  <c r="AK18" i="16"/>
  <c r="B34" i="4"/>
  <c r="W34" i="4" s="1"/>
  <c r="AH34" i="4" l="1"/>
  <c r="AC34" i="4"/>
  <c r="AG67" i="4" l="1"/>
  <c r="AG68" i="4"/>
  <c r="AG85" i="4" l="1"/>
  <c r="AG83" i="4"/>
  <c r="AG82" i="4" s="1"/>
  <c r="AG87" i="4"/>
  <c r="AG89" i="4" s="1"/>
  <c r="AG109" i="4" s="1"/>
  <c r="AI118" i="4" s="1"/>
  <c r="AI121" i="4" s="1"/>
  <c r="AI12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LOURDES</author>
  </authors>
  <commentList>
    <comment ref="AH7" authorId="0" shapeId="0" xr:uid="{00000000-0006-0000-0800-000001000000}">
      <text>
        <r>
          <rPr>
            <b/>
            <sz val="9"/>
            <color indexed="81"/>
            <rFont val="Tahoma"/>
            <family val="2"/>
          </rPr>
          <t>Casilla 203 Decreto ejecutivo que determina el porcentaje de tarifa reducida de IVA
en la prestación de servicios definidos como actividades turísticas.</t>
        </r>
        <r>
          <rPr>
            <sz val="9"/>
            <color indexed="81"/>
            <rFont val="Tahoma"/>
            <family val="2"/>
          </rPr>
          <t xml:space="preserve">
Esta casilla debe ser utilizada únicamente por los sujetos y sus establecimientos que
consten en el catastro nacional de establecimientos que cuenten con el Registro de
Turismo publicado en el portal web institucional del Ministerio de Turismo, autorizados
para la aplicación de las tarifas respectivas en las fechas establecidas, debiendo
seleccionar el porcentaje de tarifa reducida de IVA que se establezca mediante Decreto
Ejecutivo, en la prestación de servicios definidos como actividades turísticas conforme lo
establece la Disposición General Tercera de la Ley Orgánica para el Desarrollo
Económico y Sostenibilidad Fiscal tras la pandemia COVID 19, Resolución No. NACDGERCGC22-00000011, 
publicada en el Tercer Suplemento del Registro Oficial No. 7 de 21 de febrero de 2022 y demás normativa vigente. 
Únicamente cuando, dentro de un mismo período semestral o mensual sean aplicables disposiciones de varios 
decretos que hubieren establecido la reducción de la tarifa de IVA dentro del mismo período fiscal,
se podrá utilizar la opción “XXXX”.</t>
        </r>
      </text>
    </comment>
  </commentList>
</comments>
</file>

<file path=xl/sharedStrings.xml><?xml version="1.0" encoding="utf-8"?>
<sst xmlns="http://schemas.openxmlformats.org/spreadsheetml/2006/main" count="12384" uniqueCount="2906">
  <si>
    <t>Descripcion</t>
  </si>
  <si>
    <t>No. de RUC</t>
  </si>
  <si>
    <t>&lt;== modificar por sus datos</t>
  </si>
  <si>
    <t>Razon Social</t>
  </si>
  <si>
    <t>Representante Legal</t>
  </si>
  <si>
    <t>Cedula Rep. Legal</t>
  </si>
  <si>
    <t>Nombre Contador</t>
  </si>
  <si>
    <t>RUC del Contador</t>
  </si>
  <si>
    <t>001</t>
  </si>
  <si>
    <t>&lt;== NO MODIFICAR</t>
  </si>
  <si>
    <t>&lt;== cambie por su email</t>
  </si>
  <si>
    <t>Tipos de Comprobantes para Exportaciones</t>
  </si>
  <si>
    <t>04-Nota de credito</t>
  </si>
  <si>
    <t>05-Nota de debito</t>
  </si>
  <si>
    <t>16-Formulario Único de Exportación (FUE) o Declaración Aduanera Única (DAU) o Declaración Andina de Valor (DAV)</t>
  </si>
  <si>
    <t>41-Comprobante de venta emitido por reembolso</t>
  </si>
  <si>
    <t>47-Nota de Crédito por Reembolso Emitida por Intermediario</t>
  </si>
  <si>
    <t>48-Nota de Débito por Reembolso Emitida por Intermediario</t>
  </si>
  <si>
    <t>Tipos de Comprobantes para Ventas</t>
  </si>
  <si>
    <t>18-Documentos autorizados utilizados en ventas excepto N/C N/D</t>
  </si>
  <si>
    <t>44-Comprobante de Contribuciones y Aportes</t>
  </si>
  <si>
    <t>49-Proveedor Directo de Exportador Bajo Régimen Especial</t>
  </si>
  <si>
    <t>50-A Inst. Estado y Empr. Públicas que percibe ingreso exento de Imp. Renta</t>
  </si>
  <si>
    <t>51-N/C A Inst. Estado y Empr. Públicas que percibe ingreso exento de Imp. Renta</t>
  </si>
  <si>
    <t>52-N/D A Inst. Estado y Empr. Públicas que percibe ingreso exento de Imp. Renta</t>
  </si>
  <si>
    <t>Tipos de Comprobantes para Compras</t>
  </si>
  <si>
    <t>06-Guias de Remision</t>
  </si>
  <si>
    <t>07-Comprobante de Retención</t>
  </si>
  <si>
    <t>08-Boletos o entradas a espectáculos públicos</t>
  </si>
  <si>
    <t>09-Tiquetes o vales emitidos por máquinas registradoras</t>
  </si>
  <si>
    <t>11-Pasajes expedidos por empresas de aviación</t>
  </si>
  <si>
    <t>12-Documentos emitidos por instituciones financieras</t>
  </si>
  <si>
    <t>15-Comprobante de venta emitido en el Exterior</t>
  </si>
  <si>
    <t>19-Comprobantes de Pago de Cuotas o Aportes</t>
  </si>
  <si>
    <t>20-Documentos por Servicios Administrativos emitidos por Inst. del Estado</t>
  </si>
  <si>
    <t>21-Carta de Porte Aéreo</t>
  </si>
  <si>
    <t>22-RECAP</t>
  </si>
  <si>
    <t>43-Liquidacion para Explotacion y Exploracion de Hidrocarburos</t>
  </si>
  <si>
    <t>45-Liquidación por reclamos de aseguradoras</t>
  </si>
  <si>
    <t>294-Liquidación de compra de Bienes Muebles Usados</t>
  </si>
  <si>
    <t xml:space="preserve">344-Liquidación de compra de vehículos usados </t>
  </si>
  <si>
    <t>Tipos de Sustentos Tributarios</t>
  </si>
  <si>
    <t>00- Casos especiales cuyo sustento no aplica en las opciones anteriores</t>
  </si>
  <si>
    <t>01- Crédito Tributario para declaración de IVA (servicios y bienes distintos de inventarios y activos fijos)</t>
  </si>
  <si>
    <t>02- Costo o Gasto para declaración de IR (servicios y bienes distintos de inventarios y activos fijos)</t>
  </si>
  <si>
    <t>03- Activo Fijo - Crédito Tributario para declaración de IVA</t>
  </si>
  <si>
    <t>04- Activo Fijo - Costo o Gasto para declaración de IR</t>
  </si>
  <si>
    <t>05- Liquidación Gastos de Viaje, hospedaje y alimentación Gastos IR (a nombre de empleados y no de la empresa)</t>
  </si>
  <si>
    <t>06- Inventario - Crédito Tributario para declaración de IVA</t>
  </si>
  <si>
    <t>07- Inventario - Costo o Gasto para declaración de IR</t>
  </si>
  <si>
    <t>08- Valor pagado para solicitar Reembolso de Gasto (intermediario)</t>
  </si>
  <si>
    <t>09- Reembolso por Siniestros</t>
  </si>
  <si>
    <t>10-Distribución de Dividendos, Beneficios o Utilidades</t>
  </si>
  <si>
    <t>11-Convenios de Debito o Recaudacion para IFI's</t>
  </si>
  <si>
    <t>12-Impuestos y retenciones presuntivos</t>
  </si>
  <si>
    <t>13-Valores reconocidos por entidades del sector publico a favor de sujetos pasivos</t>
  </si>
  <si>
    <t>Formas de Pagos</t>
  </si>
  <si>
    <t>01-SIN UTILIZACION DEL SISTEMA FINANCIERO</t>
  </si>
  <si>
    <t>02-CHEQUE PROPIO (max.hasta agosto 2016)</t>
  </si>
  <si>
    <t>03-CHEQUE CERTIFICADO (max.hasta agosto 2016)</t>
  </si>
  <si>
    <t>04-CHEQUE DE GERENCIA (max.hasta agosto 2016)</t>
  </si>
  <si>
    <t>05-CHEQUE DEL EXTERIOR (max.hasta agosto 2016)</t>
  </si>
  <si>
    <t>06-DÈBITO DE CUENTA (max.hasta agosto 2016)</t>
  </si>
  <si>
    <t>07-TRANSFERENCIA PROPIO BANCO (max.hasta agosto 2016)</t>
  </si>
  <si>
    <t>08-TRANSFERENCIA OTRO BANCO NACIONAL (max.hasta agosto 2016)</t>
  </si>
  <si>
    <t>09-TRANSFERENCIA  BANCO EXTERIOR (max.hasta agosto 2016)</t>
  </si>
  <si>
    <t>10-TARJETA DE CRÈDITO NACIONAL (max.hasta agosto 2016)</t>
  </si>
  <si>
    <t>11-TARJETA DE CRÈDITO INTERNACIONAL (max.hasta agosto 2016)</t>
  </si>
  <si>
    <t>12-GIRO (max.hasta agosto 2016)</t>
  </si>
  <si>
    <t>13-DEPOSITO EN CUENTA (CORRIENTE/AHORROS) (max.hasta agosto 2016)</t>
  </si>
  <si>
    <t>14-ENDOSO DE INVERSIÒN (max.hasta agosto 2016)</t>
  </si>
  <si>
    <t>15-COMPENSACIÓN DE DEUDAS</t>
  </si>
  <si>
    <t>16-TARJETA DE DÉBITO</t>
  </si>
  <si>
    <t>17-DINERO ELECTRÓNICO</t>
  </si>
  <si>
    <t>18-TARJETA PREPAGO</t>
  </si>
  <si>
    <t>19-TARJETA DE CRÉDITO</t>
  </si>
  <si>
    <t>20-OTROS CON UTILIZACION DEL SISTEMA FINANCIERO</t>
  </si>
  <si>
    <t>21-ENDOSO DE TÍTULOS</t>
  </si>
  <si>
    <t>Tipos de Retenciones</t>
  </si>
  <si>
    <t>Descripción</t>
  </si>
  <si>
    <t>Honorarios profesionales y demás pagos por servicios relacionados con el título profesional</t>
  </si>
  <si>
    <t>Servicios predomina el intelecto no relacionados con el título profesional</t>
  </si>
  <si>
    <t>304A</t>
  </si>
  <si>
    <t>Comisiones y demás pagos por servicios predomina intelecto no relacionados con el título profesional</t>
  </si>
  <si>
    <t>304B</t>
  </si>
  <si>
    <t>Pagos a notarios y registradores de la propiedad y mercantil por sus actividades ejercidas como tales</t>
  </si>
  <si>
    <t>304C</t>
  </si>
  <si>
    <t>Pagos a deportistas, entrenadores, árbitros, miembros del cuerpo técnico por sus actividades ejercidas como tales</t>
  </si>
  <si>
    <t>304D</t>
  </si>
  <si>
    <t>Pagos a artistas por sus actividades ejercidas como tales</t>
  </si>
  <si>
    <t>304E</t>
  </si>
  <si>
    <t>Honorarios y demás pagos por servicios de docencia</t>
  </si>
  <si>
    <t>Servicios predomina la mano de obra</t>
  </si>
  <si>
    <t>Servicios prestados por medios de comunicación y agencias de publicidad</t>
  </si>
  <si>
    <t>Servicio de transporte privado de pasajeros o transporte público o privado de carga</t>
  </si>
  <si>
    <t>Transferencia de bienes muebles de naturaleza corporal</t>
  </si>
  <si>
    <t>312A</t>
  </si>
  <si>
    <t>314A</t>
  </si>
  <si>
    <t>Regalías por concepto de franquicias de acuerdo a Ley de Propiedad Intelectual - pago a personas naturales</t>
  </si>
  <si>
    <t>314B</t>
  </si>
  <si>
    <t>Cánones, derechos de autor,  marcas, patentes y similares de acuerdo a Ley de Propiedad Intelectual – pago a personas naturales</t>
  </si>
  <si>
    <t>314C</t>
  </si>
  <si>
    <t>Regalías por concepto de franquicias de acuerdo a Ley de Propiedad Intelectual  - pago a sociedades</t>
  </si>
  <si>
    <t>314D</t>
  </si>
  <si>
    <t>Cánones, derechos de autor,  marcas, patentes y similares de acuerdo a Ley de Propiedad Intelectual – pago a sociedades</t>
  </si>
  <si>
    <t>Seguros y reaseguros (primas y cesiones)</t>
  </si>
  <si>
    <t>Por rendimientos financieros pagados a naturales y sociedades  (No a IFIs)</t>
  </si>
  <si>
    <t>323A</t>
  </si>
  <si>
    <t>Por RF: depósitos Cta. Corriente</t>
  </si>
  <si>
    <t>323B1</t>
  </si>
  <si>
    <t>Por RF:  depósitos Cta. Ahorros Sociedades</t>
  </si>
  <si>
    <t>323E</t>
  </si>
  <si>
    <t>Por RF: depósito a plazo fijo  gravados</t>
  </si>
  <si>
    <t>323E2</t>
  </si>
  <si>
    <t>Por RF: depósito a plazo fijo exentos</t>
  </si>
  <si>
    <t>323F</t>
  </si>
  <si>
    <t>Por rendimientos financieros: operaciones de reporto - repos</t>
  </si>
  <si>
    <t>323G</t>
  </si>
  <si>
    <t>Por RF: inversiones (captaciones) rendimientos distintos de aquellos pagados a IFIs</t>
  </si>
  <si>
    <t>323H</t>
  </si>
  <si>
    <t>Por RF: obligaciones</t>
  </si>
  <si>
    <t>323I</t>
  </si>
  <si>
    <t>Por RF: bonos convertible en acciones</t>
  </si>
  <si>
    <t>323M</t>
  </si>
  <si>
    <t xml:space="preserve">Por RF: Inversiones en títulos valores en renta fija gravados </t>
  </si>
  <si>
    <t>323N</t>
  </si>
  <si>
    <t>Por RF: Inversiones en títulos valores en renta fija exentos</t>
  </si>
  <si>
    <t>323O</t>
  </si>
  <si>
    <t>Por RF: Intereses pagados a bancos y otras entidades sometidas al control de la Superintendencia de Bancos y de la Economía Popular y Solidaria</t>
  </si>
  <si>
    <t>323P</t>
  </si>
  <si>
    <t>Por RF: Intereses pagados por entidades del sector público a favor de sujetos pasivos</t>
  </si>
  <si>
    <t>323Q</t>
  </si>
  <si>
    <t xml:space="preserve">Por RF: Otros intereses y rendimientos financieros gravados </t>
  </si>
  <si>
    <t>323R</t>
  </si>
  <si>
    <t>Por RF: Otros intereses y rendimientos financieros exentos</t>
  </si>
  <si>
    <t>324A</t>
  </si>
  <si>
    <t xml:space="preserve">Por RF: Intereses en operaciones de crédito entre instituciones del sistema financiero y entidades economía popular y solidaria. </t>
  </si>
  <si>
    <t>324B</t>
  </si>
  <si>
    <t xml:space="preserve">Por RF: Por inversiones entre instituciones del sistema financiero y entidades economía popular y solidaria. </t>
  </si>
  <si>
    <t>Anticipo dividendos</t>
  </si>
  <si>
    <t>325A</t>
  </si>
  <si>
    <t>Dividendos anticipados préstamos accionistas, beneficiarios o partìcipes</t>
  </si>
  <si>
    <t>Dividendos distribuidos a sociedades residentes</t>
  </si>
  <si>
    <t>dividendos distribuidos a fideicomisos residentes</t>
  </si>
  <si>
    <t>Otras compras de bienes y servicios no sujetas a retención</t>
  </si>
  <si>
    <t>332B</t>
  </si>
  <si>
    <t>Compra de bienes inmuebles</t>
  </si>
  <si>
    <t>332C</t>
  </si>
  <si>
    <t>Transporte público de pasajeros</t>
  </si>
  <si>
    <t>332D</t>
  </si>
  <si>
    <t>Pagos en el país por transporte de pasajeros o transporte internacional de carga, a compañías nacionales o extranjeras de aviación o marítimas</t>
  </si>
  <si>
    <t>332E</t>
  </si>
  <si>
    <t>Valores entregados por las cooperativas de transporte a sus socios</t>
  </si>
  <si>
    <t>332F</t>
  </si>
  <si>
    <t>Compraventa de divisas distintas al dólar de los Estados Unidos de América</t>
  </si>
  <si>
    <t>332G</t>
  </si>
  <si>
    <t xml:space="preserve">Pagos con tarjeta de crédito </t>
  </si>
  <si>
    <t>332H</t>
  </si>
  <si>
    <t>Pago al exterior tarjeta de crédito reportada por la Emisora de tarjeta de crédito, solo recap</t>
  </si>
  <si>
    <t>332I</t>
  </si>
  <si>
    <t>Pago a través de convenio de debito (Clientes IFI`s)</t>
  </si>
  <si>
    <t>Liquidación impuesto único a la venta local de banano de producción propia</t>
  </si>
  <si>
    <t>Impuesto único a la exportación de banano de producción propia - componente 1</t>
  </si>
  <si>
    <t>Impuesto único a la exportación de banano de producción propia - componente 2</t>
  </si>
  <si>
    <t>Impuesto único a la exportación de banano producido por terceros</t>
  </si>
  <si>
    <t>343A</t>
  </si>
  <si>
    <t>343B</t>
  </si>
  <si>
    <t>Por actividades de construcción de obra material inmueble, urbanización, lotización o actividades similares</t>
  </si>
  <si>
    <t>Otras retenciones aplicables el 2%</t>
  </si>
  <si>
    <t>344A</t>
  </si>
  <si>
    <t>Pago local tarjeta de crédito reportada por la Emisora de tarjeta de crédito, solo recap</t>
  </si>
  <si>
    <t>346A</t>
  </si>
  <si>
    <t>Pago al exterior - Rentas Inmobiliarias</t>
  </si>
  <si>
    <t>Pago al exterior - Beneficios Empresariales</t>
  </si>
  <si>
    <t>Pago al exterior - Navegación Marítima y/o aérea</t>
  </si>
  <si>
    <t>Pago al exterior- Dividendos distribuidos a personas naturales</t>
  </si>
  <si>
    <t>504A</t>
  </si>
  <si>
    <t>Pago al exterior - Dividendos a sociedades</t>
  </si>
  <si>
    <t>504B</t>
  </si>
  <si>
    <t>504C</t>
  </si>
  <si>
    <t>504D</t>
  </si>
  <si>
    <t>504E</t>
  </si>
  <si>
    <t>504F</t>
  </si>
  <si>
    <t>504G</t>
  </si>
  <si>
    <t>504H</t>
  </si>
  <si>
    <t>Pago al exterior - Rendimientos financieros</t>
  </si>
  <si>
    <t>505A</t>
  </si>
  <si>
    <t>Pago al exterior – Intereses de créditos de Instituciones Financieras del exterior</t>
  </si>
  <si>
    <t>505B</t>
  </si>
  <si>
    <t>Pago al exterior – Intereses de créditos de gobierno a gobierno</t>
  </si>
  <si>
    <t>505C</t>
  </si>
  <si>
    <t>Pago al exterior – Intereses de créditos de organismos multilaterales</t>
  </si>
  <si>
    <t>505D</t>
  </si>
  <si>
    <t>Pago al exterior - Intereses por financiamiento de proveedores externos</t>
  </si>
  <si>
    <t>505E</t>
  </si>
  <si>
    <t>Pago al exterior - Intereses de otros créditos externos</t>
  </si>
  <si>
    <t>505F</t>
  </si>
  <si>
    <t>Pago al exterior - Otros Intereses y Rendimientos Financieros</t>
  </si>
  <si>
    <t>Pago al exterior - Cánones, derechos de autor,  marcas, patentes y similares</t>
  </si>
  <si>
    <t>509A</t>
  </si>
  <si>
    <t>Pago al exterior - Regalías por concepto de franquicias</t>
  </si>
  <si>
    <t>Pago al exterior - Ganancias de capital</t>
  </si>
  <si>
    <t>Pago al exterior - Servicios profesionales independientes</t>
  </si>
  <si>
    <t>Pago al exterior - Servicios profesionales dependientes</t>
  </si>
  <si>
    <t>Pago al exterior - Artistas</t>
  </si>
  <si>
    <t>513A</t>
  </si>
  <si>
    <t>Pago al exterior - Deportistas</t>
  </si>
  <si>
    <t>Pago al exterior - Participación de consejeros</t>
  </si>
  <si>
    <t>Pago al exterior - Entretenimiento Público</t>
  </si>
  <si>
    <t>Pago al exterior - Pensiones</t>
  </si>
  <si>
    <t>Pago al exterior - Reembolso de Gastos</t>
  </si>
  <si>
    <t>Pago al exterior - Funciones Públicas</t>
  </si>
  <si>
    <t>Pago al exterior - Estudiantes</t>
  </si>
  <si>
    <t>520A</t>
  </si>
  <si>
    <t>Pago al exterior - Pago a proveedores de servicios hoteleros y turísticos en el exterior</t>
  </si>
  <si>
    <t>520B</t>
  </si>
  <si>
    <t>Pago al exterior - Arrendamientos mercantil internacional</t>
  </si>
  <si>
    <t>520D</t>
  </si>
  <si>
    <t>Pago al exterior - Comisiones por exportaciones y por promoción de turismo receptivo</t>
  </si>
  <si>
    <t>520E</t>
  </si>
  <si>
    <t>Pago al exterior - Por las empresas de transporte marítimo o aéreo y por empresas pesqueras de alta mar, por su actividad.</t>
  </si>
  <si>
    <t>520F</t>
  </si>
  <si>
    <t>Pago al exterior - Por las agencias internacionales de prensa</t>
  </si>
  <si>
    <t>520G</t>
  </si>
  <si>
    <t>Pago al exterior - Contratos de fletamento de naves para empresas de transporte aéreo o marítimo internacional</t>
  </si>
  <si>
    <t xml:space="preserve">Pago al exterior - Enajenación de derechos representativos de capital y otros derechos </t>
  </si>
  <si>
    <t>523A</t>
  </si>
  <si>
    <t>Pago al exterior - Seguros y reaseguros (primas y cesiones)  con convenio de doble tributación</t>
  </si>
  <si>
    <t xml:space="preserve">Pago al exterior - Otros pagos al exterior no sujetos a retención </t>
  </si>
  <si>
    <t>Paises de Pagos al Exterior</t>
  </si>
  <si>
    <t>016-AMERICAN SAMOA</t>
  </si>
  <si>
    <t>074-BOUVET ISLAND</t>
  </si>
  <si>
    <t>101-ARGENTINA</t>
  </si>
  <si>
    <t>102-BOLIVIA</t>
  </si>
  <si>
    <t>103-BRASIL</t>
  </si>
  <si>
    <t>104-CANADA</t>
  </si>
  <si>
    <t>105-COLOMBIA</t>
  </si>
  <si>
    <t>106-COSTA RICA</t>
  </si>
  <si>
    <t>107-CUBA</t>
  </si>
  <si>
    <t>108-CHILE</t>
  </si>
  <si>
    <t>109-ANGUILA</t>
  </si>
  <si>
    <t>110-ESTADOS UNIDOS</t>
  </si>
  <si>
    <t>111-GUATEMALA</t>
  </si>
  <si>
    <t>112-HAITI</t>
  </si>
  <si>
    <t>113-HONDURAS</t>
  </si>
  <si>
    <t>114-JAMAICA</t>
  </si>
  <si>
    <t>115-MALVINAS  ISLAS</t>
  </si>
  <si>
    <t>116-MEXICO</t>
  </si>
  <si>
    <t>117-NICARAGUA</t>
  </si>
  <si>
    <t>118-PANAMA</t>
  </si>
  <si>
    <t>119-PARAGUAY</t>
  </si>
  <si>
    <t>120-PERU</t>
  </si>
  <si>
    <t>121-PUERTO RICO</t>
  </si>
  <si>
    <t>122-REPUBLICA DOMINICANA</t>
  </si>
  <si>
    <t>123-EL SALVADOR</t>
  </si>
  <si>
    <t>124-TRINIDAD Y TOBAGO</t>
  </si>
  <si>
    <t>125-URUGUAY</t>
  </si>
  <si>
    <t>126-VENEZUELA</t>
  </si>
  <si>
    <t>127-CURAZAO</t>
  </si>
  <si>
    <t>129-BAHAMAS</t>
  </si>
  <si>
    <t>130-BARBADOS</t>
  </si>
  <si>
    <t>131-GRANADA</t>
  </si>
  <si>
    <t>132-GUYANA</t>
  </si>
  <si>
    <t>133-SURINAM</t>
  </si>
  <si>
    <t>134-ANTIGUA Y BARBUDA</t>
  </si>
  <si>
    <t>135-BELICE</t>
  </si>
  <si>
    <t>136-DOMINICA</t>
  </si>
  <si>
    <t>137-SAN CRISTOBAL Y NEVIS</t>
  </si>
  <si>
    <t>138-SANTA LUCIA</t>
  </si>
  <si>
    <t>139-SAN VICENTE Y LAS GRANAD.</t>
  </si>
  <si>
    <t>140-ANTILLAS HOLANDESAS</t>
  </si>
  <si>
    <t>141-ARUBA</t>
  </si>
  <si>
    <t>142-BERMUDA</t>
  </si>
  <si>
    <t>143-GUADALUPE</t>
  </si>
  <si>
    <t>144-GUYANA FRANCESA</t>
  </si>
  <si>
    <t>145-ISLAS CAIMAN</t>
  </si>
  <si>
    <t>146-ISLAS VIRGENES (BRITANICAS)</t>
  </si>
  <si>
    <t>147-JOHNSTON ISLA</t>
  </si>
  <si>
    <t>148-MARTINICA</t>
  </si>
  <si>
    <t>149-MONTSERRAT ISLA</t>
  </si>
  <si>
    <t>151-TURCAS  Y CAICOS ISLAS</t>
  </si>
  <si>
    <t>152-VIRGENES,ISLAS(NORT.AMER.)</t>
  </si>
  <si>
    <t>201-ALBANIA</t>
  </si>
  <si>
    <t>202-ALEMANIA</t>
  </si>
  <si>
    <t>203-AUSTRIA</t>
  </si>
  <si>
    <t>204-BELGICA</t>
  </si>
  <si>
    <t>205-BULGARIA</t>
  </si>
  <si>
    <t>207-ALBORAN Y PEREJIL</t>
  </si>
  <si>
    <t>208-DINAMARCA</t>
  </si>
  <si>
    <t>209-ESPAÑA</t>
  </si>
  <si>
    <t>211-FRANCIA</t>
  </si>
  <si>
    <t>212-FINLANDIA</t>
  </si>
  <si>
    <t>213-REINO UNIDO</t>
  </si>
  <si>
    <t>214-GRECIA</t>
  </si>
  <si>
    <t>215-PAISES BAJOS (HOLANDA)</t>
  </si>
  <si>
    <t>216-HUNGRIA</t>
  </si>
  <si>
    <t>217-IRLANDA</t>
  </si>
  <si>
    <t>218-ISLANDIA</t>
  </si>
  <si>
    <t>219-ITALIA</t>
  </si>
  <si>
    <t>220-LUXEMBURGO</t>
  </si>
  <si>
    <t>221-MALTA</t>
  </si>
  <si>
    <t>222-NORUEGA</t>
  </si>
  <si>
    <t>223-POLONIA</t>
  </si>
  <si>
    <t>224-PORTUGAL</t>
  </si>
  <si>
    <t>225-RUMANIA</t>
  </si>
  <si>
    <t>226-SUECIA</t>
  </si>
  <si>
    <t>227-SUIZA</t>
  </si>
  <si>
    <t>228-CANARIAS  ISLAS</t>
  </si>
  <si>
    <t>229-UCRANIA</t>
  </si>
  <si>
    <t>230-RUSIA</t>
  </si>
  <si>
    <t>231-YUGOSLAVIA</t>
  </si>
  <si>
    <t>233-ANDORRA</t>
  </si>
  <si>
    <t>234-LIECHTENSTEIN</t>
  </si>
  <si>
    <t>235-MONACO</t>
  </si>
  <si>
    <t>237-SAN MARINO</t>
  </si>
  <si>
    <t>238-VATICANO (SANTA SEDE)</t>
  </si>
  <si>
    <t>239-GIBRALTAR</t>
  </si>
  <si>
    <t>241-BELARUS</t>
  </si>
  <si>
    <t>242-BOSNIA Y HERZEGOVINA</t>
  </si>
  <si>
    <t>243-CROACIA</t>
  </si>
  <si>
    <t>244-ESLOVENIA</t>
  </si>
  <si>
    <t>245-ESTONIA</t>
  </si>
  <si>
    <t>246-GEORGIA</t>
  </si>
  <si>
    <t>247-GROENLANDIA</t>
  </si>
  <si>
    <t>248-LETONIA</t>
  </si>
  <si>
    <t>249-LITUANIA</t>
  </si>
  <si>
    <t>250-MOLDOVA</t>
  </si>
  <si>
    <t>251-MACEDONIA</t>
  </si>
  <si>
    <t>252-ESLOVAQUIA</t>
  </si>
  <si>
    <t>253-ISLAS FAROE</t>
  </si>
  <si>
    <t>260-FRENCH SOUTHERN TERRITORIES</t>
  </si>
  <si>
    <t>301-AFGANISTAN</t>
  </si>
  <si>
    <t>302-ARABIA SAUDITA</t>
  </si>
  <si>
    <t>303-MYANMAR (BURMA)</t>
  </si>
  <si>
    <t>304-CAMBOYA</t>
  </si>
  <si>
    <t>306-COREA NORTE</t>
  </si>
  <si>
    <t>307-TAIWAN (CHINA)</t>
  </si>
  <si>
    <t>308-FILIPINAS</t>
  </si>
  <si>
    <t>309-INDIA</t>
  </si>
  <si>
    <t>310-INDONESIA</t>
  </si>
  <si>
    <t>311-IRAK</t>
  </si>
  <si>
    <t>312-IRAN (REPUBLICA ISLAMICA)</t>
  </si>
  <si>
    <t>313-ISRAEL</t>
  </si>
  <si>
    <t>314-JAPON</t>
  </si>
  <si>
    <t>315-JORDANIA</t>
  </si>
  <si>
    <t>316-KUWAIT</t>
  </si>
  <si>
    <t>317-LAOS, REP. POP. DEMOC.</t>
  </si>
  <si>
    <t>318-LIBANO</t>
  </si>
  <si>
    <t>319-MALASIA</t>
  </si>
  <si>
    <t>321-MONGOLIA (MANCHURIA)</t>
  </si>
  <si>
    <t>322-PAKISTAN</t>
  </si>
  <si>
    <t>323-SIRIA</t>
  </si>
  <si>
    <t>325-TAILANDIA</t>
  </si>
  <si>
    <t>327-BAHREIN</t>
  </si>
  <si>
    <t>328-BANGLADESH</t>
  </si>
  <si>
    <t>329-BUTAN</t>
  </si>
  <si>
    <t>330-COREA DEL SUR</t>
  </si>
  <si>
    <t>331-CHINA POPULAR</t>
  </si>
  <si>
    <t>332-CHIPRE</t>
  </si>
  <si>
    <t>333-EMIRATOS ARABES UNIDOS</t>
  </si>
  <si>
    <t>334-QATAR</t>
  </si>
  <si>
    <t>335-MALDIVAS</t>
  </si>
  <si>
    <t>336-NEPAL</t>
  </si>
  <si>
    <t>337-OMAN</t>
  </si>
  <si>
    <t>338-SINGAPUR</t>
  </si>
  <si>
    <t>339-SRI LANKA (CEILAN)</t>
  </si>
  <si>
    <t>341-VIETNAM</t>
  </si>
  <si>
    <t>342-YEMEN</t>
  </si>
  <si>
    <t>343-ISLAS HEARD Y MCDONALD</t>
  </si>
  <si>
    <t>344-BRUNEI DARUSSALAM</t>
  </si>
  <si>
    <t>346-TURQUIA</t>
  </si>
  <si>
    <t>347-AZERBAIJAN</t>
  </si>
  <si>
    <t>348-KAZAJSTAN</t>
  </si>
  <si>
    <t>349-KIRGUIZISTAN</t>
  </si>
  <si>
    <t>350-TAJIKISTAN</t>
  </si>
  <si>
    <t>351-TURKMENISTAN</t>
  </si>
  <si>
    <t>352-UZBEKISTAN</t>
  </si>
  <si>
    <t>353-PALESTINA</t>
  </si>
  <si>
    <t>354-HONG KONG</t>
  </si>
  <si>
    <t>355-MACAO</t>
  </si>
  <si>
    <t>356-ARMENIA</t>
  </si>
  <si>
    <t>382-MONTENEGRO</t>
  </si>
  <si>
    <t>402-BURKINA FASO</t>
  </si>
  <si>
    <t>403-ARGELIA</t>
  </si>
  <si>
    <t>404-BURUNDI</t>
  </si>
  <si>
    <t>405-CAMERUN</t>
  </si>
  <si>
    <t>406-CONGO</t>
  </si>
  <si>
    <t>407-ETIOPIA</t>
  </si>
  <si>
    <t>408-GAMBIA</t>
  </si>
  <si>
    <t>409-GUINEA</t>
  </si>
  <si>
    <t>410-LIBERIA</t>
  </si>
  <si>
    <t>412-MADAGASCAR</t>
  </si>
  <si>
    <t>413-MALAWI</t>
  </si>
  <si>
    <t>414-MALI</t>
  </si>
  <si>
    <t>415-MARRUECOS</t>
  </si>
  <si>
    <t>416-MAURITANIA</t>
  </si>
  <si>
    <t>417-NIGERIA</t>
  </si>
  <si>
    <t>419-ZIMBABWE (RHODESIA)</t>
  </si>
  <si>
    <t>420-SENEGAL</t>
  </si>
  <si>
    <t>421-SUDAN</t>
  </si>
  <si>
    <t>422-SUDAFRICA  (CISKEI)</t>
  </si>
  <si>
    <t>423-SIERRA LEONA</t>
  </si>
  <si>
    <t>425-TANZANIA</t>
  </si>
  <si>
    <t>426-UGANDA</t>
  </si>
  <si>
    <t>427-ZAMBIA</t>
  </si>
  <si>
    <t>428-ÅLAND ISLANDS</t>
  </si>
  <si>
    <t>429-BENIN</t>
  </si>
  <si>
    <t>430-BOTSWANA</t>
  </si>
  <si>
    <t>431-REPUBLICA CENTROAFRICANA</t>
  </si>
  <si>
    <t>432-COSTA DE MARFIL</t>
  </si>
  <si>
    <t>433-CHAD</t>
  </si>
  <si>
    <t>434-EGIPTO</t>
  </si>
  <si>
    <t>435-GABON</t>
  </si>
  <si>
    <t>436-GHANA</t>
  </si>
  <si>
    <t>437-GUINEA-BISSAU</t>
  </si>
  <si>
    <t>438-GUINEA ECUATORIAL</t>
  </si>
  <si>
    <t>439-KENIA</t>
  </si>
  <si>
    <t>440-LESOTHO</t>
  </si>
  <si>
    <t>441-MAURICIO</t>
  </si>
  <si>
    <t>442-MOZAMBIQUE</t>
  </si>
  <si>
    <t>443-MAYOTTE</t>
  </si>
  <si>
    <t>444-NIGER</t>
  </si>
  <si>
    <t>445-RWANDA</t>
  </si>
  <si>
    <t>446-SEYCHELLES</t>
  </si>
  <si>
    <t>447-SAHARA OCCIDENTAL</t>
  </si>
  <si>
    <t>448-SOMALIA</t>
  </si>
  <si>
    <t>449-SANTO TOME Y PRINCIPE</t>
  </si>
  <si>
    <t>450-SWAZILANDIA</t>
  </si>
  <si>
    <t>451-TOGO</t>
  </si>
  <si>
    <t>452-TUNEZ</t>
  </si>
  <si>
    <t>453-ZAIRE</t>
  </si>
  <si>
    <t>454-ANGOLA</t>
  </si>
  <si>
    <t>456-CABO VERDE</t>
  </si>
  <si>
    <t>458-COMORAS</t>
  </si>
  <si>
    <t>459-DJIBOUTI</t>
  </si>
  <si>
    <t>460-NAMIBIA</t>
  </si>
  <si>
    <t>463-ERITREA</t>
  </si>
  <si>
    <t>464-MOROCCO</t>
  </si>
  <si>
    <t>465-REUNION</t>
  </si>
  <si>
    <t>466-SANTA ELENA</t>
  </si>
  <si>
    <t>499-JERSEY</t>
  </si>
  <si>
    <t>501-AUSTRALIA</t>
  </si>
  <si>
    <t>503-NUEVA ZELANDA</t>
  </si>
  <si>
    <t>504-SAMOA OCCIDENTAL</t>
  </si>
  <si>
    <t>506-FIJI</t>
  </si>
  <si>
    <t>507-PAPUA NUEVA GUINEA</t>
  </si>
  <si>
    <t>508-TONGA</t>
  </si>
  <si>
    <t>509-PALAO  (BELAU)  ISLAS</t>
  </si>
  <si>
    <t>510-KIRIBATI</t>
  </si>
  <si>
    <t>511-MARSHALL ISLAS</t>
  </si>
  <si>
    <t>512-MICRONESIA</t>
  </si>
  <si>
    <t>513-NAURU</t>
  </si>
  <si>
    <t>514-SALOMON  ISLAS</t>
  </si>
  <si>
    <t>515-TUVALU</t>
  </si>
  <si>
    <t>516-VANUATU</t>
  </si>
  <si>
    <t>517-GUAM</t>
  </si>
  <si>
    <t>518-ISLAS COCOS (KEELING)</t>
  </si>
  <si>
    <t>519-ISLAS COOK</t>
  </si>
  <si>
    <t>520-ISLAS NAVIDAD</t>
  </si>
  <si>
    <t>521-MIDWAY ISLAS</t>
  </si>
  <si>
    <t>522-NIUE ISLA</t>
  </si>
  <si>
    <t>523-NORFOLK ISLA</t>
  </si>
  <si>
    <t>524-NUEVA  CALEDONIA</t>
  </si>
  <si>
    <t>525-PITCAIRN, ISLA</t>
  </si>
  <si>
    <t>526-POLINESIA FRANCESA</t>
  </si>
  <si>
    <t>529-TIMOR DEL ESTE</t>
  </si>
  <si>
    <t>530-TOKELAI</t>
  </si>
  <si>
    <t>531-WAKE ISLA</t>
  </si>
  <si>
    <t>532-WALLIS Y FUTUNA, ISLAS</t>
  </si>
  <si>
    <t>590-SAINT BARTHELEMY</t>
  </si>
  <si>
    <t>593-ECUADOR</t>
  </si>
  <si>
    <t>594-AGUAS INTERNACIONALES</t>
  </si>
  <si>
    <t>595-ALTO VOLTA</t>
  </si>
  <si>
    <t>596-BIELORRUSIA</t>
  </si>
  <si>
    <t>597-COTE DÍVOIRE</t>
  </si>
  <si>
    <t>598-CYPRUS</t>
  </si>
  <si>
    <t>599-REPUBLICA CHECA</t>
  </si>
  <si>
    <t>600-FALKLAND ISLANDS</t>
  </si>
  <si>
    <t>601-LATVIA</t>
  </si>
  <si>
    <t>602-LIBIA</t>
  </si>
  <si>
    <t>603-NORTHERN MARIANA ISL</t>
  </si>
  <si>
    <t>604-ST. PIERRE AND MIQUE</t>
  </si>
  <si>
    <t>605-SYRIAN ARAB REPUBLIC</t>
  </si>
  <si>
    <t>606-TERRITORIO ANTARTICO BRITANICO</t>
  </si>
  <si>
    <t>607-TERRITORIO BRITANICO OCEANO IN</t>
  </si>
  <si>
    <t>688-SERBIA</t>
  </si>
  <si>
    <t>831-GUERNSEY</t>
  </si>
  <si>
    <t>833-ISLE OF MAN</t>
  </si>
  <si>
    <t>Paises de Pagos en Paraisos Fiscales</t>
  </si>
  <si>
    <t>001-ANGUILA (Territorio no autónomo del Reino Unido)</t>
  </si>
  <si>
    <t>002-ANTIGUA Y BARBUDA (Estado independiente)</t>
  </si>
  <si>
    <t>003-ARCHIPIÉLAGO DE SVALBARD</t>
  </si>
  <si>
    <t>004-ARUBA</t>
  </si>
  <si>
    <t>005-BARBADOS (Estado independiente)</t>
  </si>
  <si>
    <t>006-BELICE (Estado independiente)</t>
  </si>
  <si>
    <t>007-BERMUDAS (Territorio no autónomo del Reino Unido)</t>
  </si>
  <si>
    <t>008-BONAIRE, SABA Y SAN EUSTAQUIO</t>
  </si>
  <si>
    <t>009-BRUNEI DARUSSALAM (Estado independiente)</t>
  </si>
  <si>
    <t>010-CAMPIONE D'ITALIA (Comune di Campioned'Italia)</t>
  </si>
  <si>
    <t>011-COLONIA DE GIBRALTAR</t>
  </si>
  <si>
    <t>012-COMUNIDAD DE LAS BAHAMAS (Estado independiente)</t>
  </si>
  <si>
    <t>013-CURAZAO</t>
  </si>
  <si>
    <t>014-ESTADO ASOCIADO DE GRANADA (Estado independiente)</t>
  </si>
  <si>
    <t>015-ESTADO DE BAHREIN (Estado independiente)</t>
  </si>
  <si>
    <t>016-ESTADO DE KUWAIT (Estado independiente)</t>
  </si>
  <si>
    <t>017-ESTADO LIBRE ASOCIADO DE PUERTO RICO (Estado asociado a los EEUU)</t>
  </si>
  <si>
    <t>018-EMIRATOS ÁRABES UNIDOS (Estado independiente)</t>
  </si>
  <si>
    <t>019-FEDERACIÓN DE SAN CRISTÓBAL (Islas Saint Kitts and Nevis: independientes)</t>
  </si>
  <si>
    <t>020-GRAN DUCADO DE LUXEMBURGO</t>
  </si>
  <si>
    <t>021-GROENLANDIA</t>
  </si>
  <si>
    <t>022-GUAM (Territorio no autónomo de los EEUU)</t>
  </si>
  <si>
    <t>023-ISLA DE ASCENSIÓN</t>
  </si>
  <si>
    <t>024-ISLAS AZORES</t>
  </si>
  <si>
    <t>025-ISLAS CAIMÁN (Territorio no autónomo del Reino Unido)</t>
  </si>
  <si>
    <t>026-ISLAS CHRISTMAS</t>
  </si>
  <si>
    <t>027-ISLA DE COCOS O KEELING</t>
  </si>
  <si>
    <t>028-ISLA DE COOK (Territorio autónomo asociado a Nueva Zelanda)</t>
  </si>
  <si>
    <t>029-ISLA DE MAN (Territorio del Reino Unido)</t>
  </si>
  <si>
    <t>030-ISLA DE NORFOLK</t>
  </si>
  <si>
    <t>031-ISLA DE SAN PEDRO Y MIGUELÓN</t>
  </si>
  <si>
    <t>032-ISLAS DEL CANAL (Guernesey, Alderney, Isla de Great Stark, Herm, Little Sark, Brechou, Jethou, Lihou)</t>
  </si>
  <si>
    <t>088-ISLAS DEL CANAL (Jersey)</t>
  </si>
  <si>
    <t>033-ISLA QESHM</t>
  </si>
  <si>
    <t>034-ISLAS SALOMÓN</t>
  </si>
  <si>
    <t>035-ISLAS TURKAS E ISLAS CAICOS (Territorio no autónomo del Reino Unido)</t>
  </si>
  <si>
    <t>036-ISLAS VÍRGENES BRITÁNICAS (Territorio no autónomo del Reino Unido)</t>
  </si>
  <si>
    <t>037-ISLAS VÍRGENES DE ESTADOS UNIDOS DE AMÉRICA</t>
  </si>
  <si>
    <t>038-KIRIBATI</t>
  </si>
  <si>
    <t>039-LABUAN</t>
  </si>
  <si>
    <t>040-MACAO</t>
  </si>
  <si>
    <t>041-MADEIRA (Territorio de Portugal)</t>
  </si>
  <si>
    <t>042-MANCOMUNIDAD DE DOMINICA (Estado asociado)</t>
  </si>
  <si>
    <t>043-MONTSERRAT (Territorio no autónomo del Reino Unido)</t>
  </si>
  <si>
    <t>044-MYANMAR (ex Birmania)</t>
  </si>
  <si>
    <t>045-NIGERIA</t>
  </si>
  <si>
    <t>046-NIUE</t>
  </si>
  <si>
    <t>047-PALAU</t>
  </si>
  <si>
    <t>048-PITCAIRN</t>
  </si>
  <si>
    <t>049-POLINESIA FRANCESA (Territorio de Ultramar de Francia)</t>
  </si>
  <si>
    <t>050-PRINCIPADO DE LIECHTENSTEIN (Estado independiente)</t>
  </si>
  <si>
    <t>051-PRINCIPADO DE MÓNACO</t>
  </si>
  <si>
    <t>052-PRINCIPADO DEL VALLE DE ANDORRA</t>
  </si>
  <si>
    <t>053-REINO DE SWAZILANDIA (Estado independiente)</t>
  </si>
  <si>
    <t>054-REINO DE TONGA (Estado independiente)</t>
  </si>
  <si>
    <t>055-REINO HACHEMITA DE JORDANIA</t>
  </si>
  <si>
    <t>056-REPÚBLICA COOPERATIVA DE GUYANA (Estado independiente)</t>
  </si>
  <si>
    <t>057-REPÚBLICA DE ALBANIA</t>
  </si>
  <si>
    <t>058-REPÚBLICA DE ANGOLA</t>
  </si>
  <si>
    <t>059-REPÚBLICA DE CABO VERDE (Estado independiente)</t>
  </si>
  <si>
    <t>060-REPÚBLICA DE CHIPRE</t>
  </si>
  <si>
    <t>061-REPÚBLICA DE DJIBOUTI (Estado independiente)</t>
  </si>
  <si>
    <t>062-REPÚBLICA DE LAS ISLAS MARSHALL (Estado independiente)</t>
  </si>
  <si>
    <t>063-REPÚBLICA DE LIBERIA (Estado independiente)</t>
  </si>
  <si>
    <t>064-REPÚBLICA DE MALDIVAS (Estado independiente)</t>
  </si>
  <si>
    <t>065-REPÚBLICA DE MALTA (Estado independiente)</t>
  </si>
  <si>
    <t>066-REPÚBLICA DE MAURICIO</t>
  </si>
  <si>
    <t>067-REPÚBLICA DE NAURU (Estado independiente)</t>
  </si>
  <si>
    <t>068-REPÚBLICA DE PANAMÁ (Estado independiente)</t>
  </si>
  <si>
    <t>069-REPÚBLICA DE SEYCHELLES (Estado independiente)</t>
  </si>
  <si>
    <t>070-REPÚBLICA DE TRINIDAD Y TOBAGO</t>
  </si>
  <si>
    <t>071-REPÚBLICA DE TÚNEZ</t>
  </si>
  <si>
    <t>072-REPÚBLICA DE VANUATU</t>
  </si>
  <si>
    <t>073-REPÚBLICA DEL YEMEN</t>
  </si>
  <si>
    <t>074-REPÚBLICA DEMOCRÁTICA SOCIALISTA DE SRI LANKA</t>
  </si>
  <si>
    <t>075-SAMOA AMERICANA (Territorio no autónomo de los EEUU)</t>
  </si>
  <si>
    <t>076-SAMOA OCCIDENTAL</t>
  </si>
  <si>
    <t>077-SAN VICENTE Y LAS GRANADINAS (Estado independiente)</t>
  </si>
  <si>
    <t>078-SANTA ELENA</t>
  </si>
  <si>
    <t>079-SANTA LUCÍA</t>
  </si>
  <si>
    <t>080-SAN MARTÍN</t>
  </si>
  <si>
    <t>534-SINT MAARTEN (DUTCH PART)</t>
  </si>
  <si>
    <t>081-SERENÍSIMA REPÚBLICA DE SAN MARINO (Estado independiente)</t>
  </si>
  <si>
    <t>082-SULTANADO DE OMAN</t>
  </si>
  <si>
    <t>083-TOKELAU</t>
  </si>
  <si>
    <t>084-TRISTAN DA CUNHA (SH Saint Helena)</t>
  </si>
  <si>
    <t>085-TUVALU</t>
  </si>
  <si>
    <t>086-ZONA LIBRE DE OSTRAVA</t>
  </si>
  <si>
    <t>Paises para Exportaciones</t>
  </si>
  <si>
    <t>Codigos de Regimen</t>
  </si>
  <si>
    <t>40-Exportación definitiva</t>
  </si>
  <si>
    <t>50-Exportación temporal para reimportación en el mismo estado</t>
  </si>
  <si>
    <t>51-Exportación temporal para perfeccionamiento pasivo</t>
  </si>
  <si>
    <t>60-Reexp. de mercancías en el mismo estado</t>
  </si>
  <si>
    <t>61-Reexportación de mercancías que fueron importadas para perfeccionamiento activo</t>
  </si>
  <si>
    <t>79-Exportación a consumo desde Zona Franca</t>
  </si>
  <si>
    <t>83-Reembarque</t>
  </si>
  <si>
    <t>94-Courier exportación</t>
  </si>
  <si>
    <t>95-Exportaciones Correos del Ecuador</t>
  </si>
  <si>
    <t>Tipos de Exportaciones</t>
  </si>
  <si>
    <t>01-Exportación de bienes con Refrendo</t>
  </si>
  <si>
    <t>02-Exportación de bienes sin Refrendo</t>
  </si>
  <si>
    <t>03-Exportaciones de servicios</t>
  </si>
  <si>
    <t>Distritos Aduaneros</t>
  </si>
  <si>
    <t>019-GQUIL-AÉREO</t>
  </si>
  <si>
    <t>028-GQUIL-MARÍTIMO</t>
  </si>
  <si>
    <t>037-MANTA</t>
  </si>
  <si>
    <t>046-ESMERALDAS</t>
  </si>
  <si>
    <t>055-QUITO</t>
  </si>
  <si>
    <t>064-PTO-BOLÍVAR</t>
  </si>
  <si>
    <t>073-TULCÁN</t>
  </si>
  <si>
    <t>082-HUAQUILLAS</t>
  </si>
  <si>
    <t>091-CUENCA</t>
  </si>
  <si>
    <t>109-LOJA-MACARA</t>
  </si>
  <si>
    <t>118-STA ELENA</t>
  </si>
  <si>
    <t>127-LATACUNGA</t>
  </si>
  <si>
    <t>136-GERENCIA GENERAL</t>
  </si>
  <si>
    <t xml:space="preserve">145-CEBAF – SAN MIGUEL </t>
  </si>
  <si>
    <t>01</t>
  </si>
  <si>
    <t>02</t>
  </si>
  <si>
    <t>03</t>
  </si>
  <si>
    <t>04</t>
  </si>
  <si>
    <t>05</t>
  </si>
  <si>
    <t>19</t>
  </si>
  <si>
    <t>20</t>
  </si>
  <si>
    <t>21</t>
  </si>
  <si>
    <t>08</t>
  </si>
  <si>
    <t>09</t>
  </si>
  <si>
    <t>11</t>
  </si>
  <si>
    <t>12</t>
  </si>
  <si>
    <t>15</t>
  </si>
  <si>
    <t>16</t>
  </si>
  <si>
    <t>18</t>
  </si>
  <si>
    <t>22</t>
  </si>
  <si>
    <t>23</t>
  </si>
  <si>
    <t>24</t>
  </si>
  <si>
    <t>41</t>
  </si>
  <si>
    <t>42</t>
  </si>
  <si>
    <t>43</t>
  </si>
  <si>
    <t>44</t>
  </si>
  <si>
    <t>45</t>
  </si>
  <si>
    <t>47</t>
  </si>
  <si>
    <t>48</t>
  </si>
  <si>
    <t>49</t>
  </si>
  <si>
    <t>50</t>
  </si>
  <si>
    <t>51</t>
  </si>
  <si>
    <t>52</t>
  </si>
  <si>
    <t>Tipos de Ingresos del Exterior</t>
  </si>
  <si>
    <t>401- Rentas Inmobiliarias</t>
  </si>
  <si>
    <t>402- Beneficios  y servicios Empresariales  / Asistencia técnica</t>
  </si>
  <si>
    <t>403- Beneficios  y servicios Empresariales  / Comisiones</t>
  </si>
  <si>
    <t>404- Beneficios  y servicios Empresariales / Comisiones sobre préstamos</t>
  </si>
  <si>
    <t>405- Beneficios  y servicios Empresariales/Honorarios</t>
  </si>
  <si>
    <t>406- Beneficios  y servicios Empresariales / Publicidad</t>
  </si>
  <si>
    <t>407- Beneficios  y servicios Empresariales / Servicios administrativos</t>
  </si>
  <si>
    <t>408- Beneficios  y servicios Empresariales / Servicios financieros</t>
  </si>
  <si>
    <t>409- Beneficios  y servicios Empresariales /Servicios intermedios de la producción (maquila)</t>
  </si>
  <si>
    <t>410- Beneficios  y servicios Empresariales /Servicios técnicos</t>
  </si>
  <si>
    <t>411- Navegación Marítima y/o aérea</t>
  </si>
  <si>
    <t>412-Dividendos</t>
  </si>
  <si>
    <t>413-Rendimientos financieros / Comisiones sobre préstamos</t>
  </si>
  <si>
    <t>414-Rendimientos financieros / Otras inversiones</t>
  </si>
  <si>
    <t>415-Garantías</t>
  </si>
  <si>
    <t>416- Servicios profesionales independientes /dependientes</t>
  </si>
  <si>
    <t>417-Intereses sobre préstamos</t>
  </si>
  <si>
    <t xml:space="preserve">418-Intereses créditos en ventas </t>
  </si>
  <si>
    <t>419-Regalías /Cánones, derechos de autor,  marcas, patentes y similares</t>
  </si>
  <si>
    <t>420-Regalías / Por concepto de franquicias</t>
  </si>
  <si>
    <t xml:space="preserve">421-Seguros y reaseguros (primas y cesiones)  </t>
  </si>
  <si>
    <t>422-Utilidad o pérdida por derivados financieros</t>
  </si>
  <si>
    <t>423-Utilidad por operaciones de futuros distintas de las del sector financiero</t>
  </si>
  <si>
    <t>424-Venta de bienes intangibles</t>
  </si>
  <si>
    <t>425-Enajenación de derechos representativos de capital</t>
  </si>
  <si>
    <t>426-Enajenación de obligaciones</t>
  </si>
  <si>
    <t>427-Artistas</t>
  </si>
  <si>
    <t>428-Deportistas</t>
  </si>
  <si>
    <t>429-Participación de consejeros</t>
  </si>
  <si>
    <t>430- Entretenimiento Público</t>
  </si>
  <si>
    <t>431-Pensiones</t>
  </si>
  <si>
    <t>432-Reembolso de Gastos</t>
  </si>
  <si>
    <t>433-Funciones Públicas</t>
  </si>
  <si>
    <t>434- Estudiantes</t>
  </si>
  <si>
    <t>435-Arrendamientos mercantil internacional</t>
  </si>
  <si>
    <t>436- Contratos de fletamento de naves para empresas de transporte aéreo o marítimo internacional</t>
  </si>
  <si>
    <t xml:space="preserve">437-Seguros y reaseguros (primas y cesiones)  </t>
  </si>
  <si>
    <t>438-Otros ingresos</t>
  </si>
  <si>
    <t>439-Otros servicios</t>
  </si>
  <si>
    <t>(Opcional)</t>
  </si>
  <si>
    <t>Valores Retenidos - Codigo Ret. #3</t>
  </si>
  <si>
    <t>solo copie</t>
  </si>
  <si>
    <t>No. de Identificacion</t>
  </si>
  <si>
    <t>Tipo Identif.</t>
  </si>
  <si>
    <t>Razon Social Contribuyente</t>
  </si>
  <si>
    <t>Tipo Proveedor</t>
  </si>
  <si>
    <t>Parte Relacionada</t>
  </si>
  <si>
    <t>Comprobante</t>
  </si>
  <si>
    <t>Establecimiento</t>
  </si>
  <si>
    <t>Punto Emisión</t>
  </si>
  <si>
    <t>Numero Secuencial</t>
  </si>
  <si>
    <t>Numero Autorización S.R.I.</t>
  </si>
  <si>
    <t>Fecha de Emisión</t>
  </si>
  <si>
    <t>Comprobante Modificado</t>
  </si>
  <si>
    <t>Numero Secuencial Modificado</t>
  </si>
  <si>
    <t>Numero Autorización S.R.I. Modificado</t>
  </si>
  <si>
    <t>Concepto de la Compra</t>
  </si>
  <si>
    <t>Codigo Sustento</t>
  </si>
  <si>
    <t>Base Imponible NO Objeto de IVA</t>
  </si>
  <si>
    <t>Base Imponible EXENTA de IVA</t>
  </si>
  <si>
    <t>Base Imponible Tarifa 0%</t>
  </si>
  <si>
    <t>Base Imponible Gravable de IVA</t>
  </si>
  <si>
    <t>Tarifa de IVA aplicada</t>
  </si>
  <si>
    <t>Monto I.V.A.</t>
  </si>
  <si>
    <t>Aplica Compensacion solidaria</t>
  </si>
  <si>
    <t>Total del Documento</t>
  </si>
  <si>
    <t>Valor de Base Imponible</t>
  </si>
  <si>
    <t>Fecha de Emisión Ret.1</t>
  </si>
  <si>
    <t>Código Retención 1</t>
  </si>
  <si>
    <t>Base Imponible - Ret1</t>
  </si>
  <si>
    <t>Porcentaje Retención 1</t>
  </si>
  <si>
    <t>Valor Retenido 1</t>
  </si>
  <si>
    <t>Fecha de Pago Dividendos Ret1</t>
  </si>
  <si>
    <t>Impto. Renta Sociedades Ret.1</t>
  </si>
  <si>
    <t>Anio de utilidades generadas</t>
  </si>
  <si>
    <t>Cantidad de Cajas de Banano</t>
  </si>
  <si>
    <t>Precio de la Caja de Banano</t>
  </si>
  <si>
    <t>Código Retención 2</t>
  </si>
  <si>
    <t>Base Imponible - Ret2</t>
  </si>
  <si>
    <t>Porcentaje Retención 2</t>
  </si>
  <si>
    <t>Valor Retenido 2</t>
  </si>
  <si>
    <t>Código Retención 3</t>
  </si>
  <si>
    <t>Base Imponible - Ret3</t>
  </si>
  <si>
    <t>Porcentaje Retención 3</t>
  </si>
  <si>
    <t>Valor Retenido 3</t>
  </si>
  <si>
    <t>Valor Retención  IVA 10%</t>
  </si>
  <si>
    <t>Valor Retención  IVA 20%</t>
  </si>
  <si>
    <t>Valor Retención  IVA 30%</t>
  </si>
  <si>
    <t>Valor Retención  IVA 50%</t>
  </si>
  <si>
    <t>Valor Retención  IVA 70%</t>
  </si>
  <si>
    <t>Valor Retención  IVA 100%</t>
  </si>
  <si>
    <t>Total Retención IVA+Fte.</t>
  </si>
  <si>
    <t>Tipo de Pago</t>
  </si>
  <si>
    <t>Forma de PAGO 1</t>
  </si>
  <si>
    <t>Forma de PAGO 2</t>
  </si>
  <si>
    <t>Tipo de Regimen fiscal del Exterior</t>
  </si>
  <si>
    <t>01-Paises de residencia a quien se efectua el PAGO</t>
  </si>
  <si>
    <t>03-Denominacion del Regimen fiscal Preferente</t>
  </si>
  <si>
    <t>Pais de residencia a quien se efectua el PAGO en EXTERIOR</t>
  </si>
  <si>
    <t>Aplica Convenio Doble Tributacion</t>
  </si>
  <si>
    <t>Pago al Exterior sujeto a Retencion</t>
  </si>
  <si>
    <t>Pago al Exterior en Regimen de Menor Imposicion</t>
  </si>
  <si>
    <t>Form.104_a</t>
  </si>
  <si>
    <t>Form.104_b</t>
  </si>
  <si>
    <t>Form.104_c</t>
  </si>
  <si>
    <t>OBSERVACIONES</t>
  </si>
  <si>
    <t>validacion Identificacion</t>
  </si>
  <si>
    <t>NO</t>
  </si>
  <si>
    <t>RUC No.</t>
  </si>
  <si>
    <t>Cédula de Identidad o No. de Pasaporte</t>
  </si>
  <si>
    <t>NOMBRE :</t>
  </si>
  <si>
    <t xml:space="preserve"> FIRMA CONTADOR</t>
  </si>
  <si>
    <t xml:space="preserve"> </t>
  </si>
  <si>
    <t>FIRMA SUJETO PASIVO / REPRESENTANTE LEGAL</t>
  </si>
  <si>
    <t>DECLARO QUE LOS DATOS PROPORCIONADOS EN ESTE DOCUMENTO SON EXACTOS Y VERDADEROS, POR LO QUE ASUMO LA RESPONSABILIDAD LEGAL QUE DE ELLA SE DERIVEN (Art. 101 de la L.O.R.T.I.)</t>
  </si>
  <si>
    <t>USD</t>
  </si>
  <si>
    <t xml:space="preserve">Res.No. </t>
  </si>
  <si>
    <t>N/C No</t>
  </si>
  <si>
    <t>TITULOS DEL BANCO CENTRAL</t>
  </si>
  <si>
    <t>DETALLE DE COMPENSACIONES</t>
  </si>
  <si>
    <t>DETALLE NOTAS DE CRÉDITO DESMATERIALIZADAS</t>
  </si>
  <si>
    <t>DETALLE DE NOTAS DE CRÉDITO CARTULARES</t>
  </si>
  <si>
    <t>925</t>
  </si>
  <si>
    <t>MEDIANTE TITULOS DEL BANCO CENTRAL (TBC)</t>
  </si>
  <si>
    <t>907</t>
  </si>
  <si>
    <t xml:space="preserve">MEDIANTE NOTAS DE CRÉDITO                                                     </t>
  </si>
  <si>
    <t>906</t>
  </si>
  <si>
    <t xml:space="preserve">MEDIANTE COMPENSACIONES                                                                     </t>
  </si>
  <si>
    <t>905</t>
  </si>
  <si>
    <t>MEDIANTE CHEQUE, DÉBITO BANCARIO, EFECTIVO U OTRAS FORMAS DE PAGO</t>
  </si>
  <si>
    <t>=</t>
  </si>
  <si>
    <t>TOTAL PAGADO</t>
  </si>
  <si>
    <t>+</t>
  </si>
  <si>
    <t>MULTAS</t>
  </si>
  <si>
    <t xml:space="preserve">INTERÉS POR MORA </t>
  </si>
  <si>
    <t>859-898</t>
  </si>
  <si>
    <t>TOTAL IMPUESTO A PAGAR</t>
  </si>
  <si>
    <t>VALORES A PAGAR Y FORMA DE PAGO (luego de imputación al pago en declaraciones sustitutivas)</t>
  </si>
  <si>
    <t>880</t>
  </si>
  <si>
    <t>PAGO DIRECTO EN CUENTA ÚNICA DEL TESORO NACIONAL (Uso Exclusivo para Instituciones y Empresas del Sector Público Autorizadas)</t>
  </si>
  <si>
    <t>MULTA</t>
  </si>
  <si>
    <t>IMPUESTO</t>
  </si>
  <si>
    <t>INTERES</t>
  </si>
  <si>
    <t>DETALLE DE IMPUTACIÓN AL PAGO (Para declaraciones sustitutivas)</t>
  </si>
  <si>
    <t>890</t>
  </si>
  <si>
    <t>PAGO PREVIO (Informativo)</t>
  </si>
  <si>
    <t>859</t>
  </si>
  <si>
    <t>(699+801)</t>
  </si>
  <si>
    <t>TOTAL CONSOLIDADO DE IMPUESTO AL VALOR AGREGADO</t>
  </si>
  <si>
    <t>801</t>
  </si>
  <si>
    <t>TOTAL IMPUESTO A PAGAR POR RETENCIÓN</t>
  </si>
  <si>
    <t>(-)</t>
  </si>
  <si>
    <t>800</t>
  </si>
  <si>
    <t>799</t>
  </si>
  <si>
    <t>(721+723+725+727+729+731)</t>
  </si>
  <si>
    <t>TOTAL IMPUESTO RETENIDO</t>
  </si>
  <si>
    <t>731</t>
  </si>
  <si>
    <t>729</t>
  </si>
  <si>
    <t>727</t>
  </si>
  <si>
    <t>725</t>
  </si>
  <si>
    <t>723</t>
  </si>
  <si>
    <t>721</t>
  </si>
  <si>
    <t>AGENTE DE RETENCIÓN DEL IMPUESTO AL VALOR AGREGADO</t>
  </si>
  <si>
    <t>699</t>
  </si>
  <si>
    <t>(620 + 621)</t>
  </si>
  <si>
    <t>621</t>
  </si>
  <si>
    <t>620</t>
  </si>
  <si>
    <t>SUBTOTAL A PAGAR</t>
  </si>
  <si>
    <t>619</t>
  </si>
  <si>
    <t>618</t>
  </si>
  <si>
    <t>617</t>
  </si>
  <si>
    <t>615</t>
  </si>
  <si>
    <t>SALDO CRÉDITO TRIBUTARIO PARA EL PRÓXIMO MES</t>
  </si>
  <si>
    <t>614</t>
  </si>
  <si>
    <t>613</t>
  </si>
  <si>
    <t>612</t>
  </si>
  <si>
    <t>(+)</t>
  </si>
  <si>
    <t>611</t>
  </si>
  <si>
    <t>610</t>
  </si>
  <si>
    <t>609</t>
  </si>
  <si>
    <t>608</t>
  </si>
  <si>
    <t>607</t>
  </si>
  <si>
    <t>606</t>
  </si>
  <si>
    <t>605</t>
  </si>
  <si>
    <t>(-) SALDO CRÉDITO TRIBUTARIO DEL MES ANTERIOR</t>
  </si>
  <si>
    <t>604</t>
  </si>
  <si>
    <t>603</t>
  </si>
  <si>
    <t>602</t>
  </si>
  <si>
    <t>601</t>
  </si>
  <si>
    <t>RESUMEN IMPOSITIVO AGENTE DE PERCEPCIÓN DEL IMPUESTO AL VALOR AGREGADO</t>
  </si>
  <si>
    <t>564</t>
  </si>
  <si>
    <r>
      <t>CRÉDITO TRIBUTARIO APLICABLE EN ESTE PERÍODO</t>
    </r>
    <r>
      <rPr>
        <sz val="9"/>
        <rFont val="Arial"/>
        <family val="2"/>
      </rPr>
      <t xml:space="preserve"> (De acuerdo al Factor de Proporcionalidad o a su Contabilidad) </t>
    </r>
  </si>
  <si>
    <t>563</t>
  </si>
  <si>
    <t xml:space="preserve">FACTOR DE PROPORCIONALIDAD PARA CRÉDITO TRIBUTARIO </t>
  </si>
  <si>
    <t>555</t>
  </si>
  <si>
    <t>545</t>
  </si>
  <si>
    <t>535</t>
  </si>
  <si>
    <t>554</t>
  </si>
  <si>
    <t>544</t>
  </si>
  <si>
    <t>543</t>
  </si>
  <si>
    <t>542</t>
  </si>
  <si>
    <t>532</t>
  </si>
  <si>
    <t>541</t>
  </si>
  <si>
    <t>531</t>
  </si>
  <si>
    <t>529</t>
  </si>
  <si>
    <t>519</t>
  </si>
  <si>
    <t>509</t>
  </si>
  <si>
    <t xml:space="preserve">TOTAL ADQUISICIONES Y PAGOS </t>
  </si>
  <si>
    <t>518</t>
  </si>
  <si>
    <t>508</t>
  </si>
  <si>
    <t>517</t>
  </si>
  <si>
    <t>507</t>
  </si>
  <si>
    <t>516</t>
  </si>
  <si>
    <t>506</t>
  </si>
  <si>
    <t>526</t>
  </si>
  <si>
    <t>525</t>
  </si>
  <si>
    <t>515</t>
  </si>
  <si>
    <t>505</t>
  </si>
  <si>
    <t>524</t>
  </si>
  <si>
    <t>514</t>
  </si>
  <si>
    <t>504</t>
  </si>
  <si>
    <t>523</t>
  </si>
  <si>
    <t>513</t>
  </si>
  <si>
    <t>503</t>
  </si>
  <si>
    <t>522</t>
  </si>
  <si>
    <t>512</t>
  </si>
  <si>
    <t>502</t>
  </si>
  <si>
    <t>521</t>
  </si>
  <si>
    <t>511</t>
  </si>
  <si>
    <t>501</t>
  </si>
  <si>
    <t>520</t>
  </si>
  <si>
    <t>510</t>
  </si>
  <si>
    <t>500</t>
  </si>
  <si>
    <t>IMPUESTO GENERADO</t>
  </si>
  <si>
    <t>VALOR NETO (VALOR BRUTO - N/C)</t>
  </si>
  <si>
    <t>VALOR BRUTO</t>
  </si>
  <si>
    <t>RESUMEN DE ADQUISICIONES Y PAGOS DEL PERÍODO QUE DECLARA</t>
  </si>
  <si>
    <t>499</t>
  </si>
  <si>
    <t>485</t>
  </si>
  <si>
    <t>484</t>
  </si>
  <si>
    <t>483</t>
  </si>
  <si>
    <t>482</t>
  </si>
  <si>
    <t>481</t>
  </si>
  <si>
    <r>
      <t xml:space="preserve">TOTAL IMPUESTO A LIQUIDAR EN ESTE MES                   
</t>
    </r>
    <r>
      <rPr>
        <sz val="9"/>
        <rFont val="Arial"/>
        <family val="2"/>
      </rPr>
      <t>SUMAR 483 + 484</t>
    </r>
  </si>
  <si>
    <r>
      <t xml:space="preserve">IMPUESTO A LIQUIDAR EN EL PRÓXIMO MES
</t>
    </r>
    <r>
      <rPr>
        <sz val="9"/>
        <rFont val="Arial"/>
        <family val="2"/>
      </rPr>
      <t>(482 - 484)</t>
    </r>
  </si>
  <si>
    <r>
      <t xml:space="preserve">IMPUESTO A LIQUIDAR DEL MES ANTERIOR 
</t>
    </r>
    <r>
      <rPr>
        <sz val="9"/>
        <rFont val="Arial"/>
        <family val="2"/>
      </rPr>
      <t>(Trasládese el campo 485 de la declaración del período anterior)</t>
    </r>
  </si>
  <si>
    <r>
      <t xml:space="preserve">TOTAL IMPUESTO GENERADO 
</t>
    </r>
    <r>
      <rPr>
        <sz val="9"/>
        <rFont val="Arial"/>
        <family val="2"/>
      </rPr>
      <t>Trasládese campo 429</t>
    </r>
  </si>
  <si>
    <t>TOTAL TRANSFERENCIAS GRAVADAS TARIFA DIFERENTE DE CERO 
A CRÉDITO ESTE MES</t>
  </si>
  <si>
    <t>TOTAL TRANSFERENCIAS GRAVADAS TARIFA DIFERENTE DE CERO 
A CONTADO ESTE MES</t>
  </si>
  <si>
    <t>454</t>
  </si>
  <si>
    <t>444</t>
  </si>
  <si>
    <t>434</t>
  </si>
  <si>
    <t>453</t>
  </si>
  <si>
    <t>443</t>
  </si>
  <si>
    <t>442</t>
  </si>
  <si>
    <t>441</t>
  </si>
  <si>
    <t>431</t>
  </si>
  <si>
    <t>429</t>
  </si>
  <si>
    <t>419</t>
  </si>
  <si>
    <t>409</t>
  </si>
  <si>
    <t>TOTAL VENTAS Y OTRAS OPERACIONES</t>
  </si>
  <si>
    <t>418</t>
  </si>
  <si>
    <t>408</t>
  </si>
  <si>
    <t>417</t>
  </si>
  <si>
    <t>407</t>
  </si>
  <si>
    <t>416</t>
  </si>
  <si>
    <t>406</t>
  </si>
  <si>
    <t>415</t>
  </si>
  <si>
    <t>405</t>
  </si>
  <si>
    <t>414</t>
  </si>
  <si>
    <t>404</t>
  </si>
  <si>
    <t>413</t>
  </si>
  <si>
    <t>403</t>
  </si>
  <si>
    <t>423</t>
  </si>
  <si>
    <t>422</t>
  </si>
  <si>
    <t>412</t>
  </si>
  <si>
    <t>402</t>
  </si>
  <si>
    <t>421</t>
  </si>
  <si>
    <t>411</t>
  </si>
  <si>
    <t>401</t>
  </si>
  <si>
    <t>RESUMEN DE VENTAS Y OTRAS OPERACIONES DEL PERÍODO QUE DECLARA</t>
  </si>
  <si>
    <t xml:space="preserve"> RAZÓN SOCIAL O APELLIDOS Y NOMBRES COMPLETOS</t>
  </si>
  <si>
    <t xml:space="preserve"> RUC</t>
  </si>
  <si>
    <t xml:space="preserve"> 200 IDENTIFICACIÓN DEL SUJETO PASIVO</t>
  </si>
  <si>
    <t xml:space="preserve"> Nº. DE FORMULARIO QUE SUSTITUYE</t>
  </si>
  <si>
    <t>AÑO</t>
  </si>
  <si>
    <t>MES</t>
  </si>
  <si>
    <t>IMPORTANTE: SÍRVASE LEER INSTRUCCIONES AL REVERSO</t>
  </si>
  <si>
    <t>100 IDENTIFICACIÓN DE LA DECLARACIÓN</t>
  </si>
  <si>
    <t>RESOLUCIÓN Nº XXX</t>
  </si>
  <si>
    <t xml:space="preserve">   No.</t>
  </si>
  <si>
    <t>DECLARACIÓN DEL IMPUESTO AL VALOR AGREGADO</t>
  </si>
  <si>
    <t>FORMULARIO 104</t>
  </si>
  <si>
    <t>DETALLE DE NOTAS DE CRÉDITO DESMATERIALIZADAS</t>
  </si>
  <si>
    <t>499-898</t>
  </si>
  <si>
    <t>PAGO PREVIO  ( Informativo)</t>
  </si>
  <si>
    <t>CAMPOS 399+498</t>
  </si>
  <si>
    <t>TOTAL DE RETENCIÓN DE IMPUESTO A LA RENTA</t>
  </si>
  <si>
    <t>SUBTOTAL OPERACIONES EFECTUADAS CON EL EXTERIOR</t>
  </si>
  <si>
    <t>OTROS PAGOS AL EXTERIOR NO SUJETOS A RETENCION</t>
  </si>
  <si>
    <t>OTROS CONCEPTOS DE INGRESOS GRAVADOS</t>
  </si>
  <si>
    <t>SERVICIOS TECNICOS, ADMINISTRATIVOS O DE CONSULTORIA Y REGALIAS</t>
  </si>
  <si>
    <t>SEGUROS Y REASEGUROS (PRIMAS Y CESIONES)</t>
  </si>
  <si>
    <t>ENAJENACION DE DERECHOS REPRESENTATIVOS DE CAPITAL Y OTROS DERECHOS</t>
  </si>
  <si>
    <t>DIVIDENDOS DISTRIBUIDOS A FIDEICOMISOS</t>
  </si>
  <si>
    <t>DIVIDENDOS DISTRIBUIDOS A SOCIEDADES</t>
  </si>
  <si>
    <t>DIVIDENDOS DISTRIBUIDOS A PERSONAS NATURALES</t>
  </si>
  <si>
    <t>ANTICIPO DE DIVIDENDOS</t>
  </si>
  <si>
    <t>INTERESES</t>
  </si>
  <si>
    <t>A PARAISOS FISCALES O REGIMENES FISCALES PREFERENTES</t>
  </si>
  <si>
    <t>INTERESES DE CREDITOS</t>
  </si>
  <si>
    <t>INTERESES POR FINANCIAMIENTO DE PROVEEDORES</t>
  </si>
  <si>
    <t>SIN CONVENIO DE DOBLE TRIBUTACIÓN</t>
  </si>
  <si>
    <t>INTERESES POR FINANCIAMIENTO DE PROVEEDORES EXTERNOS</t>
  </si>
  <si>
    <t>CON CONVENIO DE DOBLE TRIBUTACIÓN</t>
  </si>
  <si>
    <t>POR PAGOS AL EXTERIOR</t>
  </si>
  <si>
    <t>SUBTOTAL OPERACIONES EFECTUADAS EN EL PAIS</t>
  </si>
  <si>
    <t>APLICABLES EL 8%</t>
  </si>
  <si>
    <t>OTRAS RETENCIONES</t>
  </si>
  <si>
    <t>No. Cajas facturadas</t>
  </si>
  <si>
    <t>IMPUESTO ÚNICO A LA EXPORTACIÓN DE BANANO PRODUCIDO POR TERCEROS</t>
  </si>
  <si>
    <t>IMPUESTO ÚNICO A LA EXPORTACIÓN DE BANANO DE PRODUCCIÓN PROPIA - COMPONENTE 2</t>
  </si>
  <si>
    <t>IMPUESTO ÚNICO A LA EXPORTACIÓN DE BANANO DE PRODUCCIÓN PROPIA - COMPONENTE 1</t>
  </si>
  <si>
    <t>LIQUIDACIÓN IMPUESTO ÚNICO A LA VENTA LOCAL DE BANANO DE PRODUCCIÓN PROPIA</t>
  </si>
  <si>
    <t>COMPRA LOCAL DE BANANO A PRODUCTOR</t>
  </si>
  <si>
    <t>A DISTRIBUIDORES</t>
  </si>
  <si>
    <t>A COMERCIALIZADORAS</t>
  </si>
  <si>
    <t>VENTA DE COMBUSTIBLES</t>
  </si>
  <si>
    <t>DIVIDENDOS GRAVADOS DISTRIBUIDOS EN ACCIONES (REINVERSIÓN DE UTILIDADES SIN DERECHO A REDUCCIÓN TARIFA IR)</t>
  </si>
  <si>
    <t>DIVIDENDOS DISTRIBUIDOS A FIDEICOMISOS RESIDENTES</t>
  </si>
  <si>
    <t>DIVIDENDOS DISTRIBUIDOS A SOCIEDADES RESIDENTES</t>
  </si>
  <si>
    <t>DIVIDENDOS DISTRIBUIDOS A PERSONAS NATURALES RESIDENTES</t>
  </si>
  <si>
    <t>DIVIDENDOS DISTRIBUIDOS QUE CORRESPONDAN AL IMPUESTO A LA RENTA ÚNICO ESTABLECIDO EN EL ART. 27 DE LA LRTI</t>
  </si>
  <si>
    <t>ANTICIPO DIVIDENDOS</t>
  </si>
  <si>
    <t>RENDIMIENTOS FINANCIEROS ENTRE INSTITUCIONES DEL SISTEMA FINANCIERO Y ENTIDADES ECONOMIA POPULAR Y SOLIDARIA</t>
  </si>
  <si>
    <t>RENDIMIENTOS FINANCIEROS</t>
  </si>
  <si>
    <t>BIENES INMUEBLES</t>
  </si>
  <si>
    <t>MERCANTIL</t>
  </si>
  <si>
    <t xml:space="preserve">ARRENDAMIENTO </t>
  </si>
  <si>
    <t>POR REGALIAS, DERECHOS DE AUTOR, MARCAS, PATENTES Y SIMILARES</t>
  </si>
  <si>
    <t>TRANSFERENCIA DE BIENES MUEBLES DE NATURALEZA CORPORAL</t>
  </si>
  <si>
    <t>A TRAVES DE LIQUIDACIONES DE COMPRA (NIVEL CULTURAL O RUSTICIDAD)</t>
  </si>
  <si>
    <t>TRANSPORTE PRIVADO DE PASAJEROS O SERVICIO PÚBLICO O PRIVADO DE CARGA</t>
  </si>
  <si>
    <t>PUBLICIDAD Y COMUNICACIÓN</t>
  </si>
  <si>
    <t>UTILIZACION O APROVECHAMIENTO DE LA IMAGEN O RENOMBRE</t>
  </si>
  <si>
    <t>PREDOMINA MANO DE OBRA</t>
  </si>
  <si>
    <t>PREDOMINA EL INTELECTO</t>
  </si>
  <si>
    <t>HONORARIOS PROFESIONALES Y DIETAS</t>
  </si>
  <si>
    <t>SERVICIOS</t>
  </si>
  <si>
    <t>EN RELACIÓN DE DEPENDENCIA QUE SUPERA O NO LA BASE GRAVADA</t>
  </si>
  <si>
    <t>VALOR RETENIDO</t>
  </si>
  <si>
    <t>BASE IMPONIBLE</t>
  </si>
  <si>
    <t>DETALLE DE PAGOS Y RETENCIÓN POR IMPUESTO A LA RENTA</t>
  </si>
  <si>
    <t xml:space="preserve"> 200 IDENTIFICACIÓN DEL SUJETO PASIVO (AGENTE DE RETENCIÓN)</t>
  </si>
  <si>
    <t xml:space="preserve"> 100 IDENTIFICACIÓN DE LA DECLARACIÓN</t>
  </si>
  <si>
    <t>DECLARACIÓN DE RETENCIONES EN LA FUENTE DEL IMPUESTO A LA RENTA</t>
  </si>
  <si>
    <t>FORMULARIO 103</t>
  </si>
  <si>
    <t>Razon Social Contribuyente 
OPCIONAL</t>
  </si>
  <si>
    <t>Valor Compensacion Solidaria</t>
  </si>
  <si>
    <t>Total de Factura de Compra</t>
  </si>
  <si>
    <t xml:space="preserve"> Codig Identif.</t>
  </si>
  <si>
    <t>Tipo Cliente</t>
  </si>
  <si>
    <t>Cantidad de Comprobantes</t>
  </si>
  <si>
    <t>Tipo de Emision del Comprobante</t>
  </si>
  <si>
    <t>Tipo de Comprobante</t>
  </si>
  <si>
    <t>Codigo
Establecimiento</t>
  </si>
  <si>
    <t>Valor Retenido en IVA</t>
  </si>
  <si>
    <t>Valor Retenido en la Fuente</t>
  </si>
  <si>
    <t>Forma de COBRO 1</t>
  </si>
  <si>
    <t>Forma de COBRO 2</t>
  </si>
  <si>
    <t>F-Fisico</t>
  </si>
  <si>
    <t>01-Pais de residencia de quien proviene el INGRESO - REGIMEN GENERAL</t>
  </si>
  <si>
    <t>02-Pais de residencia de quien proviene el INGRESO - PARAISO FISCAL</t>
  </si>
  <si>
    <t>03-Denominacion del Regimen fiscal Preferente o Jurisdiccion de Menor Imposicion</t>
  </si>
  <si>
    <t>Pais al que se efectua la Exportacion</t>
  </si>
  <si>
    <t>Paraiso Fiscal de menor Imposicion</t>
  </si>
  <si>
    <t>Tipo de Exportacion</t>
  </si>
  <si>
    <t>Tipo de Ingreso del Exterior</t>
  </si>
  <si>
    <t>Ingreso Grava impuesto en Otro Pais.?</t>
  </si>
  <si>
    <t>Valor del Impuesto pagado en Otro Pais</t>
  </si>
  <si>
    <t>Distrito</t>
  </si>
  <si>
    <t>Regimenes</t>
  </si>
  <si>
    <t>Fecha de Registro Contable/Embarque</t>
  </si>
  <si>
    <t># de documento de transporte</t>
  </si>
  <si>
    <t># de FUE (vigente hasta el 2012)</t>
  </si>
  <si>
    <t>Año</t>
  </si>
  <si>
    <t>Correlativo</t>
  </si>
  <si>
    <t>Verificador (vigente hasta 2012)</t>
  </si>
  <si>
    <t>Valor FOB</t>
  </si>
  <si>
    <t>Valor FOB Comprobante Local</t>
  </si>
  <si>
    <t>No. Serie Establecimiento</t>
  </si>
  <si>
    <t>No. Serie Punto Emisión</t>
  </si>
  <si>
    <t>No. Serie Secuencial Desde</t>
  </si>
  <si>
    <t>No. Serie Secuencial Hasta</t>
  </si>
  <si>
    <t>01-Factura</t>
  </si>
  <si>
    <t>Cantidad</t>
  </si>
  <si>
    <t>Codigo</t>
  </si>
  <si>
    <t>Valor Retenido</t>
  </si>
  <si>
    <t>03-Liquidación de compra de Bienes o Prestación de servicios</t>
  </si>
  <si>
    <t>02-Nota o boleta de venta</t>
  </si>
  <si>
    <t>424</t>
  </si>
  <si>
    <t>527</t>
  </si>
  <si>
    <t>312B</t>
  </si>
  <si>
    <t>Impuesto a la Renta único para la actividad de producción y cultivo de palma aceitera</t>
  </si>
  <si>
    <t>323S</t>
  </si>
  <si>
    <t>Pagos y créditos en cuenta efectuados por el BCE y los depósitos centralizados de valores, en calidad de intermediarios, a instituciones del sistema financiero por cuenta de otras personas naturales y sociedades</t>
  </si>
  <si>
    <t>323T</t>
  </si>
  <si>
    <t>Rendimientos financieros originados en la deuda pública ecuatoriana</t>
  </si>
  <si>
    <t>323U</t>
  </si>
  <si>
    <t>Rendimientos financieros originados en títulos valores de obligaciones de 360 días o más para el financiamiento de proyectos públicos en asociación público-privada</t>
  </si>
  <si>
    <t>324C</t>
  </si>
  <si>
    <t>Pagos y créditos en cuenta efectuados por el BCE y los depósitos centralizados de valores, en calidad de intermediarios, a instituciones del sistema financiero por cuenta de otras instituciones del sistema financiero</t>
  </si>
  <si>
    <t>Otras retenciones aplicables el 1%</t>
  </si>
  <si>
    <t>343C</t>
  </si>
  <si>
    <t>Impuesto Redimible a las botellas plásticas - IRBP</t>
  </si>
  <si>
    <t>344B</t>
  </si>
  <si>
    <t>Adquisición de sustancias minerales dentro del territorio nacional</t>
  </si>
  <si>
    <t>Otras retenciones aplicables el 8%</t>
  </si>
  <si>
    <t xml:space="preserve">Otras retenciones aplicables a otros porcentajes </t>
  </si>
  <si>
    <t>346B</t>
  </si>
  <si>
    <t xml:space="preserve">Donaciones en dinero -Impuesto a la donaciones </t>
  </si>
  <si>
    <t>346C</t>
  </si>
  <si>
    <t>Retención a cargo del propio sujeto pasivo por la exportación de concentrados y/o elementos metálicos</t>
  </si>
  <si>
    <t>346D</t>
  </si>
  <si>
    <t>Retención a cargo del propio sujeto pasivo por la comercialización de productos forestales</t>
  </si>
  <si>
    <t>501A</t>
  </si>
  <si>
    <t>Pago a no residentes - Servicios técnicos, administrativos o de consultoría y regalías</t>
  </si>
  <si>
    <t>504I</t>
  </si>
  <si>
    <t>Pago a no residentes - Préstamos no comerciales a partes relacionadas  (no domiciladas en paraísos fiscales o regímenes de menor imposición)</t>
  </si>
  <si>
    <t>504J</t>
  </si>
  <si>
    <t>Pago a no residentes - Préstamos no comerciales a partes relacionadas  (domiciladas en paraísos fiscales o regímenes de menor imposición)</t>
  </si>
  <si>
    <t>Pago a no residentes- Donaciones en dinero -Impuesto a la donaciones</t>
  </si>
  <si>
    <t>364-Acta Entrega-Recepción PET</t>
  </si>
  <si>
    <t>370-Factura operadora transporte / socio</t>
  </si>
  <si>
    <t xml:space="preserve">371-Comprobante socio a operadora de transporte </t>
  </si>
  <si>
    <t>373-Nota de débito operadora transporte / socio</t>
  </si>
  <si>
    <t>372-Nota de crédito operadora transporte / socio</t>
  </si>
  <si>
    <t>00-Casos especiales cuyo sustento no aplica en las opciones anteriores</t>
  </si>
  <si>
    <t xml:space="preserve">Otras ganancias de capital distintas de enajenación de derechos representativos de capital </t>
  </si>
  <si>
    <t>Pago a no residentes- Dividendos distribuidos a personas naturales (domicilados o no en paraiso fiscal) o a sociedades sin beneficiario efectivo persona natural residente en Ecuador (ni domiciladas en paraíso fiscal)</t>
  </si>
  <si>
    <t>Pago a no residentes - Dividendos a fideicomisos con beneficiario efectivo persona natural residente en el Ecuador (no domiciliada en paraísos fiscales o regímenes de menor imposición)</t>
  </si>
  <si>
    <t>Pago a no residentes - Dividendos a sociedades domiciladas en paraísos fiscales o regímenes de menor imposición (con o sin beneficiario efectivo persona natural residente en el Ecuador)</t>
  </si>
  <si>
    <t>Pago a no residentes - Dividendos a fideicomisos domiciladas en paraísos fiscales o regímenes de menor imposición (con o sin beneficiario efectivo persona natural residente en el Ecuador)</t>
  </si>
  <si>
    <t>Pago a no residentes - Anticipo dividendos (no domiciliada en paraísos fiscales o regímenes de menor imposición)</t>
  </si>
  <si>
    <t>Pago a no residentes - Anticipo dividendos (domiciliadas en paraísos fiscales o regímenes de menor imposición)</t>
  </si>
  <si>
    <t>Pago a no residentes - Préstamos accionistas, beneficiarios o partìcipes (no domiciladas en paraísos fiscales o regímenes de menor imposición)</t>
  </si>
  <si>
    <t>Pago a no residentes - Préstamos accionistas, beneficiarios o partìcipes (domiciladas en paraísos fiscales o regímenes de menor imposición)</t>
  </si>
  <si>
    <t xml:space="preserve">Pago a no residentes - Seguros y reaseguros (primas y cesiones)  </t>
  </si>
  <si>
    <t>14-Valores facturados por socios a operadoras de transporte (que no constituyen gasto de dicha operadora)</t>
  </si>
  <si>
    <t>Fecha de Pago Dividendos Ret2</t>
  </si>
  <si>
    <t>Impto. Renta Sociedades Ret.2</t>
  </si>
  <si>
    <t>Tipo de Emision de la Retencion</t>
  </si>
  <si>
    <t>No. Establecimiento_1</t>
  </si>
  <si>
    <t>No. Establecimiento_2</t>
  </si>
  <si>
    <t>No. Establecimiento_3</t>
  </si>
  <si>
    <t>No. Establecimiento_4</t>
  </si>
  <si>
    <t>No. Establecimiento_5</t>
  </si>
  <si>
    <t>&lt;== No. de establecimientos ACTIVO # 1</t>
  </si>
  <si>
    <t>&lt;== No. de establecimientos ACTIVO # 2</t>
  </si>
  <si>
    <t>&lt;== No. de establecimientos ACTIVO # 3</t>
  </si>
  <si>
    <t>&lt;== No. de establecimientos ACTIVO # 4</t>
  </si>
  <si>
    <t>&lt;== No. de establecimientos ACTIVO # 5</t>
  </si>
  <si>
    <t>Fecha de Registro</t>
  </si>
  <si>
    <t>Ret. Fuente
Base Imponible 1</t>
  </si>
  <si>
    <t>Ret. Fuente
Base Imponible 3</t>
  </si>
  <si>
    <t>Ret. Fuente
Base Imponible 2</t>
  </si>
  <si>
    <t>Ret. Fuente
Valor Retenido 1</t>
  </si>
  <si>
    <t>Ret. Fuente
Valor Retenido 2</t>
  </si>
  <si>
    <t>Ret. Fuente
Valor Retenido 3</t>
  </si>
  <si>
    <t>Ret. IVA
Base Imponible 10%</t>
  </si>
  <si>
    <t>Ret. IVA
Valor Retenido 10%</t>
  </si>
  <si>
    <t>Ret. IVA
Base Imponible 20%</t>
  </si>
  <si>
    <t>Ret. IVA
Valor Retenido 20%</t>
  </si>
  <si>
    <t>Ret. IVA
Base Imponible 30%</t>
  </si>
  <si>
    <t>Ret. IVA
Valor Retenido 30%</t>
  </si>
  <si>
    <t>Ret. IVA
Base Imponible 50%</t>
  </si>
  <si>
    <t>Ret. IVA
Valor Retenido 50%</t>
  </si>
  <si>
    <t>Ret. IVA
Base Imponible 70%</t>
  </si>
  <si>
    <t>Ret. IVA
Valor Retenido 70%</t>
  </si>
  <si>
    <t>Ret. IVA
Base Imponible 100%</t>
  </si>
  <si>
    <t>Ret. IVA
Valor Retenido 100%</t>
  </si>
  <si>
    <t>RETENCIONES AL IMPUESTO AL VALOR AGREGADO (IVA)</t>
  </si>
  <si>
    <t>RETENCIONES DE IMPUESTO A LA RENTA (FUENTE)</t>
  </si>
  <si>
    <t>Pagos a través de liquidación de compra (nivel cultural o rusticidad)</t>
  </si>
  <si>
    <t>Cuotas de arrendamiento mercantil (prestado por sociedades), inclusive la de opción de compra</t>
  </si>
  <si>
    <t>Arrendamiento bienes inmuebles</t>
  </si>
  <si>
    <t>Rendimientos financieros pagados a naturales y sociedades  (No a IFIs)</t>
  </si>
  <si>
    <t>Rendimientos financieros depósitos Cta. Corriente</t>
  </si>
  <si>
    <t>Rendimientos financieros  depósitos Cta. Ahorros Sociedades</t>
  </si>
  <si>
    <t>Rendimientos financieros depósito a plazo fijo  gravados</t>
  </si>
  <si>
    <t>Rendimientos financieros depósito a plazo fijo exentos</t>
  </si>
  <si>
    <t>Rendimientos financieros operaciones de reporto - repos</t>
  </si>
  <si>
    <t>Inversiones (captaciones) rendimientos distintos de aquellos pagados a IFIs</t>
  </si>
  <si>
    <t>Rendimientos financieros  obligaciones</t>
  </si>
  <si>
    <t>Rendimientos financieros  bonos convertible en acciones</t>
  </si>
  <si>
    <t xml:space="preserve">Rendimientos financieros : Inversiones en títulos valores en renta fija gravados </t>
  </si>
  <si>
    <t>Rendimientos financieros  Inversiones en títulos valores en renta fija exentos</t>
  </si>
  <si>
    <t>Intereses y demás rendimientos financieros pagados a bancos y otras entidades sometidas al control de la Superintendencia de Bancos y de la Economía Popular y Solidaria</t>
  </si>
  <si>
    <t xml:space="preserve"> Intereses pagados por entidades del sector público a favor de sujetos pasivos</t>
  </si>
  <si>
    <t xml:space="preserve">Otros intereses y rendimientos financieros gravados </t>
  </si>
  <si>
    <t>Otros intereses y rendimientos financieros exentos</t>
  </si>
  <si>
    <t xml:space="preserve"> Intereses en operaciones de crédito entre instituciones del sistema financiero y entidades economía popular y solidaria. </t>
  </si>
  <si>
    <t>Inversiones entre instituciones del sistema financiero y entidades economía popular y solidaria</t>
  </si>
  <si>
    <t>Ganancia en la enajenación de derechos representativos de capital u otros derechos que permitan la exploración, explotación, concesión o similares de sociedades, que se coticen en bolsa de valores del Ecuador</t>
  </si>
  <si>
    <t>Contraprestación producida por la enajenación de derechos representativos de capital u otros derechos que permitan la exploración, explotación, concesión o similares de sociedades, no cotizados en bolsa de valores del Ecuador</t>
  </si>
  <si>
    <t>Venta de combustibles a comercializadoras</t>
  </si>
  <si>
    <t>Venta de combustibles a distribuidores</t>
  </si>
  <si>
    <t>Energía eléctrica</t>
  </si>
  <si>
    <t>Actividades de construcción de obra material inmueble, urbanización, lotización o actividades similares</t>
  </si>
  <si>
    <t>Pago local tarjeta de crédito /débito reportada por la Emisora de tarjeta de crédito / entidades del sistema financiero</t>
  </si>
  <si>
    <t>Pago a no residentes- Dividendos distribuidos a personas naturales (domicilados o no en paraiso fiscal) o a sociedades sin beneficiario efectivo persona natural residente en Ecuador</t>
  </si>
  <si>
    <t>Pago a no residentes - Dividendos a fideicomisos domiciladas en paraísos fiscales o regímenes de menor imposición (con beneficiario efectivo persona natural residente en el Ecuador)</t>
  </si>
  <si>
    <t>Pago a no residentes - Intereses por financiamiento de proveedores externos</t>
  </si>
  <si>
    <t>Pago a no residentes - Intereses de otros créditos externos</t>
  </si>
  <si>
    <t>Pago a no residentes - Por las empresas de transporte marítimo o aéreo y por empresas pesqueras de alta mar, por su actividad.</t>
  </si>
  <si>
    <t xml:space="preserve">Pago a no residentes - Otros pagos al exterior no sujetos a retención </t>
  </si>
  <si>
    <t>15-Pagos efectuados por consumos propios y de terceros de servicios digitales</t>
  </si>
  <si>
    <t>13-Documentos emitidos por compañías de seguros</t>
  </si>
  <si>
    <t>14-Comprobantes emitidos por empresas de telecomunicaciones</t>
  </si>
  <si>
    <t>Impuesto único a ingresos provenientes de actividades agropecuarias en etapa de producción / comercialización local o exportación</t>
  </si>
  <si>
    <t>IMPUESTO ÚNICO A INGRESOS PROVENIENTES DE ACTIVIDADES AGROPECUARIAS EN ETAPA DE PRODUCCIÓN / COMERCIALIZACIÓN LOCAL O EXPORTACIÓN</t>
  </si>
  <si>
    <t>Otras autoretenciones</t>
  </si>
  <si>
    <t>Otras retenciones aplicables el 2.75%</t>
  </si>
  <si>
    <t>APLICABLES EL 2.75%</t>
  </si>
  <si>
    <t>Dividendos en acciones (capitalización de utilidades)</t>
  </si>
  <si>
    <t>PRODUCCIÓN Y VENTA LOCAL DE BANANO PRODUCIDO O NO POR EL MISMO SUJETO PASIVO</t>
  </si>
  <si>
    <t>IMPUESTO ÚNICO A LA EXPORTACIÓN DE BANANO</t>
  </si>
  <si>
    <t>DIVIDENDOS SIN BENEFICIARIO EFECTIVO PERSONA NATURAL RESIDENTE EN ECUADOR</t>
  </si>
  <si>
    <t>DIVIDENDOS CON BENEFICIARIO EFECTIVO PERSONA NATURAL RESIDENTE EN ECUADOR</t>
  </si>
  <si>
    <t>DIVIDENDOS INCUMPLIENDO EL DEBER DE INFORMAR LA COMPOSICION SOCIETARIA</t>
  </si>
  <si>
    <t>Dividendos a residentes o establecidos en paraísos fiscales o regímenes de menor imposición (con beneficiario Persona Natural residente en Ecuador)</t>
  </si>
  <si>
    <t>Dividendos a no residentes incumpliendo el deber de informar la composición societaria</t>
  </si>
  <si>
    <t>Dividendos a sociedades con beneficiario efectivo persona natural residente en el Ecuador</t>
  </si>
  <si>
    <t>No. Establecimiento_6</t>
  </si>
  <si>
    <t>No. Establecimiento_7</t>
  </si>
  <si>
    <t>No. Establecimiento_8</t>
  </si>
  <si>
    <t>No. Establecimiento_9</t>
  </si>
  <si>
    <t>No. Establecimiento_10</t>
  </si>
  <si>
    <t>&lt;== No. de establecimientos ACTIVO # 6</t>
  </si>
  <si>
    <t>&lt;== No. de establecimientos ACTIVO # 7</t>
  </si>
  <si>
    <t>&lt;== No. de establecimientos ACTIVO # 8</t>
  </si>
  <si>
    <t>&lt;== No. de establecimientos ACTIVO # 9</t>
  </si>
  <si>
    <t>&lt;== No. de establecimientos ACTIVO # 10</t>
  </si>
  <si>
    <t>Tipo de ACTIVIDAD</t>
  </si>
  <si>
    <t>Monto de Propina</t>
  </si>
  <si>
    <t>Mes declarado</t>
  </si>
  <si>
    <t>Monto Propina</t>
  </si>
  <si>
    <t>Fecha de Registro de Anulacion</t>
  </si>
  <si>
    <t>SELECCIONE PERIODO</t>
  </si>
  <si>
    <t>DETALLE DE VENTAS</t>
  </si>
  <si>
    <t>Retenciones de IVA  RECIBIDAS (Ventas)</t>
  </si>
  <si>
    <t>Retenciones de Impto. a la Renta RECIBIDAS (Ventas)</t>
  </si>
  <si>
    <t>DETALLE DE COMPRAS</t>
  </si>
  <si>
    <t>Retenciones de IVA  EMITIDAS (Compras)</t>
  </si>
  <si>
    <t>Retenciones de Impto. a la Renta EMITIDAS (Compras)</t>
  </si>
  <si>
    <t>Factor proporcional I.V.A.</t>
  </si>
  <si>
    <t>I.V.A. en
compras utilizado</t>
  </si>
  <si>
    <t>I.V.A. 
Causado x Pagar</t>
  </si>
  <si>
    <t>Credito Tributario de I.V.A. por Compras en el presente mes</t>
  </si>
  <si>
    <t>Credito Trib. I.V.A. del Periodo Anterior</t>
  </si>
  <si>
    <t>Retenciones de IVA en Ventas del Presente Periodo</t>
  </si>
  <si>
    <t>Credito Trib. I.V.A. para el mes Siguiente</t>
  </si>
  <si>
    <t>Impuesto a pagar en el Periodo como Agente de Percepcion</t>
  </si>
  <si>
    <t>Impuesto a pagar en el Periodo como Agente de Retencion</t>
  </si>
  <si>
    <t>Total Valor a Pagar formulario 104</t>
  </si>
  <si>
    <t xml:space="preserve">Mes </t>
  </si>
  <si>
    <t>No. declaracion</t>
  </si>
  <si>
    <t>Base Imponible de Ventas</t>
  </si>
  <si>
    <t>Subtotal Base Imponible en Ventas</t>
  </si>
  <si>
    <t>Total de Ventas</t>
  </si>
  <si>
    <t>Base Imponible de Compras NO Gravable</t>
  </si>
  <si>
    <t>Base Imponible de Compras Gravable</t>
  </si>
  <si>
    <t>Subtotal Base Imponible en Compras</t>
  </si>
  <si>
    <t>I.V.A. en
compras por GASTO</t>
  </si>
  <si>
    <t>I.V.A. en
compras para CREDITO TRIBUTARIO</t>
  </si>
  <si>
    <t>Total de IVA en Compras</t>
  </si>
  <si>
    <t>Total de Compras</t>
  </si>
  <si>
    <t xml:space="preserve">Por    Compras </t>
  </si>
  <si>
    <t>Por Retenciones</t>
  </si>
  <si>
    <t>1-VIVIENDA</t>
  </si>
  <si>
    <t>2-VESTIMENTA</t>
  </si>
  <si>
    <t>3-SALUD</t>
  </si>
  <si>
    <t>4-EDUCACION</t>
  </si>
  <si>
    <t>5-ALIMENTACION</t>
  </si>
  <si>
    <t>DETALLE DE GASTOS PERSONALES</t>
  </si>
  <si>
    <t>E-Electronico</t>
  </si>
  <si>
    <t>Tipo de
Documento</t>
  </si>
  <si>
    <t>Base Imponible 0%</t>
  </si>
  <si>
    <t>Base Imponible con tarifa de IVA</t>
  </si>
  <si>
    <t>Valor de IVA</t>
  </si>
  <si>
    <t>Otros</t>
  </si>
  <si>
    <t>Periodo Declarado en 103</t>
  </si>
  <si>
    <t>111</t>
  </si>
  <si>
    <t>113</t>
  </si>
  <si>
    <t>TOTAL COMPROBANTES DE VENTA EMITIDOS</t>
  </si>
  <si>
    <t>TOTAL COMPROBANTES DE VENTAS ANULADOS</t>
  </si>
  <si>
    <t>115</t>
  </si>
  <si>
    <t>117</t>
  </si>
  <si>
    <t>119</t>
  </si>
  <si>
    <t>TOTAL COMPROBANTES DE VENTA RECIBIDOS POR
ADQUISICIONES Y PAGOS (excepto notas de venta)</t>
  </si>
  <si>
    <t>TOTAL NOTAS DE VENTA RECIBIDAS</t>
  </si>
  <si>
    <t>DETALLE DE COMPROBANTES ANULADOS</t>
  </si>
  <si>
    <t>DETALLE DE EXPORTACIONES</t>
  </si>
  <si>
    <t>DETALLE DE REEMBOLSOS POR COMPRAS</t>
  </si>
  <si>
    <t>ACT. EMPRESARIALES CON REGISTRO DE INGRESOS Y EGRESOS</t>
  </si>
  <si>
    <t>ARRIENDO DE BIENES INMUEBLES</t>
  </si>
  <si>
    <t>ARRIENDO DE OTROS ACTIVOS</t>
  </si>
  <si>
    <t>DIVIDENDOS</t>
  </si>
  <si>
    <t>INGRESO POR REGALÍAS</t>
  </si>
  <si>
    <t>INGRESOS PROVENIENTES DEL EXTERIOR</t>
  </si>
  <si>
    <t>INGRESOS SUJETOS A IMPUESTO A LA RENTA ÚNICO</t>
  </si>
  <si>
    <t>LIBRE EJERCICIO PROFESIONAL</t>
  </si>
  <si>
    <t>OCUPACIÓN LIBERAL (COMISIONISTAS, ARTESANOS, AGENTES, REPRE. Y AUTÓNOMOS)</t>
  </si>
  <si>
    <t>OTRAS RENTAS GRAVADAS</t>
  </si>
  <si>
    <t>RELACION DE DEPENDENCIA</t>
  </si>
  <si>
    <t>RENTAS AGRÍCOLAS</t>
  </si>
  <si>
    <t>UTILIDAD EN LA ENAJENACIÓN DE DERECHOS REPRESENTATIVOS DE CAPITAL</t>
  </si>
  <si>
    <t>LIQUIDACIÓN DEL 12 EN EL MES</t>
  </si>
  <si>
    <t>DETALLE DE IMPUTACIÓN AL PAGO (Para declaraciones sustitut12s)</t>
  </si>
  <si>
    <t>VALORES A PAGAR Y FORMA DE PAGO (luego de imputación al pago en declaraciones sustitut12s)</t>
  </si>
  <si>
    <t>Monto de I.C.E. incluido en Base Imp.</t>
  </si>
  <si>
    <t>Monto de I.C.E. NO incluido en Base Imp.</t>
  </si>
  <si>
    <t>Tipo de Emision de la Retencion Recibida</t>
  </si>
  <si>
    <t>Base Imponible EXENTA</t>
  </si>
  <si>
    <t>Periodo Declarado Form104</t>
  </si>
  <si>
    <t>Periodo Declarado Form. 104</t>
  </si>
  <si>
    <t>-------------------- (Obligatorio si es PASAPORTE el ID)  --------------------</t>
  </si>
  <si>
    <t>--------------------------------------------------------------------------  Datos del documento de compra --------------------------------------------------------------------------</t>
  </si>
  <si>
    <t>-------- Datos del documento modificado en la N/C - N/D --------</t>
  </si>
  <si>
    <t>---------- Valores Retenidos - Codigo Ret. #1 ----------</t>
  </si>
  <si>
    <t>--- Datos del Dividendo retenido - Ret. #1 ---</t>
  </si>
  <si>
    <t>---------- Valores Retenidos - Codigo Ret. #2 ----------</t>
  </si>
  <si>
    <t>--- Datos del Dividendo retenido - Ret. #2 ---</t>
  </si>
  <si>
    <t>-- Cajas de Banano - Ret. #2 --</t>
  </si>
  <si>
    <t>-- Cajas de Banano - Ret. #1 --</t>
  </si>
  <si>
    <t>TOTALES</t>
  </si>
  <si>
    <t xml:space="preserve"> ---- Formas de Cobros ------</t>
  </si>
  <si>
    <t xml:space="preserve"> ---------- -------------------------------------------------  Datos del documento soporte de la compra por reembolsos  ----------------------------------------------------------- </t>
  </si>
  <si>
    <t xml:space="preserve"> - Datos de Bases Imponibles de los documentos de Reembolsos -</t>
  </si>
  <si>
    <t>Numero de Factura COMPRA Principal &lt;&lt; secuencial columna J &gt;&gt;</t>
  </si>
  <si>
    <t>-------------------- (Obligatorio Razon Social)  --------------------</t>
  </si>
  <si>
    <t>-------------------------------------------------  Datos del documento de EXPORTACION ----------------------------------------------------</t>
  </si>
  <si>
    <t>---- Bases Imponibles para Formulario 104 ----</t>
  </si>
  <si>
    <t>Periodo Contable:</t>
  </si>
  <si>
    <t>COMPRAS</t>
  </si>
  <si>
    <t>Transacción</t>
  </si>
  <si>
    <t>TOTAL</t>
  </si>
  <si>
    <t>VENTAS</t>
  </si>
  <si>
    <t>EXPORTACIONES</t>
  </si>
  <si>
    <t xml:space="preserve">Factura </t>
  </si>
  <si>
    <t>Comprobante de venta emitido por reembolso</t>
  </si>
  <si>
    <t>COMPROBANTES ANULADOS</t>
  </si>
  <si>
    <t>COMPRA</t>
  </si>
  <si>
    <t>Retención IVA 10%</t>
  </si>
  <si>
    <t>Retención IVA 20%</t>
  </si>
  <si>
    <t>Retención IVA 50%</t>
  </si>
  <si>
    <t>VENTA</t>
  </si>
  <si>
    <t>Firma del Contador</t>
  </si>
  <si>
    <t>Firma del Representante Legal</t>
  </si>
  <si>
    <t>Cód.</t>
  </si>
  <si>
    <t>Nº Registros</t>
  </si>
  <si>
    <t>Valor IVA</t>
  </si>
  <si>
    <t xml:space="preserve">Nota o boleta de venta </t>
  </si>
  <si>
    <t xml:space="preserve">Liquidación de compra de Bienes o Prestación de servicios </t>
  </si>
  <si>
    <t>N/C Compras</t>
  </si>
  <si>
    <t>N/D Compras</t>
  </si>
  <si>
    <t>Boletos o entradas a espectáculos públicos</t>
  </si>
  <si>
    <t>Tiquetes o vales emitidos por máquinas registradoras</t>
  </si>
  <si>
    <t>Pasajes expedidos por empresas de aviación</t>
  </si>
  <si>
    <t>Documentos emitidos por instituciones financieras</t>
  </si>
  <si>
    <t>13</t>
  </si>
  <si>
    <t>Documentos emitidos por compañías de seguros</t>
  </si>
  <si>
    <t>14</t>
  </si>
  <si>
    <t>Comprobantes emitidos por empresas de telecomunicaciones</t>
  </si>
  <si>
    <t>Comprobantes  de venta emitidos en exterior</t>
  </si>
  <si>
    <t>Comprobantes de Pago de Cuotas o Aportes</t>
  </si>
  <si>
    <t>Documentos por Servicios Administrativos emitidos por Inst. del Estado</t>
  </si>
  <si>
    <t>Carta de Porte Aéreo</t>
  </si>
  <si>
    <t>Documento retención presuntiva y retención emitida por propio vendedor o por intermediario</t>
  </si>
  <si>
    <t>Liquidacion para Explotacion y Exploracion de Hidrocarburos</t>
  </si>
  <si>
    <t>Liquidación de medicina prepagada</t>
  </si>
  <si>
    <t>N/C por Reembolso Emitida por Intermediario</t>
  </si>
  <si>
    <t>N/D por Reembolso Emitida por Intermediario</t>
  </si>
  <si>
    <t>Liquidación de compra de Bienes Muebles Usados</t>
  </si>
  <si>
    <t xml:space="preserve">Liquidación de compra de vehículos usados </t>
  </si>
  <si>
    <t>Acta Entrega-Recepción PET</t>
  </si>
  <si>
    <t xml:space="preserve">Comprobante socio a operadora de transporte </t>
  </si>
  <si>
    <t>Nota de  crédito  operadora transporte / socio</t>
  </si>
  <si>
    <t>Nota de  débito  operadora transporte / socio</t>
  </si>
  <si>
    <t>Liquidación de compra RISE de bienes o prestación de servicios</t>
  </si>
  <si>
    <t>N/C Ventas</t>
  </si>
  <si>
    <t>N/D Ventas</t>
  </si>
  <si>
    <t xml:space="preserve">Documentos autorizados utilizados en ventas excepto N/C N/D </t>
  </si>
  <si>
    <t xml:space="preserve">Comprobante de contribuciones y aportes </t>
  </si>
  <si>
    <t>Proveedor Directo de Exportador Bajo Régimen Especial</t>
  </si>
  <si>
    <t>A Inst. Estado y Empr. Públicas que percibe ingreso exento de Imp. Renta</t>
  </si>
  <si>
    <t>N/C A Inst. Estado y Empr. Públicas que percibe ingreso exento de Imp. Renta</t>
  </si>
  <si>
    <t>N/D A Inst. Estado y Empr. Públicas que percibe ingreso exento de Imp. Renta</t>
  </si>
  <si>
    <t>370</t>
  </si>
  <si>
    <t>Factura operadora transporte / socio</t>
  </si>
  <si>
    <t>371</t>
  </si>
  <si>
    <t>372</t>
  </si>
  <si>
    <t>373</t>
  </si>
  <si>
    <t>Valor FOB del Comprobante</t>
  </si>
  <si>
    <t>Factura</t>
  </si>
  <si>
    <t>Notas de Crédito Exportación</t>
  </si>
  <si>
    <t>Notas de Débito Exportación</t>
  </si>
  <si>
    <t>Formulario Único de Exportación (FUE) o Declaración Aduanera Única (DAU) o DAV</t>
  </si>
  <si>
    <t>Total de Comprobantes Anulados en el período informado (no incluye los dados de baja)</t>
  </si>
  <si>
    <t>RESUMEN DE RETENCIONES - AGENTE DE RETENCION</t>
  </si>
  <si>
    <t>RETENCION EN LA FUENTE DE IMPUESTO A LA RENTA</t>
  </si>
  <si>
    <t xml:space="preserve">Concepto de Retención </t>
  </si>
  <si>
    <t xml:space="preserve">Base Imponible </t>
  </si>
  <si>
    <t>RETENCION EN LA FUENTE DE IVA</t>
  </si>
  <si>
    <t>Operación</t>
  </si>
  <si>
    <t>Retención IVA 30%</t>
  </si>
  <si>
    <t>Retención IVA 70%</t>
  </si>
  <si>
    <t>Retención IVA 100%</t>
  </si>
  <si>
    <t>Retención IVA Nota de Crédito Devolucion</t>
  </si>
  <si>
    <t>RESUMEN DE RETENCIONES QUE LE EFECTUARON EN EL PERIODO</t>
  </si>
  <si>
    <t>Tipo de Retención que le efectuaron</t>
  </si>
  <si>
    <t>Valor de IVA que le han retenido</t>
  </si>
  <si>
    <t>Valor de Renta que le han retenido</t>
  </si>
  <si>
    <t>EMPRESA EMISORA TARJETA DE CREDITO</t>
  </si>
  <si>
    <t>Total Consumo</t>
  </si>
  <si>
    <t>RECAP</t>
  </si>
  <si>
    <t>Notas de Crédito TC</t>
  </si>
  <si>
    <t>Notas de Débito TC</t>
  </si>
  <si>
    <t>RESUMEN DE RETENCIONES QUE EFECTUO EN EL PERIODO</t>
  </si>
  <si>
    <t>Tipo de Retención que efectuó</t>
  </si>
  <si>
    <t>TC</t>
  </si>
  <si>
    <t>Valor de IVA que retuvo</t>
  </si>
  <si>
    <t>Valor de Renta que retuvo</t>
  </si>
  <si>
    <t>Pago a no residentes - Rendimientos financieros</t>
  </si>
  <si>
    <t>Pago a no residentes – Intereses de créditos de Instituciones Financieras del exterior</t>
  </si>
  <si>
    <t>Pago a no residentes – Intereses de créditos de gobierno a gobierno</t>
  </si>
  <si>
    <t>Pago a no residentes – Intereses de créditos de organismos multilaterales</t>
  </si>
  <si>
    <t>Pago a no residentes - Otros Intereses y Rendimientos Financieros</t>
  </si>
  <si>
    <t>TRANSACCIONES EXENTAS</t>
  </si>
  <si>
    <t>Ahorros Personas Naturales</t>
  </si>
  <si>
    <t>Cuentas Exentas</t>
  </si>
  <si>
    <t>TOTAL TRANSACCIONES EXENTAS</t>
  </si>
  <si>
    <t>FONDOS Y FIDEICOMISOS</t>
  </si>
  <si>
    <t>Tipo de fideicomiso</t>
  </si>
  <si>
    <t>Total Beneficio Individual</t>
  </si>
  <si>
    <t>Fideicomiso Mercantil Inmobiliario</t>
  </si>
  <si>
    <t>Fondos De Inversión</t>
  </si>
  <si>
    <t>Fideicomisos Mercantiles De Administración</t>
  </si>
  <si>
    <t>Fideicomisos Mercantiles De Inversión</t>
  </si>
  <si>
    <t>Fideicomisos Mercantiles Inmobiliarios</t>
  </si>
  <si>
    <t>Fideicomisos Mercantiles De Garantías</t>
  </si>
  <si>
    <t>Fideicomiso Mercantil de Titularización</t>
  </si>
  <si>
    <t>Fideicomiso Mercantil De Titularización</t>
  </si>
  <si>
    <t>Fideicomiso Mercantil De Inversión</t>
  </si>
  <si>
    <t>Fideicomiso Mercantil De Administración</t>
  </si>
  <si>
    <t>Fideicomiso Mercantil De Garantías</t>
  </si>
  <si>
    <t>Fondo Complementario</t>
  </si>
  <si>
    <t>Declaro que los datos contenidos en este anexo son verdaderos, por lo que asumo la responsabilidad correspondiente, de acuerdo a lo establecido en el Art. 101 de la Codificación  de la Ley de Régimen Tributario Interno</t>
  </si>
  <si>
    <t>294</t>
  </si>
  <si>
    <t>344</t>
  </si>
  <si>
    <t>364</t>
  </si>
  <si>
    <t>374</t>
  </si>
  <si>
    <t>375</t>
  </si>
  <si>
    <t>304</t>
  </si>
  <si>
    <t>323</t>
  </si>
  <si>
    <t>10</t>
  </si>
  <si>
    <t>17</t>
  </si>
  <si>
    <t>-</t>
  </si>
  <si>
    <t>TALÓN RESUMEN</t>
  </si>
  <si>
    <t>SERVICIO DE RENTAS INTERNAS</t>
  </si>
  <si>
    <t>ANEXO TRANSACCIONAL</t>
  </si>
  <si>
    <t xml:space="preserve">TOTAL: </t>
  </si>
  <si>
    <t>BI tarifa 
0%</t>
  </si>
  <si>
    <t>BI tarifa 
diferente de 0%</t>
  </si>
  <si>
    <t>BI tarifa 
No Objeto IVA</t>
  </si>
  <si>
    <t>Total</t>
  </si>
  <si>
    <t>Rendimiento Generado</t>
  </si>
  <si>
    <t>Concepto de Rendimiento que generó la Retención</t>
  </si>
  <si>
    <t>BI tarifa 
Exenta</t>
  </si>
  <si>
    <t>375-Liquidación de compra RISE de bienes o prestación de servicios</t>
  </si>
  <si>
    <t>374-Nota de débito operadora transporte / socio</t>
  </si>
  <si>
    <t>303</t>
  </si>
  <si>
    <t>307</t>
  </si>
  <si>
    <t>308</t>
  </si>
  <si>
    <t>309</t>
  </si>
  <si>
    <t>310</t>
  </si>
  <si>
    <t>311</t>
  </si>
  <si>
    <t>312</t>
  </si>
  <si>
    <t>319</t>
  </si>
  <si>
    <t>320</t>
  </si>
  <si>
    <t>322</t>
  </si>
  <si>
    <t>325</t>
  </si>
  <si>
    <t>326</t>
  </si>
  <si>
    <t>327</t>
  </si>
  <si>
    <t>328</t>
  </si>
  <si>
    <t>329</t>
  </si>
  <si>
    <t>331</t>
  </si>
  <si>
    <t>332</t>
  </si>
  <si>
    <t>333</t>
  </si>
  <si>
    <t>334</t>
  </si>
  <si>
    <t>335</t>
  </si>
  <si>
    <t>336</t>
  </si>
  <si>
    <t>337</t>
  </si>
  <si>
    <t>338</t>
  </si>
  <si>
    <t>339</t>
  </si>
  <si>
    <t>340</t>
  </si>
  <si>
    <t>341</t>
  </si>
  <si>
    <t>342</t>
  </si>
  <si>
    <t>343</t>
  </si>
  <si>
    <t>3440</t>
  </si>
  <si>
    <t>345</t>
  </si>
  <si>
    <t>346</t>
  </si>
  <si>
    <t>348</t>
  </si>
  <si>
    <t>350</t>
  </si>
  <si>
    <t>RET_COM_FTE</t>
  </si>
  <si>
    <t>RECAPS</t>
  </si>
  <si>
    <t>FIDEICOMISOS</t>
  </si>
  <si>
    <t>RET_COM_IVA10</t>
  </si>
  <si>
    <t>RET_COM_IVA20</t>
  </si>
  <si>
    <t>RET_COM_IVA30</t>
  </si>
  <si>
    <t>RET_COM_IVA50</t>
  </si>
  <si>
    <t>RET_COM_IVA70</t>
  </si>
  <si>
    <t>RET_COM_IVA100</t>
  </si>
  <si>
    <t>RET_COM_IVANC</t>
  </si>
  <si>
    <t>RET_VEN_IVA</t>
  </si>
  <si>
    <t>RET_VEN_FTE</t>
  </si>
  <si>
    <t>RET_REC_IVA</t>
  </si>
  <si>
    <t>RET_REC_FTE</t>
  </si>
  <si>
    <t>ANULADOS</t>
  </si>
  <si>
    <t>REND_CTA_EXE</t>
  </si>
  <si>
    <t>REND_NAT_AHO</t>
  </si>
  <si>
    <t>RET_REN_FTE</t>
  </si>
  <si>
    <t>6</t>
  </si>
  <si>
    <t>7</t>
  </si>
  <si>
    <t>8</t>
  </si>
  <si>
    <t>9</t>
  </si>
  <si>
    <t xml:space="preserve">RUC </t>
  </si>
  <si>
    <t xml:space="preserve">CI </t>
  </si>
  <si>
    <t>02-Paises de residencia a quien se efectua el PAGO en PARAISO FISCAL</t>
  </si>
  <si>
    <t xml:space="preserve">Valor Retencion IVA en NC </t>
  </si>
  <si>
    <t xml:space="preserve">     &lt;&lt;-- Seleccione el periodo a declarar</t>
  </si>
  <si>
    <t xml:space="preserve">      &lt;&lt;-- Seleccione el periodo a declarar</t>
  </si>
  <si>
    <t>00-Comprobante de ventas anulado</t>
  </si>
  <si>
    <t>23-Nota de Crédito T/C</t>
  </si>
  <si>
    <t>24-Nota de Débito T/C</t>
  </si>
  <si>
    <t>6-TURISMO</t>
  </si>
  <si>
    <t>VELIZ NAPA JAVIER</t>
  </si>
  <si>
    <t>MICROEMPRESA Y ACTIVIDADES  INCLUYENTES</t>
  </si>
  <si>
    <t>1er SEMESTRE (ENE-JUN)</t>
  </si>
  <si>
    <t>(-)DEVOLUCIONES</t>
  </si>
  <si>
    <t>SUBTOTAL INGRESOS</t>
  </si>
  <si>
    <t>2do SEMESTRE (JUL-DIC)</t>
  </si>
  <si>
    <t>IMPUESTO RENTA x PAGAR SEMESTRE</t>
  </si>
  <si>
    <t>EGRESOS</t>
  </si>
  <si>
    <t>INGRESOS EXENTOS</t>
  </si>
  <si>
    <t>ACTIVIDADES EMPRESARIALES Y EXCLUYENTES</t>
  </si>
  <si>
    <t>OTROS INGRESOS EXENTOS</t>
  </si>
  <si>
    <t>DECIMO TERCER SUELDO</t>
  </si>
  <si>
    <t>DECIMO CUARTO SUELDO</t>
  </si>
  <si>
    <t>FONDO DE RESERVA</t>
  </si>
  <si>
    <t>BONIFICACIONES</t>
  </si>
  <si>
    <t>TOTAL DE INGRESOS EXENTOS</t>
  </si>
  <si>
    <t>RESUMEN DE GASTOS PERSONALES</t>
  </si>
  <si>
    <t>TIPO GASTO</t>
  </si>
  <si>
    <t>OTROS</t>
  </si>
  <si>
    <t>PENSIONES JUBILARES</t>
  </si>
  <si>
    <t>RET. FTE.</t>
  </si>
  <si>
    <t>Subtotal</t>
  </si>
  <si>
    <t>Formulario 103</t>
  </si>
  <si>
    <t>En Relacion Dependencia (Casillero 302)</t>
  </si>
  <si>
    <t>Valor Retenido (Casillero 352)</t>
  </si>
  <si>
    <t>I.V.A. en
compras por REEMBOLSO</t>
  </si>
  <si>
    <t>Total Valor a Pagar</t>
  </si>
  <si>
    <t>I.V.A. en
ventas por REEMBOLSO</t>
  </si>
  <si>
    <t>I.V.A. en
ventas GRAVABLES</t>
  </si>
  <si>
    <t>Total de IVA en Ventas</t>
  </si>
  <si>
    <t>Base Imponible de Ventas NO Gravables + EXPORTACIONES</t>
  </si>
  <si>
    <t>&lt;&lt; INGRESAR VALOR &gt;&gt;</t>
  </si>
  <si>
    <t>IMPUESTO A LIQUIDAR EN ESTE MES
(Mínimo campo 480 x tarifa IVA diferente de cero)</t>
  </si>
  <si>
    <t>IMPUESTO A LA RENTA x SEMESTRE</t>
  </si>
  <si>
    <t>(-) RETENCIONES EN LA FUENTE x SEMESTRE</t>
  </si>
  <si>
    <t>OTROS REL.DEP</t>
  </si>
  <si>
    <t>OTROS_EXE1</t>
  </si>
  <si>
    <t>OTROS_EXE2</t>
  </si>
  <si>
    <t>&lt;&lt;= Escribir CT del periodo anterior con simbolo negativo</t>
  </si>
  <si>
    <t>Codigo Docto.</t>
  </si>
  <si>
    <t>Estado Documento Electronico</t>
  </si>
  <si>
    <t>SI</t>
  </si>
  <si>
    <t>IRBPNR (%)</t>
  </si>
  <si>
    <t>IRBPNR CODIGO</t>
  </si>
  <si>
    <t>ICE (%)</t>
  </si>
  <si>
    <t>ICE CODIGO</t>
  </si>
  <si>
    <t>Impuesto IVA</t>
  </si>
  <si>
    <t>Valor Unitario</t>
  </si>
  <si>
    <t>Unidad de Medida</t>
  </si>
  <si>
    <t>Codigo
Secundario</t>
  </si>
  <si>
    <t>Codigo
Principal</t>
  </si>
  <si>
    <t>LISTADO DE PRODUCTOS O SERVICIOS</t>
  </si>
  <si>
    <t>CONSUMIDOR FINAL</t>
  </si>
  <si>
    <t>Clasificacion</t>
  </si>
  <si>
    <t>email</t>
  </si>
  <si>
    <t>Telefono</t>
  </si>
  <si>
    <t>Direccion</t>
  </si>
  <si>
    <t>Apellidos y Nombres / Razon Social</t>
  </si>
  <si>
    <t>Tipo Identificación</t>
  </si>
  <si>
    <t>LISTADO DE CONTRIBUYENTES</t>
  </si>
  <si>
    <t>EXENTO</t>
  </si>
  <si>
    <t>Valor Subtotal</t>
  </si>
  <si>
    <t>IRBPNR Valor Impuesto</t>
  </si>
  <si>
    <t>IRBPNR Valor Base</t>
  </si>
  <si>
    <t>Grava IRBPNR</t>
  </si>
  <si>
    <t>ICE Valor Impuesto</t>
  </si>
  <si>
    <t>ICE Valor Base</t>
  </si>
  <si>
    <t>Descuento Valor</t>
  </si>
  <si>
    <t>Descuento (%)</t>
  </si>
  <si>
    <t>Base 
Imponible</t>
  </si>
  <si>
    <t>Tipo Impuesto</t>
  </si>
  <si>
    <t>Precio</t>
  </si>
  <si>
    <t>Codigo Principal</t>
  </si>
  <si>
    <t>Autocodigo MAESTRO</t>
  </si>
  <si>
    <t>Modulo</t>
  </si>
  <si>
    <t>Autocodigo DETALLE</t>
  </si>
  <si>
    <t>DETALLE DE DOCUMENTOS EMITIDOS</t>
  </si>
  <si>
    <t>Autocodigo COMPRAS</t>
  </si>
  <si>
    <t>Estado Documento Electronico(1)</t>
  </si>
  <si>
    <t>Codigo Documento(2)</t>
  </si>
  <si>
    <t>Clase Documento(2)</t>
  </si>
  <si>
    <t>Estado Documento Electronico(2)</t>
  </si>
  <si>
    <t>Valor Descuentos (2)</t>
  </si>
  <si>
    <t>Valor Descuentos</t>
  </si>
  <si>
    <t>Codigo de PAIS</t>
  </si>
  <si>
    <t>Autocodigo REEMBOLSO</t>
  </si>
  <si>
    <t>Clase de Documento Electronico</t>
  </si>
  <si>
    <t>Nombre Comercial</t>
  </si>
  <si>
    <t>Dirección Matriz</t>
  </si>
  <si>
    <t>Telefonos</t>
  </si>
  <si>
    <t>Contribuyente Especial No.</t>
  </si>
  <si>
    <t>Obligado a llevar Contabilidad</t>
  </si>
  <si>
    <t>Agente de Retencion No.</t>
  </si>
  <si>
    <t>Numero de Decimales (Cantidad)</t>
  </si>
  <si>
    <t>Numero de Decimales (Precio)</t>
  </si>
  <si>
    <t>Forma de Cobro Predeterminada</t>
  </si>
  <si>
    <t/>
  </si>
  <si>
    <t>Email de Respuesta</t>
  </si>
  <si>
    <t>Email de Contacto Principal</t>
  </si>
  <si>
    <t>Forma de Pago Predeterminada</t>
  </si>
  <si>
    <t>Configuracion y datos de la Empresa</t>
  </si>
  <si>
    <t>Email de Registro en Sistema:</t>
  </si>
  <si>
    <t>URL Servidor Generador ATS:</t>
  </si>
  <si>
    <t>DATOS DE USUARIO EN EL SERVIDOR WEB:</t>
  </si>
  <si>
    <t>Licencia de Generador ATS :</t>
  </si>
  <si>
    <t>Configuracion y datos para Emision Documentos Electronicos</t>
  </si>
  <si>
    <t>INFORMACION COMPLEMENTARIA DEL CONTRIBUYENTE EMISOR:</t>
  </si>
  <si>
    <t>Clave de Archivo firma (P12):</t>
  </si>
  <si>
    <t>Ruta firma electronica (P12):</t>
  </si>
  <si>
    <t>DIRECTORIOS DE ARCHIVOS EN PC LOCAL:</t>
  </si>
  <si>
    <t>DATOS DEL ARCHIVO DE FIRMA ELECTRONICA:</t>
  </si>
  <si>
    <t>Guardar Archivo Generado</t>
  </si>
  <si>
    <t>Guardar Archivo Firmado</t>
  </si>
  <si>
    <t>Guardar Archivo de Error</t>
  </si>
  <si>
    <t>Enviar email al Contribuyente:</t>
  </si>
  <si>
    <t>Recibir copia de email</t>
  </si>
  <si>
    <t>Aplica Propina Legal</t>
  </si>
  <si>
    <t>Porcentaje de Propina Legal</t>
  </si>
  <si>
    <t>SRI - Tipo de Ambiente</t>
  </si>
  <si>
    <t>dt_razsoc</t>
  </si>
  <si>
    <t>dt_repleg</t>
  </si>
  <si>
    <t>dt_cedrep</t>
  </si>
  <si>
    <t>dt_nomcon</t>
  </si>
  <si>
    <t>dt_ruccon</t>
  </si>
  <si>
    <t>dt_rucemp</t>
  </si>
  <si>
    <t>dt_est001</t>
  </si>
  <si>
    <t>dt_est002</t>
  </si>
  <si>
    <t>dt_est003</t>
  </si>
  <si>
    <t>dt_est004</t>
  </si>
  <si>
    <t>dt_est005</t>
  </si>
  <si>
    <t>dt_est006</t>
  </si>
  <si>
    <t>dt_est007</t>
  </si>
  <si>
    <t>dt_est008</t>
  </si>
  <si>
    <t>dt_est009</t>
  </si>
  <si>
    <t>dt_est010</t>
  </si>
  <si>
    <t>dt_percon</t>
  </si>
  <si>
    <t xml:space="preserve">Nombre de Grupos </t>
  </si>
  <si>
    <t>&lt;== cambie por su clave de generador ATS</t>
  </si>
  <si>
    <t>&lt;&lt; click AQUI para cambiar &gt;&gt;</t>
  </si>
  <si>
    <t>&lt;== modificar por su preferencia</t>
  </si>
  <si>
    <t>dt_rutserv</t>
  </si>
  <si>
    <t>dt_maireg</t>
  </si>
  <si>
    <t>dt_licats</t>
  </si>
  <si>
    <t>dt_nomcom</t>
  </si>
  <si>
    <t>dt_dirmat</t>
  </si>
  <si>
    <t>dt_numtel</t>
  </si>
  <si>
    <t>dt_maipri</t>
  </si>
  <si>
    <t>dt_oblcon</t>
  </si>
  <si>
    <t>dt_especi</t>
  </si>
  <si>
    <t>dt_agente</t>
  </si>
  <si>
    <t>cf_proleg</t>
  </si>
  <si>
    <t>cf_propor</t>
  </si>
  <si>
    <t>cf_sriamb</t>
  </si>
  <si>
    <t>cf_numdo1</t>
  </si>
  <si>
    <t>cf_numdo3</t>
  </si>
  <si>
    <t>cf_numdo4</t>
  </si>
  <si>
    <t>cf_numdo5</t>
  </si>
  <si>
    <t>cf_fircla</t>
  </si>
  <si>
    <t>cf_firrut</t>
  </si>
  <si>
    <t>cf_docrut</t>
  </si>
  <si>
    <t>cf_savfir</t>
  </si>
  <si>
    <t>cf_savgen</t>
  </si>
  <si>
    <t>cf_saverr</t>
  </si>
  <si>
    <t>cf_numpre</t>
  </si>
  <si>
    <t>cf_numcan</t>
  </si>
  <si>
    <t>cf_forcob</t>
  </si>
  <si>
    <t>cf_forpag</t>
  </si>
  <si>
    <t>cf_filCOM</t>
  </si>
  <si>
    <t>cf_filREE</t>
  </si>
  <si>
    <t>cf_filVEN</t>
  </si>
  <si>
    <t>cf_filEXP</t>
  </si>
  <si>
    <t>cf_filANU</t>
  </si>
  <si>
    <t>cf_filGAS</t>
  </si>
  <si>
    <t>cf_version</t>
  </si>
  <si>
    <t>Lista de Actividades del Negocio y/o Servicios</t>
  </si>
  <si>
    <t>cf_ivapor</t>
  </si>
  <si>
    <t>Porcentaje de IVA</t>
  </si>
  <si>
    <t>DATOS SRI</t>
  </si>
  <si>
    <t>DATOS CONTRIBUYENTE</t>
  </si>
  <si>
    <t>FECHA AUT. / No. AUTOR. / CLAVE ACCESO</t>
  </si>
  <si>
    <t>DIRECCION / TELEF. / EMAIL / PLACA / GUIA REM.</t>
  </si>
  <si>
    <t>DATOS INFO N/C</t>
  </si>
  <si>
    <t>NUM.DOC. / MOTIVO NC</t>
  </si>
  <si>
    <t>INFO 1 / INFO 2</t>
  </si>
  <si>
    <t>UTILES OFICINA</t>
  </si>
  <si>
    <t>Codigo Cuenta Contable</t>
  </si>
  <si>
    <t>Cuenta Contable</t>
  </si>
  <si>
    <t>Grupo</t>
  </si>
  <si>
    <t># Factura</t>
  </si>
  <si>
    <t># Liq.Compra</t>
  </si>
  <si>
    <t># N/Credito</t>
  </si>
  <si>
    <t># N/Debito</t>
  </si>
  <si>
    <t># Retencion</t>
  </si>
  <si>
    <t># Guia Remision</t>
  </si>
  <si>
    <t>cf_numdo2</t>
  </si>
  <si>
    <t>cf_numdo0</t>
  </si>
  <si>
    <t>Estab-Pto.Emision / Descripcion</t>
  </si>
  <si>
    <t>OTROS DATOS</t>
  </si>
  <si>
    <t>Parametros</t>
  </si>
  <si>
    <t>303-Honorarios profesionales y demás pagos por servicios relacionados con el título profesional</t>
  </si>
  <si>
    <t>304-Servicios predomina el intelecto no relacionados con el título profesional</t>
  </si>
  <si>
    <t>304A-Comisiones y demás pagos por servicios predomina intelecto no relacionados con el título profesional</t>
  </si>
  <si>
    <t>304B-Pagos a notarios y registradores de la propiedad y mercantil por sus actividades ejercidas como tales</t>
  </si>
  <si>
    <t>304C-Pagos a deportistas, entrenadores, árbitros, miembros del cuerpo técnico por sus actividades ejercidas como tales</t>
  </si>
  <si>
    <t>304D-Pagos a artistas por sus actividades ejercidas como tales</t>
  </si>
  <si>
    <t>304E-Honorarios y demás pagos por servicios de docencia</t>
  </si>
  <si>
    <t>307-Servicios predomina la mano de obra</t>
  </si>
  <si>
    <t>309-Servicios prestados por medios de comunicación y agencias de publicidad</t>
  </si>
  <si>
    <t>310-Servicio de transporte privado de pasajeros o transporte público o privado de carga</t>
  </si>
  <si>
    <t>311-Pagos a través de liquidación de compra (nivel cultural o rusticidad)</t>
  </si>
  <si>
    <t>312-Transferencia de bienes muebles de naturaleza corporal</t>
  </si>
  <si>
    <t>312B-Impuesto a la Renta único para la actividad de producción y cultivo de palma aceitera</t>
  </si>
  <si>
    <t>319-Cuotas de arrendamiento mercantil (prestado por sociedades), inclusive la de opción de compra</t>
  </si>
  <si>
    <t>320-Arrendamiento bienes inmuebles</t>
  </si>
  <si>
    <t>322-Seguros y reaseguros (primas y cesiones)</t>
  </si>
  <si>
    <t>323-Rendimientos financieros pagados a naturales y sociedades  (No a IFIs)</t>
  </si>
  <si>
    <t>323A-Rendimientos financieros depósitos Cta. Corriente</t>
  </si>
  <si>
    <t>323B1-Rendimientos financieros  depósitos Cta. Ahorros Sociedades</t>
  </si>
  <si>
    <t>323E-Rendimientos financieros depósito a plazo fijo  gravados</t>
  </si>
  <si>
    <t>323E2-Rendimientos financieros depósito a plazo fijo exentos</t>
  </si>
  <si>
    <t>323F-Rendimientos financieros operaciones de reporto - repos</t>
  </si>
  <si>
    <t>323G-Inversiones (captaciones) rendimientos distintos de aquellos pagados a IFIs</t>
  </si>
  <si>
    <t>323H-Rendimientos financieros  obligaciones</t>
  </si>
  <si>
    <t>323I-Rendimientos financieros  bonos convertible en acciones</t>
  </si>
  <si>
    <t xml:space="preserve">323M-Rendimientos financieros : Inversiones en títulos valores en renta fija gravados </t>
  </si>
  <si>
    <t>323N-Rendimientos financieros  Inversiones en títulos valores en renta fija exentos</t>
  </si>
  <si>
    <t>323O-Intereses y demás rendimientos financieros pagados a bancos y otras entidades sometidas al control de la Superintendencia de Bancos y de la Economía Popular y Solidaria</t>
  </si>
  <si>
    <t>323P- Intereses pagados por entidades del sector público a favor de sujetos pasivos</t>
  </si>
  <si>
    <t xml:space="preserve">323Q-Otros intereses y rendimientos financieros gravados </t>
  </si>
  <si>
    <t>323R-Otros intereses y rendimientos financieros exentos</t>
  </si>
  <si>
    <t>323S-Pagos y créditos en cuenta efectuados por el BCE y los depósitos centralizados de valores, en calidad de intermediarios, a instituciones del sistema financiero por cuenta de otras personas naturales y sociedades</t>
  </si>
  <si>
    <t>323T-Rendimientos financieros originados en la deuda pública ecuatoriana</t>
  </si>
  <si>
    <t>323U-Rendimientos financieros originados en títulos valores de obligaciones de 360 días o más para el financiamiento de proyectos públicos en asociación público-privada</t>
  </si>
  <si>
    <t xml:space="preserve">324A- Intereses en operaciones de crédito entre instituciones del sistema financiero y entidades economía popular y solidaria. </t>
  </si>
  <si>
    <t>324B-Inversiones entre instituciones del sistema financiero y entidades economía popular y solidaria</t>
  </si>
  <si>
    <t>324C-Pagos y créditos en cuenta efectuados por el BCE y los depósitos centralizados de valores, en calidad de intermediarios, a instituciones del sistema financiero por cuenta de otras instituciones del sistema financiero</t>
  </si>
  <si>
    <t>328-Dividendos distribuidos a sociedades residentes</t>
  </si>
  <si>
    <t>329-dividendos distribuidos a fideicomisos residentes</t>
  </si>
  <si>
    <t>330-Dividendos gravados distribuidos en acciones (reinversión de utilidades sin derecho a reducción tarifa IR)</t>
  </si>
  <si>
    <t>331-Dividendos en acciones (capitalización de utilidades)</t>
  </si>
  <si>
    <t>332B-Compra de bienes inmuebles</t>
  </si>
  <si>
    <t>332C-Transporte público de pasajeros</t>
  </si>
  <si>
    <t>332D-Pagos en el país por transporte de pasajeros o transporte internacional de carga, a compañías nacionales o extranjeras de aviación o marítimas</t>
  </si>
  <si>
    <t>332E-Valores entregados por las cooperativas de transporte a sus socios</t>
  </si>
  <si>
    <t>332F-Compraventa de divisas distintas al dólar de los Estados Unidos de América</t>
  </si>
  <si>
    <t xml:space="preserve">332G-Pagos con tarjeta de crédito </t>
  </si>
  <si>
    <t>332H-Pago al exterior tarjeta de crédito reportada por la Emisora de tarjeta de crédito, solo recap</t>
  </si>
  <si>
    <t>332I-Pago a través de convenio de debito (Clientes IFI`s)</t>
  </si>
  <si>
    <t>333-Ganancia en la enajenación de derechos representativos de capital u otros derechos que permitan la exploración, explotación, concesión o similares de sociedades, que se coticen en bolsa de valores del Ecuador</t>
  </si>
  <si>
    <t>334-Contraprestación producida por la enajenación de derechos representativos de capital u otros derechos que permitan la exploración, explotación, concesión o similares de sociedades, no cotizados en bolsa de valores del Ecuador</t>
  </si>
  <si>
    <t>336-Venta de combustibles a comercializadoras</t>
  </si>
  <si>
    <t>337-Venta de combustibles a distribuidores</t>
  </si>
  <si>
    <t>339-Liquidación impuesto único a la venta local de banano de producción propia</t>
  </si>
  <si>
    <t>341-Impuesto único a la exportación de banano de producción propia - componente 2</t>
  </si>
  <si>
    <t>342-Impuesto único a la exportación de banano producido por terceros</t>
  </si>
  <si>
    <t>343A-Energía eléctrica</t>
  </si>
  <si>
    <t>343B-Actividades de construcción de obra material inmueble, urbanización, lotización o actividades similares</t>
  </si>
  <si>
    <t>344-Otras retenciones aplicables el 2%</t>
  </si>
  <si>
    <t>344A-Pago local tarjeta de crédito /débito reportada por la Emisora de tarjeta de crédito / entidades del sistema financiero</t>
  </si>
  <si>
    <t>344B-Adquisición de sustancias minerales dentro del territorio nacional</t>
  </si>
  <si>
    <t>345-Otras retenciones aplicables el 8%</t>
  </si>
  <si>
    <t xml:space="preserve">346A-Otras ganancias de capital distintas de enajenación de derechos representativos de capital </t>
  </si>
  <si>
    <t>348-Impuesto único a ingresos provenientes de actividades agropecuarias en etapa de producción / comercialización local o exportación</t>
  </si>
  <si>
    <t>351-Regimen Microempresas (a partir de Enero 2021)</t>
  </si>
  <si>
    <t>505D-Pago a no residentes - Intereses por financiamiento de proveedores externos</t>
  </si>
  <si>
    <t>505E-Pago a no residentes - Intereses de otros créditos externos</t>
  </si>
  <si>
    <t>520E-Pago a no residentes - Por las empresas de transporte marítimo o aéreo y por empresas pesqueras de alta mar, por su actividad.</t>
  </si>
  <si>
    <t xml:space="preserve">524-Pago a no residentes - Otros pagos al exterior no sujetos a retención </t>
  </si>
  <si>
    <t>Consumidor Final (Predeterminado)</t>
  </si>
  <si>
    <t>cf_clipre</t>
  </si>
  <si>
    <t>CAMPO BUSQUEDA</t>
  </si>
  <si>
    <t>CLIENTE</t>
  </si>
  <si>
    <t>No Objeto IVA</t>
  </si>
  <si>
    <t>PVP Sin Subsidio</t>
  </si>
  <si>
    <t>Atributos</t>
  </si>
  <si>
    <t>Atributos Adicionales</t>
  </si>
  <si>
    <t>Fecha Movimiento</t>
  </si>
  <si>
    <t>Grava ICE</t>
  </si>
  <si>
    <t>ID</t>
  </si>
  <si>
    <t>Tarifas de porcentajes de IVA</t>
  </si>
  <si>
    <t>0%</t>
  </si>
  <si>
    <t>12%</t>
  </si>
  <si>
    <t>Codigo Auxiliar</t>
  </si>
  <si>
    <t>ID Articulo</t>
  </si>
  <si>
    <t>PVP sin Subsidio</t>
  </si>
  <si>
    <t>Tabla de Codigos de Impuestos ICE</t>
  </si>
  <si>
    <t>3680-ICE FUNDAS PLÁSTICAS</t>
  </si>
  <si>
    <t>Tabla de Codigos de Impuestos IRBPNR</t>
  </si>
  <si>
    <t>3011-ICE-CIGARRILLOS RUBIOS</t>
  </si>
  <si>
    <t>3021-ICE-CIGARRILLOS NEGROS</t>
  </si>
  <si>
    <t>3023-ICE-PRODUCTOS DEL TABACO Y SUCEDÁNEOS DEL TABACO EXCEPTO CIGARRILLOS</t>
  </si>
  <si>
    <t>3031-ICE-BEBIDAS ALCOHÓLICAS</t>
  </si>
  <si>
    <t>3033-ICE-ALCOHOL</t>
  </si>
  <si>
    <t>3041-ICE-CERVEZA INDUSTRIAL</t>
  </si>
  <si>
    <t>3043-ICE-CERVEZA ARTESANAL</t>
  </si>
  <si>
    <t>3051-ICE-BEBIDA X CONFIRMAR</t>
  </si>
  <si>
    <t>3053-ICE-BEBIDAS GASEOSAS CON ALTO CONTENIDO DE AZUCAR</t>
  </si>
  <si>
    <t>3054-ICE-BEBIDAS GASEOSAS CON BAJO CONTENIDO DE AZUCAR</t>
  </si>
  <si>
    <t>Valor Fijo</t>
  </si>
  <si>
    <t>Porcentaje</t>
  </si>
  <si>
    <t>5001-IMPUESTO REDIMIBLE A LAS BOTELLAS PLASTICAS</t>
  </si>
  <si>
    <t>(%) Descto.</t>
  </si>
  <si>
    <t>ICE EN IVA</t>
  </si>
  <si>
    <t>Placa / Matricula</t>
  </si>
  <si>
    <t>9999999999999</t>
  </si>
  <si>
    <t>F-Consumidor Final</t>
  </si>
  <si>
    <t>01-Persona Natural</t>
  </si>
  <si>
    <t>Ultimo Numero Secuencial</t>
  </si>
  <si>
    <t>cf_filDET</t>
  </si>
  <si>
    <t>cf_filCON</t>
  </si>
  <si>
    <t>No. ID / RUC</t>
  </si>
  <si>
    <t>No. Documento / Factura</t>
  </si>
  <si>
    <t>FORMA DE COBRO/PAGO</t>
  </si>
  <si>
    <t>Tipo Transaccion</t>
  </si>
  <si>
    <t>No. de documento
Cheque/Voucher/Ret.</t>
  </si>
  <si>
    <t>No.  Asiento Contable</t>
  </si>
  <si>
    <t>Nombre y/o Institucion</t>
  </si>
  <si>
    <t>No. Documento / Factura SRI</t>
  </si>
  <si>
    <t>PARAMETROS DE CONTROL INTERNO DE HOJAS DEL SISTEMA (NO MODIFICAR)</t>
  </si>
  <si>
    <t>cf_numING</t>
  </si>
  <si>
    <t>cf_numEGR</t>
  </si>
  <si>
    <t>Autocodigo Documentos</t>
  </si>
  <si>
    <t>Autocodigo Modulo</t>
  </si>
  <si>
    <t>Autocodigo TESORERIA</t>
  </si>
  <si>
    <t>Valor Transaccion</t>
  </si>
  <si>
    <t>Observaciones</t>
  </si>
  <si>
    <t>2</t>
  </si>
  <si>
    <t>Activo</t>
  </si>
  <si>
    <t>S</t>
  </si>
  <si>
    <t>Numero de Asiento</t>
  </si>
  <si>
    <t>Concepto Contable</t>
  </si>
  <si>
    <t>Estado</t>
  </si>
  <si>
    <t>Contabilizacion de la VENTA</t>
  </si>
  <si>
    <t>VENTAS DE SERVICIOS</t>
  </si>
  <si>
    <t>VENTAS DE BIENES + ENVIOS</t>
  </si>
  <si>
    <t>Numero de Transaccion</t>
  </si>
  <si>
    <t>Autocodigo Secuencial</t>
  </si>
  <si>
    <t>Fecha Transaccion</t>
  </si>
  <si>
    <t>Descripcion Cuenta</t>
  </si>
  <si>
    <t>Valor DEBE</t>
  </si>
  <si>
    <t>Valor HABER</t>
  </si>
  <si>
    <t>Glosa</t>
  </si>
  <si>
    <t>Nota Explicativa NIIFs</t>
  </si>
  <si>
    <t>cf_filDIA</t>
  </si>
  <si>
    <t>cf_numDIA</t>
  </si>
  <si>
    <t>Asientos de Diario Contable</t>
  </si>
  <si>
    <t>Hoja Diario</t>
  </si>
  <si>
    <t>Hoja Detalles</t>
  </si>
  <si>
    <t>Hoja Contribuyentes</t>
  </si>
  <si>
    <t>Hoja GASTOS</t>
  </si>
  <si>
    <t>Hoja ANULADOS</t>
  </si>
  <si>
    <t>Hoja EXPORTACIONES</t>
  </si>
  <si>
    <t>Hoja VENTAS</t>
  </si>
  <si>
    <t>Hoja REEMBOLSOS</t>
  </si>
  <si>
    <t>Hoja COMPRAS</t>
  </si>
  <si>
    <t>cf_filTES</t>
  </si>
  <si>
    <t>Hoja Tesoreria</t>
  </si>
  <si>
    <t>Comprobantes de Egresos</t>
  </si>
  <si>
    <t>Comprobantes de Ingresos</t>
  </si>
  <si>
    <t>NUMERACION CONTABILIDAD:</t>
  </si>
  <si>
    <t>NUMERACION TESORERIA:</t>
  </si>
  <si>
    <t>ND</t>
  </si>
  <si>
    <t>SUMINISTROS DE OFICINA</t>
  </si>
  <si>
    <t>ENTRADAS</t>
  </si>
  <si>
    <t>SALIDAS (Devoluciones)</t>
  </si>
  <si>
    <t>Tabla de Grupos Contables para generar Asientos Automaticos RETENCIONES</t>
  </si>
  <si>
    <t>Tabla de Grupos Contables para generar Asientos Automaticos INGRESOS y/o VENTAS</t>
  </si>
  <si>
    <t>Tabla de Grupos Contables para generar Asientos Automaticos COMPRAS y/o GASTOS</t>
  </si>
  <si>
    <t>HONORARIOS PROFESIONALES</t>
  </si>
  <si>
    <t>TRANSPORTE</t>
  </si>
  <si>
    <t>VIATICOS</t>
  </si>
  <si>
    <t>&lt;p1&gt;12334444&lt;/p1&gt;</t>
  </si>
  <si>
    <t>RETENCION 1 COMPRA(emitida)</t>
  </si>
  <si>
    <t>RETENCION 2 COMPRA(emitida)</t>
  </si>
  <si>
    <t>RETENCION 1 VENTA(recibida)</t>
  </si>
  <si>
    <t>RETENCION 2 VENTA(recibida)</t>
  </si>
  <si>
    <t>cc_ret1com</t>
  </si>
  <si>
    <t>cc_ret2com</t>
  </si>
  <si>
    <t>cc_ret1ven</t>
  </si>
  <si>
    <t>cc_ret2ven</t>
  </si>
  <si>
    <t>DATOS CONTRIBUYENTE (1)</t>
  </si>
  <si>
    <t>DATOS SRI (1)</t>
  </si>
  <si>
    <t>Suma de Devoluciones</t>
  </si>
  <si>
    <t>DATOS CONFIGURACION ESTABLECIMIENTOS</t>
  </si>
  <si>
    <t>GUIA DE REMISION / TRANSPORTISTA</t>
  </si>
  <si>
    <t>Otros Valores</t>
  </si>
  <si>
    <t>PARA CxCOBRAR</t>
  </si>
  <si>
    <t>PARA CxPAGAR</t>
  </si>
  <si>
    <t>DATOS SRI (2)</t>
  </si>
  <si>
    <t>DATOS CONTRIBUYENTE (2)</t>
  </si>
  <si>
    <t>OTROS DATOS(2)</t>
  </si>
  <si>
    <t>OTROS DATOS(1)</t>
  </si>
  <si>
    <t>Tipo de Regimen SRI</t>
  </si>
  <si>
    <t>dt_tpregi</t>
  </si>
  <si>
    <t>NUMERACION DETALLE HOJAS:</t>
  </si>
  <si>
    <t>Valor Retenido en ISD</t>
  </si>
  <si>
    <t>Valor Retención  IVA 100% Sector Publico</t>
  </si>
  <si>
    <t>Monto de IRBPNR</t>
  </si>
  <si>
    <t>Monto de OTROS</t>
  </si>
  <si>
    <t>&lt;p2&gt;12334444&lt;/p1&gt;</t>
  </si>
  <si>
    <t>Total Subsidios</t>
  </si>
  <si>
    <t>Monto de Propina + IRBPNR + OTROS</t>
  </si>
  <si>
    <t>8%</t>
  </si>
  <si>
    <t>Ruta Comprobantes Autorizados</t>
  </si>
  <si>
    <t>cf_mailPort</t>
  </si>
  <si>
    <t>cf_mailHost</t>
  </si>
  <si>
    <t>Puerto de Salida SMTP</t>
  </si>
  <si>
    <t>Nombre Host SMTP</t>
  </si>
  <si>
    <t>cf_mailUser</t>
  </si>
  <si>
    <t>Nombre de Usuario</t>
  </si>
  <si>
    <t>Clave de Usuario</t>
  </si>
  <si>
    <t>cf_mailConn</t>
  </si>
  <si>
    <t>cf_mailPass</t>
  </si>
  <si>
    <t>cf_mailAsun</t>
  </si>
  <si>
    <t>&lt;~TipoDocumento~&gt; Electronica de &lt;~NombreEmisor~&gt; - No. &lt;~NumeroDocumento~&gt;</t>
  </si>
  <si>
    <t>cf_mailBody</t>
  </si>
  <si>
    <t>Conexion Segura SSL</t>
  </si>
  <si>
    <t>cf_mailSend</t>
  </si>
  <si>
    <t>cf_mailCopy</t>
  </si>
  <si>
    <t>cf_mailResp</t>
  </si>
  <si>
    <t>587</t>
  </si>
  <si>
    <t>cf_mailServ</t>
  </si>
  <si>
    <t>Servidor de envio de Correo</t>
  </si>
  <si>
    <t>MS-OUTLOOK</t>
  </si>
  <si>
    <t>Estimad@ Cliente: &lt;~NombreReceptor~&gt;&lt;br&gt;
&lt;br&gt;
Adjunto sirvase encontrar el documento electronico emitido con el siguiente detalle:&lt;br&gt;
&lt;~TipoDocumento~&gt; No.: &lt;~NumeroDocumento~&gt;&lt;br&gt;
Fecha de Emision : &lt;~FechaEmision~&gt;&lt;br&gt;
&lt;br&gt;
El documento pdf y xml de su documento se encuentra adjunto a este correo.&lt;br&gt;
Gracias por preferirnos.&lt;br&gt;
&lt;br&gt;
Saludos cordiales&lt;br&gt;
&lt;br&gt;
&lt;~NombreEmisor~&gt;&lt;br&gt;
Direccion: &lt;~DireccionEmisor~&gt;&lt;br&gt;
Telf(s): &lt;~TelefonoEmisor~&gt;&lt;br&gt;
Email: &lt;~EmailEmisor~&gt;&lt;br&gt;
&lt;br&gt;
NOTA: Este es un correo automatico y NO es necesario responder.&lt;br&gt;</t>
  </si>
  <si>
    <t>DocCompras</t>
  </si>
  <si>
    <t>Sustentos</t>
  </si>
  <si>
    <t>FormaPagos</t>
  </si>
  <si>
    <t>N</t>
  </si>
  <si>
    <t>14%</t>
  </si>
  <si>
    <t>DocVentas</t>
  </si>
  <si>
    <t>Ret-FUENTE</t>
  </si>
  <si>
    <t>Paises-RGEN</t>
  </si>
  <si>
    <t>Paises-PFIS</t>
  </si>
  <si>
    <t>Paises-EXP</t>
  </si>
  <si>
    <t>Tipos-EXP</t>
  </si>
  <si>
    <t>Distritos</t>
  </si>
  <si>
    <t>Ing-Exterior</t>
  </si>
  <si>
    <t>Ret-ICE</t>
  </si>
  <si>
    <t>Ret-IRBPNR</t>
  </si>
  <si>
    <t>Abreviacion  
Inicial</t>
  </si>
  <si>
    <t>DC</t>
  </si>
  <si>
    <t>DR</t>
  </si>
  <si>
    <t>DV</t>
  </si>
  <si>
    <t>DE</t>
  </si>
  <si>
    <t>DA</t>
  </si>
  <si>
    <t>DG</t>
  </si>
  <si>
    <t>DD</t>
  </si>
  <si>
    <t>DT</t>
  </si>
  <si>
    <t>DS</t>
  </si>
  <si>
    <t>CD</t>
  </si>
  <si>
    <t>RIMPE EMPRENDEDOR</t>
  </si>
  <si>
    <t>C:\SRIanexos\Documentos\Autorizados</t>
  </si>
  <si>
    <t>Formatos de Impresión RIDE ==&gt;&gt;</t>
  </si>
  <si>
    <t>|</t>
  </si>
  <si>
    <t>Formato Impresión Contribuyente =&gt;</t>
  </si>
  <si>
    <t>cf_printride</t>
  </si>
  <si>
    <t>cf_printform</t>
  </si>
  <si>
    <t>RIDE01a</t>
  </si>
  <si>
    <t>RIDE03a</t>
  </si>
  <si>
    <t>RIDE04a</t>
  </si>
  <si>
    <t>RIDE05a</t>
  </si>
  <si>
    <t>RIDE07a</t>
  </si>
  <si>
    <t>RIDE06a</t>
  </si>
  <si>
    <t>TI</t>
  </si>
  <si>
    <t>TE</t>
  </si>
  <si>
    <t>cf_filART</t>
  </si>
  <si>
    <t>Hoja Articulos</t>
  </si>
  <si>
    <t>INFORMACION DE LA RETENCION ELECTRONICA EMITIDA</t>
  </si>
  <si>
    <t>INFORMACION DE LA LIQUIDACION DE COMPRA BIENES Y SERVICIOS ELECTRONICA EMITIDA</t>
  </si>
  <si>
    <t>----------------- Bases Imponibles para Formulario 104 ------------------</t>
  </si>
  <si>
    <t>------ Bases Imponibles del documento de COMPRA ------</t>
  </si>
  <si>
    <t>------------------------------ Informacion del documento de Retencion ---------------------------------</t>
  </si>
  <si>
    <t>----------------------------------- Datos de Retenciones IVA en Compras -----------------------------------</t>
  </si>
  <si>
    <t>---------- Informacion de COMPRAS para CONTABILIDAD -----------</t>
  </si>
  <si>
    <t>------ Informacion de RETENCIONES para CONTABILIDAD ------</t>
  </si>
  <si>
    <t>------------------------   Datos de Pagos de Facturas Compras  ----------------------------------</t>
  </si>
  <si>
    <t>Código Form. (104)  1</t>
  </si>
  <si>
    <t>Código Form. (104)  2</t>
  </si>
  <si>
    <t>Código Form. (104)  3</t>
  </si>
  <si>
    <t>Establecimiento Ret.</t>
  </si>
  <si>
    <t>Punto Emisión Ret.</t>
  </si>
  <si>
    <t>Numero Secuencial Ret.</t>
  </si>
  <si>
    <t>Numero Autorización S.R.I. Retención</t>
  </si>
  <si>
    <t>Contabilizacion de la COMPRA</t>
  </si>
  <si>
    <t>Contabilizacion de la RETENCION Recibida</t>
  </si>
  <si>
    <t>Contabilizacion de la RETENCION EMITIDA</t>
  </si>
  <si>
    <t>INFORMACION DEL DOCUMENTO ELECTRONICO EMITIDO (FACTURA / NOTA CREDITO / NOTA DEBITO)</t>
  </si>
  <si>
    <t>DATOS INFORMACION ADICIONAL</t>
  </si>
  <si>
    <t>DATOS INFORMACION ADICIONAL (2)</t>
  </si>
  <si>
    <t>DATOS INFORMACION ADICIONAL (1)</t>
  </si>
  <si>
    <t>------- Contabilizacion del documento de Retencion -------</t>
  </si>
  <si>
    <t xml:space="preserve"> ------------------------------------------ Totales del documento soporte del REEMBOLSO  ----------------------------------------</t>
  </si>
  <si>
    <t>TOTAL ANUAL</t>
  </si>
  <si>
    <t>IMPUESTO A LA RENTA SOBRE FRACCION BASICA</t>
  </si>
  <si>
    <t>IMPUESTO A LA RENTA SOBRE FRACCION EXCEDENTE</t>
  </si>
  <si>
    <t>Limite Inferior</t>
  </si>
  <si>
    <t>Limite Superior</t>
  </si>
  <si>
    <t>Tipo Marginal %</t>
  </si>
  <si>
    <t>INGRESOS</t>
  </si>
  <si>
    <t>TOTAL DE INGRESOS GRAVABLES</t>
  </si>
  <si>
    <t>ICE en IVA</t>
  </si>
  <si>
    <t>332-Otras compras de bienes y servicios no sujetas a retención (incluye régimen RIMPE - Negocios Populares, para este caso aplica con cualquier forma de pago inclusive los pagos que deban realizar las tarjetas de crédito/débito)</t>
  </si>
  <si>
    <t>343-Otras retenciones aplicables el 1% (incluye régimen RIMPE - Emprendedores, para este caso aplica con cualquier forma de pago inclusive los pagos que deban realizar las tarjetas de crédito/débito)</t>
  </si>
  <si>
    <t>x</t>
  </si>
  <si>
    <t>dt_licele07</t>
  </si>
  <si>
    <t>dt_licele01</t>
  </si>
  <si>
    <t>dt_licele03</t>
  </si>
  <si>
    <t>Licencia Emisor FACTURAS:</t>
  </si>
  <si>
    <t>Licencia Emisor LIQ.COMPRAS:</t>
  </si>
  <si>
    <t>Licencia Emisor RETENCIONES:</t>
  </si>
  <si>
    <t>&lt;== cambie por su clave para emitir RETENCIONES electronicas</t>
  </si>
  <si>
    <t>&lt;== cambie por su clave para emitir LIQ.COMPRAS electronicas</t>
  </si>
  <si>
    <t>&lt;== cambie por su clave para emitir FACTURAS electronicas</t>
  </si>
  <si>
    <t>Guardar datos de Clientes</t>
  </si>
  <si>
    <t>Guardar datos de Proveedores</t>
  </si>
  <si>
    <t>cf_savpro</t>
  </si>
  <si>
    <t>cf_savcli</t>
  </si>
  <si>
    <t>HA</t>
  </si>
  <si>
    <t>HC</t>
  </si>
  <si>
    <t>Ventas locales (excluye activos fijos) gravadas tarifa diferente de cero</t>
  </si>
  <si>
    <t>Ventas de activos fijos gravadas tarifa diferente de cero</t>
  </si>
  <si>
    <t>Ventas locales (excluye activos fijos) gravadas tarifa diferente de cero (TARIFA VARIABLE)</t>
  </si>
  <si>
    <t>IVA generado en la diferencia entre ventas y notas de crédito con distinta tarifa (ajuste a pagar)</t>
  </si>
  <si>
    <t>IVA generado en la diferencia entre ventas y notas de crédito con distinta tarifa (ajuste a favor)</t>
  </si>
  <si>
    <t>Ventas locales (excluye activos fijos) gravadas tarifa 0% que no dan derecho a crédito tributario</t>
  </si>
  <si>
    <t>Ventas de activos fijos gravadas tarifa 0% que no dan derecho a crédito tributario</t>
  </si>
  <si>
    <t>Ventas locales (excluye activos fijos) gravadas tarifa 0% que dan derecho a crédito tributario</t>
  </si>
  <si>
    <t>Ventas de activos fijos gravadas tarifa 0% que dan derecho a crédito tributario</t>
  </si>
  <si>
    <t>Exportaciones de bienes</t>
  </si>
  <si>
    <t>Exportaciones de servicios y/o derechos</t>
  </si>
  <si>
    <t>410</t>
  </si>
  <si>
    <t>420</t>
  </si>
  <si>
    <t>430</t>
  </si>
  <si>
    <t>Transferencias no objeto o exentas de IVA</t>
  </si>
  <si>
    <t xml:space="preserve">Notas de crédito tarifa 0% por compensar próximo mes </t>
  </si>
  <si>
    <t>Notas de crédito tarifa diferente de cero por compensar próximo mes</t>
  </si>
  <si>
    <t>Ingresos por reembolso como intermediario / valores facturados por operadoras de transporte / ingresos obtenidos por parte de las sociedades de gestión colectiva como intermediarios (informativo)</t>
  </si>
  <si>
    <t>530</t>
  </si>
  <si>
    <t>533</t>
  </si>
  <si>
    <t>534</t>
  </si>
  <si>
    <t>Adquisiciones y pagos (excluye activos fijos) gravados tarifa diferente de cero (con derecho a crédito tributario)</t>
  </si>
  <si>
    <t xml:space="preserve">Adquisiciones locales de activos fijos gravados tarifa diferente de cero (con derecho a crédito tributario) </t>
  </si>
  <si>
    <t>Otras adquisiciones y pagos gravados tarifa diferente de cero (sin derecho a crédito tributario)</t>
  </si>
  <si>
    <t>Importaciones de servicios y/o derechos gravados tarifa diferente de cero</t>
  </si>
  <si>
    <t>Importaciones de bienes (excluye activos fijos) gravados tarifa diferente de cero</t>
  </si>
  <si>
    <t>Importaciones de activos fijos gravados tarifa diferente de cero</t>
  </si>
  <si>
    <t>IVA generado en la diferencia entre adquisiciones y notas de crédito con distinta tarifa (ajuste en positivo al crédito tributario)</t>
  </si>
  <si>
    <t>IVA generado en la diferencia entre adquisiciones y notas de crédito con distinta tarifa (ajuste en negativo al crédito tributario)</t>
  </si>
  <si>
    <t>Importaciones de bienes (incluye activos fijos) gravados tarifa 0%</t>
  </si>
  <si>
    <t>Adquisiciones y pagos (incluye activos fijos) gravados tarifa 0%</t>
  </si>
  <si>
    <t>Adquisiciones realizadas a contribuyentes RISE (hasta diciembre 2021), NEGOCIOS POPULARES  (desde enero 2022)</t>
  </si>
  <si>
    <t>Adquisiciones no objeto de IVA</t>
  </si>
  <si>
    <t>Adquisiciones exentas del pago de IVA</t>
  </si>
  <si>
    <t>Notas de crédito tarifa 0% por compensar próximo mes</t>
  </si>
  <si>
    <t>Notas de crédito tarifa  diferente de cero por compensar próximo mes</t>
  </si>
  <si>
    <t>Pagos netos por reembolso como intermediario / valores facturados por socios a operadoras de transporte / pagos realizados por parte de las sociedades de gestión colectiva como intermediarios (informativo)</t>
  </si>
  <si>
    <t>TOTAL LIQUIDACIONES DE COMPRA EMITIDAS (por pago tarifa 0% de IVA o por reembolsos en relacion de dependencia)</t>
  </si>
  <si>
    <t>Impuesto causado</t>
  </si>
  <si>
    <t>Crédito tributario aplicable en este período</t>
  </si>
  <si>
    <t>(-) Compensación de IVA por ventas efectuadas con medio electrónico y/o IVA devuelto o descontado por transacciones realizadas con personas adultas mayores o personas con discapacidad</t>
  </si>
  <si>
    <t>(-) Compensación de IVA por ventas efectuadas en zonas afectadas - Ley de solidaridad, restitución de crédito tributario en resoluciones administrativas o sentencias judiciales de última instancia</t>
  </si>
  <si>
    <t>(si la diferencia de los campos 499-564 es mayor que cero)</t>
  </si>
  <si>
    <t>(si la diferencia de los campos 499-564 es menor que cero)</t>
  </si>
  <si>
    <t>Por adquisiciones e importaciones</t>
  </si>
  <si>
    <t>Por retenciones en la fuente de IVA que le han sido efectuadas</t>
  </si>
  <si>
    <t>Por compensación de IVA por ventas efectuadas con medio  electrónico</t>
  </si>
  <si>
    <t>Por compensación de IVA por ventas efectuadas en zonas afectadas - Ley de solidaridad, restitución de crédito tributario en resoluciones administrativas o sentencias judiciales de última instancia</t>
  </si>
  <si>
    <t>(trasládese el campo 615 de la declaración del período anterior)</t>
  </si>
  <si>
    <t>(trasládese el campo 617 de la declaración del período anterior)</t>
  </si>
  <si>
    <t>(trasládese el campo 618 de la declaración del período anterior)</t>
  </si>
  <si>
    <t>(trasládese el campo 619 de la declaración del período anterior)</t>
  </si>
  <si>
    <t>(-) Retenciones en la fuente de IVA que le han sido efectuadas en este período</t>
  </si>
  <si>
    <t>(-) IVA devuelto o descontado por transacciones realizadas con personas adultas mayores o personas con discapacidad</t>
  </si>
  <si>
    <t>(+) Ajuste por IVA devuelto o descontado por adquisiciones efectuadas con medio electrónico</t>
  </si>
  <si>
    <t>(+) Ajuste por IVA devuelto o descontado en adquisiciones efectuadas en zonas afectadas - Ley de solidaridad</t>
  </si>
  <si>
    <t>(+) Ajuste por IVA devuelto e IVA rechazado (por concepto de devoluciones de IVA), ajuste de IVA por procesos de control y otros (adquisiciones en importaciones), imputables al crédito tributario</t>
  </si>
  <si>
    <t>(+) Ajuste por IVA devuelto e IVA rechazado, ajuste de IVA por procesos de control y otros (por concepto retenciones en la fuente de IVA), imputables al crédito tributario</t>
  </si>
  <si>
    <t>(+) Ajuste por IVA devuelto por otras instituciones del sector público imputable al crédito tributario en el mes</t>
  </si>
  <si>
    <t xml:space="preserve">Por adquisiciones e importaciones    </t>
  </si>
  <si>
    <t>Por compensación de IVA por ventas efectuadas con medio electrónico</t>
  </si>
  <si>
    <t>IVA PRESUNTIVO DE SALAS DE JUEGO (BINGO MECÁNICOS) Y OTROS JUEGOS DE AZAR (Aplica para Ejercicios Anteriores al 2013), RETENCIÓN DE IVA EN VENTAS DIFERENTES PORCENTAJES (aplica para Ejercicios posteriores al 2021)</t>
  </si>
  <si>
    <t>TOTAL IMPUESTO A PAGAR POR PERCEPCIÓN Y RETENCIONES EFECTUADAS EN VENTAS (varios porcentajes)</t>
  </si>
  <si>
    <t>622</t>
  </si>
  <si>
    <t>Retención del 10%</t>
  </si>
  <si>
    <t>Retención del 20%</t>
  </si>
  <si>
    <t>Retención del 30%</t>
  </si>
  <si>
    <t>Retención del 50%</t>
  </si>
  <si>
    <t>Retención del 70%</t>
  </si>
  <si>
    <t>Retención del 100%</t>
  </si>
  <si>
    <t>Devolución provisional de IVA mediante compensación con retenciones efectuadas</t>
  </si>
  <si>
    <t>Retenciones efectuadas y no pagadas sector público, universidades y escuelas politécnicas</t>
  </si>
  <si>
    <t>802</t>
  </si>
  <si>
    <t>(799-800-802)</t>
  </si>
  <si>
    <t>Pago directo en cuenta única del tesoro nacional (uso exclusivo para instituciones y empresas del sector público autorizadas)</t>
  </si>
  <si>
    <t xml:space="preserve"> Nº. DECRETO TURISMO</t>
  </si>
  <si>
    <t>DIVIDENDOS EN ACCIONES (CAPITALIZACIÓN DE UTILIDADES)</t>
  </si>
  <si>
    <t>Ret.100% IVA  EMITIDAS (Compras) Sector Publico Informati</t>
  </si>
  <si>
    <t>Impresion Directa - RIDE</t>
  </si>
  <si>
    <t>Impresion Directa - FORMULARIO</t>
  </si>
  <si>
    <t>cf_impform</t>
  </si>
  <si>
    <t>cf_impride</t>
  </si>
  <si>
    <t>Previsualizar</t>
  </si>
  <si>
    <t>Autocodigo VENTAS</t>
  </si>
  <si>
    <t>NORMAL01a</t>
  </si>
  <si>
    <t>NORMAL03a</t>
  </si>
  <si>
    <t>NORMAL04a</t>
  </si>
  <si>
    <t>NORMAL05a</t>
  </si>
  <si>
    <t>NORMAL07a</t>
  </si>
  <si>
    <t>NORMAL06a</t>
  </si>
  <si>
    <t>dt_tipdec</t>
  </si>
  <si>
    <t>Tipo de Declaracion Formularios</t>
  </si>
  <si>
    <t>MENSUAL</t>
  </si>
  <si>
    <t>Base_Form.104_Nograv/Exenta</t>
  </si>
  <si>
    <t>IVA_Form.104 Base 444</t>
  </si>
  <si>
    <t>Liq.Imp. Base_NOgrav/Exenta</t>
  </si>
  <si>
    <t>Liq.Imp. IVA Reembolso 545</t>
  </si>
  <si>
    <t>Liq.Imp. IVA Gastos 512</t>
  </si>
  <si>
    <t>Liq.Imp. IVA Credito Tributario</t>
  </si>
  <si>
    <t>Liq. Imp. Ret_FTE</t>
  </si>
  <si>
    <t>Liq. Imp. Ret_IVA 100% Sector Publico</t>
  </si>
  <si>
    <t>Liq. Imp. Sumatoria Ret_IVA</t>
  </si>
  <si>
    <t>Tipo de Emision del Comprobante (opcional)</t>
  </si>
  <si>
    <t>No. Documento Retencion (Opcional)</t>
  </si>
  <si>
    <t>Fecha Retencion (Opcional)</t>
  </si>
  <si>
    <t>No. Autorizacion (Opcional)</t>
  </si>
  <si>
    <t>------------------------------------- Informacion del documento de Retencion -------------------------------------</t>
  </si>
  <si>
    <t>No. Documento (Opcional)</t>
  </si>
  <si>
    <t>Concepto de la Venta (Opcional)</t>
  </si>
  <si>
    <t>---------------------------------------- Informacion de Cabecera del documento de VENTA ----------------------------------------</t>
  </si>
  <si>
    <t>--------------- (Obligatorio si es PASAPORTE el ID)  ---------------</t>
  </si>
  <si>
    <t>Tipo de ACTIVIDAD (Opcional)</t>
  </si>
  <si>
    <t>cc_asiing</t>
  </si>
  <si>
    <t>cc_asigas</t>
  </si>
  <si>
    <t>--------------------------------- Bases Imponibles  / Tarifa del Impuesto / Totales del Documento de VENTA ---------------------------------</t>
  </si>
  <si>
    <t>Concepto de la Compra (Opcional)</t>
  </si>
  <si>
    <t>(segun columna CP = 01)</t>
  </si>
  <si>
    <t>(segun columna CP= 02)</t>
  </si>
  <si>
    <t>(segun columna CP= 03)</t>
  </si>
  <si>
    <t>(segun columna CM= 02-PAGO A NO RESIDENTE)</t>
  </si>
  <si>
    <t>(Obligatorio si columna L = 03-Exportaciones de servicios)</t>
  </si>
  <si>
    <t>Col. dependientes G-H-I</t>
  </si>
  <si>
    <t>(si columna L = 01)</t>
  </si>
  <si>
    <t>Columnas dependientes M-N-O-P-Q-S-T-U-V-W</t>
  </si>
  <si>
    <t>(Obligatorio si columna L = 01-Exportación de bienes con Refrendo</t>
  </si>
  <si>
    <t>HC0000001</t>
  </si>
  <si>
    <t>Autocodigo ARTICULOS</t>
  </si>
  <si>
    <t>TESORERIA - DETALLE DE COBROS Y PAGOS</t>
  </si>
  <si>
    <t>CONTABILIDAD - DETALLE DE ASIENTOS DE DIARIO CONTABLE</t>
  </si>
  <si>
    <t>Imp. Frac. Básica</t>
  </si>
  <si>
    <t>GENERAL</t>
  </si>
  <si>
    <t>NUMERACION Y FORMATOS DE IMPRESIÓN EN DOCUMENTOS ELECTRONICOS:</t>
  </si>
  <si>
    <t>cf_numdo6</t>
  </si>
  <si>
    <t>cf_numdo7</t>
  </si>
  <si>
    <t>cf_numdo8</t>
  </si>
  <si>
    <t>cf_numdo9</t>
  </si>
  <si>
    <t>&lt;== modificar por sus datos (25 / 465 / 587)</t>
  </si>
  <si>
    <t>miemail@gmail.com</t>
  </si>
  <si>
    <t>miclaveEmail</t>
  </si>
  <si>
    <t>miemail@hotmail.com</t>
  </si>
  <si>
    <t>CONFIGURACION DEL ENVIO DE EMAILS:</t>
  </si>
  <si>
    <t>CONFIGURACION DE PARAMETROS GENERALES:</t>
  </si>
  <si>
    <t>Version de Plantilla:</t>
  </si>
  <si>
    <t xml:space="preserve">Descripciones </t>
  </si>
  <si>
    <t>Porcentajes</t>
  </si>
  <si>
    <t>Numeracion de Indices para documentos y detalles (NO MODIFICAR)</t>
  </si>
  <si>
    <t>IVAtarifas</t>
  </si>
  <si>
    <t>Actividades</t>
  </si>
  <si>
    <t>DocExport</t>
  </si>
  <si>
    <t>C:\SRIanexos\Electronicos\mifirma.p12</t>
  </si>
  <si>
    <t>miclavep12</t>
  </si>
  <si>
    <t>IVA_Form.104_413/414</t>
  </si>
  <si>
    <t>C.T.</t>
  </si>
  <si>
    <t>001-999-MATRIZ</t>
  </si>
  <si>
    <t>&lt;dire&gt;MANTA&lt;/dire&gt;&lt;logo&gt;C:\SRIanexos\Imagenes\blank.jpg&lt;/logo&gt;</t>
  </si>
  <si>
    <t>smtp.gmail.com</t>
  </si>
  <si>
    <t>Tipo Documento</t>
  </si>
  <si>
    <t>SERVER_3</t>
  </si>
  <si>
    <t>DETALLE DE GUIAS DE REMISION</t>
  </si>
  <si>
    <t>No. de Identificacion Transportista</t>
  </si>
  <si>
    <t>Razon Social Transportista</t>
  </si>
  <si>
    <t>No. de Placa</t>
  </si>
  <si>
    <t>Fecha de Fin de  Transporte</t>
  </si>
  <si>
    <t>Fecha de Inicio Transporte</t>
  </si>
  <si>
    <t>Direccion de Partida del transporte</t>
  </si>
  <si>
    <t>No. de Identificacion Destinatario</t>
  </si>
  <si>
    <t>Razon Social Destinatario</t>
  </si>
  <si>
    <t>Direccion de Destinatario</t>
  </si>
  <si>
    <t>Motivo del traslado</t>
  </si>
  <si>
    <t>No. de documento Aduanero Unico</t>
  </si>
  <si>
    <t>Ruta</t>
  </si>
  <si>
    <t>Comprobante de Sustento</t>
  </si>
  <si>
    <t>Numero documento Sustento</t>
  </si>
  <si>
    <t>Numero Autorización S.R.I. del documento Sustento</t>
  </si>
  <si>
    <t>-------- Datos del documento de Sustento --------</t>
  </si>
  <si>
    <t>Razon Social Contribuyente Emisor</t>
  </si>
  <si>
    <t>No. de Identificacion Emisor</t>
  </si>
  <si>
    <t>-------- Datos Principales del documento de la Guia de Remision --------</t>
  </si>
  <si>
    <t>---------------------------------------- Datos del transportista y direccion de traslado de mercaderia ----------------------------------------</t>
  </si>
  <si>
    <t>---------------------------------------- Datos del Destinatario y del documento de Sustento ----------------------------------------</t>
  </si>
  <si>
    <t>Fecha de Emisión Documento Sustento</t>
  </si>
  <si>
    <t>Hoja GUIAS REMISION</t>
  </si>
  <si>
    <t>DM</t>
  </si>
  <si>
    <t>cf_filGUI</t>
  </si>
  <si>
    <t>Codigo Automatico</t>
  </si>
  <si>
    <t>TABLA IMPTO. REGIMEN RIMPE EMPRENDEDOR</t>
  </si>
  <si>
    <t>TABLA IMPTO. REGIMEN RIMPE NEG.POPULAR</t>
  </si>
  <si>
    <t>Pago Anual</t>
  </si>
  <si>
    <t>RIMPE</t>
  </si>
  <si>
    <t>TIPO DE REGIMEN:</t>
  </si>
  <si>
    <t xml:space="preserve">335-Loterías, rifas, pronósticos deportivos, apuestas y similares </t>
  </si>
  <si>
    <t>346C-Retención a cargo del propio sujeto pasivo por la producción y/o comercialización de minerales y otros bienes</t>
  </si>
  <si>
    <t>513-Pago a no residentes- Artistas (25% o 37%)</t>
  </si>
  <si>
    <t>AUTORETENCIONES GRANDES CONTRIBUYENTES</t>
  </si>
  <si>
    <t>15%</t>
  </si>
  <si>
    <t>5%</t>
  </si>
  <si>
    <t>13%</t>
  </si>
  <si>
    <t>303A</t>
  </si>
  <si>
    <t>Servicios profesionales prestados por sociedades residentes</t>
  </si>
  <si>
    <t>303A-Servicios profesionales prestados por sociedades residentes</t>
  </si>
  <si>
    <t>308-Utilización o aprovechamiento de la imagen o renombre (personas naturales, sociedades," influencers")</t>
  </si>
  <si>
    <t xml:space="preserve">312A-COMPRAS AL PRODUCTOR: de bienes de origen bioacuático, forestal y los descritos  el art.27.1 de LRTI </t>
  </si>
  <si>
    <t>312C</t>
  </si>
  <si>
    <t>312C-COMPRAS AL COMERCIALIZADOR: de bienes de origen bioacuático, forestal y los descritos  el art.27.1 de LRTI</t>
  </si>
  <si>
    <t>314A-Regalías por concepto de franquicias de acuerdo al Código INGENIOS (COESCCI) - pago a personas naturales</t>
  </si>
  <si>
    <t>314B-Cánones, derechos de autor,  marcas, patentes y similares de acuerdo  al Código INGENIOS (COESCCI) – pago a personas naturales</t>
  </si>
  <si>
    <t>314C-Regalías por concepto de franquicias de acuerdo al Código INGENIOS (COESCCI) - pago a sociades</t>
  </si>
  <si>
    <t xml:space="preserve">314D-Cánones, derechos de autor,  marcas, patentes y similares de acuerdo  al Código INGENIOS (COESCCI)  </t>
  </si>
  <si>
    <t>343C-Recepción de botellas plásticas no retornables de PET</t>
  </si>
  <si>
    <t>3482-Comisiones  a sociedades, nacionales o extranjeras residentes y establecimientos permanentes domiciliados en el país</t>
  </si>
  <si>
    <t>089-HONG KONG</t>
  </si>
  <si>
    <t>COMPRAS AL COMERCIALIZADOR: de bienes de origen bioacuático, forestal y los descritos  el art.27.1 de LRTI</t>
  </si>
  <si>
    <t>Honorarios profesionales y dietas</t>
  </si>
  <si>
    <t>1
VIVIENDA</t>
  </si>
  <si>
    <t>2
VESTIMENTA</t>
  </si>
  <si>
    <t>3
SALUD</t>
  </si>
  <si>
    <t>4
EDUCACION</t>
  </si>
  <si>
    <t>5
ALIMENTACION</t>
  </si>
  <si>
    <t>6
TURISMO</t>
  </si>
  <si>
    <t>TOTALES GASTOS PERSONALES</t>
  </si>
  <si>
    <t>Total G.Pers. deducible sin Impuestos</t>
  </si>
  <si>
    <t>Predeterminado</t>
  </si>
  <si>
    <t>SERVICIOS PROFESIONALES PRESTADOS POR SOCIEDADES RESIDENTES</t>
  </si>
  <si>
    <t xml:space="preserve">COMPRAS AL PRODUCTOR: de bienes de origen bioacuático, forestal y los descritos  el art.27.1 de LRTI </t>
  </si>
  <si>
    <t>COMISIONES A SOCIEDADES, NACIONALES O EXTRANJERAS RESIDENTES Y ESTABLECIMIENTOS PERMANENTES DOMICILIADOS EN EL PAÍS</t>
  </si>
  <si>
    <t>Ventas locales (excluye activos fijos) gravadas tarifa 5%</t>
  </si>
  <si>
    <t>425</t>
  </si>
  <si>
    <t>435</t>
  </si>
  <si>
    <t>445</t>
  </si>
  <si>
    <t>540</t>
  </si>
  <si>
    <t>550</t>
  </si>
  <si>
    <t>560</t>
  </si>
  <si>
    <t>(411+412+420+435+415+416+417+418) / 419</t>
  </si>
  <si>
    <t>(520+521+534+560+523+524+525+526-527) x 563</t>
  </si>
  <si>
    <t>POR PAGOS EFECTUADOS A RESIDENTES Y ESTABLECIMIENTOS PERMANENTES</t>
  </si>
  <si>
    <t>DERIVADAS DEL TRABAJO Y SERVICIOS PRESTADOS</t>
  </si>
  <si>
    <t>POR BIENES Y SERVICIOS</t>
  </si>
  <si>
    <t>ACTIVIDADES DE CONSTRUCCIÓN DE OBRA MATERIAL INMUEBLE, URBANIZACIÓN, LOTIZACIÓN O ACTIVIDADES SIMILARES</t>
  </si>
  <si>
    <r>
      <rPr>
        <b/>
        <sz val="10"/>
        <rFont val="Arial"/>
        <family val="2"/>
      </rPr>
      <t>PAGOS APLICABLES EL 1%</t>
    </r>
    <r>
      <rPr>
        <sz val="10"/>
        <rFont val="Arial"/>
        <family val="2"/>
      </rPr>
      <t xml:space="preserve"> (Energía Eléctrica y régimen RIMPE - Emprendedores, para este caso aplica con cualquier forma de pago inclusive los pagos que deban realizar las tarjetas de crédito/débito)</t>
    </r>
  </si>
  <si>
    <t>PAGOS DE BIENES Y SERVICIOS NO SUJETOS A RETENCIÓN O CON 0% (DISTINTOS DE RENDIMIENTOS FINANCIEROS)</t>
  </si>
  <si>
    <r>
      <rPr>
        <b/>
        <sz val="10"/>
        <rFont val="Arial"/>
        <family val="2"/>
      </rPr>
      <t xml:space="preserve">COMPRAS AL COMERCIALIZADOR: </t>
    </r>
    <r>
      <rPr>
        <sz val="10"/>
        <rFont val="Arial"/>
        <family val="2"/>
      </rPr>
      <t>de bienes de origen agrícola, avícola, pecuario, apícola, cunícola, bioacuático, forestal y carnes en
estado natural y los descritos en el art.27.1 de LRTI.</t>
    </r>
  </si>
  <si>
    <r>
      <rPr>
        <b/>
        <sz val="10"/>
        <rFont val="Arial"/>
        <family val="2"/>
      </rPr>
      <t>COMPRAS AL PRODUCTOR:</t>
    </r>
    <r>
      <rPr>
        <sz val="10"/>
        <rFont val="Arial"/>
        <family val="2"/>
      </rPr>
      <t xml:space="preserve"> de bienes de origen agrícola, avícola, pecuario, apícola, cunícola, bioacuático, forestal y carnes en estado natural y los descritos en el art.27.1 de LRTI.</t>
    </r>
  </si>
  <si>
    <t>POR REGALIAS, COMISIONES, ARRENDAMIENTOS Y OTROS</t>
  </si>
  <si>
    <t>Comisiones pagadas a sociedades, nacionales o extranjeras residentes en el Ecuador y establecimientos permanentes domiciliados en el país</t>
  </si>
  <si>
    <t>RELACIONADAS CON EL CAPITAL ( RENDIMIENTOS, GANANCIAS, DIVIDENDOS Y OTROS)</t>
  </si>
  <si>
    <t>OTROS RENDIMIENTOS FINANCIEROS 0%</t>
  </si>
  <si>
    <t>GANANCIA EN LA ENAJENACIÓN DE DERECHOS REPRESENTATIVOS DE CAPITAL U OTROS DERECHOS QUE PERMITAN LA EXPLORACIÓN, EXPLOTACIÓN, CONCESIÓN O SIMILARES DE SOCIEDADES, QUE SE COTICEN EN LAS BOLSAS DE VALORES DEL ECUADOR</t>
  </si>
  <si>
    <t>CONTRAPRESTACIÓN EN LA ENAJENACIÓN DE DERECHOS REPRESENTATIVOS DE CAPITAL U OTROS DERECHOS QUE PERMITAN LA EXPLORACIÓN, EXPLOTACIÓN, CONCESIÓN O SIMILARES DE SOCIEDADES, NO COTIZADOS EN LAS BOLSAS DE VALORES DEL ECUADOR</t>
  </si>
  <si>
    <t>POR LOTERIAS Y PREMIOS</t>
  </si>
  <si>
    <t>LOTERÍAS, RIFAS, APUESTAS, PRONÓSTICOS DEPORTIVOS Y SIMILARES</t>
  </si>
  <si>
    <t>AUTORRETENCIONES Y OTRAS RETENCIONES</t>
  </si>
  <si>
    <t>RETENCIÓN A CARGO DEL PROPIO SUJETO PASIVO POR LA COMERCIALIZACIÓN DE PRODUCTOS FORESTALES</t>
  </si>
  <si>
    <t>OTRAS AUTORETENCIONES (inciso 1 y 2 Art.92.1 RLRTI)</t>
  </si>
  <si>
    <t xml:space="preserve">APLICABLES A OTROS PORCENTAJES ( Por Donaciones en dinero -Impuesto a las donaciones ) </t>
  </si>
  <si>
    <t>LIQUIDACIÓN DE IMPUESTO A LA RENTA ÚNICO</t>
  </si>
  <si>
    <t>IRU BANANO</t>
  </si>
  <si>
    <t>IRU PRONOSTICOS DEPORTIVOS</t>
  </si>
  <si>
    <t>Impuesto a la renta único sobre los ingresos percibidos por los operadores de pronósticos deportivos (vigente desde 01/07/2024)</t>
  </si>
  <si>
    <t>(+) INGRESOS GENERADOS POR LA ACTIVIDAD ECONÓMICA DE PRONÓSTICOS DEPORTIVOS</t>
  </si>
  <si>
    <t>(+) COMISIONES DERIVADAS DE LA ACTIVIDAD DE PRONÓSTICOS DEPORTIVOS</t>
  </si>
  <si>
    <t>(-) PREMIOS PAGADOS POR PRONÓSTICOS DEPORTIVOS</t>
  </si>
  <si>
    <t>IMPUESTO A LA RENTA ÚNICO SOBRE LOS INGRESOS PERCIBIDOS POR LOS OPERADORES DE PRONÓSTICOS DEPORTIVOS</t>
  </si>
  <si>
    <t>Adquisiciones y pagos (excluye activos fijos) gravados tarifa 5% (con derecho a crédito tributario)</t>
  </si>
  <si>
    <t>Tarifa1 de IVA aplicada</t>
  </si>
  <si>
    <t>Tarifa2 de IVA aplicada</t>
  </si>
  <si>
    <t>IVA_Form.104_411/412/420/435</t>
  </si>
  <si>
    <t>IVA-NOR*</t>
  </si>
  <si>
    <t>IVA-NOR</t>
  </si>
  <si>
    <t>IVA-ESP*</t>
  </si>
  <si>
    <t>Con Tarifa IVA Normal Activa * POR DEFECTO</t>
  </si>
  <si>
    <t>Con Tarifa IVA Especial * POR DEFECTO</t>
  </si>
  <si>
    <t>IVA-CONS*</t>
  </si>
  <si>
    <t>Con Tarifa para Construccion * POR DEFECTO</t>
  </si>
  <si>
    <t>Tarifa3 de IVA aplicada</t>
  </si>
  <si>
    <t>Tarifa de IVA</t>
  </si>
  <si>
    <t>Adquisiciones y pagos (excluye activos fijos) gravados tarifa diferente de cero (con derecho a créd.trib.tarifa variable)</t>
  </si>
  <si>
    <t xml:space="preserve">42-Documento retención presuntiva y retención emitida por propio vendedor o por intermediario. </t>
  </si>
  <si>
    <t>Monto de IRBPNR y/o Otros</t>
  </si>
  <si>
    <t>2024.v01</t>
  </si>
  <si>
    <t>01-PAGO A RESIDENTE</t>
  </si>
  <si>
    <t>01-REGIMEN GENERAL</t>
  </si>
  <si>
    <t>07</t>
  </si>
  <si>
    <t>PENDIENTE</t>
  </si>
  <si>
    <t>NORMAL</t>
  </si>
  <si>
    <t>R-Ruc</t>
  </si>
  <si>
    <t>Certifico que la información contenida en el medio magnético del Anexo Transaccional para el período  03-2024, es fiel reflejo del siguiente reporte:</t>
  </si>
  <si>
    <t>Periodo: 03-2024</t>
  </si>
  <si>
    <t>Fecha de Generación: 30/05/2024 11:01:53</t>
  </si>
  <si>
    <t>GRAVABLE</t>
  </si>
  <si>
    <t>02-Sociedad</t>
  </si>
  <si>
    <t>HA0000001</t>
  </si>
  <si>
    <t>HONO500</t>
  </si>
  <si>
    <t>Base Imp. 1 Gravable IVA diferente de cero</t>
  </si>
  <si>
    <t>Monto-1 de I.V.A.</t>
  </si>
  <si>
    <t xml:space="preserve">Base Imp. 2 Gravable IVA Construcción </t>
  </si>
  <si>
    <t>Monto-2 de I.V.A.</t>
  </si>
  <si>
    <t>Base Imp. 3 Gravable IVA Especial</t>
  </si>
  <si>
    <t>Monto-3 de I.V.A.</t>
  </si>
  <si>
    <t>RUC: 1391922220001</t>
  </si>
  <si>
    <t>302-Ingresos del trabajo en relación de dependencia (varios porcentajes)</t>
  </si>
  <si>
    <t>3480-Impuesto a la renta único sobre los ingresos percibidos por los operadores de pronósticos deportivos</t>
  </si>
  <si>
    <t>Impuesto a la renta único sobre los ingresos percibidos por los operadores de pronósticos deportivos</t>
  </si>
  <si>
    <t>Autorretenciones Sociedades Grandes Contribuyentes</t>
  </si>
  <si>
    <t>Comisiones  a sociedades, nacionales o extranjeras residentes y establecimientos permanentes domiciliados en el país</t>
  </si>
  <si>
    <t>3480</t>
  </si>
  <si>
    <t>3481</t>
  </si>
  <si>
    <t>3482</t>
  </si>
  <si>
    <t>302</t>
  </si>
  <si>
    <t>Ingresos del trabajo en relación de dependencia</t>
  </si>
  <si>
    <t>Dividendos exentos (por no llegar a franja exenta o beneficio de otras leyes)</t>
  </si>
  <si>
    <t xml:space="preserve">Compras al Productor: de bienes de origen bioacuático, forestal y los descritos  el art.27.1 de LRTI </t>
  </si>
  <si>
    <t>Compras al Comercializador: de bienes de origen bioacuático, forestal y los descritos  el art.27.1 de LRTI</t>
  </si>
  <si>
    <t>3250-Dividendos exentos (por no llegar a franja exenta o beneficio de otras leyes)</t>
  </si>
  <si>
    <t>325-Anticipo dividendos</t>
  </si>
  <si>
    <t>325A-Préstamos accionistas, beneficiarios o partícipes residentes o establecidos en el Ecuador</t>
  </si>
  <si>
    <t>326-Dividendos distribuidos que correspondan al impuesto a la renta único establecido en el art. 27 de la LRTI</t>
  </si>
  <si>
    <t>327-Dividendos distribuidos a personas naturales residentes</t>
  </si>
  <si>
    <t>338-Producción y venta local de banano producido o no por el mismo sujeto pasivo</t>
  </si>
  <si>
    <t>340-Impuesto único a la exportación de banano</t>
  </si>
  <si>
    <t xml:space="preserve">3440-Otras retenciones aplicables el 2,75% </t>
  </si>
  <si>
    <t>346-Otras retenciones aplicables a otros porcentajes</t>
  </si>
  <si>
    <t xml:space="preserve">346B-Donaciones en dinero -Impuesto a las donaciones </t>
  </si>
  <si>
    <t>346D-Retención a cargo del propio sujeto pasivo por la comercialización de productos forestales</t>
  </si>
  <si>
    <t>3481-Autorretenciones Sociedades Grandes Contribuyentes</t>
  </si>
  <si>
    <t>350-Otras autorretenciones (inciso 1 y 2 Art.92.1 RLRTI)</t>
  </si>
  <si>
    <t>500-Pago a no residentes - Rentas Inmobiliarias</t>
  </si>
  <si>
    <t>501-Pago a no residentes - Beneficios/Servicios  Empresariales</t>
  </si>
  <si>
    <t>501A-Pago a no residentes - Servicios técnicos, administrativos o de consultoría y regalías</t>
  </si>
  <si>
    <t>503-Pago a no residentes- Navegación Marítima y/o aérea</t>
  </si>
  <si>
    <t>504-Pago a no residentes- Dividendos distribuidos a personas naturales (domiciliados o no en paraíso fiscal) o a sociedades sin beneficiario efectivo persona natural residente en Ecuador</t>
  </si>
  <si>
    <t>504A-Dividendos a sociedades con beneficiario efectivo persona natural residente en el Ecuador</t>
  </si>
  <si>
    <t>504B-Dividendos a no residentes incumpliendo el deber de informar la composición societaria</t>
  </si>
  <si>
    <t>504C-Dividendos a residentes o establecidos en paraísos fiscales o regímenes de menor imposición (con beneficiario Persona Natural residente en Ecuador)</t>
  </si>
  <si>
    <t>504D-Dividendos a fideicomisos o establecidos en paraísos fiscales o regímenes de menor imposición (con beneficiario Persona Natural residente en Ecuador)</t>
  </si>
  <si>
    <t>504E-Pago a no residentes - Anticipo dividendos (no domiciliada en paraísos fiscales o regímenes de menor imposición)</t>
  </si>
  <si>
    <t>504F-Pago a no residentes - Anticipo dividendos (domiciliadas en paraísos fiscales o regímenes de menor imposición)</t>
  </si>
  <si>
    <t>504G-Pago a no residentes - Préstamos accionistas, beneficiarios o partícipes (no domiciliadas en paraísos fiscales o regímenes de menor imposición)</t>
  </si>
  <si>
    <t>504H-Pago a no residentes - Préstamos accionistas, beneficiarios o partícipes (domiciliadas en paraísos fiscales o regímenes de menor imposición)</t>
  </si>
  <si>
    <t>504I-Pago a no residentes - Préstamos no comerciales a partes relacionadas  (no domiciliadas en paraísos fiscales o regímenes de menor imposición)</t>
  </si>
  <si>
    <t>504J-Pago a no residentes - Préstamos no comerciales a partes relacionadas  (domiciliadas en paraísos fiscales o regímenes de menor imposición)</t>
  </si>
  <si>
    <t>505-Pago a no residentes - Rendimientos financieros</t>
  </si>
  <si>
    <t>505A-Pago a no residentes – Intereses de créditos de Instituciones Financieras del exterior</t>
  </si>
  <si>
    <t>505B-Pago a no residentes – Intereses de créditos de gobierno a gobierno</t>
  </si>
  <si>
    <t>505C-Pago a no residentes – Intereses de créditos de organismos multilaterales</t>
  </si>
  <si>
    <t>505F-Pago a no residentes - Otros Intereses y Rendimientos Financieros</t>
  </si>
  <si>
    <t>509-Pago a no residentes- Cánones, derechos de autor,  marcas, patentes y similares</t>
  </si>
  <si>
    <t>509A-Pago a no residentes - Regalías por concepto de franquicias</t>
  </si>
  <si>
    <t xml:space="preserve">510-Pago a no residentes - Otras ganancias de capital distintas de enajenación de derechos representativos de capital </t>
  </si>
  <si>
    <t>511-Pago a no residentes - Servicios profesionales independientes</t>
  </si>
  <si>
    <t>512-Pago a no residentes - Servicios profesionales dependientes</t>
  </si>
  <si>
    <t>513A-Pago a no residentes - Deportistas</t>
  </si>
  <si>
    <t>514-Pago a no residentes - Participación de consejeros</t>
  </si>
  <si>
    <t xml:space="preserve">515-Pago a no residentes- Artistas y relacionados a  organización, producción y espectáculos artísticos y culturales en Ecuador </t>
  </si>
  <si>
    <t>516-Pago a no residentes - Pensiones</t>
  </si>
  <si>
    <t>517-Pago a no residentes- Reembolso de Gastos</t>
  </si>
  <si>
    <t>518-Pago a no residentes- Funciones Públicas</t>
  </si>
  <si>
    <t>519-Pago a no residentes - Estudiantes</t>
  </si>
  <si>
    <t>520A-Pago a no residentes - Pago a proveedores de servicios hoteleros y turísticos en el exterior</t>
  </si>
  <si>
    <t>520B-Pago a no residentes - Arrendamientos mercantil internacional</t>
  </si>
  <si>
    <t>520D-Pago a no residentes - Comisiones por exportaciones y por promoción de turismo receptivo</t>
  </si>
  <si>
    <t>520F-Pago a no residentes - Por las agencias internacionales de prensa</t>
  </si>
  <si>
    <t>520G-Pago a no residentes - Contratos de fletamento de naves para empresas de transporte aéreo o marítimo internacional</t>
  </si>
  <si>
    <t>521-Pago a no residentes - Enajenación de derechos representativos de capital u otros derechos que permitan la exploración, explotación, concesión o similares de sociedades</t>
  </si>
  <si>
    <t xml:space="preserve">523A-Pago a no residentes - Seguros y reaseguros (primas y cesiones)  </t>
  </si>
  <si>
    <t>525-Pago a no residentes- Donaciones en dinero -Impuesto a las donaciones</t>
  </si>
  <si>
    <t>Utilización o aprovechamiento de la imagen o renombre (personas naturales, sociedades," influencers")</t>
  </si>
  <si>
    <t>Regalías por concepto de franquicias de acuerdo al Código INGENIOS (COESCCI) - pago a personas naturales</t>
  </si>
  <si>
    <t>Cánones, derechos de autor,  marcas, patentes y similares de acuerdo  al Código INGENIOS (COESCCI) – pago a personas naturales</t>
  </si>
  <si>
    <t>Regalías por concepto de franquicias de acuerdo al Código INGENIOS (COESCCI) - pago a sociades</t>
  </si>
  <si>
    <t xml:space="preserve">Cánones, derechos de autor,  marcas, patentes y similares de acuerdo  al Código INGENIOS (COESCCI)  </t>
  </si>
  <si>
    <t>Préstamos accionistas, beneficiarios o partícipes residentes o establecidos en el Ecuador</t>
  </si>
  <si>
    <t>Dividendos distribuidos que correspondan al impuesto a la renta único establecido en el art. 27 de la LRTI</t>
  </si>
  <si>
    <t>Dividendos distribuidos a personas naturales residentes</t>
  </si>
  <si>
    <t>Otras compras de bienes y servicios no sujetas a retención (incluye régimen RIMPE - Negocios Populares, para este caso aplica con cualquier forma de pago inclusive los pagos que deban realizar las tarjetas de crédito/débito)</t>
  </si>
  <si>
    <t>Loterías, rifas, pronósticos deportivos, apuestas y similares</t>
  </si>
  <si>
    <t>Producción y venta local de banano producido o no por el mismo sujeto pasivo</t>
  </si>
  <si>
    <t>Otras retenciones aplicables el 1% (incluye régimen RIMPE - Emprendedores, para este caso aplica con cualquier forma de pago inclusive los pagos que deban realizar las tarjetas de crédito/débito)</t>
  </si>
  <si>
    <t>Recepción de botellas plásticas no retornables de PET</t>
  </si>
  <si>
    <t>Otras retenciones aplicables a otros porcentajes</t>
  </si>
  <si>
    <t>Retención a cargo del propio sujeto pasivo por la producción y/o comercialización de minerales y otros bienes</t>
  </si>
  <si>
    <t>Otras autorretenciones (inciso 1 y 2 Art.92.1 RLRTI)</t>
  </si>
  <si>
    <t>Pago a no residentes - Rentas Inmobiliarias</t>
  </si>
  <si>
    <t>Pago a no residentes - Beneficios/Servicios  Empresariales</t>
  </si>
  <si>
    <t>Pago a no residentes- Navegación Marítima y/o aérea</t>
  </si>
  <si>
    <t>Pago a no residentes- Cánones, derechos de autor,  marcas, patentes y similares</t>
  </si>
  <si>
    <t>Pago a no residentes - Servicios profesionales independientes</t>
  </si>
  <si>
    <t>Pago a no residentes - Servicios profesionales dependientes</t>
  </si>
  <si>
    <t>Pago a no residentes- Artistas</t>
  </si>
  <si>
    <t>Pago a no residentes - Deportistas</t>
  </si>
  <si>
    <t>Pago a no residentes - Participación de consejeros</t>
  </si>
  <si>
    <t>Pago a no residentes - Pensiones</t>
  </si>
  <si>
    <t>Pago a no residentes- Reembolso de Gastos</t>
  </si>
  <si>
    <t>Pago a no residentes- Funciones Públicas</t>
  </si>
  <si>
    <t>Pago a no residentes - Estudiantes</t>
  </si>
  <si>
    <t>Pago a no residentes - Pago a proveedores de servicios hoteleros y turísticos en el exterior</t>
  </si>
  <si>
    <t>Pago a no residentes - Arrendamientos mercantil internacional</t>
  </si>
  <si>
    <t>Pago a no residentes- Dividendos distribuidos a personas naturales (domiciliados o no en paraíso fiscal) o a sociedades sin beneficiario efectivo persona natural residente en Ecuador</t>
  </si>
  <si>
    <t>Dividendos a fideicomisos o establecidos en paraísos fiscales o regímenes de menor imposición (con beneficiario Persona Natural residente en Ecuador)</t>
  </si>
  <si>
    <t>Pago a no residentes - Préstamos accionistas, beneficiarios o partícipes (no domiciliadas en paraísos fiscales o regímenes de menor imposición)</t>
  </si>
  <si>
    <t>Pago a no residentes - Préstamos accionistas, beneficiarios o partícipes (domiciliadas en paraísos fiscales o regímenes de menor imposición)</t>
  </si>
  <si>
    <t>Pago a no residentes - Préstamos no comerciales a partes relacionadas  (no domiciliadas en paraísos fiscales o regímenes de menor imposición)</t>
  </si>
  <si>
    <t>Pago a no residentes - Préstamos no comerciales a partes relacionadas  (domiciliadas en paraísos fiscales o regímenes de menor imposición)</t>
  </si>
  <si>
    <t>Pago a no residentes - Regalías por concepto de franquicias</t>
  </si>
  <si>
    <t xml:space="preserve">Pago a no residentes - Otras ganancias de capital distintas de enajenación de derechos representativos de capital </t>
  </si>
  <si>
    <t xml:space="preserve">Pago a no residentes- Artistas y relacionados a  organización, producción y espectáculos artísticos y culturales en Ecuador </t>
  </si>
  <si>
    <t>Pago a no residentes - Comisiones por exportaciones y por promoción de turismo receptivo</t>
  </si>
  <si>
    <t>Pago a no residentes - Por las agencias internacionales de prensa</t>
  </si>
  <si>
    <t>Pago a no residentes - Contratos de fletamento de naves para empresas de transporte aéreo o marítimo internacional</t>
  </si>
  <si>
    <t>Pago a no residentes - Enajenación de derechos representativos de capital u otros derechos que permitan la exploración, explotación, concesión o similares de sociedades</t>
  </si>
  <si>
    <t>Pago a no residentes- Donaciones en dinero -Impuesto a las donaciones</t>
  </si>
  <si>
    <t>DIVIDENDOS EXENTOS (POR NO SUPERAR LA FRANJA EXENTA O BENEFICIO DE OTRAS LEYES)</t>
  </si>
  <si>
    <t>565</t>
  </si>
  <si>
    <t>Valor de IVA no considerado como crédito tributario por factor de proporcionalidad</t>
  </si>
  <si>
    <t>Si (601-602-603-604-605-606-607-608-623-609-622+610+611+612+613+614) &gt; 0</t>
  </si>
  <si>
    <t>625</t>
  </si>
  <si>
    <t>Ajuste del crédito tributario de Impuesto al Valor Agregado pagado en adquisiciones locales e importaciones de bienes y servicios superior a cinco (5) años</t>
  </si>
  <si>
    <t>VALOR</t>
  </si>
  <si>
    <t>ISD PAGADO</t>
  </si>
  <si>
    <t>700</t>
  </si>
  <si>
    <t>701</t>
  </si>
  <si>
    <t>PORCENTAJE</t>
  </si>
  <si>
    <t>702</t>
  </si>
  <si>
    <t>Importaciones de materias primas, insumos y bienes de capital que sean incorporadas en procesos productivos de bienes que se exporten</t>
  </si>
  <si>
    <t>3250</t>
  </si>
  <si>
    <t>Por energía eléctrica 2%</t>
  </si>
  <si>
    <t>Por energía eléctrica 1%</t>
  </si>
  <si>
    <r>
      <rPr>
        <b/>
        <sz val="10"/>
        <rFont val="Arial"/>
        <family val="2"/>
      </rPr>
      <t>PAGOS APLICABLES EL 2%</t>
    </r>
    <r>
      <rPr>
        <sz val="10"/>
        <rFont val="Arial"/>
        <family val="2"/>
      </rPr>
      <t xml:space="preserve"> (Energía Eléctrica incluye Pago local tarjeta de crédito /débito reportada por la Emisora de tarjeta de crédito / entidades del
sistema financiero; adquisición de sustancias minerales dentro del territorio nacional; Recepción de botellas plásticas no retornables de
PET)</t>
    </r>
  </si>
  <si>
    <t>APLICABLES EL 3%</t>
  </si>
  <si>
    <t>Año 2026 En dólares</t>
  </si>
  <si>
    <t>0916540586001</t>
  </si>
  <si>
    <t>ESPINOZA TOALOMBO WILMER OLMEDO</t>
  </si>
  <si>
    <t>acfesvalsa@gmail.com</t>
  </si>
  <si>
    <t>Y364316907</t>
  </si>
  <si>
    <t>acfesvalespinoza@gmail.com</t>
  </si>
  <si>
    <t>2-PRODUCCION</t>
  </si>
  <si>
    <t>0919622761001</t>
  </si>
  <si>
    <t>0917809451001</t>
  </si>
  <si>
    <t>BOTICAS UNIDAS DEL ECUADOR C.A.</t>
  </si>
  <si>
    <t>YANEZ CORDOVA MARCEL SENDIC</t>
  </si>
  <si>
    <t>010</t>
  </si>
  <si>
    <t>005</t>
  </si>
  <si>
    <t>003</t>
  </si>
  <si>
    <t>018</t>
  </si>
  <si>
    <t>006</t>
  </si>
  <si>
    <t>021</t>
  </si>
  <si>
    <t>100</t>
  </si>
  <si>
    <t>LETERAGO DEL ECUADOR S.A.</t>
  </si>
  <si>
    <t>008</t>
  </si>
  <si>
    <t>004</t>
  </si>
  <si>
    <t>002</t>
  </si>
  <si>
    <t>C-Cédula</t>
  </si>
  <si>
    <t>GARCIA RODRIGUEZ CHARLES MILTON</t>
  </si>
  <si>
    <t>NARANJITO AV. GUAYAQUIL Y GENERAL CORDOVA</t>
  </si>
  <si>
    <t>0990289948</t>
  </si>
  <si>
    <t>015</t>
  </si>
  <si>
    <t>031</t>
  </si>
  <si>
    <t>1790978303001</t>
  </si>
  <si>
    <t>0992182326001</t>
  </si>
  <si>
    <t>0992560754001</t>
  </si>
  <si>
    <t>1791310063001</t>
  </si>
  <si>
    <t>0993013730001</t>
  </si>
  <si>
    <t>0915235246001</t>
  </si>
  <si>
    <t>0921638813001</t>
  </si>
  <si>
    <t>1002074019001</t>
  </si>
  <si>
    <t>0993369027001</t>
  </si>
  <si>
    <t>0993129496001</t>
  </si>
  <si>
    <t>1791413237001</t>
  </si>
  <si>
    <t>0990004196001</t>
  </si>
  <si>
    <t>0992146818001</t>
  </si>
  <si>
    <t>1793102972001</t>
  </si>
  <si>
    <t>1791770153001</t>
  </si>
  <si>
    <t>1204158933001</t>
  </si>
  <si>
    <t>0992186070001</t>
  </si>
  <si>
    <t>0993145939001</t>
  </si>
  <si>
    <t>1792009863001</t>
  </si>
  <si>
    <t>0990049777001</t>
  </si>
  <si>
    <t>0992125691001</t>
  </si>
  <si>
    <t>0990967946001</t>
  </si>
  <si>
    <t>0990008167001</t>
  </si>
  <si>
    <t>0991288449001</t>
  </si>
  <si>
    <t>1203129380001</t>
  </si>
  <si>
    <t>0913801452001</t>
  </si>
  <si>
    <t>0993310387001</t>
  </si>
  <si>
    <t>0993368089001</t>
  </si>
  <si>
    <t>Corporacion Proauto S.A</t>
  </si>
  <si>
    <t>Negocios y Telefonia Nedetel SA+</t>
  </si>
  <si>
    <t>CONTIFICO</t>
  </si>
  <si>
    <t>DATAFAST S A</t>
  </si>
  <si>
    <t>Telepuerto Internacional Del Ecuador CABLERED S.A.</t>
  </si>
  <si>
    <t>SILVA MERA DAVID ALEXANDER</t>
  </si>
  <si>
    <t>LITUMA RAMIREZ RUTH ELSA</t>
  </si>
  <si>
    <t>SANTACRUZ TERAN JANNETH EULALIA</t>
  </si>
  <si>
    <t>VUELATECHNOLOGY SAS</t>
  </si>
  <si>
    <t>DIGICENTER S.A.</t>
  </si>
  <si>
    <t>SUPERDEPORTE S.A</t>
  </si>
  <si>
    <t>SUPERDEPORTE S.A.</t>
  </si>
  <si>
    <t>CORPORACION EL ROSADO S.A.</t>
  </si>
  <si>
    <t>ZC MAYORISTAS S.A.</t>
  </si>
  <si>
    <t>CLARYSTEL S.A.S.</t>
  </si>
  <si>
    <t>UPS SCS (ECUADOR) S.A.S.</t>
  </si>
  <si>
    <t>SOLORZANO VELOZ SUSANA MAGALI</t>
  </si>
  <si>
    <t>Megametales S.A</t>
  </si>
  <si>
    <t>MEGANOA SA</t>
  </si>
  <si>
    <t>HENTEL CIA.LTDA.</t>
  </si>
  <si>
    <t>COMERCIAL JAPONESA AUTOMOTRIZ COJAPAN C. LTDA.</t>
  </si>
  <si>
    <t>KITTON S.A.</t>
  </si>
  <si>
    <t>JUNTA DE BENEFICENCIA DE GUAYAQUIL</t>
  </si>
  <si>
    <t>PRODUCTOS METALURGICOS S.A.</t>
  </si>
  <si>
    <t>REFRESCOS SIN GAS RESGASA</t>
  </si>
  <si>
    <t>NAULA AREVALO OSCAR LUIS</t>
  </si>
  <si>
    <t>CAMPOVERDE RUMAZO WASHINGTON ROBERTO</t>
  </si>
  <si>
    <t>BITELNET S.A.S.</t>
  </si>
  <si>
    <t>IMPORTADORA DE REPUESTOS REPFASTER S.A.S.</t>
  </si>
  <si>
    <t>203</t>
  </si>
  <si>
    <t>000018357</t>
  </si>
  <si>
    <t>000140895</t>
  </si>
  <si>
    <t>000141523</t>
  </si>
  <si>
    <t>000142299</t>
  </si>
  <si>
    <t>000141459</t>
  </si>
  <si>
    <t>000920632</t>
  </si>
  <si>
    <t>000141214</t>
  </si>
  <si>
    <t>001625097</t>
  </si>
  <si>
    <t>000000140</t>
  </si>
  <si>
    <t>000078449</t>
  </si>
  <si>
    <t>000748621</t>
  </si>
  <si>
    <t>000026071</t>
  </si>
  <si>
    <t>000067092</t>
  </si>
  <si>
    <t>901</t>
  </si>
  <si>
    <t>000081115</t>
  </si>
  <si>
    <t>000029271</t>
  </si>
  <si>
    <t>016</t>
  </si>
  <si>
    <t>000214576</t>
  </si>
  <si>
    <t>000824108</t>
  </si>
  <si>
    <t>000049309</t>
  </si>
  <si>
    <t>000016940</t>
  </si>
  <si>
    <t>000101605</t>
  </si>
  <si>
    <t>000749667</t>
  </si>
  <si>
    <t>000020890</t>
  </si>
  <si>
    <t>000447997</t>
  </si>
  <si>
    <t>205</t>
  </si>
  <si>
    <t>000000465</t>
  </si>
  <si>
    <t>000447999</t>
  </si>
  <si>
    <t>000078792</t>
  </si>
  <si>
    <t>000118433</t>
  </si>
  <si>
    <t>000009967</t>
  </si>
  <si>
    <t>000078876</t>
  </si>
  <si>
    <t>001214636</t>
  </si>
  <si>
    <t>107</t>
  </si>
  <si>
    <t>000082516</t>
  </si>
  <si>
    <t>000010011</t>
  </si>
  <si>
    <t>669</t>
  </si>
  <si>
    <t>385</t>
  </si>
  <si>
    <t>000019278</t>
  </si>
  <si>
    <t>000000143</t>
  </si>
  <si>
    <t>209</t>
  </si>
  <si>
    <t>000004639</t>
  </si>
  <si>
    <t>000079098</t>
  </si>
  <si>
    <t>000014160</t>
  </si>
  <si>
    <t>000049619</t>
  </si>
  <si>
    <t>000049620</t>
  </si>
  <si>
    <t>000000601</t>
  </si>
  <si>
    <t>000079180</t>
  </si>
  <si>
    <t>007485085</t>
  </si>
  <si>
    <t>000756867</t>
  </si>
  <si>
    <t>000756864</t>
  </si>
  <si>
    <t>000079406</t>
  </si>
  <si>
    <t>000757215</t>
  </si>
  <si>
    <t>000757316</t>
  </si>
  <si>
    <t>000003732</t>
  </si>
  <si>
    <t>000002680</t>
  </si>
  <si>
    <t>000079485</t>
  </si>
  <si>
    <t>000758098</t>
  </si>
  <si>
    <t>000026758</t>
  </si>
  <si>
    <t>000004851</t>
  </si>
  <si>
    <t>000014528</t>
  </si>
  <si>
    <t>000000965</t>
  </si>
  <si>
    <t>000039432</t>
  </si>
  <si>
    <t>0104202601179097830300120312030000183578736215411</t>
  </si>
  <si>
    <t>0104202601099218232600120010010001408953754682116</t>
  </si>
  <si>
    <t>0104202601099218232600120010010001415234681237519</t>
  </si>
  <si>
    <t>0104202601099218232600120010010001422995874216312</t>
  </si>
  <si>
    <t>0104202601099218232600120010010001414591823465712</t>
  </si>
  <si>
    <t>0104202601099256075400120010010009206325547597912</t>
  </si>
  <si>
    <t>0104202601099218232600120010010001412147218653413</t>
  </si>
  <si>
    <t>0504202601179131006300120010030016250971804581210</t>
  </si>
  <si>
    <t>0604202601099301373000120010020000001408058553819</t>
  </si>
  <si>
    <t>0604202601091523524600120030060000784491234567817</t>
  </si>
  <si>
    <t>0704202601092163881300120011000007486210704202611</t>
  </si>
  <si>
    <t>0704202601100207401900120010050000260711234567815</t>
  </si>
  <si>
    <t>0804202601099336902700120010020000670921234567811</t>
  </si>
  <si>
    <t>0804202601099312949600120039010000811150079182010</t>
  </si>
  <si>
    <t>0804202601179141323700121130310000292710000000018</t>
  </si>
  <si>
    <t>0804202601179141323700120160310002145760000000013</t>
  </si>
  <si>
    <t>0804202601099000419600120210100008241080082410815</t>
  </si>
  <si>
    <t>0904202601099214681800120060010000493099846951115</t>
  </si>
  <si>
    <t>0904202601179310297200120010020000169401234567810</t>
  </si>
  <si>
    <t>0904202601179177015300120010010001016050000000016</t>
  </si>
  <si>
    <t>0904202601092163881300120011000007496670904202614</t>
  </si>
  <si>
    <t>1004202601120415893300120020080000208900000311817</t>
  </si>
  <si>
    <t>1104202601099218607000120151000004479972046406719</t>
  </si>
  <si>
    <t>1104202601099314593900120012050000004651234567810</t>
  </si>
  <si>
    <t>1104202601099218607000120151000004479992046406914</t>
  </si>
  <si>
    <t>1304202601091523524600120030060000787921234567812</t>
  </si>
  <si>
    <t>1404202601179200986300120020010001184337885432111</t>
  </si>
  <si>
    <t>1404202601179200986300120100010000099677885432113</t>
  </si>
  <si>
    <t>1504202601091523524600120030060000788761234567818</t>
  </si>
  <si>
    <t>1604202601099004977700120010010012146361234567814</t>
  </si>
  <si>
    <t>1604202601099212569100120061070000825161234567815</t>
  </si>
  <si>
    <t>1604202601179200986300120100010000100117885432118</t>
  </si>
  <si>
    <t>1704202601099096794600126693850000192780990967911</t>
  </si>
  <si>
    <t>1804202601099000816700120180030000001430017091311</t>
  </si>
  <si>
    <t>2004202601092163881300120012090000046390009256511</t>
  </si>
  <si>
    <t>2004202601091523524600120030060000790981234567818</t>
  </si>
  <si>
    <t>2004202601099314593900120012030000141601234567815</t>
  </si>
  <si>
    <t>2104202601099214681800120060010000496199846951111</t>
  </si>
  <si>
    <t>2104202601099214681800120060010000496209846951117</t>
  </si>
  <si>
    <t>2104202601099314593900120012050000006011234567812</t>
  </si>
  <si>
    <t>2104202601091523524600120030060000791801234567818</t>
  </si>
  <si>
    <t>2304202601099128844900120010010074850851234567811</t>
  </si>
  <si>
    <t>2304202601092163881300120011000007568672304202613</t>
  </si>
  <si>
    <t>2304202601092163881300120011000007568642304202617</t>
  </si>
  <si>
    <t>2404202601091523524600120030060000794061234567819</t>
  </si>
  <si>
    <t>2404202601092163881300120011000007572152404202618</t>
  </si>
  <si>
    <t>2404202601092163881300120011000007573162404202617</t>
  </si>
  <si>
    <t>2404202601120312938000120020100000037322404202618</t>
  </si>
  <si>
    <t>2504202601091380145200120010040000026800000272719</t>
  </si>
  <si>
    <t>2504202601091523524600120030060000794851234567814</t>
  </si>
  <si>
    <t>2504202601092163881300120011000007580982504202613</t>
  </si>
  <si>
    <t>2704202601100207401900120010050000267581234567817</t>
  </si>
  <si>
    <t>2804202601099331038700120010010000048514416742214</t>
  </si>
  <si>
    <t>2904202601099314593900120012030000145281234567816</t>
  </si>
  <si>
    <t>2904202601091962276100120011000000009658983264012</t>
  </si>
  <si>
    <t>3004202601099336808900120010010000394320000000015</t>
  </si>
  <si>
    <t>000012763</t>
  </si>
  <si>
    <t>000002119</t>
  </si>
  <si>
    <t>2304202604092163881300120011000000127632304202610</t>
  </si>
  <si>
    <t>2804202604099214681800120060010000021199846951118</t>
  </si>
  <si>
    <t>000048763</t>
  </si>
  <si>
    <t>2003202601099214681800120060010000487639846951116</t>
  </si>
  <si>
    <t>AGUILAR CHILLOGALLO FRANKLIN KLEBER</t>
  </si>
  <si>
    <t>AGUILAR MORIA KLEVER GABRIEL</t>
  </si>
  <si>
    <t>AGUILERA ROMERO ANDREA MABELL</t>
  </si>
  <si>
    <t>AIMACANA ZAMBRANO LORENA VALERIA</t>
  </si>
  <si>
    <t>ALCIVAR ORTIZ ABEL ANGEL</t>
  </si>
  <si>
    <t>ALEXANDRA ELIZABETH CAMPOVERDE QUINDE ( 2 CONTRATO</t>
  </si>
  <si>
    <t>ALEXANDRA ISABEL CASTANEDA SOLIS</t>
  </si>
  <si>
    <t>ALEXIS DAVID YANTALEMA LEON</t>
  </si>
  <si>
    <t>ALICIA REA MARQUEZ</t>
  </si>
  <si>
    <t>ALTAMIRANO SANCHEZ YOCSELY JANETH</t>
  </si>
  <si>
    <t>ALVARADO TELLO LUXIOLA DEL ROCIO</t>
  </si>
  <si>
    <t>ALVAREZ OLVERA DOLORES TRANSITO</t>
  </si>
  <si>
    <t>ANA DEL ROCIO BUENO HUACHO</t>
  </si>
  <si>
    <t>ANA LASTENIA SANCHEZ SUAREZ</t>
  </si>
  <si>
    <t>ANA MARIA APUGLLON CHUQUIZALA</t>
  </si>
  <si>
    <t>ANDOCILLA BENAVIDES MARCOS ALEXANDER</t>
  </si>
  <si>
    <t>ANGEL MARIO CHICAIZA PAUCAR</t>
  </si>
  <si>
    <t>ANGEL OCTAVIANO RODRIGUEZ PILATAXI</t>
  </si>
  <si>
    <t>ANGEL WILBERTO CHAFLA ASTUDILLO</t>
  </si>
  <si>
    <t>ANGELA TATIANA VILLALBA SOLIS</t>
  </si>
  <si>
    <t>ANIBAL RIQUELME PAREDES MEJIA</t>
  </si>
  <si>
    <t>ARANA CAJAS MEISY YULIA</t>
  </si>
  <si>
    <t>ARBOLEDA ROBLES JIMMY GERMAN</t>
  </si>
  <si>
    <t>ARGUDO SOLIS FLOR LUCIA</t>
  </si>
  <si>
    <t>ARROYO POZO LUZ MARIA</t>
  </si>
  <si>
    <t>ASOCIACION DE PERSONAS CON CAPACIDADES ESPECIALES</t>
  </si>
  <si>
    <t>ASOCIACION SINDICAL DE TRABAJADORES DEL INGENIO SA</t>
  </si>
  <si>
    <t>AVILA CHOEZ JUANA DE DIOS</t>
  </si>
  <si>
    <t>AVILES ACOSTA ANITA DEL ROCIO</t>
  </si>
  <si>
    <t>BAJANA SOLIS ANIBAL VICENTE</t>
  </si>
  <si>
    <t>BAJANA SOLIS VIDAL FORTUNATO</t>
  </si>
  <si>
    <t>BAQUERIZO VERA ANA MARIA</t>
  </si>
  <si>
    <t>BARBERA LAMILLA ROGELIO FERNANDO</t>
  </si>
  <si>
    <t>BAZAN LUCIN MARCELO JAVIER</t>
  </si>
  <si>
    <t>BERMEO MERCHAN MANUEL ANTONIO</t>
  </si>
  <si>
    <t>BERNAL LOPEZ LUIS MIGUEL</t>
  </si>
  <si>
    <t>BONE CARBO LOURDES ESPERANZA</t>
  </si>
  <si>
    <t>CACERES LEMA JOHAM ALEXI</t>
  </si>
  <si>
    <t>CAISAGUANO PIGUAVE DAVID ISAIAS</t>
  </si>
  <si>
    <t>CALDERON BENAVIDES OSWALDO RIMY</t>
  </si>
  <si>
    <t>CALDERON PARRA JUAN CARLOS</t>
  </si>
  <si>
    <t>CAMACHO ESCOBAR CAROLINA ROCIO</t>
  </si>
  <si>
    <t>CAMINO ZAMBRANO FERNANDO EZEQUIEL</t>
  </si>
  <si>
    <t>CAMPOS ACOSTA CECILIA ISABEL</t>
  </si>
  <si>
    <t>CAMPOVERDE CARRION JOSE ALFONSO</t>
  </si>
  <si>
    <t>CAMPOVERDE MENDEZ  CARMEN  VICTORIA</t>
  </si>
  <si>
    <t>CARABAJO JAYA ANITA LUCIA</t>
  </si>
  <si>
    <t>CARRERA VERA SUSANA CAROLINA</t>
  </si>
  <si>
    <t>CARRILLO AUSHAY LUIS AUGUSTO</t>
  </si>
  <si>
    <t>CARRION VELASQUEZ LEONARDO MIGUEL</t>
  </si>
  <si>
    <t>CASTILLO BONOSO BARTOLA AGUSTINA</t>
  </si>
  <si>
    <t>CASTRO LOJA JUAN MANUEL</t>
  </si>
  <si>
    <t>CASTRO MORALES MANUEL ULPIANO</t>
  </si>
  <si>
    <t>CASTRO QUISHPI MIRIAM VERONICA</t>
  </si>
  <si>
    <t>CELESTE CABRERA CHAVEZ</t>
  </si>
  <si>
    <t>CEREZO MARTINEZ JOSELYN GARDENIA</t>
  </si>
  <si>
    <t>CEVALLOS CEVALLOS ROSA CLELIA</t>
  </si>
  <si>
    <t>CHAVEZ DUCHITANGA JUAN MIGUEL</t>
  </si>
  <si>
    <t>CHICA NAJERA ANGEL JAVIER</t>
  </si>
  <si>
    <t>CHICAIZA REINOSO JESSICA JACQUELINE</t>
  </si>
  <si>
    <t>CHUEZ MAZAMBA DIANA LISSETH</t>
  </si>
  <si>
    <t>COBO GARCIA WAGNER JAVIER</t>
  </si>
  <si>
    <t>COLCHA GUANULEMA GUADALUPE VIVIANA</t>
  </si>
  <si>
    <t>COMPANIA DE TRANSPORTE DE CARGA PESADA NARANJITO S</t>
  </si>
  <si>
    <t>COMPANIA VICENTE ROCAFUERTE</t>
  </si>
  <si>
    <t>CONSUELO VALENCIA RAMOS</t>
  </si>
  <si>
    <t>COOP TRANSP DE PASAJEROS MARCELINO MARIDUENA</t>
  </si>
  <si>
    <t>COPOS SANCHEZ EDGAR GUILLERMO</t>
  </si>
  <si>
    <t>CRUZ SANCHEZ VICENTE CARLOS</t>
  </si>
  <si>
    <t>CUESTA MARTINEZ CARMITA YOLANDA</t>
  </si>
  <si>
    <t>DOMINGA MARIBEL LEON CISNEROS</t>
  </si>
  <si>
    <t>ESCUDERO NUNEZ YADIRA ALEXANDRA</t>
  </si>
  <si>
    <t>ESPINOZA FALCONES EVARISTO BERNARDO</t>
  </si>
  <si>
    <t>ESPINOZA GUEVARA ABEL FRANCISCO</t>
  </si>
  <si>
    <t>ESTHER NARCISA CHICA PARRALES</t>
  </si>
  <si>
    <t>FABIAN QUITIO TARCO</t>
  </si>
  <si>
    <t>FANI CARMITA BRAVO LEON</t>
  </si>
  <si>
    <t>FELIX PAMPILO AVILA RUALES</t>
  </si>
  <si>
    <t>FLORES FIERRO FELIX RAUL</t>
  </si>
  <si>
    <t>FLORES SORIANO YUNIESKY</t>
  </si>
  <si>
    <t>FREIRE MEDINA YOLANDA</t>
  </si>
  <si>
    <t>FROBEL CAMPOVERDE BANES FACTURA</t>
  </si>
  <si>
    <t>GAMBOA SANCHEZ JORGE FROILAN</t>
  </si>
  <si>
    <t>GARAICOA CAICEDO LILIA GARDENIA</t>
  </si>
  <si>
    <t>GARCIA MARIANA ELIZABETH</t>
  </si>
  <si>
    <t>GAVILANEZ COQUI LUIS ABEL--GIM</t>
  </si>
  <si>
    <t>GININ GUAMAN NORA ELIZABETH</t>
  </si>
  <si>
    <t>GLADYS VANESSA ALVARADO ORTIZ</t>
  </si>
  <si>
    <t>GOBIERNO AUTÓNOMO DESCENTRALIZADO MUNICIPAL DEL CA</t>
  </si>
  <si>
    <t>GOMEZ AVEROS ROSA CRISTINA</t>
  </si>
  <si>
    <t>GONZALEZ LAZO YOLANDA VANESSA</t>
  </si>
  <si>
    <t>GORDON QUIZHPI MARTIN JESUS</t>
  </si>
  <si>
    <t>GRUPO- IMS S.A.S</t>
  </si>
  <si>
    <t>GUADALUPE RIVERA EDGAR GEOVANNY</t>
  </si>
  <si>
    <t>GUAMAN CHACHA LUZ MARGARITA</t>
  </si>
  <si>
    <t>GUAMAN RODAS SANDRA MICHAEL</t>
  </si>
  <si>
    <t>GUAMAN SHIGLA FAUSTO</t>
  </si>
  <si>
    <t>GUERRA MURILLO LESLI MINOSKA</t>
  </si>
  <si>
    <t>GUILLEN SIGUENCIA PEDRO</t>
  </si>
  <si>
    <t>GUZMAN GUACHABOZA JOHANNA ELIZABETH</t>
  </si>
  <si>
    <t>HELEN MELISSA VILLAMAR FERRUZOLA</t>
  </si>
  <si>
    <t>HELENO LEON ISABEL STEFANIA</t>
  </si>
  <si>
    <t>HEREDIA GUEVARA IVAN ALEXANDER</t>
  </si>
  <si>
    <t>HERRERA ARISTEGA MIRIAM DEL PILAR</t>
  </si>
  <si>
    <t>HERRERA VERA MARCOS</t>
  </si>
  <si>
    <t>ISIDRO FRANCISCO TAPIA FERNANDEZ</t>
  </si>
  <si>
    <t xml:space="preserve"> ISLEY ELIZABTH CAMPOS HEREDIA</t>
  </si>
  <si>
    <t>IVAN GUEVARA GUILLEN CAMPO</t>
  </si>
  <si>
    <t>JAIME ALCIDES CHANGO ROSERO</t>
  </si>
  <si>
    <t>JARA CAMPOVERDE LOURDES SUSANA</t>
  </si>
  <si>
    <t>JIMMY JESUS RUIZ SUMAT</t>
  </si>
  <si>
    <t>JOFFRE ABEL GOMEZ CAICEDO</t>
  </si>
  <si>
    <t>JORGE LUIS RICHARD VERA</t>
  </si>
  <si>
    <t>JOSE AUGUSTO CASTRO VILLAVICENCIO</t>
  </si>
  <si>
    <t>JUANA CARMELA MERCHAN</t>
  </si>
  <si>
    <t>JULIA ANGELICA CAMPOVERDE RIVERA</t>
  </si>
  <si>
    <t>JULIO PACO LARA GALLEGOS</t>
  </si>
  <si>
    <t>JUNTA PROVINCIAL DE LA CRUZ ROJA DEL GUAYAS</t>
  </si>
  <si>
    <t>KATTY FERNANDA CAYETANO VITE</t>
  </si>
  <si>
    <t>KLEBER ANTONIO BRITO CAICEDO</t>
  </si>
  <si>
    <t>LABRE REATEGUI CINTHIA JAZMIN</t>
  </si>
  <si>
    <t>LEDESMA CALERO MIGUEL ANGEL</t>
  </si>
  <si>
    <t>LEON MORA CARLOTA PIEDAD</t>
  </si>
  <si>
    <t>LETICIA MARIA SANCHEZ ROLDAN</t>
  </si>
  <si>
    <t>LIDIA ESTHER VILLAVICENCIO MEDINA</t>
  </si>
  <si>
    <t>LLERENA LUIS GONZALO</t>
  </si>
  <si>
    <t>LOOR NARVAEZ JUAN MANUEL</t>
  </si>
  <si>
    <t>LOPEZ MORAN FRANCISCO AGUSTIN</t>
  </si>
  <si>
    <t>LUIGI RICARDO AVILA BARRENO</t>
  </si>
  <si>
    <t>LUIS ANTONIO AVILA VERA</t>
  </si>
  <si>
    <t>LUIS ANTONIO VILLAGOMEZ LEON</t>
  </si>
  <si>
    <t>LUIS ARMANDO AGUAGALLO GUALAN</t>
  </si>
  <si>
    <t>LUIS FERNANDO CARVAJAL SARCOS</t>
  </si>
  <si>
    <t>LUIS JAVIER BENAVIDES PERALTA</t>
  </si>
  <si>
    <t>MANCERO MURILLO KLEBER STEVEN</t>
  </si>
  <si>
    <t>MANUEL TOBIAS SUMBA CHICHAY</t>
  </si>
  <si>
    <t>MANUEL VIRGILIO CASTRO MARTINEZ</t>
  </si>
  <si>
    <t>MARCOS JAVIER VERA TELLO</t>
  </si>
  <si>
    <t>MARIA ELIZABETH OLVERA PITA</t>
  </si>
  <si>
    <t>MARINO MOYOLEMA JULIO ALBERTO</t>
  </si>
  <si>
    <t>MARJA BRAVO VERA (DUO)</t>
  </si>
  <si>
    <t>MARQUEZ MENDIETA MYSHEL KATHIUSCA</t>
  </si>
  <si>
    <t>MARTINEZ MARTINEZ MARCELINO HOLGER (TV CABLE)</t>
  </si>
  <si>
    <t>MASASELA PAUCAR ANA MARIA</t>
  </si>
  <si>
    <t>MATUTE CRUZ JAVIER</t>
  </si>
  <si>
    <t>MEDINA LLERENA JOSE MANUEL</t>
  </si>
  <si>
    <t>MEGANOA S.A.</t>
  </si>
  <si>
    <t>MEJIA BURNEO CESAR ANTONIO</t>
  </si>
  <si>
    <t>MENDOZA MOREIRA MARJORIE GABRIELA</t>
  </si>
  <si>
    <t>MESIAS BOLIVAR SUICA SUICA</t>
  </si>
  <si>
    <t>MEZA PENAFIEL RICARDO JAVIER</t>
  </si>
  <si>
    <t>MILDRED KATHERINE DUARTE ESPIN</t>
  </si>
  <si>
    <t>MISHQUI PINTAG LUIS EDUARDO</t>
  </si>
  <si>
    <t>MONCERRATE AGUIRRE CARLOS DE LA CRUZ</t>
  </si>
  <si>
    <t>MORA VITERI ANGEL VICENTE</t>
  </si>
  <si>
    <t>MORAN ANDRADE LOURDES BEATRIZ</t>
  </si>
  <si>
    <t>MOREIRA CORONEL MAGY JOSSELIN</t>
  </si>
  <si>
    <t>MOREIRA ZAMBRANO INGRID NAYELI</t>
  </si>
  <si>
    <t>MUNOZ ROMERO JOSE ROBERTO</t>
  </si>
  <si>
    <t>NANCY JANINE MACHUCA TOBAR</t>
  </si>
  <si>
    <t>NAULA AREVALO OSCAR LUIS DOS SERVICIOS</t>
  </si>
  <si>
    <t>NAULA HERRERA GENARO ANGEL</t>
  </si>
  <si>
    <t>NERELMA NARCISA VERA VELASQUEZ</t>
  </si>
  <si>
    <t>NIETO RIVERA LUZ ALBA</t>
  </si>
  <si>
    <t>NORMA ISABEL BUNAY GUANGA</t>
  </si>
  <si>
    <t>NOVILLO MADRID NICOLAS</t>
  </si>
  <si>
    <t>NUBE DEL ROCIO CARDENAS ZHANGALLIMBAY</t>
  </si>
  <si>
    <t>OCTAVIO  VILLALOBO YANTALEMA</t>
  </si>
  <si>
    <t>ONA CHANGO JORGE WASHINGTINTIENE 2 CONTRATOS</t>
  </si>
  <si>
    <t>ONA OCHOA OSCAR OMAR</t>
  </si>
  <si>
    <t>ORDONEZ QUIROGA LUIS ROBERTO</t>
  </si>
  <si>
    <t>ORDOÑEZ QUITIO JEIMY NARCISA</t>
  </si>
  <si>
    <t>ORELLANA VASQUEZ MARIA HERMELINDA</t>
  </si>
  <si>
    <t>ORTIZ LEON YESSICA LEONELA</t>
  </si>
  <si>
    <t>OSMAND VELIZ BUNAY</t>
  </si>
  <si>
    <t>PACHECO TROYA MIGUEL ANGEL</t>
  </si>
  <si>
    <t>PAREDES JULIO CESAR</t>
  </si>
  <si>
    <t>PAZ POZO ANDERSON CARMELO</t>
  </si>
  <si>
    <t>PAZ QUISPHE NALLA ISELA ISABEL  (CIBER MI NINO BEL</t>
  </si>
  <si>
    <t>PEDRO PABLO CARPIO JARA</t>
  </si>
  <si>
    <t>PICO SUSSMANN JOSE FRANCISO ADOLFO</t>
  </si>
  <si>
    <t>PIEDAD PATRICIA VILLALVA ALVAREZ</t>
  </si>
  <si>
    <t>PIN VASQUEZ JESUS ALBERTO</t>
  </si>
  <si>
    <t>PINA BAJANA SHIRLEY CECILIA</t>
  </si>
  <si>
    <t>POZO PINCAY JULIO ERNESTO</t>
  </si>
  <si>
    <t xml:space="preserve"> PUCUNA VERA FREDY  CASA</t>
  </si>
  <si>
    <t>QUINTEROS VILLAVICENCIO ANDREA ELIZABETH</t>
  </si>
  <si>
    <t>QUIROZ GARCES GEORGI LUIS</t>
  </si>
  <si>
    <t xml:space="preserve"> QUISE SINCHE HECTOR RAMON</t>
  </si>
  <si>
    <t>QUISNANCELA GUANULEMA SANDRA LORENA</t>
  </si>
  <si>
    <t>RAMON ERICK SALDARREAGA MUENTES</t>
  </si>
  <si>
    <t>REGALADO CRESPO ROSA BENITA</t>
  </si>
  <si>
    <t>REGALADO PEREZ LUIS ANDRES</t>
  </si>
  <si>
    <t>ROBALINO PARRALES JORGE VICENTE</t>
  </si>
  <si>
    <t>RODOLFO  MANUEL PROANO SANCHEZ</t>
  </si>
  <si>
    <t>RODRIGUEZ ASPIAZU CARLOS</t>
  </si>
  <si>
    <t>RODRIGUEZ ENCALADA ELENA AZUCENA</t>
  </si>
  <si>
    <t xml:space="preserve"> RODRIGUEZ ENCALADA VIOLETA ROSARIO</t>
  </si>
  <si>
    <t>RODRIGUEZ UZHO GENESIS</t>
  </si>
  <si>
    <t>ROJAS PINOS ALICIA GRIMANESA</t>
  </si>
  <si>
    <t>ROJAS VALVERDE  JOSE EFRAIN</t>
  </si>
  <si>
    <t>ROMERO PARRA JORGE ALEJANDRO</t>
  </si>
  <si>
    <t>SINDICATO DE FABRICA DEL INGENIO SAN CARLOS</t>
  </si>
  <si>
    <t>SINDICATO DE TRABAJADORES DEL INGENIO SAN CARLOS</t>
  </si>
  <si>
    <t>ASOCIACION DE JUBILADOS</t>
  </si>
  <si>
    <t>0913170874001</t>
  </si>
  <si>
    <t>SALAZAR VILLACRES OSVALDO</t>
  </si>
  <si>
    <t>0919012195001</t>
  </si>
  <si>
    <t>ZAMBRANOI VASQUEZ JIMMY</t>
  </si>
  <si>
    <t>0992882808001</t>
  </si>
  <si>
    <t>ACERIA XINLONG S.A.</t>
  </si>
  <si>
    <t>0921367272001</t>
  </si>
  <si>
    <t>ESPINOZA MONCADA DIANA</t>
  </si>
  <si>
    <t>0991258884001</t>
  </si>
  <si>
    <t>0907723258</t>
  </si>
  <si>
    <t>VALLEJO ROMERO SILVIA</t>
  </si>
  <si>
    <t>0912455839</t>
  </si>
  <si>
    <t>GUADALUPE JIMENES CARLOS</t>
  </si>
  <si>
    <t>0914208806</t>
  </si>
  <si>
    <t>DAQUI SANCHEZ SEGUNDO</t>
  </si>
  <si>
    <t>0910905934</t>
  </si>
  <si>
    <t>CAMPOS OLMEDO JORGE</t>
  </si>
  <si>
    <t>0941334872001</t>
  </si>
  <si>
    <t>ZAMORA LOIDA</t>
  </si>
  <si>
    <t>0650239106001</t>
  </si>
  <si>
    <t>FLORES TENELEMA ERIK</t>
  </si>
  <si>
    <t>1203651599</t>
  </si>
  <si>
    <t>FREIRE PAREDES WILLIAN</t>
  </si>
  <si>
    <t>0993148563001</t>
  </si>
  <si>
    <t>MENVILL S.A.</t>
  </si>
  <si>
    <t>0924883028001</t>
  </si>
  <si>
    <t>MEDINA RAMOS LUIS</t>
  </si>
  <si>
    <t>0991464824001</t>
  </si>
  <si>
    <t>0992205024001</t>
  </si>
  <si>
    <t>0906096706001</t>
  </si>
  <si>
    <t>0991464778001</t>
  </si>
  <si>
    <t>0992810645001</t>
  </si>
  <si>
    <t>000000081</t>
  </si>
  <si>
    <t>0104202607091780945100120030010000000811670216113</t>
  </si>
  <si>
    <t>000000084</t>
  </si>
  <si>
    <t>0104202607091780945100120030010000000842392808619</t>
  </si>
  <si>
    <t>000000085</t>
  </si>
  <si>
    <t>000000087</t>
  </si>
  <si>
    <t>0104202607091780945100120030010000000852406965610</t>
  </si>
  <si>
    <t>000000083</t>
  </si>
  <si>
    <t>0104202607091780945100120030010000000835503379112</t>
  </si>
  <si>
    <t>000000082</t>
  </si>
  <si>
    <t>0104202607091780945100120030010000000828602612019</t>
  </si>
  <si>
    <t>E-Electronico(v1.0)</t>
  </si>
  <si>
    <t>000000088</t>
  </si>
  <si>
    <t>1504202607091780945100120030010000000888192850914</t>
  </si>
  <si>
    <t>000000089</t>
  </si>
  <si>
    <t>1504202607091780945100120030010000000899183980610</t>
  </si>
  <si>
    <t>000000091</t>
  </si>
  <si>
    <t>1704202607091780945100120030010000000914331204917</t>
  </si>
  <si>
    <t>0904202607091780945100120030010000000875603404813</t>
  </si>
  <si>
    <t>000000090</t>
  </si>
  <si>
    <t>1604202607091780945100120030010000000907817582610</t>
  </si>
  <si>
    <t>000000092</t>
  </si>
  <si>
    <t>2304202607091780945100120030010000000929540315818</t>
  </si>
  <si>
    <t>000000093</t>
  </si>
  <si>
    <t>2304202607091780945100120030010000000938349500612</t>
  </si>
  <si>
    <t>000000095</t>
  </si>
  <si>
    <t>2904202607091780945100120030010000000958653407112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</si>
</sst>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_(* #,##0.00_);_(* \(#,##0.00\);_(* &quot;-&quot;??_);_(@_)"/>
    <numFmt numFmtId="166" formatCode="_ * #,##0_ ;_ * \-#,##0_ ;_ * &quot;-&quot;??_ ;_ @_ "/>
    <numFmt numFmtId="167" formatCode="_ * #,##0.0000_ ;_ * \-#,##0.0000_ ;_ * &quot;-&quot;??_ ;_ @_ "/>
    <numFmt numFmtId="168" formatCode="mmm\-yyyy"/>
    <numFmt numFmtId="169" formatCode="_-* #,##0.0000_-;\-* #,##0.0000_-;_-* &quot;-&quot;??_-;_-@_-"/>
    <numFmt numFmtId="170" formatCode="_(* #,##0_);_(* \(#,##0\);_(* &quot;-&quot;??_);_(@_)"/>
    <numFmt numFmtId="171" formatCode="dd/mm/yyyy;@"/>
  </numFmts>
  <fonts count="90" x14ac:knownFonts="1">
    <font>
      <sz val="11"/>
      <color theme="1"/>
      <name val="Calibri"/>
      <family val="2"/>
      <scheme val="minor"/>
    </font>
    <font>
      <sz val="11"/>
      <color theme="1"/>
      <name val="Calibri"/>
      <family val="2"/>
      <scheme val="minor"/>
    </font>
    <font>
      <sz val="18"/>
      <color indexed="9"/>
      <name val="Arial"/>
      <family val="2"/>
    </font>
    <font>
      <b/>
      <sz val="10"/>
      <color indexed="9"/>
      <name val="Arial"/>
      <family val="2"/>
    </font>
    <font>
      <sz val="10"/>
      <name val="Arial"/>
      <family val="2"/>
    </font>
    <font>
      <b/>
      <sz val="10"/>
      <name val="Arial"/>
      <family val="2"/>
    </font>
    <font>
      <sz val="10"/>
      <name val="Arial"/>
      <family val="2"/>
    </font>
    <font>
      <b/>
      <sz val="11"/>
      <name val="Arial"/>
      <family val="2"/>
    </font>
    <font>
      <sz val="9"/>
      <name val="Arial"/>
      <family val="2"/>
    </font>
    <font>
      <sz val="14"/>
      <name val="Arial"/>
      <family val="2"/>
    </font>
    <font>
      <sz val="12"/>
      <name val="Arial"/>
      <family val="2"/>
    </font>
    <font>
      <b/>
      <sz val="9"/>
      <name val="Arial"/>
      <family val="2"/>
    </font>
    <font>
      <b/>
      <sz val="14"/>
      <name val="Arial"/>
      <family val="2"/>
    </font>
    <font>
      <b/>
      <sz val="12"/>
      <name val="Arial"/>
      <family val="2"/>
    </font>
    <font>
      <sz val="8"/>
      <name val="Arial"/>
      <family val="2"/>
    </font>
    <font>
      <b/>
      <sz val="16"/>
      <name val="Arial"/>
      <family val="2"/>
    </font>
    <font>
      <sz val="7"/>
      <name val="Arial"/>
      <family val="2"/>
    </font>
    <font>
      <b/>
      <sz val="8"/>
      <name val="Arial"/>
      <family val="2"/>
    </font>
    <font>
      <sz val="18"/>
      <name val="Arial"/>
      <family val="2"/>
    </font>
    <font>
      <b/>
      <i/>
      <sz val="9"/>
      <name val="Arial"/>
      <family val="2"/>
    </font>
    <font>
      <sz val="11"/>
      <color indexed="8"/>
      <name val="Calibri"/>
      <family val="2"/>
    </font>
    <font>
      <sz val="11"/>
      <color indexed="8"/>
      <name val="Arial"/>
      <family val="2"/>
      <charset val="1"/>
    </font>
    <font>
      <sz val="8"/>
      <color theme="0"/>
      <name val="Arial"/>
      <family val="2"/>
    </font>
    <font>
      <b/>
      <sz val="11"/>
      <color theme="0"/>
      <name val="Calibri"/>
      <family val="2"/>
      <scheme val="minor"/>
    </font>
    <font>
      <b/>
      <sz val="11"/>
      <color theme="1"/>
      <name val="Calibri"/>
      <family val="2"/>
      <scheme val="minor"/>
    </font>
    <font>
      <b/>
      <sz val="18"/>
      <name val="Cambria"/>
      <family val="1"/>
      <scheme val="major"/>
    </font>
    <font>
      <sz val="18"/>
      <name val="Cambria"/>
      <family val="1"/>
      <scheme val="major"/>
    </font>
    <font>
      <b/>
      <u/>
      <sz val="18"/>
      <name val="Cambria"/>
      <family val="1"/>
      <scheme val="major"/>
    </font>
    <font>
      <b/>
      <sz val="8"/>
      <color theme="0"/>
      <name val="Arial"/>
      <family val="2"/>
    </font>
    <font>
      <b/>
      <sz val="8"/>
      <color indexed="9"/>
      <name val="Arial"/>
      <family val="2"/>
    </font>
    <font>
      <sz val="10"/>
      <name val="Calibri"/>
      <family val="2"/>
      <scheme val="minor"/>
    </font>
    <font>
      <sz val="9"/>
      <name val="Cambria"/>
      <family val="1"/>
      <scheme val="major"/>
    </font>
    <font>
      <b/>
      <sz val="9"/>
      <color theme="0"/>
      <name val="Cambria"/>
      <family val="1"/>
      <scheme val="major"/>
    </font>
    <font>
      <b/>
      <sz val="14"/>
      <color indexed="59"/>
      <name val="Cambria"/>
      <family val="1"/>
      <scheme val="major"/>
    </font>
    <font>
      <b/>
      <sz val="9"/>
      <name val="Cambria"/>
      <family val="1"/>
      <scheme val="major"/>
    </font>
    <font>
      <b/>
      <sz val="9"/>
      <color indexed="59"/>
      <name val="Cambria"/>
      <family val="1"/>
      <scheme val="major"/>
    </font>
    <font>
      <sz val="9"/>
      <color theme="1"/>
      <name val="Cambria"/>
      <family val="1"/>
      <scheme val="major"/>
    </font>
    <font>
      <strike/>
      <sz val="9"/>
      <name val="Cambria"/>
      <family val="1"/>
      <scheme val="major"/>
    </font>
    <font>
      <sz val="9"/>
      <color theme="0"/>
      <name val="Cambria"/>
      <family val="1"/>
      <scheme val="major"/>
    </font>
    <font>
      <b/>
      <sz val="9"/>
      <color indexed="9"/>
      <name val="Cambria"/>
      <family val="1"/>
      <scheme val="major"/>
    </font>
    <font>
      <b/>
      <i/>
      <sz val="9"/>
      <color indexed="59"/>
      <name val="Cambria"/>
      <family val="1"/>
      <scheme val="major"/>
    </font>
    <font>
      <b/>
      <i/>
      <u/>
      <sz val="9"/>
      <name val="Cambria"/>
      <family val="1"/>
      <scheme val="major"/>
    </font>
    <font>
      <b/>
      <i/>
      <sz val="9"/>
      <name val="Cambria"/>
      <family val="1"/>
      <scheme val="major"/>
    </font>
    <font>
      <b/>
      <sz val="16"/>
      <color indexed="59"/>
      <name val="Cambria"/>
      <family val="1"/>
      <scheme val="major"/>
    </font>
    <font>
      <sz val="14"/>
      <color indexed="59"/>
      <name val="Cambria"/>
      <family val="1"/>
      <scheme val="major"/>
    </font>
    <font>
      <b/>
      <sz val="16"/>
      <name val="Cambria"/>
      <family val="1"/>
      <scheme val="major"/>
    </font>
    <font>
      <sz val="11"/>
      <color theme="0"/>
      <name val="Calibri"/>
      <family val="2"/>
      <scheme val="minor"/>
    </font>
    <font>
      <sz val="8"/>
      <name val="Cambria"/>
      <family val="1"/>
      <scheme val="major"/>
    </font>
    <font>
      <b/>
      <sz val="8"/>
      <name val="Cambria"/>
      <family val="1"/>
      <scheme val="major"/>
    </font>
    <font>
      <u/>
      <sz val="10"/>
      <name val="Arial"/>
      <family val="2"/>
    </font>
    <font>
      <b/>
      <u/>
      <sz val="10"/>
      <name val="Arial"/>
      <family val="2"/>
    </font>
    <font>
      <b/>
      <i/>
      <sz val="10"/>
      <name val="Arial"/>
      <family val="2"/>
    </font>
    <font>
      <sz val="12"/>
      <name val="Cambria"/>
      <family val="1"/>
      <scheme val="major"/>
    </font>
    <font>
      <u/>
      <sz val="10"/>
      <color indexed="12"/>
      <name val="Arial"/>
      <family val="2"/>
    </font>
    <font>
      <sz val="10"/>
      <color theme="1"/>
      <name val="Arial"/>
      <family val="2"/>
    </font>
    <font>
      <sz val="8"/>
      <name val="Calibri"/>
      <family val="2"/>
      <scheme val="minor"/>
    </font>
    <font>
      <sz val="16"/>
      <name val="Cambria"/>
      <family val="1"/>
      <scheme val="major"/>
    </font>
    <font>
      <b/>
      <sz val="9"/>
      <color theme="1"/>
      <name val="Cambria"/>
      <family val="1"/>
      <scheme val="major"/>
    </font>
    <font>
      <u/>
      <sz val="11"/>
      <color theme="10"/>
      <name val="Calibri"/>
      <family val="2"/>
      <scheme val="minor"/>
    </font>
    <font>
      <b/>
      <sz val="12"/>
      <color indexed="9"/>
      <name val="Calibri"/>
      <family val="2"/>
    </font>
    <font>
      <sz val="12"/>
      <name val="Calibri"/>
      <family val="2"/>
    </font>
    <font>
      <sz val="9"/>
      <color indexed="81"/>
      <name val="Tahoma"/>
      <family val="2"/>
    </font>
    <font>
      <b/>
      <sz val="9"/>
      <color indexed="81"/>
      <name val="Tahoma"/>
      <family val="2"/>
    </font>
    <font>
      <b/>
      <i/>
      <sz val="9"/>
      <color theme="1"/>
      <name val="Cambria"/>
      <family val="1"/>
      <scheme val="major"/>
    </font>
    <font>
      <b/>
      <i/>
      <sz val="9"/>
      <color theme="0"/>
      <name val="Cambria"/>
      <family val="1"/>
      <scheme val="major"/>
    </font>
    <font>
      <b/>
      <sz val="10"/>
      <color theme="8" tint="0.79998168889431442"/>
      <name val="Arial"/>
      <family val="2"/>
    </font>
    <font>
      <b/>
      <sz val="11"/>
      <color theme="3" tint="-0.499984740745262"/>
      <name val="Arial"/>
      <family val="2"/>
    </font>
    <font>
      <b/>
      <u/>
      <sz val="11"/>
      <color theme="3" tint="-0.499984740745262"/>
      <name val="Arial"/>
      <family val="2"/>
    </font>
    <font>
      <sz val="11"/>
      <color theme="3" tint="-0.499984740745262"/>
      <name val="Arial"/>
      <family val="2"/>
    </font>
    <font>
      <sz val="10"/>
      <color theme="8" tint="0.79998168889431442"/>
      <name val="Arial"/>
      <family val="2"/>
    </font>
    <font>
      <sz val="10"/>
      <name val="Calibri"/>
      <family val="2"/>
    </font>
    <font>
      <sz val="8"/>
      <name val="Calibri"/>
      <family val="2"/>
    </font>
    <font>
      <b/>
      <sz val="11"/>
      <color theme="8" tint="0.79998168889431442"/>
      <name val="Arial"/>
      <family val="2"/>
    </font>
    <font>
      <b/>
      <u/>
      <sz val="11"/>
      <color theme="10"/>
      <name val="Calibri"/>
      <family val="2"/>
      <scheme val="minor"/>
    </font>
    <font>
      <b/>
      <sz val="10"/>
      <color theme="1"/>
      <name val="Arial"/>
      <family val="2"/>
    </font>
    <font>
      <sz val="11"/>
      <color theme="8" tint="0.79998168889431442"/>
      <name val="Calibri"/>
      <family val="2"/>
      <scheme val="minor"/>
    </font>
    <font>
      <b/>
      <sz val="12"/>
      <color theme="1"/>
      <name val="Calibri"/>
      <family val="2"/>
      <scheme val="minor"/>
    </font>
    <font>
      <b/>
      <sz val="24"/>
      <color indexed="8"/>
      <name val="Arial"/>
      <family val="2"/>
    </font>
    <font>
      <sz val="18"/>
      <color indexed="8"/>
      <name val="Arial"/>
      <family val="2"/>
    </font>
    <font>
      <sz val="12"/>
      <color indexed="8"/>
      <name val="Arial"/>
      <family val="2"/>
    </font>
    <font>
      <sz val="10"/>
      <color indexed="63"/>
      <name val="Arial"/>
      <family val="2"/>
    </font>
    <font>
      <i/>
      <sz val="10"/>
      <color indexed="23"/>
      <name val="Arial"/>
      <family val="2"/>
    </font>
    <font>
      <sz val="10"/>
      <color indexed="58"/>
      <name val="Arial"/>
      <family val="2"/>
    </font>
    <font>
      <sz val="10"/>
      <color indexed="19"/>
      <name val="Arial"/>
      <family val="2"/>
    </font>
    <font>
      <sz val="10"/>
      <color indexed="16"/>
      <name val="Arial"/>
      <family val="2"/>
    </font>
    <font>
      <b/>
      <sz val="10"/>
      <color indexed="8"/>
      <name val="Arial"/>
      <family val="2"/>
    </font>
    <font>
      <sz val="10"/>
      <color indexed="9"/>
      <name val="Arial"/>
      <family val="2"/>
    </font>
    <font>
      <sz val="9"/>
      <color theme="1"/>
      <name val="Calibri"/>
      <family val="2"/>
      <scheme val="minor"/>
    </font>
    <font>
      <sz val="9"/>
      <color indexed="9"/>
      <name val="Cambria"/>
      <family val="1"/>
      <scheme val="major"/>
    </font>
    <font>
      <sz val="11"/>
      <name val="Arial"/>
      <family val="2"/>
    </font>
  </fonts>
  <fills count="32">
    <fill>
      <patternFill patternType="none"/>
    </fill>
    <fill>
      <patternFill patternType="gray125"/>
    </fill>
    <fill>
      <patternFill patternType="solid">
        <fgColor indexed="18"/>
        <bgColor indexed="64"/>
      </patternFill>
    </fill>
    <fill>
      <patternFill patternType="solid">
        <fgColor indexed="8"/>
        <bgColor indexed="64"/>
      </patternFill>
    </fill>
    <fill>
      <patternFill patternType="solid">
        <fgColor indexed="42"/>
        <bgColor indexed="64"/>
      </patternFill>
    </fill>
    <fill>
      <patternFill patternType="solid">
        <fgColor rgb="FFFFFF00"/>
        <bgColor indexed="64"/>
      </patternFill>
    </fill>
    <fill>
      <patternFill patternType="solid">
        <fgColor theme="7" tint="-0.249977111117893"/>
        <bgColor indexed="64"/>
      </patternFill>
    </fill>
    <fill>
      <patternFill patternType="solid">
        <fgColor indexed="22"/>
        <bgColor indexed="64"/>
      </patternFill>
    </fill>
    <fill>
      <patternFill patternType="solid">
        <fgColor indexed="29"/>
        <bgColor indexed="64"/>
      </patternFill>
    </fill>
    <fill>
      <patternFill patternType="solid">
        <fgColor indexed="9"/>
        <bgColor indexed="64"/>
      </patternFill>
    </fill>
    <fill>
      <patternFill patternType="solid">
        <fgColor indexed="41"/>
        <bgColor indexed="64"/>
      </patternFill>
    </fill>
    <fill>
      <patternFill patternType="solid">
        <fgColor indexed="55"/>
        <bgColor indexed="64"/>
      </patternFill>
    </fill>
    <fill>
      <patternFill patternType="solid">
        <fgColor theme="0" tint="-0.249977111117893"/>
        <bgColor indexed="64"/>
      </patternFill>
    </fill>
    <fill>
      <patternFill patternType="solid">
        <fgColor rgb="FF66FF33"/>
        <bgColor indexed="64"/>
      </patternFill>
    </fill>
    <fill>
      <patternFill patternType="solid">
        <fgColor rgb="FF92D050"/>
        <bgColor indexed="64"/>
      </patternFill>
    </fill>
    <fill>
      <patternFill patternType="solid">
        <fgColor rgb="FF002060"/>
        <bgColor indexed="64"/>
      </patternFill>
    </fill>
    <fill>
      <patternFill patternType="solid">
        <fgColor theme="8" tint="0.59999389629810485"/>
        <bgColor indexed="64"/>
      </patternFill>
    </fill>
    <fill>
      <patternFill patternType="solid">
        <fgColor rgb="FF7030A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indexed="62"/>
        <bgColor indexed="64"/>
      </patternFill>
    </fill>
    <fill>
      <patternFill patternType="solid">
        <fgColor theme="8" tint="0.79998168889431442"/>
        <bgColor indexed="64"/>
      </patternFill>
    </fill>
    <fill>
      <patternFill patternType="solid">
        <fgColor theme="8" tint="0.59999389629810485"/>
        <bgColor indexed="9"/>
      </patternFill>
    </fill>
    <fill>
      <patternFill patternType="solid">
        <fgColor indexed="8"/>
        <bgColor indexed="18"/>
      </patternFill>
    </fill>
    <fill>
      <patternFill patternType="solid">
        <fgColor indexed="23"/>
        <bgColor indexed="55"/>
      </patternFill>
    </fill>
    <fill>
      <patternFill patternType="solid">
        <fgColor indexed="31"/>
        <bgColor indexed="47"/>
      </patternFill>
    </fill>
    <fill>
      <patternFill patternType="solid">
        <fgColor indexed="47"/>
        <bgColor indexed="31"/>
      </patternFill>
    </fill>
    <fill>
      <patternFill patternType="solid">
        <fgColor indexed="16"/>
        <bgColor indexed="10"/>
      </patternFill>
    </fill>
    <fill>
      <patternFill patternType="solid">
        <fgColor indexed="42"/>
        <bgColor indexed="27"/>
      </patternFill>
    </fill>
    <fill>
      <patternFill patternType="solid">
        <fgColor indexed="26"/>
        <bgColor indexed="9"/>
      </patternFill>
    </fill>
    <fill>
      <patternFill patternType="solid">
        <fgColor theme="4" tint="0.79998168889431442"/>
        <bgColor indexed="64"/>
      </patternFill>
    </fill>
    <fill>
      <patternFill patternType="solid">
        <fgColor theme="0" tint="-0.14999847407452621"/>
        <bgColor indexed="64"/>
      </patternFill>
    </fill>
  </fills>
  <borders count="14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dashDotDot">
        <color indexed="64"/>
      </left>
      <right/>
      <top style="thin">
        <color indexed="64"/>
      </top>
      <bottom style="medium">
        <color indexed="64"/>
      </bottom>
      <diagonal/>
    </border>
    <border>
      <left style="dotted">
        <color indexed="64"/>
      </left>
      <right/>
      <top style="thin">
        <color indexed="64"/>
      </top>
      <bottom style="medium">
        <color indexed="64"/>
      </bottom>
      <diagonal/>
    </border>
    <border>
      <left style="medium">
        <color indexed="64"/>
      </left>
      <right style="dotted">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bottom/>
      <diagonal/>
    </border>
    <border>
      <left style="thin">
        <color theme="0"/>
      </left>
      <right style="thin">
        <color theme="0"/>
      </right>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style="thin">
        <color theme="0"/>
      </right>
      <top/>
      <bottom style="thin">
        <color theme="0"/>
      </bottom>
      <diagonal/>
    </border>
    <border>
      <left style="thin">
        <color theme="0"/>
      </left>
      <right style="thin">
        <color theme="0"/>
      </right>
      <top/>
      <bottom style="thin">
        <color indexed="64"/>
      </bottom>
      <diagonal/>
    </border>
    <border>
      <left style="thin">
        <color theme="0"/>
      </left>
      <right style="thin">
        <color indexed="64"/>
      </right>
      <top style="thin">
        <color theme="0"/>
      </top>
      <bottom/>
      <diagonal/>
    </border>
    <border>
      <left style="medium">
        <color theme="0"/>
      </left>
      <right style="medium">
        <color theme="0"/>
      </right>
      <top style="medium">
        <color theme="0"/>
      </top>
      <bottom style="medium">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double">
        <color indexed="64"/>
      </bottom>
      <diagonal/>
    </border>
    <border>
      <left style="thin">
        <color theme="0"/>
      </left>
      <right/>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style="thin">
        <color indexed="64"/>
      </right>
      <top/>
      <bottom/>
      <diagonal/>
    </border>
    <border>
      <left style="dashDot">
        <color indexed="64"/>
      </left>
      <right/>
      <top/>
      <bottom/>
      <diagonal/>
    </border>
    <border>
      <left/>
      <right style="dashDot">
        <color indexed="64"/>
      </right>
      <top/>
      <bottom/>
      <diagonal/>
    </border>
    <border>
      <left style="dashDot">
        <color indexed="64"/>
      </left>
      <right style="dashDot">
        <color indexed="64"/>
      </right>
      <top/>
      <bottom style="thin">
        <color indexed="64"/>
      </bottom>
      <diagonal/>
    </border>
    <border>
      <left style="dashDot">
        <color indexed="64"/>
      </left>
      <right/>
      <top/>
      <bottom style="thin">
        <color indexed="64"/>
      </bottom>
      <diagonal/>
    </border>
    <border>
      <left/>
      <right style="dashDot">
        <color indexed="64"/>
      </right>
      <top/>
      <bottom style="thin">
        <color indexed="64"/>
      </bottom>
      <diagonal/>
    </border>
    <border>
      <left/>
      <right/>
      <top style="thin">
        <color indexed="64"/>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medium">
        <color indexed="64"/>
      </left>
      <right/>
      <top style="double">
        <color indexed="64"/>
      </top>
      <bottom style="double">
        <color indexed="64"/>
      </bottom>
      <diagonal/>
    </border>
    <border>
      <left style="medium">
        <color indexed="64"/>
      </left>
      <right/>
      <top style="thin">
        <color indexed="64"/>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style="thin">
        <color indexed="23"/>
      </left>
      <right style="thin">
        <color indexed="23"/>
      </right>
      <top style="thin">
        <color indexed="23"/>
      </top>
      <bottom style="thin">
        <color indexed="23"/>
      </bottom>
      <diagonal/>
    </border>
    <border>
      <left style="thin">
        <color theme="0"/>
      </left>
      <right style="thin">
        <color theme="0"/>
      </right>
      <top style="thin">
        <color theme="0"/>
      </top>
      <bottom style="medium">
        <color indexed="64"/>
      </bottom>
      <diagonal/>
    </border>
    <border>
      <left style="thin">
        <color theme="0"/>
      </left>
      <right style="thin">
        <color theme="0"/>
      </right>
      <top style="medium">
        <color indexed="64"/>
      </top>
      <bottom style="thin">
        <color theme="0"/>
      </bottom>
      <diagonal/>
    </border>
    <border>
      <left style="thin">
        <color indexed="64"/>
      </left>
      <right style="medium">
        <color theme="0"/>
      </right>
      <top style="thin">
        <color indexed="64"/>
      </top>
      <bottom style="medium">
        <color theme="0"/>
      </bottom>
      <diagonal/>
    </border>
    <border>
      <left style="medium">
        <color theme="0"/>
      </left>
      <right style="medium">
        <color theme="0"/>
      </right>
      <top style="thin">
        <color indexed="64"/>
      </top>
      <bottom style="medium">
        <color theme="0"/>
      </bottom>
      <diagonal/>
    </border>
    <border>
      <left style="medium">
        <color theme="0"/>
      </left>
      <right/>
      <top style="thin">
        <color indexed="64"/>
      </top>
      <bottom style="medium">
        <color theme="0"/>
      </bottom>
      <diagonal/>
    </border>
    <border>
      <left/>
      <right style="thin">
        <color theme="0"/>
      </right>
      <top style="thin">
        <color theme="0"/>
      </top>
      <bottom style="thin">
        <color theme="0"/>
      </bottom>
      <diagonal/>
    </border>
    <border>
      <left style="thin">
        <color indexed="64"/>
      </left>
      <right style="thin">
        <color theme="0"/>
      </right>
      <top style="thin">
        <color indexed="64"/>
      </top>
      <bottom style="thin">
        <color theme="0"/>
      </bottom>
      <diagonal/>
    </border>
    <border>
      <left/>
      <right/>
      <top style="thin">
        <color theme="0"/>
      </top>
      <bottom style="thin">
        <color theme="0"/>
      </bottom>
      <diagonal/>
    </border>
    <border>
      <left style="thin">
        <color theme="0"/>
      </left>
      <right/>
      <top style="thin">
        <color indexed="64"/>
      </top>
      <bottom style="thin">
        <color theme="0"/>
      </bottom>
      <diagonal/>
    </border>
    <border>
      <left/>
      <right style="thin">
        <color theme="0"/>
      </right>
      <top style="thin">
        <color indexed="64"/>
      </top>
      <bottom style="thin">
        <color theme="0"/>
      </bottom>
      <diagonal/>
    </border>
    <border>
      <left style="thin">
        <color theme="0"/>
      </left>
      <right style="thin">
        <color indexed="64"/>
      </right>
      <top style="thin">
        <color indexed="64"/>
      </top>
      <bottom style="thin">
        <color indexed="64"/>
      </bottom>
      <diagonal/>
    </border>
    <border>
      <left/>
      <right/>
      <top style="thin">
        <color indexed="64"/>
      </top>
      <bottom style="thin">
        <color theme="0"/>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indexed="64"/>
      </top>
      <bottom/>
      <diagonal/>
    </border>
    <border>
      <left style="thin">
        <color theme="0"/>
      </left>
      <right style="thin">
        <color indexed="64"/>
      </right>
      <top style="thin">
        <color indexed="64"/>
      </top>
      <bottom/>
      <diagonal/>
    </border>
    <border>
      <left style="thin">
        <color indexed="64"/>
      </left>
      <right style="thin">
        <color theme="0"/>
      </right>
      <top style="thin">
        <color indexed="64"/>
      </top>
      <bottom/>
      <diagonal/>
    </border>
    <border>
      <left/>
      <right style="thin">
        <color theme="0"/>
      </right>
      <top style="thin">
        <color indexed="64"/>
      </top>
      <bottom/>
      <diagonal/>
    </border>
    <border>
      <left style="medium">
        <color indexed="64"/>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thin">
        <color indexed="64"/>
      </left>
      <right style="thin">
        <color theme="0"/>
      </right>
      <top style="thin">
        <color theme="0"/>
      </top>
      <bottom/>
      <diagonal/>
    </border>
    <border>
      <left style="thin">
        <color theme="0"/>
      </left>
      <right/>
      <top style="thin">
        <color indexed="64"/>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indexed="64"/>
      </left>
      <right style="thin">
        <color theme="0"/>
      </right>
      <top/>
      <bottom/>
      <diagonal/>
    </border>
    <border>
      <left style="thin">
        <color theme="0"/>
      </left>
      <right style="thin">
        <color indexed="64"/>
      </right>
      <top/>
      <bottom/>
      <diagonal/>
    </border>
    <border>
      <left style="thin">
        <color indexed="64"/>
      </left>
      <right style="medium">
        <color theme="0"/>
      </right>
      <top style="medium">
        <color theme="0"/>
      </top>
      <bottom/>
      <diagonal/>
    </border>
    <border>
      <left style="medium">
        <color theme="0"/>
      </left>
      <right style="medium">
        <color theme="0"/>
      </right>
      <top style="medium">
        <color theme="0"/>
      </top>
      <bottom/>
      <diagonal/>
    </border>
    <border>
      <left style="thin">
        <color theme="0"/>
      </left>
      <right style="thin">
        <color theme="0"/>
      </right>
      <top style="medium">
        <color indexed="64"/>
      </top>
      <bottom/>
      <diagonal/>
    </border>
  </borders>
  <cellStyleXfs count="42">
    <xf numFmtId="0" fontId="0" fillId="0" borderId="0"/>
    <xf numFmtId="165" fontId="1" fillId="0" borderId="0" applyFont="0" applyFill="0" applyBorder="0" applyAlignment="0" applyProtection="0"/>
    <xf numFmtId="9" fontId="1" fillId="0" borderId="0" applyFont="0" applyFill="0" applyBorder="0" applyAlignment="0" applyProtection="0"/>
    <xf numFmtId="0" fontId="6" fillId="0" borderId="0" applyFont="0" applyFill="0" applyBorder="0" applyAlignment="0" applyProtection="0"/>
    <xf numFmtId="0" fontId="4" fillId="0" borderId="0"/>
    <xf numFmtId="0" fontId="4" fillId="0" borderId="0" applyFont="0" applyFill="0" applyBorder="0" applyAlignment="0" applyProtection="0"/>
    <xf numFmtId="0" fontId="20" fillId="0" borderId="0"/>
    <xf numFmtId="0" fontId="21" fillId="0" borderId="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65" fontId="4" fillId="0" borderId="0" applyFont="0" applyFill="0" applyBorder="0" applyAlignment="0" applyProtection="0"/>
    <xf numFmtId="0" fontId="4" fillId="0" borderId="0"/>
    <xf numFmtId="164" fontId="4" fillId="0" borderId="0" applyFont="0" applyFill="0" applyBorder="0" applyAlignment="0" applyProtection="0"/>
    <xf numFmtId="0" fontId="53" fillId="0" borderId="0" applyNumberFormat="0" applyFill="0" applyBorder="0" applyAlignment="0" applyProtection="0">
      <alignment vertical="top"/>
      <protection locked="0"/>
    </xf>
    <xf numFmtId="0" fontId="58" fillId="0" borderId="0" applyNumberFormat="0" applyFill="0" applyBorder="0" applyAlignment="0" applyProtection="0"/>
    <xf numFmtId="0" fontId="1" fillId="0" borderId="0"/>
    <xf numFmtId="9" fontId="20" fillId="0" borderId="0" applyFont="0" applyFill="0" applyBorder="0" applyAlignment="0" applyProtection="0"/>
    <xf numFmtId="0" fontId="85" fillId="0" borderId="0" applyNumberFormat="0" applyFill="0" applyBorder="0" applyAlignment="0" applyProtection="0"/>
    <xf numFmtId="0" fontId="86" fillId="23" borderId="0" applyNumberFormat="0" applyBorder="0" applyAlignment="0" applyProtection="0"/>
    <xf numFmtId="0" fontId="86" fillId="24" borderId="0" applyNumberFormat="0" applyBorder="0" applyAlignment="0" applyProtection="0"/>
    <xf numFmtId="0" fontId="85" fillId="25" borderId="0" applyNumberFormat="0" applyBorder="0" applyAlignment="0" applyProtection="0"/>
    <xf numFmtId="0" fontId="84" fillId="26" borderId="0" applyNumberFormat="0" applyBorder="0" applyAlignment="0" applyProtection="0"/>
    <xf numFmtId="0" fontId="3" fillId="27" borderId="0" applyNumberFormat="0" applyBorder="0" applyAlignment="0" applyProtection="0"/>
    <xf numFmtId="0" fontId="20" fillId="0" borderId="0"/>
    <xf numFmtId="0" fontId="81" fillId="0" borderId="0" applyNumberFormat="0" applyFill="0" applyBorder="0" applyAlignment="0" applyProtection="0"/>
    <xf numFmtId="0" fontId="82" fillId="28" borderId="0" applyNumberFormat="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9" fillId="0" borderId="0" applyNumberFormat="0" applyFill="0" applyBorder="0" applyAlignment="0" applyProtection="0"/>
    <xf numFmtId="0" fontId="83" fillId="29" borderId="0" applyNumberFormat="0" applyBorder="0" applyAlignment="0" applyProtection="0"/>
    <xf numFmtId="0" fontId="80" fillId="29" borderId="118" applyNumberFormat="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84" fillId="0" borderId="0" applyNumberFormat="0" applyFill="0" applyBorder="0" applyAlignment="0" applyProtection="0"/>
  </cellStyleXfs>
  <cellXfs count="1444">
    <xf numFmtId="0" fontId="0" fillId="0" borderId="0" xfId="0"/>
    <xf numFmtId="0" fontId="0" fillId="0" borderId="0" xfId="0" applyAlignment="1">
      <alignment vertical="center"/>
    </xf>
    <xf numFmtId="0" fontId="0" fillId="0" borderId="0" xfId="0" applyAlignment="1">
      <alignment horizontal="center" vertical="center"/>
    </xf>
    <xf numFmtId="0" fontId="8" fillId="0" borderId="0" xfId="4" applyFont="1" applyAlignment="1">
      <alignment vertical="center"/>
    </xf>
    <xf numFmtId="0" fontId="8" fillId="0" borderId="31" xfId="4" applyFont="1" applyBorder="1" applyAlignment="1">
      <alignment vertical="center"/>
    </xf>
    <xf numFmtId="0" fontId="8" fillId="0" borderId="32" xfId="4" applyFont="1" applyBorder="1" applyAlignment="1">
      <alignment vertical="center"/>
    </xf>
    <xf numFmtId="0" fontId="8" fillId="0" borderId="33" xfId="4" applyFont="1" applyBorder="1" applyAlignment="1">
      <alignment vertical="center"/>
    </xf>
    <xf numFmtId="0" fontId="8" fillId="0" borderId="4" xfId="4" applyFont="1" applyBorder="1" applyAlignment="1">
      <alignment horizontal="left" vertical="center"/>
    </xf>
    <xf numFmtId="0" fontId="10" fillId="7" borderId="25" xfId="4" applyFont="1" applyFill="1" applyBorder="1" applyAlignment="1">
      <alignment horizontal="center" vertical="center"/>
    </xf>
    <xf numFmtId="0" fontId="10" fillId="0" borderId="31" xfId="4" applyFont="1" applyBorder="1" applyAlignment="1">
      <alignment vertical="center"/>
    </xf>
    <xf numFmtId="0" fontId="10" fillId="0" borderId="32" xfId="4" applyFont="1" applyBorder="1" applyAlignment="1">
      <alignment vertical="center"/>
    </xf>
    <xf numFmtId="0" fontId="8" fillId="0" borderId="34" xfId="4" applyFont="1" applyBorder="1" applyAlignment="1">
      <alignment vertical="center"/>
    </xf>
    <xf numFmtId="0" fontId="8" fillId="0" borderId="35" xfId="4" applyFont="1" applyBorder="1" applyAlignment="1">
      <alignment vertical="center"/>
    </xf>
    <xf numFmtId="0" fontId="8" fillId="0" borderId="32" xfId="4" applyFont="1" applyBorder="1" applyAlignment="1">
      <alignment horizontal="center" vertical="center"/>
    </xf>
    <xf numFmtId="0" fontId="8" fillId="0" borderId="17" xfId="4" applyFont="1" applyBorder="1" applyAlignment="1">
      <alignment vertical="center"/>
    </xf>
    <xf numFmtId="0" fontId="8" fillId="0" borderId="16" xfId="4" applyFont="1" applyBorder="1" applyAlignment="1">
      <alignment vertical="center"/>
    </xf>
    <xf numFmtId="9" fontId="8" fillId="0" borderId="15" xfId="4" applyNumberFormat="1" applyFont="1" applyBorder="1" applyAlignment="1">
      <alignment vertical="center"/>
    </xf>
    <xf numFmtId="0" fontId="10" fillId="7" borderId="36" xfId="4" applyFont="1" applyFill="1" applyBorder="1" applyAlignment="1">
      <alignment horizontal="left" vertical="center"/>
    </xf>
    <xf numFmtId="0" fontId="10" fillId="7" borderId="37" xfId="4" applyFont="1" applyFill="1" applyBorder="1" applyAlignment="1">
      <alignment horizontal="left" vertical="center"/>
    </xf>
    <xf numFmtId="0" fontId="8" fillId="0" borderId="2" xfId="4" applyFont="1" applyBorder="1" applyAlignment="1">
      <alignment vertical="center"/>
    </xf>
    <xf numFmtId="0" fontId="8" fillId="0" borderId="0" xfId="4" applyFont="1" applyAlignment="1">
      <alignment horizontal="center" vertical="center"/>
    </xf>
    <xf numFmtId="0" fontId="8" fillId="0" borderId="13" xfId="4" applyFont="1" applyBorder="1" applyAlignment="1">
      <alignment horizontal="center" vertical="center"/>
    </xf>
    <xf numFmtId="0" fontId="8" fillId="0" borderId="13" xfId="4" applyFont="1" applyBorder="1" applyAlignment="1">
      <alignment horizontal="left" vertical="center"/>
    </xf>
    <xf numFmtId="0" fontId="8" fillId="0" borderId="1" xfId="4" applyFont="1" applyBorder="1" applyAlignment="1">
      <alignment vertical="center"/>
    </xf>
    <xf numFmtId="0" fontId="11" fillId="0" borderId="0" xfId="4" applyFont="1" applyAlignment="1">
      <alignment horizontal="center" vertical="center"/>
    </xf>
    <xf numFmtId="0" fontId="11" fillId="0" borderId="1" xfId="4" applyFont="1" applyBorder="1" applyAlignment="1">
      <alignment horizontal="center" vertical="center"/>
    </xf>
    <xf numFmtId="0" fontId="8" fillId="0" borderId="38" xfId="4" applyFont="1" applyBorder="1" applyAlignment="1">
      <alignment horizontal="left" vertical="center"/>
    </xf>
    <xf numFmtId="0" fontId="10" fillId="7" borderId="39" xfId="4" applyFont="1" applyFill="1" applyBorder="1" applyAlignment="1">
      <alignment horizontal="center" vertical="center" wrapText="1"/>
    </xf>
    <xf numFmtId="0" fontId="10" fillId="7" borderId="41" xfId="4" applyFont="1" applyFill="1" applyBorder="1" applyAlignment="1">
      <alignment horizontal="center" vertical="center" wrapText="1"/>
    </xf>
    <xf numFmtId="0" fontId="10" fillId="7" borderId="29" xfId="4" applyFont="1" applyFill="1" applyBorder="1" applyAlignment="1">
      <alignment horizontal="center" vertical="center" wrapText="1"/>
    </xf>
    <xf numFmtId="0" fontId="8" fillId="0" borderId="44" xfId="4" applyFont="1" applyBorder="1" applyAlignment="1">
      <alignment horizontal="left" vertical="center"/>
    </xf>
    <xf numFmtId="0" fontId="10" fillId="7" borderId="45" xfId="4" applyFont="1" applyFill="1" applyBorder="1" applyAlignment="1">
      <alignment horizontal="center" vertical="center" wrapText="1"/>
    </xf>
    <xf numFmtId="0" fontId="10" fillId="7" borderId="46" xfId="4" applyFont="1" applyFill="1" applyBorder="1" applyAlignment="1">
      <alignment horizontal="center" vertical="center" wrapText="1"/>
    </xf>
    <xf numFmtId="0" fontId="11" fillId="0" borderId="22" xfId="4" applyFont="1" applyBorder="1" applyAlignment="1">
      <alignment vertical="center"/>
    </xf>
    <xf numFmtId="0" fontId="11" fillId="0" borderId="21" xfId="4" applyFont="1" applyBorder="1" applyAlignment="1">
      <alignment vertical="center"/>
    </xf>
    <xf numFmtId="0" fontId="8" fillId="0" borderId="47" xfId="4" applyFont="1" applyBorder="1" applyAlignment="1">
      <alignment horizontal="left" vertical="center"/>
    </xf>
    <xf numFmtId="49" fontId="10" fillId="7" borderId="48" xfId="4" applyNumberFormat="1" applyFont="1" applyFill="1" applyBorder="1" applyAlignment="1">
      <alignment horizontal="center" vertical="center" wrapText="1"/>
    </xf>
    <xf numFmtId="0" fontId="8" fillId="0" borderId="49" xfId="4" applyFont="1" applyBorder="1" applyAlignment="1">
      <alignment vertical="center"/>
    </xf>
    <xf numFmtId="0" fontId="8" fillId="0" borderId="50" xfId="4" applyFont="1" applyBorder="1" applyAlignment="1">
      <alignment horizontal="left" vertical="center"/>
    </xf>
    <xf numFmtId="0" fontId="8" fillId="0" borderId="51" xfId="4" applyFont="1" applyBorder="1" applyAlignment="1">
      <alignment horizontal="left" vertical="center"/>
    </xf>
    <xf numFmtId="49" fontId="10" fillId="7" borderId="45" xfId="4" applyNumberFormat="1" applyFont="1" applyFill="1" applyBorder="1" applyAlignment="1">
      <alignment horizontal="center" vertical="center" wrapText="1"/>
    </xf>
    <xf numFmtId="0" fontId="8" fillId="0" borderId="15" xfId="4" applyFont="1" applyBorder="1" applyAlignment="1">
      <alignment vertical="center"/>
    </xf>
    <xf numFmtId="0" fontId="8" fillId="0" borderId="15" xfId="4" applyFont="1" applyBorder="1" applyAlignment="1">
      <alignment horizontal="left" vertical="center"/>
    </xf>
    <xf numFmtId="0" fontId="8" fillId="0" borderId="13" xfId="4" applyFont="1" applyBorder="1" applyAlignment="1">
      <alignment vertical="center"/>
    </xf>
    <xf numFmtId="0" fontId="8" fillId="0" borderId="12" xfId="4" applyFont="1" applyBorder="1" applyAlignment="1">
      <alignment vertical="center"/>
    </xf>
    <xf numFmtId="0" fontId="8" fillId="0" borderId="12" xfId="4" applyFont="1" applyBorder="1" applyAlignment="1">
      <alignment horizontal="left" vertical="center"/>
    </xf>
    <xf numFmtId="0" fontId="10" fillId="7" borderId="53" xfId="4" applyFont="1" applyFill="1" applyBorder="1" applyAlignment="1">
      <alignment horizontal="center" vertical="center"/>
    </xf>
    <xf numFmtId="0" fontId="10" fillId="7" borderId="37" xfId="4" applyFont="1" applyFill="1" applyBorder="1" applyAlignment="1">
      <alignment horizontal="center" vertical="center"/>
    </xf>
    <xf numFmtId="0" fontId="8" fillId="7" borderId="23" xfId="4" applyFont="1" applyFill="1" applyBorder="1" applyAlignment="1">
      <alignment vertical="center"/>
    </xf>
    <xf numFmtId="0" fontId="8" fillId="7" borderId="22" xfId="4" applyFont="1" applyFill="1" applyBorder="1" applyAlignment="1">
      <alignment vertical="center"/>
    </xf>
    <xf numFmtId="0" fontId="11" fillId="7" borderId="21" xfId="4" applyFont="1" applyFill="1" applyBorder="1" applyAlignment="1">
      <alignment vertical="center"/>
    </xf>
    <xf numFmtId="0" fontId="10" fillId="0" borderId="48" xfId="4" applyFont="1" applyBorder="1" applyAlignment="1">
      <alignment horizontal="center" vertical="center"/>
    </xf>
    <xf numFmtId="0" fontId="10" fillId="7" borderId="48" xfId="4" applyFont="1" applyFill="1" applyBorder="1" applyAlignment="1">
      <alignment horizontal="center" vertical="center"/>
    </xf>
    <xf numFmtId="0" fontId="10" fillId="0" borderId="54" xfId="4" applyFont="1" applyBorder="1" applyAlignment="1">
      <alignment horizontal="center" vertical="center"/>
    </xf>
    <xf numFmtId="0" fontId="10" fillId="7" borderId="54" xfId="4" applyFont="1" applyFill="1" applyBorder="1" applyAlignment="1">
      <alignment horizontal="center" vertical="center"/>
    </xf>
    <xf numFmtId="0" fontId="8" fillId="0" borderId="13" xfId="4" applyFont="1" applyBorder="1" applyAlignment="1">
      <alignment horizontal="right" vertical="center"/>
    </xf>
    <xf numFmtId="0" fontId="8" fillId="0" borderId="23" xfId="4" applyFont="1" applyBorder="1" applyAlignment="1">
      <alignment vertical="center"/>
    </xf>
    <xf numFmtId="0" fontId="8" fillId="0" borderId="22" xfId="4" applyFont="1" applyBorder="1" applyAlignment="1">
      <alignment vertical="center"/>
    </xf>
    <xf numFmtId="0" fontId="13" fillId="7" borderId="53" xfId="4" applyFont="1" applyFill="1" applyBorder="1" applyAlignment="1">
      <alignment horizontal="center" vertical="center"/>
    </xf>
    <xf numFmtId="49" fontId="13" fillId="7" borderId="53" xfId="4" applyNumberFormat="1" applyFont="1" applyFill="1" applyBorder="1" applyAlignment="1">
      <alignment horizontal="center" vertical="center" wrapText="1"/>
    </xf>
    <xf numFmtId="0" fontId="8" fillId="0" borderId="21" xfId="4" applyFont="1" applyBorder="1" applyAlignment="1">
      <alignment horizontal="left" vertical="center"/>
    </xf>
    <xf numFmtId="164" fontId="9" fillId="0" borderId="23" xfId="5" applyNumberFormat="1" applyFont="1" applyBorder="1" applyAlignment="1">
      <alignment vertical="center"/>
    </xf>
    <xf numFmtId="164" fontId="9" fillId="0" borderId="22" xfId="5" applyNumberFormat="1" applyFont="1" applyBorder="1" applyAlignment="1">
      <alignment vertical="center"/>
    </xf>
    <xf numFmtId="0" fontId="13" fillId="0" borderId="22" xfId="4" applyFont="1" applyBorder="1" applyAlignment="1">
      <alignment vertical="center"/>
    </xf>
    <xf numFmtId="49" fontId="11" fillId="0" borderId="21" xfId="4" applyNumberFormat="1" applyFont="1" applyBorder="1" applyAlignment="1">
      <alignment horizontal="left" vertical="center"/>
    </xf>
    <xf numFmtId="0" fontId="8" fillId="0" borderId="21" xfId="4" applyFont="1" applyBorder="1" applyAlignment="1">
      <alignment vertical="center"/>
    </xf>
    <xf numFmtId="0" fontId="10" fillId="8" borderId="21" xfId="4" applyFont="1" applyFill="1" applyBorder="1" applyAlignment="1">
      <alignment horizontal="center" vertical="center"/>
    </xf>
    <xf numFmtId="0" fontId="8" fillId="0" borderId="21" xfId="4" applyFont="1" applyBorder="1" applyAlignment="1">
      <alignment horizontal="center" vertical="center"/>
    </xf>
    <xf numFmtId="0" fontId="13" fillId="8" borderId="21" xfId="4" applyFont="1" applyFill="1" applyBorder="1" applyAlignment="1">
      <alignment horizontal="center" vertical="center"/>
    </xf>
    <xf numFmtId="49" fontId="8" fillId="0" borderId="21" xfId="4" applyNumberFormat="1" applyFont="1" applyBorder="1" applyAlignment="1">
      <alignment horizontal="left" vertical="center"/>
    </xf>
    <xf numFmtId="0" fontId="11" fillId="0" borderId="22" xfId="4" applyFont="1" applyBorder="1" applyAlignment="1">
      <alignment horizontal="right" vertical="center"/>
    </xf>
    <xf numFmtId="49" fontId="11" fillId="0" borderId="37" xfId="4" applyNumberFormat="1" applyFont="1" applyBorder="1" applyAlignment="1">
      <alignment horizontal="left" vertical="center"/>
    </xf>
    <xf numFmtId="49" fontId="10" fillId="7" borderId="54" xfId="4" applyNumberFormat="1" applyFont="1" applyFill="1" applyBorder="1" applyAlignment="1">
      <alignment horizontal="center" vertical="center" wrapText="1"/>
    </xf>
    <xf numFmtId="0" fontId="8" fillId="0" borderId="16" xfId="4" applyFont="1" applyBorder="1" applyAlignment="1">
      <alignment horizontal="center" vertical="center"/>
    </xf>
    <xf numFmtId="0" fontId="10" fillId="0" borderId="45" xfId="4" applyFont="1" applyBorder="1" applyAlignment="1">
      <alignment horizontal="center" vertical="center"/>
    </xf>
    <xf numFmtId="0" fontId="11" fillId="0" borderId="0" xfId="4" applyFont="1" applyAlignment="1">
      <alignment vertical="center"/>
    </xf>
    <xf numFmtId="0" fontId="11" fillId="0" borderId="16" xfId="4" applyFont="1" applyBorder="1" applyAlignment="1">
      <alignment vertical="center"/>
    </xf>
    <xf numFmtId="0" fontId="11" fillId="0" borderId="16" xfId="4" applyFont="1" applyBorder="1" applyAlignment="1">
      <alignment horizontal="center" vertical="center"/>
    </xf>
    <xf numFmtId="0" fontId="11" fillId="0" borderId="23" xfId="4" applyFont="1" applyBorder="1" applyAlignment="1">
      <alignment vertical="center"/>
    </xf>
    <xf numFmtId="0" fontId="10" fillId="0" borderId="53" xfId="4" applyFont="1" applyBorder="1" applyAlignment="1">
      <alignment horizontal="center" vertical="center"/>
    </xf>
    <xf numFmtId="49" fontId="10" fillId="7" borderId="53" xfId="4" applyNumberFormat="1" applyFont="1" applyFill="1" applyBorder="1" applyAlignment="1">
      <alignment horizontal="center" vertical="center" wrapText="1"/>
    </xf>
    <xf numFmtId="0" fontId="8" fillId="0" borderId="55" xfId="4" applyFont="1" applyBorder="1" applyAlignment="1">
      <alignment vertical="center"/>
    </xf>
    <xf numFmtId="49" fontId="8" fillId="0" borderId="37" xfId="4" applyNumberFormat="1" applyFont="1" applyBorder="1" applyAlignment="1">
      <alignment horizontal="left" vertical="center"/>
    </xf>
    <xf numFmtId="2" fontId="8" fillId="0" borderId="0" xfId="4" quotePrefix="1" applyNumberFormat="1" applyFont="1" applyAlignment="1">
      <alignment vertical="center"/>
    </xf>
    <xf numFmtId="0" fontId="13" fillId="7" borderId="48" xfId="4" applyFont="1" applyFill="1" applyBorder="1" applyAlignment="1">
      <alignment horizontal="center" vertical="center"/>
    </xf>
    <xf numFmtId="49" fontId="13" fillId="7" borderId="48" xfId="4" applyNumberFormat="1" applyFont="1" applyFill="1" applyBorder="1" applyAlignment="1">
      <alignment horizontal="center" vertical="center" wrapText="1"/>
    </xf>
    <xf numFmtId="0" fontId="11" fillId="0" borderId="0" xfId="4" applyFont="1" applyAlignment="1">
      <alignment horizontal="right" vertical="center"/>
    </xf>
    <xf numFmtId="0" fontId="11" fillId="0" borderId="49" xfId="4" applyFont="1" applyBorder="1" applyAlignment="1">
      <alignment vertical="center"/>
    </xf>
    <xf numFmtId="49" fontId="11" fillId="0" borderId="56" xfId="4" applyNumberFormat="1" applyFont="1" applyBorder="1" applyAlignment="1">
      <alignment horizontal="left" vertical="center"/>
    </xf>
    <xf numFmtId="0" fontId="11" fillId="0" borderId="0" xfId="4" quotePrefix="1" applyFont="1" applyAlignment="1">
      <alignment vertical="center"/>
    </xf>
    <xf numFmtId="2" fontId="8" fillId="0" borderId="57" xfId="4" applyNumberFormat="1" applyFont="1" applyBorder="1" applyAlignment="1">
      <alignment horizontal="left" vertical="center" wrapText="1"/>
    </xf>
    <xf numFmtId="2" fontId="8" fillId="0" borderId="16" xfId="4" applyNumberFormat="1" applyFont="1" applyBorder="1" applyAlignment="1">
      <alignment horizontal="left" vertical="center" wrapText="1"/>
    </xf>
    <xf numFmtId="49" fontId="8" fillId="0" borderId="51" xfId="4" applyNumberFormat="1" applyFont="1" applyBorder="1" applyAlignment="1">
      <alignment horizontal="left" vertical="center"/>
    </xf>
    <xf numFmtId="2" fontId="11" fillId="0" borderId="57" xfId="4" applyNumberFormat="1" applyFont="1" applyBorder="1" applyAlignment="1">
      <alignment horizontal="left" vertical="center" wrapText="1"/>
    </xf>
    <xf numFmtId="2" fontId="11" fillId="0" borderId="16" xfId="4" applyNumberFormat="1" applyFont="1" applyBorder="1" applyAlignment="1">
      <alignment horizontal="left" vertical="center" wrapText="1"/>
    </xf>
    <xf numFmtId="0" fontId="8" fillId="0" borderId="0" xfId="4" quotePrefix="1" applyFont="1" applyAlignment="1">
      <alignment vertical="center"/>
    </xf>
    <xf numFmtId="0" fontId="13" fillId="7" borderId="54" xfId="4" applyFont="1" applyFill="1" applyBorder="1" applyAlignment="1">
      <alignment horizontal="center" vertical="center"/>
    </xf>
    <xf numFmtId="2" fontId="8" fillId="0" borderId="49" xfId="4" applyNumberFormat="1" applyFont="1" applyBorder="1" applyAlignment="1">
      <alignment horizontal="left" vertical="center" wrapText="1"/>
    </xf>
    <xf numFmtId="49" fontId="8" fillId="0" borderId="57" xfId="4" applyNumberFormat="1" applyFont="1" applyBorder="1" applyAlignment="1">
      <alignment horizontal="left" vertical="center"/>
    </xf>
    <xf numFmtId="49" fontId="8" fillId="0" borderId="54" xfId="4" applyNumberFormat="1" applyFont="1" applyBorder="1" applyAlignment="1">
      <alignment horizontal="left" vertical="center"/>
    </xf>
    <xf numFmtId="164" fontId="11" fillId="0" borderId="0" xfId="4" quotePrefix="1" applyNumberFormat="1" applyFont="1" applyAlignment="1">
      <alignment vertical="center"/>
    </xf>
    <xf numFmtId="0" fontId="11" fillId="0" borderId="13" xfId="4" applyFont="1" applyBorder="1" applyAlignment="1">
      <alignment vertical="center"/>
    </xf>
    <xf numFmtId="2" fontId="11" fillId="0" borderId="13" xfId="4" applyNumberFormat="1" applyFont="1" applyBorder="1" applyAlignment="1">
      <alignment horizontal="left" vertical="center" wrapText="1"/>
    </xf>
    <xf numFmtId="49" fontId="11" fillId="0" borderId="13" xfId="4" applyNumberFormat="1" applyFont="1" applyBorder="1" applyAlignment="1">
      <alignment horizontal="left" vertical="center"/>
    </xf>
    <xf numFmtId="49" fontId="8" fillId="0" borderId="13" xfId="4" applyNumberFormat="1" applyFont="1" applyBorder="1" applyAlignment="1">
      <alignment horizontal="left" vertical="center"/>
    </xf>
    <xf numFmtId="2" fontId="8" fillId="0" borderId="13" xfId="4" applyNumberFormat="1" applyFont="1" applyBorder="1" applyAlignment="1">
      <alignment horizontal="left" vertical="center" wrapText="1"/>
    </xf>
    <xf numFmtId="49" fontId="8" fillId="0" borderId="16" xfId="4" applyNumberFormat="1" applyFont="1" applyBorder="1" applyAlignment="1">
      <alignment horizontal="left" vertical="center"/>
    </xf>
    <xf numFmtId="164" fontId="11" fillId="0" borderId="0" xfId="4" applyNumberFormat="1" applyFont="1" applyAlignment="1">
      <alignment vertical="center"/>
    </xf>
    <xf numFmtId="164" fontId="11" fillId="0" borderId="16" xfId="4" applyNumberFormat="1" applyFont="1" applyBorder="1" applyAlignment="1">
      <alignment vertical="center"/>
    </xf>
    <xf numFmtId="49" fontId="8" fillId="0" borderId="56" xfId="4" applyNumberFormat="1" applyFont="1" applyBorder="1" applyAlignment="1">
      <alignment horizontal="left" vertical="center"/>
    </xf>
    <xf numFmtId="164" fontId="8" fillId="0" borderId="16" xfId="4" applyNumberFormat="1" applyFont="1" applyBorder="1" applyAlignment="1">
      <alignment vertical="center"/>
    </xf>
    <xf numFmtId="0" fontId="10" fillId="7" borderId="45" xfId="4" applyFont="1" applyFill="1" applyBorder="1" applyAlignment="1">
      <alignment horizontal="center" vertical="center"/>
    </xf>
    <xf numFmtId="164" fontId="8" fillId="0" borderId="13" xfId="4" applyNumberFormat="1" applyFont="1" applyBorder="1" applyAlignment="1">
      <alignment vertical="center"/>
    </xf>
    <xf numFmtId="49" fontId="8" fillId="0" borderId="61" xfId="4" applyNumberFormat="1" applyFont="1" applyBorder="1" applyAlignment="1">
      <alignment horizontal="left" vertical="center"/>
    </xf>
    <xf numFmtId="0" fontId="11" fillId="7" borderId="37" xfId="4" applyFont="1" applyFill="1" applyBorder="1" applyAlignment="1">
      <alignment horizontal="left" vertical="center"/>
    </xf>
    <xf numFmtId="49" fontId="11" fillId="7" borderId="53" xfId="4" applyNumberFormat="1" applyFont="1" applyFill="1" applyBorder="1" applyAlignment="1">
      <alignment horizontal="center" vertical="center" wrapText="1"/>
    </xf>
    <xf numFmtId="49" fontId="8" fillId="7" borderId="62" xfId="4" applyNumberFormat="1" applyFont="1" applyFill="1" applyBorder="1" applyAlignment="1">
      <alignment horizontal="center" vertical="center" wrapText="1"/>
    </xf>
    <xf numFmtId="0" fontId="8" fillId="0" borderId="10" xfId="4" applyFont="1" applyBorder="1" applyAlignment="1">
      <alignment horizontal="right" vertical="center"/>
    </xf>
    <xf numFmtId="0" fontId="8" fillId="0" borderId="10" xfId="4" applyFont="1" applyBorder="1" applyAlignment="1">
      <alignment vertical="center"/>
    </xf>
    <xf numFmtId="0" fontId="8" fillId="0" borderId="9" xfId="4" applyFont="1" applyBorder="1" applyAlignment="1">
      <alignment vertical="center"/>
    </xf>
    <xf numFmtId="49" fontId="8" fillId="0" borderId="63" xfId="4" applyNumberFormat="1" applyFont="1" applyBorder="1" applyAlignment="1">
      <alignment horizontal="left" vertical="center"/>
    </xf>
    <xf numFmtId="49" fontId="10" fillId="7" borderId="39" xfId="4" applyNumberFormat="1" applyFont="1" applyFill="1" applyBorder="1" applyAlignment="1">
      <alignment horizontal="center" vertical="center" wrapText="1"/>
    </xf>
    <xf numFmtId="0" fontId="10" fillId="0" borderId="39" xfId="4" applyFont="1" applyBorder="1" applyAlignment="1">
      <alignment horizontal="center" vertical="center"/>
    </xf>
    <xf numFmtId="0" fontId="8" fillId="0" borderId="4" xfId="4" applyFont="1" applyBorder="1" applyAlignment="1">
      <alignment vertical="center"/>
    </xf>
    <xf numFmtId="0" fontId="8" fillId="0" borderId="3" xfId="4" applyFont="1" applyBorder="1" applyAlignment="1">
      <alignment vertical="center"/>
    </xf>
    <xf numFmtId="49" fontId="8" fillId="0" borderId="64" xfId="4" applyNumberFormat="1" applyFont="1" applyBorder="1" applyAlignment="1">
      <alignment horizontal="left" vertical="center"/>
    </xf>
    <xf numFmtId="49" fontId="10" fillId="7" borderId="59" xfId="4" applyNumberFormat="1" applyFont="1" applyFill="1" applyBorder="1" applyAlignment="1">
      <alignment vertical="center" wrapText="1"/>
    </xf>
    <xf numFmtId="49" fontId="10" fillId="7" borderId="0" xfId="4" applyNumberFormat="1" applyFont="1" applyFill="1" applyAlignment="1">
      <alignment vertical="center" wrapText="1"/>
    </xf>
    <xf numFmtId="49" fontId="10" fillId="7" borderId="28" xfId="4" applyNumberFormat="1" applyFont="1" applyFill="1" applyBorder="1" applyAlignment="1">
      <alignment vertical="center" wrapText="1"/>
    </xf>
    <xf numFmtId="49" fontId="8" fillId="0" borderId="46" xfId="4" applyNumberFormat="1" applyFont="1" applyBorder="1" applyAlignment="1">
      <alignment horizontal="left" vertical="center"/>
    </xf>
    <xf numFmtId="0" fontId="8" fillId="0" borderId="57" xfId="4" applyFont="1" applyBorder="1" applyAlignment="1">
      <alignment vertical="center"/>
    </xf>
    <xf numFmtId="49" fontId="8" fillId="0" borderId="65" xfId="4" applyNumberFormat="1" applyFont="1" applyBorder="1" applyAlignment="1">
      <alignment horizontal="left" vertical="center"/>
    </xf>
    <xf numFmtId="164" fontId="13" fillId="7" borderId="52" xfId="4" applyNumberFormat="1" applyFont="1" applyFill="1" applyBorder="1" applyAlignment="1">
      <alignment horizontal="center" vertical="center"/>
    </xf>
    <xf numFmtId="0" fontId="11" fillId="0" borderId="55" xfId="4" applyFont="1" applyBorder="1" applyAlignment="1">
      <alignment vertical="center"/>
    </xf>
    <xf numFmtId="0" fontId="11" fillId="0" borderId="57" xfId="4" applyFont="1" applyBorder="1" applyAlignment="1">
      <alignment vertical="center"/>
    </xf>
    <xf numFmtId="164" fontId="10" fillId="0" borderId="44" xfId="5" applyNumberFormat="1" applyFont="1" applyBorder="1" applyAlignment="1">
      <alignment horizontal="center" vertical="center"/>
    </xf>
    <xf numFmtId="165" fontId="8" fillId="0" borderId="0" xfId="4" applyNumberFormat="1" applyFont="1" applyAlignment="1">
      <alignment vertical="center"/>
    </xf>
    <xf numFmtId="0" fontId="11" fillId="7" borderId="22" xfId="4" applyFont="1" applyFill="1" applyBorder="1" applyAlignment="1">
      <alignment vertical="center"/>
    </xf>
    <xf numFmtId="0" fontId="8" fillId="0" borderId="5" xfId="4" applyFont="1" applyBorder="1" applyAlignment="1">
      <alignment vertical="center"/>
    </xf>
    <xf numFmtId="0" fontId="10" fillId="0" borderId="0" xfId="4" applyFont="1" applyAlignment="1">
      <alignment vertical="center"/>
    </xf>
    <xf numFmtId="49" fontId="10" fillId="7" borderId="46" xfId="4" applyNumberFormat="1" applyFont="1" applyFill="1" applyBorder="1" applyAlignment="1">
      <alignment horizontal="center" vertical="center" wrapText="1"/>
    </xf>
    <xf numFmtId="0" fontId="11" fillId="7" borderId="23" xfId="4" applyFont="1" applyFill="1" applyBorder="1" applyAlignment="1">
      <alignment vertical="center"/>
    </xf>
    <xf numFmtId="0" fontId="8" fillId="0" borderId="58" xfId="4" applyFont="1" applyBorder="1" applyAlignment="1">
      <alignment vertical="center"/>
    </xf>
    <xf numFmtId="49" fontId="13" fillId="7" borderId="37" xfId="4" applyNumberFormat="1" applyFont="1" applyFill="1" applyBorder="1" applyAlignment="1">
      <alignment horizontal="center" vertical="center" wrapText="1"/>
    </xf>
    <xf numFmtId="165" fontId="11" fillId="0" borderId="0" xfId="4" quotePrefix="1" applyNumberFormat="1" applyFont="1" applyAlignment="1">
      <alignment vertical="center"/>
    </xf>
    <xf numFmtId="165" fontId="11" fillId="0" borderId="0" xfId="4" applyNumberFormat="1" applyFont="1" applyAlignment="1">
      <alignment vertical="center"/>
    </xf>
    <xf numFmtId="0" fontId="10" fillId="0" borderId="26" xfId="4" applyFont="1" applyBorder="1" applyAlignment="1">
      <alignment horizontal="center" vertical="center"/>
    </xf>
    <xf numFmtId="49" fontId="10" fillId="7" borderId="26" xfId="4" applyNumberFormat="1" applyFont="1" applyFill="1" applyBorder="1" applyAlignment="1">
      <alignment horizontal="center" vertical="center" wrapText="1"/>
    </xf>
    <xf numFmtId="0" fontId="10" fillId="0" borderId="62" xfId="4" applyFont="1" applyBorder="1" applyAlignment="1">
      <alignment horizontal="center" vertical="center"/>
    </xf>
    <xf numFmtId="49" fontId="10" fillId="7" borderId="62" xfId="4" applyNumberFormat="1" applyFont="1" applyFill="1" applyBorder="1" applyAlignment="1">
      <alignment horizontal="center" vertical="center" wrapText="1"/>
    </xf>
    <xf numFmtId="0" fontId="8" fillId="0" borderId="9" xfId="4" applyFont="1" applyBorder="1" applyAlignment="1">
      <alignment horizontal="left" vertical="center"/>
    </xf>
    <xf numFmtId="0" fontId="11" fillId="7" borderId="20" xfId="4" applyFont="1" applyFill="1" applyBorder="1" applyAlignment="1">
      <alignment vertical="center"/>
    </xf>
    <xf numFmtId="0" fontId="11" fillId="7" borderId="19" xfId="4" applyFont="1" applyFill="1" applyBorder="1" applyAlignment="1">
      <alignment vertical="center"/>
    </xf>
    <xf numFmtId="0" fontId="11" fillId="7" borderId="18" xfId="4" applyFont="1" applyFill="1" applyBorder="1" applyAlignment="1">
      <alignment vertical="center"/>
    </xf>
    <xf numFmtId="0" fontId="11" fillId="7" borderId="68" xfId="4" applyFont="1" applyFill="1" applyBorder="1" applyAlignment="1">
      <alignment horizontal="left" vertical="center"/>
    </xf>
    <xf numFmtId="0" fontId="8" fillId="9" borderId="0" xfId="4" applyFont="1" applyFill="1" applyAlignment="1">
      <alignment vertical="center"/>
    </xf>
    <xf numFmtId="0" fontId="11" fillId="9" borderId="1" xfId="4" applyFont="1" applyFill="1" applyBorder="1" applyAlignment="1">
      <alignment vertical="center"/>
    </xf>
    <xf numFmtId="0" fontId="8" fillId="9" borderId="44" xfId="4" applyFont="1" applyFill="1" applyBorder="1" applyAlignment="1">
      <alignment horizontal="left" vertical="center"/>
    </xf>
    <xf numFmtId="0" fontId="8" fillId="9" borderId="66" xfId="4" applyFont="1" applyFill="1" applyBorder="1" applyAlignment="1">
      <alignment horizontal="left" vertical="center"/>
    </xf>
    <xf numFmtId="0" fontId="8" fillId="9" borderId="49" xfId="4" applyFont="1" applyFill="1" applyBorder="1" applyAlignment="1">
      <alignment horizontal="left" vertical="center"/>
    </xf>
    <xf numFmtId="0" fontId="8" fillId="9" borderId="47" xfId="4" applyFont="1" applyFill="1" applyBorder="1" applyAlignment="1">
      <alignment horizontal="left" vertical="center"/>
    </xf>
    <xf numFmtId="0" fontId="8" fillId="7" borderId="54" xfId="4" applyFont="1" applyFill="1" applyBorder="1" applyAlignment="1">
      <alignment horizontal="center" vertical="center" wrapText="1"/>
    </xf>
    <xf numFmtId="0" fontId="8" fillId="9" borderId="49" xfId="4" applyFont="1" applyFill="1" applyBorder="1" applyAlignment="1">
      <alignment horizontal="center" vertical="center"/>
    </xf>
    <xf numFmtId="0" fontId="8" fillId="9" borderId="47" xfId="4" applyFont="1" applyFill="1" applyBorder="1" applyAlignment="1">
      <alignment horizontal="center" vertical="center"/>
    </xf>
    <xf numFmtId="0" fontId="11" fillId="9" borderId="2" xfId="4" applyFont="1" applyFill="1" applyBorder="1" applyAlignment="1">
      <alignment horizontal="left" vertical="center"/>
    </xf>
    <xf numFmtId="0" fontId="8" fillId="9" borderId="0" xfId="4" applyFont="1" applyFill="1" applyAlignment="1">
      <alignment horizontal="center" vertical="center"/>
    </xf>
    <xf numFmtId="0" fontId="11" fillId="9" borderId="0" xfId="4" applyFont="1" applyFill="1" applyAlignment="1">
      <alignment horizontal="left" vertical="center"/>
    </xf>
    <xf numFmtId="0" fontId="11" fillId="9" borderId="1" xfId="4" applyFont="1" applyFill="1" applyBorder="1" applyAlignment="1">
      <alignment horizontal="left" vertical="center"/>
    </xf>
    <xf numFmtId="0" fontId="14" fillId="0" borderId="0" xfId="4" applyFont="1" applyAlignment="1">
      <alignment vertical="center"/>
    </xf>
    <xf numFmtId="0" fontId="11" fillId="0" borderId="2" xfId="4" applyFont="1" applyBorder="1" applyAlignment="1">
      <alignment horizontal="center" vertical="center" wrapText="1"/>
    </xf>
    <xf numFmtId="0" fontId="17" fillId="0" borderId="0" xfId="4" applyFont="1" applyAlignment="1">
      <alignment horizontal="center" vertical="center"/>
    </xf>
    <xf numFmtId="0" fontId="19" fillId="0" borderId="0" xfId="4" applyFont="1" applyAlignment="1">
      <alignment horizontal="left" vertical="center"/>
    </xf>
    <xf numFmtId="0" fontId="17" fillId="0" borderId="0" xfId="4" applyFont="1" applyAlignment="1">
      <alignment horizontal="left" vertical="center" wrapText="1"/>
    </xf>
    <xf numFmtId="0" fontId="17" fillId="0" borderId="0" xfId="4" applyFont="1" applyAlignment="1">
      <alignment horizontal="left" vertical="center"/>
    </xf>
    <xf numFmtId="0" fontId="14" fillId="9" borderId="0" xfId="4" applyFont="1" applyFill="1" applyAlignment="1">
      <alignment horizontal="center" vertical="center"/>
    </xf>
    <xf numFmtId="0" fontId="11" fillId="0" borderId="1" xfId="4" applyFont="1" applyBorder="1" applyAlignment="1">
      <alignment horizontal="left" vertical="center"/>
    </xf>
    <xf numFmtId="0" fontId="6" fillId="0" borderId="0" xfId="4" applyFont="1" applyAlignment="1">
      <alignment vertical="center"/>
    </xf>
    <xf numFmtId="0" fontId="5" fillId="7" borderId="5" xfId="4" applyFont="1" applyFill="1" applyBorder="1" applyAlignment="1">
      <alignment horizontal="left" vertical="center" wrapText="1"/>
    </xf>
    <xf numFmtId="0" fontId="5" fillId="7" borderId="4" xfId="4" applyFont="1" applyFill="1" applyBorder="1" applyAlignment="1">
      <alignment horizontal="left" vertical="center" wrapText="1"/>
    </xf>
    <xf numFmtId="0" fontId="6" fillId="7" borderId="4" xfId="4" applyFont="1" applyFill="1" applyBorder="1" applyAlignment="1">
      <alignment horizontal="left" vertical="center" wrapText="1"/>
    </xf>
    <xf numFmtId="0" fontId="5" fillId="7" borderId="5" xfId="4" applyFont="1" applyFill="1" applyBorder="1" applyAlignment="1">
      <alignment horizontal="center" vertical="center"/>
    </xf>
    <xf numFmtId="0" fontId="5" fillId="7" borderId="4" xfId="4" applyFont="1" applyFill="1" applyBorder="1" applyAlignment="1">
      <alignment horizontal="center" vertical="center"/>
    </xf>
    <xf numFmtId="0" fontId="5" fillId="7" borderId="4" xfId="4" applyFont="1" applyFill="1" applyBorder="1" applyAlignment="1">
      <alignment horizontal="left" vertical="center"/>
    </xf>
    <xf numFmtId="0" fontId="5" fillId="7" borderId="3" xfId="4" applyFont="1" applyFill="1" applyBorder="1" applyAlignment="1">
      <alignment horizontal="left" vertical="center"/>
    </xf>
    <xf numFmtId="0" fontId="5" fillId="7" borderId="20" xfId="4" applyFont="1" applyFill="1" applyBorder="1" applyAlignment="1">
      <alignment horizontal="left" vertical="center" wrapText="1"/>
    </xf>
    <xf numFmtId="0" fontId="5" fillId="7" borderId="19" xfId="4" applyFont="1" applyFill="1" applyBorder="1" applyAlignment="1">
      <alignment horizontal="left" vertical="center" wrapText="1"/>
    </xf>
    <xf numFmtId="0" fontId="6" fillId="7" borderId="19" xfId="4" applyFont="1" applyFill="1" applyBorder="1" applyAlignment="1">
      <alignment horizontal="left" vertical="center" wrapText="1"/>
    </xf>
    <xf numFmtId="0" fontId="5" fillId="7" borderId="20" xfId="4" applyFont="1" applyFill="1" applyBorder="1" applyAlignment="1">
      <alignment horizontal="center" vertical="center"/>
    </xf>
    <xf numFmtId="0" fontId="5" fillId="7" borderId="19" xfId="4" applyFont="1" applyFill="1" applyBorder="1" applyAlignment="1">
      <alignment horizontal="center" vertical="center"/>
    </xf>
    <xf numFmtId="0" fontId="6" fillId="7" borderId="19" xfId="4" applyFont="1" applyFill="1" applyBorder="1" applyAlignment="1">
      <alignment vertical="center"/>
    </xf>
    <xf numFmtId="0" fontId="6" fillId="7" borderId="19" xfId="4" applyFont="1" applyFill="1" applyBorder="1" applyAlignment="1">
      <alignment horizontal="center" vertical="center"/>
    </xf>
    <xf numFmtId="0" fontId="13" fillId="7" borderId="19" xfId="4" applyFont="1" applyFill="1" applyBorder="1" applyAlignment="1">
      <alignment horizontal="left" vertical="center"/>
    </xf>
    <xf numFmtId="0" fontId="5" fillId="7" borderId="19" xfId="4" applyFont="1" applyFill="1" applyBorder="1" applyAlignment="1">
      <alignment horizontal="left" vertical="center"/>
    </xf>
    <xf numFmtId="0" fontId="5" fillId="7" borderId="18" xfId="4" applyFont="1" applyFill="1" applyBorder="1" applyAlignment="1">
      <alignment horizontal="left" vertical="center"/>
    </xf>
    <xf numFmtId="0" fontId="8" fillId="0" borderId="32" xfId="4" applyFont="1" applyBorder="1" applyAlignment="1">
      <alignment horizontal="left" vertical="center"/>
    </xf>
    <xf numFmtId="0" fontId="8" fillId="0" borderId="17" xfId="4" applyFont="1" applyBorder="1" applyAlignment="1">
      <alignment horizontal="center" vertical="center"/>
    </xf>
    <xf numFmtId="0" fontId="8" fillId="0" borderId="16" xfId="4" applyFont="1" applyBorder="1" applyAlignment="1">
      <alignment horizontal="left" vertical="center"/>
    </xf>
    <xf numFmtId="0" fontId="8" fillId="0" borderId="2" xfId="4" applyFont="1" applyBorder="1" applyAlignment="1">
      <alignment horizontal="center" vertical="center" wrapText="1"/>
    </xf>
    <xf numFmtId="0" fontId="8" fillId="0" borderId="0" xfId="4" applyFont="1" applyAlignment="1">
      <alignment horizontal="center" vertical="center" wrapText="1"/>
    </xf>
    <xf numFmtId="0" fontId="8" fillId="0" borderId="1" xfId="4" applyFont="1" applyBorder="1" applyAlignment="1">
      <alignment horizontal="center" vertical="center" wrapText="1"/>
    </xf>
    <xf numFmtId="0" fontId="8" fillId="0" borderId="19" xfId="4" applyFont="1" applyBorder="1" applyAlignment="1">
      <alignment vertical="center"/>
    </xf>
    <xf numFmtId="0" fontId="8" fillId="0" borderId="42" xfId="4" applyFont="1" applyBorder="1" applyAlignment="1">
      <alignment horizontal="left" vertical="center"/>
    </xf>
    <xf numFmtId="0" fontId="10" fillId="7" borderId="62" xfId="4" applyFont="1" applyFill="1" applyBorder="1" applyAlignment="1">
      <alignment horizontal="center" vertical="center" wrapText="1"/>
    </xf>
    <xf numFmtId="0" fontId="8" fillId="0" borderId="10" xfId="4" applyFont="1" applyBorder="1" applyAlignment="1">
      <alignment horizontal="left" vertical="center"/>
    </xf>
    <xf numFmtId="0" fontId="10" fillId="7" borderId="63" xfId="4" applyFont="1" applyFill="1" applyBorder="1" applyAlignment="1">
      <alignment horizontal="center" vertical="center" wrapText="1"/>
    </xf>
    <xf numFmtId="0" fontId="8" fillId="0" borderId="66" xfId="4" applyFont="1" applyBorder="1" applyAlignment="1">
      <alignment vertical="center"/>
    </xf>
    <xf numFmtId="0" fontId="8" fillId="0" borderId="14" xfId="4" applyFont="1" applyBorder="1" applyAlignment="1">
      <alignment vertical="center"/>
    </xf>
    <xf numFmtId="0" fontId="8" fillId="0" borderId="16" xfId="4" applyFont="1" applyBorder="1" applyAlignment="1">
      <alignment horizontal="right" vertical="center"/>
    </xf>
    <xf numFmtId="0" fontId="8" fillId="10" borderId="23" xfId="4" applyFont="1" applyFill="1" applyBorder="1" applyAlignment="1">
      <alignment vertical="center"/>
    </xf>
    <xf numFmtId="0" fontId="8" fillId="10" borderId="22" xfId="4" applyFont="1" applyFill="1" applyBorder="1" applyAlignment="1">
      <alignment vertical="center"/>
    </xf>
    <xf numFmtId="0" fontId="8" fillId="10" borderId="21" xfId="4" applyFont="1" applyFill="1" applyBorder="1" applyAlignment="1">
      <alignment vertical="center"/>
    </xf>
    <xf numFmtId="0" fontId="11" fillId="10" borderId="37" xfId="4" applyFont="1" applyFill="1" applyBorder="1" applyAlignment="1">
      <alignment horizontal="left" vertical="center"/>
    </xf>
    <xf numFmtId="0" fontId="8" fillId="0" borderId="53" xfId="4" applyFont="1" applyBorder="1" applyAlignment="1">
      <alignment horizontal="center" vertical="center"/>
    </xf>
    <xf numFmtId="0" fontId="13" fillId="0" borderId="22" xfId="4" applyFont="1" applyBorder="1" applyAlignment="1">
      <alignment horizontal="center" vertical="center"/>
    </xf>
    <xf numFmtId="0" fontId="11" fillId="0" borderId="22" xfId="4" applyFont="1" applyBorder="1" applyAlignment="1">
      <alignment horizontal="center" vertical="center"/>
    </xf>
    <xf numFmtId="0" fontId="13" fillId="11" borderId="21" xfId="4" applyFont="1" applyFill="1" applyBorder="1" applyAlignment="1">
      <alignment horizontal="center" vertical="center"/>
    </xf>
    <xf numFmtId="0" fontId="13" fillId="7" borderId="24" xfId="4" applyFont="1" applyFill="1" applyBorder="1" applyAlignment="1">
      <alignment horizontal="center" vertical="center"/>
    </xf>
    <xf numFmtId="0" fontId="11" fillId="7" borderId="22" xfId="4" applyFont="1" applyFill="1" applyBorder="1" applyAlignment="1">
      <alignment horizontal="right" vertical="center"/>
    </xf>
    <xf numFmtId="49" fontId="11" fillId="7" borderId="37" xfId="4" applyNumberFormat="1" applyFont="1" applyFill="1" applyBorder="1" applyAlignment="1">
      <alignment horizontal="left" vertical="center"/>
    </xf>
    <xf numFmtId="0" fontId="11" fillId="10" borderId="23" xfId="4" applyFont="1" applyFill="1" applyBorder="1" applyAlignment="1">
      <alignment horizontal="center" vertical="center"/>
    </xf>
    <xf numFmtId="9" fontId="8" fillId="0" borderId="32" xfId="4" applyNumberFormat="1" applyFont="1" applyBorder="1" applyAlignment="1">
      <alignment horizontal="center" vertical="center"/>
    </xf>
    <xf numFmtId="0" fontId="10" fillId="0" borderId="30" xfId="4" applyFont="1" applyBorder="1" applyAlignment="1">
      <alignment horizontal="center" vertical="center"/>
    </xf>
    <xf numFmtId="0" fontId="5" fillId="7" borderId="39" xfId="4" applyFont="1" applyFill="1" applyBorder="1" applyAlignment="1">
      <alignment horizontal="center" vertical="center"/>
    </xf>
    <xf numFmtId="0" fontId="11" fillId="0" borderId="40" xfId="4" applyFont="1" applyBorder="1" applyAlignment="1">
      <alignment horizontal="right" vertical="center"/>
    </xf>
    <xf numFmtId="9" fontId="8" fillId="0" borderId="16" xfId="4" applyNumberFormat="1" applyFont="1" applyBorder="1" applyAlignment="1">
      <alignment horizontal="center" vertical="center"/>
    </xf>
    <xf numFmtId="0" fontId="10" fillId="0" borderId="44" xfId="4" applyFont="1" applyBorder="1" applyAlignment="1">
      <alignment horizontal="center" vertical="center"/>
    </xf>
    <xf numFmtId="0" fontId="10" fillId="7" borderId="58" xfId="4" applyFont="1" applyFill="1" applyBorder="1" applyAlignment="1">
      <alignment horizontal="center" vertical="center"/>
    </xf>
    <xf numFmtId="0" fontId="10" fillId="0" borderId="58" xfId="4" applyFont="1" applyBorder="1" applyAlignment="1">
      <alignment horizontal="center" vertical="center"/>
    </xf>
    <xf numFmtId="0" fontId="5" fillId="7" borderId="54" xfId="4" applyFont="1" applyFill="1" applyBorder="1" applyAlignment="1">
      <alignment horizontal="center" vertical="center"/>
    </xf>
    <xf numFmtId="0" fontId="11" fillId="0" borderId="60" xfId="4" applyFont="1" applyBorder="1" applyAlignment="1">
      <alignment horizontal="right" vertical="center"/>
    </xf>
    <xf numFmtId="9" fontId="8" fillId="0" borderId="13" xfId="4" applyNumberFormat="1" applyFont="1" applyBorder="1" applyAlignment="1">
      <alignment horizontal="center" vertical="center"/>
    </xf>
    <xf numFmtId="0" fontId="8" fillId="0" borderId="59" xfId="4" applyFont="1" applyBorder="1" applyAlignment="1">
      <alignment vertical="center"/>
    </xf>
    <xf numFmtId="0" fontId="8" fillId="0" borderId="11" xfId="4" applyFont="1" applyBorder="1" applyAlignment="1">
      <alignment vertical="center"/>
    </xf>
    <xf numFmtId="0" fontId="10" fillId="0" borderId="43" xfId="4" applyFont="1" applyBorder="1" applyAlignment="1">
      <alignment horizontal="center" vertical="center"/>
    </xf>
    <xf numFmtId="0" fontId="10" fillId="7" borderId="62" xfId="4" applyFont="1" applyFill="1" applyBorder="1" applyAlignment="1">
      <alignment horizontal="center" vertical="center"/>
    </xf>
    <xf numFmtId="9" fontId="8" fillId="0" borderId="10" xfId="4" applyNumberFormat="1" applyFont="1" applyBorder="1" applyAlignment="1">
      <alignment horizontal="center" vertical="center"/>
    </xf>
    <xf numFmtId="0" fontId="10" fillId="0" borderId="42" xfId="4" applyFont="1" applyBorder="1" applyAlignment="1">
      <alignment horizontal="center" vertical="center"/>
    </xf>
    <xf numFmtId="0" fontId="10" fillId="7" borderId="43" xfId="4" applyFont="1" applyFill="1" applyBorder="1" applyAlignment="1">
      <alignment horizontal="center" vertical="center"/>
    </xf>
    <xf numFmtId="0" fontId="8" fillId="0" borderId="43" xfId="4" applyFont="1" applyBorder="1" applyAlignment="1">
      <alignment vertical="center"/>
    </xf>
    <xf numFmtId="0" fontId="10" fillId="0" borderId="57" xfId="4" applyFont="1" applyBorder="1" applyAlignment="1">
      <alignment horizontal="center" vertical="center"/>
    </xf>
    <xf numFmtId="0" fontId="10" fillId="0" borderId="51" xfId="4" applyFont="1" applyBorder="1" applyAlignment="1">
      <alignment horizontal="center" vertical="center"/>
    </xf>
    <xf numFmtId="0" fontId="10" fillId="7" borderId="57" xfId="4" applyFont="1" applyFill="1" applyBorder="1" applyAlignment="1">
      <alignment horizontal="center" vertical="center"/>
    </xf>
    <xf numFmtId="0" fontId="8" fillId="0" borderId="60" xfId="4" applyFont="1" applyBorder="1" applyAlignment="1">
      <alignment vertical="center"/>
    </xf>
    <xf numFmtId="0" fontId="8" fillId="0" borderId="70" xfId="4" applyFont="1" applyBorder="1" applyAlignment="1">
      <alignment vertical="center"/>
    </xf>
    <xf numFmtId="0" fontId="13" fillId="7" borderId="24" xfId="4" quotePrefix="1" applyFont="1" applyFill="1" applyBorder="1" applyAlignment="1">
      <alignment horizontal="center" vertical="center"/>
    </xf>
    <xf numFmtId="0" fontId="11" fillId="0" borderId="57" xfId="4" applyFont="1" applyBorder="1" applyAlignment="1">
      <alignment horizontal="right" vertical="center"/>
    </xf>
    <xf numFmtId="0" fontId="7" fillId="7" borderId="54" xfId="4" applyFont="1" applyFill="1" applyBorder="1" applyAlignment="1">
      <alignment horizontal="center" vertical="center"/>
    </xf>
    <xf numFmtId="0" fontId="11" fillId="0" borderId="15" xfId="4" applyFont="1" applyBorder="1" applyAlignment="1">
      <alignment vertical="center"/>
    </xf>
    <xf numFmtId="0" fontId="8" fillId="0" borderId="50" xfId="4" applyFont="1" applyBorder="1" applyAlignment="1">
      <alignment vertical="center"/>
    </xf>
    <xf numFmtId="0" fontId="11" fillId="0" borderId="50" xfId="4" applyFont="1" applyBorder="1" applyAlignment="1">
      <alignment vertical="center"/>
    </xf>
    <xf numFmtId="0" fontId="8" fillId="9" borderId="14" xfId="4" applyFont="1" applyFill="1" applyBorder="1" applyAlignment="1">
      <alignment horizontal="left" vertical="center"/>
    </xf>
    <xf numFmtId="0" fontId="11" fillId="9" borderId="0" xfId="4" applyFont="1" applyFill="1" applyAlignment="1">
      <alignment horizontal="center" vertical="center"/>
    </xf>
    <xf numFmtId="0" fontId="17" fillId="9" borderId="0" xfId="4" applyFont="1" applyFill="1" applyAlignment="1">
      <alignment horizontal="left" vertical="center"/>
    </xf>
    <xf numFmtId="0" fontId="14" fillId="9" borderId="1" xfId="4" applyFont="1" applyFill="1" applyBorder="1" applyAlignment="1">
      <alignment horizontal="center" vertical="center"/>
    </xf>
    <xf numFmtId="0" fontId="14" fillId="0" borderId="57" xfId="4" applyFont="1" applyBorder="1" applyAlignment="1">
      <alignment vertical="center"/>
    </xf>
    <xf numFmtId="0" fontId="14" fillId="0" borderId="16" xfId="4" applyFont="1" applyBorder="1" applyAlignment="1">
      <alignment vertical="center"/>
    </xf>
    <xf numFmtId="0" fontId="14" fillId="9" borderId="16" xfId="4" applyFont="1" applyFill="1" applyBorder="1" applyAlignment="1">
      <alignment horizontal="left" vertical="center"/>
    </xf>
    <xf numFmtId="0" fontId="14" fillId="7" borderId="54" xfId="4" applyFont="1" applyFill="1" applyBorder="1" applyAlignment="1">
      <alignment horizontal="center" vertical="center"/>
    </xf>
    <xf numFmtId="0" fontId="17" fillId="0" borderId="1" xfId="4" applyFont="1" applyBorder="1" applyAlignment="1">
      <alignment horizontal="left" vertical="center"/>
    </xf>
    <xf numFmtId="0" fontId="11" fillId="0" borderId="0" xfId="4" applyFont="1" applyAlignment="1">
      <alignment horizontal="left" vertical="center" wrapText="1"/>
    </xf>
    <xf numFmtId="0" fontId="11" fillId="0" borderId="0" xfId="4" applyFont="1" applyAlignment="1">
      <alignment horizontal="left" vertical="center"/>
    </xf>
    <xf numFmtId="0" fontId="19" fillId="9" borderId="0" xfId="4" applyFont="1" applyFill="1" applyAlignment="1">
      <alignment horizontal="centerContinuous" vertical="center"/>
    </xf>
    <xf numFmtId="0" fontId="8" fillId="9" borderId="1" xfId="4" applyFont="1" applyFill="1" applyBorder="1" applyAlignment="1">
      <alignment horizontal="center" vertical="center"/>
    </xf>
    <xf numFmtId="0" fontId="4" fillId="0" borderId="0" xfId="4"/>
    <xf numFmtId="0" fontId="4" fillId="0" borderId="0" xfId="4" applyAlignment="1">
      <alignment vertical="center"/>
    </xf>
    <xf numFmtId="0" fontId="4" fillId="0" borderId="0" xfId="4" applyAlignment="1">
      <alignment vertical="top"/>
    </xf>
    <xf numFmtId="0" fontId="4" fillId="0" borderId="49" xfId="4" applyBorder="1"/>
    <xf numFmtId="164" fontId="8" fillId="0" borderId="0" xfId="4" applyNumberFormat="1" applyFont="1" applyAlignment="1">
      <alignment vertical="center"/>
    </xf>
    <xf numFmtId="9" fontId="8" fillId="0" borderId="4" xfId="4" applyNumberFormat="1" applyFont="1" applyBorder="1" applyAlignment="1">
      <alignment horizontal="center" vertical="center"/>
    </xf>
    <xf numFmtId="165" fontId="8" fillId="0" borderId="0" xfId="1" applyFont="1" applyAlignment="1">
      <alignment vertical="center"/>
    </xf>
    <xf numFmtId="9" fontId="8" fillId="0" borderId="0" xfId="4" applyNumberFormat="1" applyFont="1" applyAlignment="1">
      <alignment vertical="center"/>
    </xf>
    <xf numFmtId="0" fontId="14" fillId="0" borderId="51" xfId="4" applyFont="1" applyBorder="1" applyAlignment="1">
      <alignment vertical="center"/>
    </xf>
    <xf numFmtId="0" fontId="5" fillId="14" borderId="54" xfId="4" applyFont="1" applyFill="1" applyBorder="1" applyAlignment="1">
      <alignment horizontal="center" vertical="center"/>
    </xf>
    <xf numFmtId="49" fontId="10" fillId="7" borderId="44" xfId="4" applyNumberFormat="1" applyFont="1" applyFill="1" applyBorder="1" applyAlignment="1">
      <alignment horizontal="center" vertical="center" wrapText="1"/>
    </xf>
    <xf numFmtId="49" fontId="10" fillId="7" borderId="30" xfId="4" applyNumberFormat="1" applyFont="1" applyFill="1" applyBorder="1" applyAlignment="1">
      <alignment horizontal="center" vertical="center" wrapText="1"/>
    </xf>
    <xf numFmtId="0" fontId="4" fillId="7" borderId="19" xfId="4" applyFill="1" applyBorder="1" applyAlignment="1">
      <alignment horizontal="center" vertical="center"/>
    </xf>
    <xf numFmtId="0" fontId="4" fillId="7" borderId="19" xfId="4" applyFill="1" applyBorder="1" applyAlignment="1">
      <alignment vertical="center"/>
    </xf>
    <xf numFmtId="0" fontId="4" fillId="7" borderId="19" xfId="4" applyFill="1" applyBorder="1" applyAlignment="1">
      <alignment horizontal="left" vertical="center" wrapText="1"/>
    </xf>
    <xf numFmtId="0" fontId="4" fillId="7" borderId="4" xfId="4" applyFill="1" applyBorder="1" applyAlignment="1">
      <alignment horizontal="left" vertical="center" wrapText="1"/>
    </xf>
    <xf numFmtId="0" fontId="22" fillId="0" borderId="0" xfId="4" applyFont="1" applyAlignment="1">
      <alignment horizontal="center" vertical="center"/>
    </xf>
    <xf numFmtId="164" fontId="10" fillId="0" borderId="54" xfId="5" applyNumberFormat="1" applyFont="1" applyBorder="1" applyAlignment="1">
      <alignment horizontal="center" vertical="center"/>
    </xf>
    <xf numFmtId="0" fontId="13" fillId="7" borderId="52" xfId="4" applyFont="1" applyFill="1" applyBorder="1" applyAlignment="1">
      <alignment horizontal="center" vertical="center"/>
    </xf>
    <xf numFmtId="49" fontId="13" fillId="7" borderId="55" xfId="4" applyNumberFormat="1" applyFont="1" applyFill="1" applyBorder="1" applyAlignment="1">
      <alignment horizontal="center" vertical="center" wrapText="1"/>
    </xf>
    <xf numFmtId="0" fontId="25" fillId="0" borderId="0" xfId="4" applyFont="1"/>
    <xf numFmtId="0" fontId="26" fillId="0" borderId="0" xfId="4" applyFont="1"/>
    <xf numFmtId="0" fontId="27" fillId="0" borderId="0" xfId="4" applyFont="1"/>
    <xf numFmtId="0" fontId="17" fillId="0" borderId="0" xfId="4" applyFont="1" applyAlignment="1">
      <alignment horizontal="center" vertical="top"/>
    </xf>
    <xf numFmtId="0" fontId="29" fillId="6" borderId="80" xfId="4" applyFont="1" applyFill="1" applyBorder="1" applyAlignment="1">
      <alignment horizontal="center" vertical="top"/>
    </xf>
    <xf numFmtId="0" fontId="29" fillId="6" borderId="81" xfId="4" applyFont="1" applyFill="1" applyBorder="1" applyAlignment="1">
      <alignment horizontal="center" vertical="top" wrapText="1"/>
    </xf>
    <xf numFmtId="0" fontId="29" fillId="6" borderId="82" xfId="4" applyFont="1" applyFill="1" applyBorder="1" applyAlignment="1">
      <alignment horizontal="center" vertical="top" wrapText="1"/>
    </xf>
    <xf numFmtId="0" fontId="29" fillId="6" borderId="72" xfId="4" applyFont="1" applyFill="1" applyBorder="1" applyAlignment="1">
      <alignment horizontal="center" vertical="top" wrapText="1"/>
    </xf>
    <xf numFmtId="0" fontId="29" fillId="6" borderId="73" xfId="4" applyFont="1" applyFill="1" applyBorder="1" applyAlignment="1">
      <alignment horizontal="center" vertical="top" wrapText="1"/>
    </xf>
    <xf numFmtId="0" fontId="29" fillId="6" borderId="84" xfId="4" applyFont="1" applyFill="1" applyBorder="1" applyAlignment="1">
      <alignment horizontal="center" vertical="top" wrapText="1"/>
    </xf>
    <xf numFmtId="0" fontId="4" fillId="0" borderId="51" xfId="4" applyBorder="1"/>
    <xf numFmtId="0" fontId="4" fillId="0" borderId="16" xfId="4" applyBorder="1"/>
    <xf numFmtId="0" fontId="4" fillId="0" borderId="13" xfId="4" applyBorder="1"/>
    <xf numFmtId="165" fontId="23" fillId="15" borderId="85" xfId="18" applyFont="1" applyFill="1" applyBorder="1"/>
    <xf numFmtId="168" fontId="30" fillId="16" borderId="54" xfId="4" applyNumberFormat="1" applyFont="1" applyFill="1" applyBorder="1"/>
    <xf numFmtId="0" fontId="30" fillId="16" borderId="54" xfId="4" applyFont="1" applyFill="1" applyBorder="1" applyAlignment="1">
      <alignment horizontal="center"/>
    </xf>
    <xf numFmtId="165" fontId="0" fillId="16" borderId="54" xfId="18" applyFont="1" applyFill="1" applyBorder="1"/>
    <xf numFmtId="165" fontId="24" fillId="16" borderId="54" xfId="18" applyFont="1" applyFill="1" applyBorder="1"/>
    <xf numFmtId="165" fontId="1" fillId="16" borderId="54" xfId="18" applyFont="1" applyFill="1" applyBorder="1"/>
    <xf numFmtId="165" fontId="5" fillId="16" borderId="54" xfId="18" applyFont="1" applyFill="1" applyBorder="1"/>
    <xf numFmtId="169" fontId="0" fillId="16" borderId="54" xfId="18" applyNumberFormat="1" applyFont="1" applyFill="1" applyBorder="1"/>
    <xf numFmtId="165" fontId="0" fillId="16" borderId="54" xfId="1" applyFont="1" applyFill="1" applyBorder="1"/>
    <xf numFmtId="165" fontId="0" fillId="16" borderId="45" xfId="18" applyFont="1" applyFill="1" applyBorder="1"/>
    <xf numFmtId="168" fontId="30" fillId="0" borderId="54" xfId="4" applyNumberFormat="1" applyFont="1" applyBorder="1"/>
    <xf numFmtId="0" fontId="30" fillId="0" borderId="54" xfId="4" applyFont="1" applyBorder="1" applyAlignment="1">
      <alignment horizontal="center"/>
    </xf>
    <xf numFmtId="165" fontId="0" fillId="0" borderId="54" xfId="18" applyFont="1" applyBorder="1"/>
    <xf numFmtId="165" fontId="24" fillId="0" borderId="54" xfId="18" applyFont="1" applyBorder="1"/>
    <xf numFmtId="165" fontId="1" fillId="0" borderId="54" xfId="18" applyFont="1" applyBorder="1"/>
    <xf numFmtId="165" fontId="5" fillId="0" borderId="54" xfId="18" applyFont="1" applyBorder="1"/>
    <xf numFmtId="169" fontId="0" fillId="0" borderId="54" xfId="18" applyNumberFormat="1" applyFont="1" applyBorder="1"/>
    <xf numFmtId="165" fontId="0" fillId="0" borderId="54" xfId="1" applyFont="1" applyBorder="1"/>
    <xf numFmtId="17" fontId="4" fillId="0" borderId="0" xfId="4" applyNumberFormat="1"/>
    <xf numFmtId="165" fontId="0" fillId="0" borderId="0" xfId="18" applyFont="1"/>
    <xf numFmtId="165" fontId="24" fillId="0" borderId="0" xfId="18" applyFont="1"/>
    <xf numFmtId="0" fontId="5" fillId="0" borderId="0" xfId="4" applyFont="1"/>
    <xf numFmtId="165" fontId="4" fillId="0" borderId="0" xfId="1" applyFont="1"/>
    <xf numFmtId="0" fontId="8" fillId="0" borderId="28" xfId="4" applyFont="1" applyBorder="1" applyAlignment="1">
      <alignment vertical="center"/>
    </xf>
    <xf numFmtId="49" fontId="10" fillId="7" borderId="54" xfId="19" applyNumberFormat="1" applyFont="1" applyFill="1" applyBorder="1" applyAlignment="1">
      <alignment horizontal="center" vertical="center" wrapText="1"/>
    </xf>
    <xf numFmtId="0" fontId="31" fillId="0" borderId="0" xfId="0" applyFont="1" applyAlignment="1">
      <alignment horizontal="center"/>
    </xf>
    <xf numFmtId="49" fontId="31" fillId="0" borderId="0" xfId="0" applyNumberFormat="1" applyFont="1"/>
    <xf numFmtId="49" fontId="31" fillId="0" borderId="0" xfId="0" applyNumberFormat="1" applyFont="1" applyAlignment="1">
      <alignment horizontal="center"/>
    </xf>
    <xf numFmtId="14" fontId="31" fillId="0" borderId="0" xfId="0" applyNumberFormat="1" applyFont="1"/>
    <xf numFmtId="0" fontId="31" fillId="0" borderId="0" xfId="0" applyFont="1"/>
    <xf numFmtId="165" fontId="31" fillId="0" borderId="0" xfId="1" applyFont="1"/>
    <xf numFmtId="165" fontId="34" fillId="0" borderId="0" xfId="1" applyFont="1"/>
    <xf numFmtId="49" fontId="31" fillId="0" borderId="0" xfId="0" applyNumberFormat="1" applyFont="1" applyAlignment="1">
      <alignment horizontal="left"/>
    </xf>
    <xf numFmtId="0" fontId="31" fillId="0" borderId="0" xfId="0" applyFont="1" applyAlignment="1">
      <alignment horizontal="right"/>
    </xf>
    <xf numFmtId="10" fontId="31" fillId="0" borderId="0" xfId="2" applyNumberFormat="1" applyFont="1" applyAlignment="1">
      <alignment horizontal="center"/>
    </xf>
    <xf numFmtId="0" fontId="31" fillId="0" borderId="0" xfId="1" applyNumberFormat="1" applyFont="1"/>
    <xf numFmtId="164" fontId="31" fillId="0" borderId="0" xfId="1" applyNumberFormat="1" applyFont="1"/>
    <xf numFmtId="0" fontId="36" fillId="0" borderId="0" xfId="0" applyFont="1"/>
    <xf numFmtId="49" fontId="35" fillId="0" borderId="0" xfId="0" applyNumberFormat="1" applyFont="1"/>
    <xf numFmtId="165" fontId="37" fillId="0" borderId="0" xfId="1" applyFont="1"/>
    <xf numFmtId="49" fontId="38" fillId="0" borderId="0" xfId="1" applyNumberFormat="1" applyFont="1" applyAlignment="1">
      <alignment horizontal="center" vertical="center" wrapText="1"/>
    </xf>
    <xf numFmtId="0" fontId="38" fillId="0" borderId="0" xfId="0" applyFont="1" applyAlignment="1">
      <alignment horizontal="center" vertical="center" wrapText="1"/>
    </xf>
    <xf numFmtId="49" fontId="38" fillId="0" borderId="0" xfId="0" applyNumberFormat="1" applyFont="1" applyAlignment="1">
      <alignment horizontal="center" vertical="center" wrapText="1"/>
    </xf>
    <xf numFmtId="14" fontId="38" fillId="0" borderId="0" xfId="0" applyNumberFormat="1" applyFont="1" applyAlignment="1">
      <alignment horizontal="center" vertical="center" wrapText="1"/>
    </xf>
    <xf numFmtId="165" fontId="38" fillId="0" borderId="0" xfId="1" applyFont="1" applyAlignment="1">
      <alignment horizontal="center" vertical="center" wrapText="1"/>
    </xf>
    <xf numFmtId="164" fontId="38" fillId="0" borderId="0" xfId="1" applyNumberFormat="1" applyFont="1" applyAlignment="1">
      <alignment horizontal="center" vertical="center" wrapText="1"/>
    </xf>
    <xf numFmtId="10" fontId="38" fillId="0" borderId="0" xfId="2" applyNumberFormat="1" applyFont="1" applyAlignment="1">
      <alignment horizontal="center" vertical="center" wrapText="1"/>
    </xf>
    <xf numFmtId="0" fontId="38" fillId="0" borderId="0" xfId="1" applyNumberFormat="1" applyFont="1" applyAlignment="1">
      <alignment horizontal="center" vertical="center" wrapText="1"/>
    </xf>
    <xf numFmtId="0" fontId="38" fillId="0" borderId="0" xfId="0" applyFont="1"/>
    <xf numFmtId="165" fontId="34" fillId="0" borderId="0" xfId="1" applyFont="1" applyAlignment="1">
      <alignment vertical="center"/>
    </xf>
    <xf numFmtId="0" fontId="34" fillId="0" borderId="0" xfId="0" applyFont="1" applyAlignment="1">
      <alignment vertical="center"/>
    </xf>
    <xf numFmtId="165" fontId="39" fillId="2" borderId="18" xfId="1" applyFont="1" applyFill="1" applyBorder="1" applyAlignment="1">
      <alignment horizontal="center" vertical="top" wrapText="1"/>
    </xf>
    <xf numFmtId="165" fontId="39" fillId="2" borderId="19" xfId="1" applyFont="1" applyFill="1" applyBorder="1" applyAlignment="1">
      <alignment horizontal="center" vertical="top" wrapText="1"/>
    </xf>
    <xf numFmtId="0" fontId="31" fillId="0" borderId="0" xfId="0" applyFont="1" applyAlignment="1">
      <alignment vertical="top"/>
    </xf>
    <xf numFmtId="49" fontId="36" fillId="0" borderId="0" xfId="0" applyNumberFormat="1" applyFont="1"/>
    <xf numFmtId="0" fontId="36" fillId="0" borderId="0" xfId="0" applyFont="1" applyAlignment="1">
      <alignment horizontal="center"/>
    </xf>
    <xf numFmtId="14" fontId="36" fillId="0" borderId="0" xfId="0" applyNumberFormat="1" applyFont="1"/>
    <xf numFmtId="165" fontId="36" fillId="0" borderId="0" xfId="1" applyFont="1"/>
    <xf numFmtId="10" fontId="36" fillId="0" borderId="0" xfId="2" applyNumberFormat="1" applyFont="1"/>
    <xf numFmtId="49" fontId="31" fillId="0" borderId="0" xfId="19" applyNumberFormat="1" applyFont="1"/>
    <xf numFmtId="0" fontId="31" fillId="0" borderId="0" xfId="19" applyFont="1" applyAlignment="1">
      <alignment horizontal="center"/>
    </xf>
    <xf numFmtId="0" fontId="31" fillId="0" borderId="0" xfId="19" applyFont="1"/>
    <xf numFmtId="14" fontId="31" fillId="0" borderId="0" xfId="19" applyNumberFormat="1" applyFont="1"/>
    <xf numFmtId="49" fontId="35" fillId="0" borderId="0" xfId="19" applyNumberFormat="1" applyFont="1" applyAlignment="1">
      <alignment vertical="center"/>
    </xf>
    <xf numFmtId="49" fontId="31" fillId="0" borderId="0" xfId="19" applyNumberFormat="1" applyFont="1" applyAlignment="1">
      <alignment horizontal="center"/>
    </xf>
    <xf numFmtId="0" fontId="31" fillId="0" borderId="0" xfId="19" applyFont="1" applyAlignment="1">
      <alignment vertical="top"/>
    </xf>
    <xf numFmtId="14" fontId="38" fillId="0" borderId="0" xfId="0" applyNumberFormat="1" applyFont="1"/>
    <xf numFmtId="0" fontId="38" fillId="0" borderId="0" xfId="0" applyFont="1" applyAlignment="1">
      <alignment horizontal="center"/>
    </xf>
    <xf numFmtId="164" fontId="35" fillId="0" borderId="0" xfId="1" applyNumberFormat="1" applyFont="1" applyAlignment="1">
      <alignment vertical="top"/>
    </xf>
    <xf numFmtId="49" fontId="38" fillId="0" borderId="0" xfId="0" applyNumberFormat="1" applyFont="1"/>
    <xf numFmtId="0" fontId="31" fillId="0" borderId="0" xfId="0" applyFont="1" applyAlignment="1">
      <alignment horizontal="center" vertical="center" wrapText="1"/>
    </xf>
    <xf numFmtId="49" fontId="31" fillId="0" borderId="0" xfId="1" applyNumberFormat="1" applyFont="1"/>
    <xf numFmtId="49" fontId="36" fillId="0" borderId="0" xfId="0" applyNumberFormat="1" applyFont="1" applyAlignment="1">
      <alignment horizontal="center"/>
    </xf>
    <xf numFmtId="164" fontId="38" fillId="0" borderId="0" xfId="1" applyNumberFormat="1" applyFont="1" applyAlignment="1">
      <alignment vertical="center" wrapText="1"/>
    </xf>
    <xf numFmtId="49" fontId="40" fillId="0" borderId="0" xfId="1" applyNumberFormat="1" applyFont="1" applyAlignment="1">
      <alignment vertical="center"/>
    </xf>
    <xf numFmtId="0" fontId="41" fillId="0" borderId="0" xfId="0" applyFont="1" applyAlignment="1">
      <alignment horizontal="right" vertical="center"/>
    </xf>
    <xf numFmtId="49" fontId="43" fillId="0" borderId="0" xfId="1" applyNumberFormat="1" applyFont="1" applyAlignment="1">
      <alignment vertical="top"/>
    </xf>
    <xf numFmtId="49" fontId="44" fillId="0" borderId="0" xfId="0" applyNumberFormat="1" applyFont="1" applyAlignment="1">
      <alignment vertical="top"/>
    </xf>
    <xf numFmtId="165" fontId="38" fillId="0" borderId="0" xfId="1" applyFont="1" applyBorder="1" applyAlignment="1">
      <alignment horizontal="center" vertical="center" wrapText="1"/>
    </xf>
    <xf numFmtId="49" fontId="33" fillId="0" borderId="0" xfId="19" applyNumberFormat="1" applyFont="1" applyAlignment="1">
      <alignment vertical="center"/>
    </xf>
    <xf numFmtId="49" fontId="31" fillId="0" borderId="0" xfId="0" applyNumberFormat="1" applyFont="1" applyAlignment="1">
      <alignment horizontal="center" vertical="center"/>
    </xf>
    <xf numFmtId="165" fontId="34" fillId="0" borderId="3" xfId="1" applyFont="1" applyBorder="1" applyAlignment="1">
      <alignment vertical="center"/>
    </xf>
    <xf numFmtId="165" fontId="34" fillId="0" borderId="4" xfId="1" applyFont="1" applyBorder="1" applyAlignment="1">
      <alignment vertical="center"/>
    </xf>
    <xf numFmtId="49" fontId="35" fillId="0" borderId="0" xfId="1" applyNumberFormat="1" applyFont="1" applyAlignment="1">
      <alignment horizontal="center" vertical="center"/>
    </xf>
    <xf numFmtId="49" fontId="39" fillId="2" borderId="71" xfId="1" applyNumberFormat="1" applyFont="1" applyFill="1" applyBorder="1" applyAlignment="1">
      <alignment horizontal="center" vertical="top" wrapText="1"/>
    </xf>
    <xf numFmtId="49" fontId="35" fillId="0" borderId="0" xfId="0" applyNumberFormat="1" applyFont="1" applyAlignment="1">
      <alignment horizontal="center"/>
    </xf>
    <xf numFmtId="0" fontId="0" fillId="0" borderId="0" xfId="0" applyAlignment="1">
      <alignment vertical="center" wrapText="1"/>
    </xf>
    <xf numFmtId="0" fontId="24" fillId="0" borderId="0" xfId="0" applyFont="1" applyAlignment="1">
      <alignment vertical="center" wrapText="1"/>
    </xf>
    <xf numFmtId="49" fontId="0" fillId="0" borderId="0" xfId="0" applyNumberFormat="1" applyAlignment="1">
      <alignment vertical="center"/>
    </xf>
    <xf numFmtId="49" fontId="0" fillId="0" borderId="0" xfId="0" applyNumberFormat="1" applyAlignment="1">
      <alignment horizontal="center" vertical="center"/>
    </xf>
    <xf numFmtId="49" fontId="46" fillId="17" borderId="87" xfId="0" applyNumberFormat="1" applyFont="1" applyFill="1" applyBorder="1" applyAlignment="1">
      <alignment horizontal="centerContinuous" vertical="center"/>
    </xf>
    <xf numFmtId="49" fontId="46" fillId="17" borderId="88" xfId="0" applyNumberFormat="1" applyFont="1" applyFill="1" applyBorder="1" applyAlignment="1">
      <alignment horizontal="centerContinuous" vertical="center"/>
    </xf>
    <xf numFmtId="0" fontId="46" fillId="17" borderId="88" xfId="0" applyFont="1" applyFill="1" applyBorder="1" applyAlignment="1">
      <alignment horizontal="centerContinuous" vertical="center"/>
    </xf>
    <xf numFmtId="0" fontId="46" fillId="17" borderId="89" xfId="0" applyFont="1" applyFill="1" applyBorder="1" applyAlignment="1">
      <alignment horizontal="centerContinuous" vertical="center"/>
    </xf>
    <xf numFmtId="49" fontId="0" fillId="0" borderId="86" xfId="0" applyNumberFormat="1" applyBorder="1" applyAlignment="1">
      <alignment horizontal="center" vertical="center"/>
    </xf>
    <xf numFmtId="0" fontId="0" fillId="0" borderId="86" xfId="0" applyBorder="1" applyAlignment="1">
      <alignment vertical="center" wrapText="1"/>
    </xf>
    <xf numFmtId="0" fontId="24" fillId="0" borderId="0" xfId="0" applyFont="1" applyAlignment="1">
      <alignment vertical="center"/>
    </xf>
    <xf numFmtId="0" fontId="24" fillId="0" borderId="0" xfId="0" applyFont="1" applyAlignment="1">
      <alignment horizontal="centerContinuous" vertical="center"/>
    </xf>
    <xf numFmtId="49" fontId="0" fillId="0" borderId="0" xfId="0" applyNumberFormat="1" applyAlignment="1">
      <alignment horizontal="centerContinuous" vertical="center"/>
    </xf>
    <xf numFmtId="0" fontId="0" fillId="0" borderId="0" xfId="0" applyAlignment="1">
      <alignment horizontal="centerContinuous" vertical="center"/>
    </xf>
    <xf numFmtId="49" fontId="24" fillId="0" borderId="87" xfId="0" applyNumberFormat="1" applyFont="1" applyBorder="1" applyAlignment="1">
      <alignment vertical="center"/>
    </xf>
    <xf numFmtId="49" fontId="24" fillId="0" borderId="88" xfId="0" applyNumberFormat="1" applyFont="1" applyBorder="1" applyAlignment="1">
      <alignment horizontal="center" vertical="center"/>
    </xf>
    <xf numFmtId="0" fontId="24" fillId="0" borderId="88" xfId="0" applyFont="1" applyBorder="1" applyAlignment="1">
      <alignment vertical="center"/>
    </xf>
    <xf numFmtId="49" fontId="24" fillId="0" borderId="89" xfId="0" applyNumberFormat="1" applyFont="1" applyBorder="1" applyAlignment="1">
      <alignment horizontal="right" vertical="center"/>
    </xf>
    <xf numFmtId="49" fontId="24" fillId="12" borderId="86" xfId="0" applyNumberFormat="1" applyFont="1" applyFill="1" applyBorder="1" applyAlignment="1">
      <alignment horizontal="center" vertical="top" wrapText="1"/>
    </xf>
    <xf numFmtId="0" fontId="24" fillId="12" borderId="86" xfId="0" applyFont="1" applyFill="1" applyBorder="1" applyAlignment="1">
      <alignment horizontal="center" vertical="top" wrapText="1"/>
    </xf>
    <xf numFmtId="0" fontId="24" fillId="0" borderId="0" xfId="0" applyFont="1" applyAlignment="1">
      <alignment vertical="top" wrapText="1"/>
    </xf>
    <xf numFmtId="49" fontId="0" fillId="0" borderId="86" xfId="0" applyNumberFormat="1" applyBorder="1" applyAlignment="1">
      <alignment horizontal="centerContinuous" vertical="top" wrapText="1"/>
    </xf>
    <xf numFmtId="0" fontId="0" fillId="0" borderId="86" xfId="0" applyBorder="1" applyAlignment="1">
      <alignment horizontal="centerContinuous" vertical="top" wrapText="1"/>
    </xf>
    <xf numFmtId="165" fontId="0" fillId="0" borderId="86" xfId="1" applyFont="1" applyBorder="1" applyAlignment="1">
      <alignment horizontal="centerContinuous" vertical="top" wrapText="1"/>
    </xf>
    <xf numFmtId="165" fontId="0" fillId="0" borderId="87" xfId="1" applyFont="1" applyBorder="1" applyAlignment="1">
      <alignment vertical="center"/>
    </xf>
    <xf numFmtId="165" fontId="0" fillId="0" borderId="89" xfId="1" applyFont="1" applyBorder="1" applyAlignment="1">
      <alignment vertical="center"/>
    </xf>
    <xf numFmtId="165" fontId="24" fillId="0" borderId="88" xfId="1" applyFont="1" applyBorder="1" applyAlignment="1">
      <alignment vertical="center"/>
    </xf>
    <xf numFmtId="165" fontId="24" fillId="0" borderId="89" xfId="1" applyFont="1" applyBorder="1" applyAlignment="1">
      <alignment vertical="center"/>
    </xf>
    <xf numFmtId="165" fontId="0" fillId="0" borderId="87" xfId="1" applyFont="1" applyBorder="1" applyAlignment="1">
      <alignment horizontal="centerContinuous" vertical="top" wrapText="1"/>
    </xf>
    <xf numFmtId="0" fontId="24" fillId="0" borderId="0" xfId="0" applyFont="1" applyAlignment="1">
      <alignment horizontal="center" vertical="top" wrapText="1"/>
    </xf>
    <xf numFmtId="49" fontId="24" fillId="0" borderId="0" xfId="0" applyNumberFormat="1" applyFont="1" applyAlignment="1">
      <alignment vertical="center"/>
    </xf>
    <xf numFmtId="49" fontId="24" fillId="0" borderId="0" xfId="0" applyNumberFormat="1" applyFont="1" applyAlignment="1">
      <alignment horizontal="center" vertical="center"/>
    </xf>
    <xf numFmtId="49" fontId="24" fillId="0" borderId="88" xfId="0" applyNumberFormat="1" applyFont="1" applyBorder="1" applyAlignment="1">
      <alignment horizontal="right" vertical="center"/>
    </xf>
    <xf numFmtId="49" fontId="24" fillId="12" borderId="89" xfId="0" applyNumberFormat="1" applyFont="1" applyFill="1" applyBorder="1" applyAlignment="1">
      <alignment horizontal="center" vertical="top" wrapText="1"/>
    </xf>
    <xf numFmtId="49" fontId="24" fillId="0" borderId="86" xfId="0" applyNumberFormat="1" applyFont="1" applyBorder="1" applyAlignment="1">
      <alignment horizontal="center" vertical="center"/>
    </xf>
    <xf numFmtId="49" fontId="0" fillId="0" borderId="86" xfId="1" applyNumberFormat="1" applyFont="1" applyBorder="1" applyAlignment="1">
      <alignment horizontal="center" vertical="center"/>
    </xf>
    <xf numFmtId="4" fontId="0" fillId="0" borderId="88" xfId="1" applyNumberFormat="1" applyFont="1" applyBorder="1" applyAlignment="1">
      <alignment vertical="center"/>
    </xf>
    <xf numFmtId="4" fontId="24" fillId="0" borderId="88" xfId="1" applyNumberFormat="1" applyFont="1" applyBorder="1" applyAlignment="1">
      <alignment vertical="center"/>
    </xf>
    <xf numFmtId="4" fontId="0" fillId="0" borderId="86" xfId="1" applyNumberFormat="1" applyFont="1" applyBorder="1" applyAlignment="1">
      <alignment vertical="center"/>
    </xf>
    <xf numFmtId="4" fontId="24" fillId="0" borderId="86" xfId="1" applyNumberFormat="1" applyFont="1" applyBorder="1" applyAlignment="1">
      <alignment vertical="center"/>
    </xf>
    <xf numFmtId="0" fontId="0" fillId="0" borderId="86" xfId="0" applyBorder="1" applyAlignment="1">
      <alignment horizontal="center" vertical="center"/>
    </xf>
    <xf numFmtId="0" fontId="0" fillId="0" borderId="86" xfId="1" applyNumberFormat="1" applyFont="1" applyBorder="1" applyAlignment="1">
      <alignment horizontal="center" vertical="center"/>
    </xf>
    <xf numFmtId="0" fontId="24" fillId="0" borderId="0" xfId="0" applyFont="1" applyAlignment="1">
      <alignment horizontal="center" vertical="center"/>
    </xf>
    <xf numFmtId="49" fontId="0" fillId="0" borderId="0" xfId="0" applyNumberFormat="1" applyAlignment="1">
      <alignment horizontal="centerContinuous" vertical="center" wrapText="1"/>
    </xf>
    <xf numFmtId="0" fontId="0" fillId="0" borderId="0" xfId="0" applyAlignment="1">
      <alignment horizontal="centerContinuous" vertical="center" wrapText="1"/>
    </xf>
    <xf numFmtId="49" fontId="24" fillId="0" borderId="0" xfId="0" applyNumberFormat="1" applyFont="1" applyAlignment="1">
      <alignment horizontal="centerContinuous" vertical="center" wrapText="1"/>
    </xf>
    <xf numFmtId="49" fontId="43" fillId="0" borderId="0" xfId="19" applyNumberFormat="1" applyFont="1" applyAlignment="1">
      <alignment vertical="center"/>
    </xf>
    <xf numFmtId="1" fontId="31" fillId="0" borderId="0" xfId="0" applyNumberFormat="1" applyFont="1" applyAlignment="1">
      <alignment horizontal="center"/>
    </xf>
    <xf numFmtId="1" fontId="38" fillId="0" borderId="0" xfId="0" applyNumberFormat="1" applyFont="1" applyAlignment="1">
      <alignment horizontal="center" vertical="center" wrapText="1"/>
    </xf>
    <xf numFmtId="1" fontId="36" fillId="0" borderId="0" xfId="0" applyNumberFormat="1" applyFont="1" applyAlignment="1">
      <alignment horizontal="center"/>
    </xf>
    <xf numFmtId="1" fontId="31" fillId="0" borderId="0" xfId="1" applyNumberFormat="1" applyFont="1" applyAlignment="1">
      <alignment horizontal="center"/>
    </xf>
    <xf numFmtId="1" fontId="38" fillId="0" borderId="0" xfId="1" applyNumberFormat="1" applyFont="1" applyAlignment="1">
      <alignment horizontal="center" vertical="center" wrapText="1"/>
    </xf>
    <xf numFmtId="0" fontId="36" fillId="0" borderId="54" xfId="0" applyFont="1" applyBorder="1"/>
    <xf numFmtId="0" fontId="50" fillId="0" borderId="0" xfId="4" applyFont="1"/>
    <xf numFmtId="0" fontId="50" fillId="0" borderId="0" xfId="4" applyFont="1" applyAlignment="1">
      <alignment horizontal="center" vertical="top" wrapText="1"/>
    </xf>
    <xf numFmtId="165" fontId="5" fillId="0" borderId="0" xfId="4" applyNumberFormat="1" applyFont="1"/>
    <xf numFmtId="165" fontId="4" fillId="0" borderId="0" xfId="4" applyNumberFormat="1"/>
    <xf numFmtId="9" fontId="4" fillId="0" borderId="0" xfId="4" applyNumberFormat="1" applyAlignment="1">
      <alignment horizontal="center"/>
    </xf>
    <xf numFmtId="165" fontId="4" fillId="0" borderId="93" xfId="1" applyFont="1" applyBorder="1"/>
    <xf numFmtId="165" fontId="4" fillId="0" borderId="0" xfId="1" applyFont="1" applyBorder="1"/>
    <xf numFmtId="0" fontId="5" fillId="0" borderId="0" xfId="4" applyFont="1" applyAlignment="1">
      <alignment horizontal="right"/>
    </xf>
    <xf numFmtId="165" fontId="47" fillId="0" borderId="54" xfId="1" applyFont="1" applyBorder="1" applyAlignment="1">
      <alignment vertical="center"/>
    </xf>
    <xf numFmtId="14" fontId="48" fillId="0" borderId="54" xfId="19" applyNumberFormat="1" applyFont="1" applyBorder="1" applyAlignment="1">
      <alignment horizontal="center" vertical="center"/>
    </xf>
    <xf numFmtId="165" fontId="14" fillId="0" borderId="54" xfId="1" applyFont="1" applyBorder="1" applyAlignment="1">
      <alignment vertical="center"/>
    </xf>
    <xf numFmtId="165" fontId="17" fillId="0" borderId="54" xfId="4" applyNumberFormat="1" applyFont="1" applyBorder="1" applyAlignment="1">
      <alignment vertical="center"/>
    </xf>
    <xf numFmtId="165" fontId="5" fillId="0" borderId="24" xfId="4" applyNumberFormat="1" applyFont="1" applyBorder="1"/>
    <xf numFmtId="0" fontId="17" fillId="0" borderId="51" xfId="4" applyFont="1" applyBorder="1" applyAlignment="1">
      <alignment horizontal="center" vertical="center"/>
    </xf>
    <xf numFmtId="0" fontId="17" fillId="0" borderId="54" xfId="4" applyFont="1" applyBorder="1" applyAlignment="1">
      <alignment horizontal="center" vertical="center"/>
    </xf>
    <xf numFmtId="165" fontId="4" fillId="18" borderId="0" xfId="1" applyFont="1" applyFill="1"/>
    <xf numFmtId="165" fontId="4" fillId="18" borderId="0" xfId="4" applyNumberFormat="1" applyFill="1"/>
    <xf numFmtId="165" fontId="4" fillId="18" borderId="93" xfId="1" applyFont="1" applyFill="1" applyBorder="1"/>
    <xf numFmtId="165" fontId="49" fillId="18" borderId="0" xfId="1" applyFont="1" applyFill="1" applyBorder="1"/>
    <xf numFmtId="165" fontId="4" fillId="18" borderId="0" xfId="1" applyFont="1" applyFill="1" applyBorder="1"/>
    <xf numFmtId="0" fontId="4" fillId="18" borderId="0" xfId="4" applyFill="1"/>
    <xf numFmtId="165" fontId="49" fillId="0" borderId="0" xfId="1" applyFont="1" applyFill="1" applyBorder="1"/>
    <xf numFmtId="0" fontId="5" fillId="19" borderId="0" xfId="4" quotePrefix="1" applyFont="1" applyFill="1" applyAlignment="1">
      <alignment horizontal="left" vertical="center"/>
    </xf>
    <xf numFmtId="0" fontId="17" fillId="19" borderId="0" xfId="4" applyFont="1" applyFill="1" applyAlignment="1">
      <alignment horizontal="center" vertical="center"/>
    </xf>
    <xf numFmtId="0" fontId="14" fillId="19" borderId="0" xfId="4" applyFont="1" applyFill="1" applyAlignment="1">
      <alignment vertical="center"/>
    </xf>
    <xf numFmtId="0" fontId="49" fillId="0" borderId="0" xfId="4" applyFont="1"/>
    <xf numFmtId="0" fontId="29" fillId="6" borderId="74" xfId="4" applyFont="1" applyFill="1" applyBorder="1" applyAlignment="1">
      <alignment horizontal="center" vertical="top" wrapText="1"/>
    </xf>
    <xf numFmtId="165" fontId="11" fillId="0" borderId="0" xfId="1" applyFont="1" applyAlignment="1">
      <alignment vertical="center"/>
    </xf>
    <xf numFmtId="9" fontId="5" fillId="0" borderId="0" xfId="4" applyNumberFormat="1" applyFont="1" applyAlignment="1">
      <alignment horizontal="center"/>
    </xf>
    <xf numFmtId="0" fontId="51" fillId="0" borderId="49" xfId="4" applyFont="1" applyBorder="1"/>
    <xf numFmtId="49" fontId="31" fillId="0" borderId="0" xfId="0" applyNumberFormat="1" applyFont="1" applyAlignment="1">
      <alignment vertical="center"/>
    </xf>
    <xf numFmtId="0" fontId="45" fillId="7" borderId="0" xfId="4" applyFont="1" applyFill="1"/>
    <xf numFmtId="0" fontId="54" fillId="0" borderId="0" xfId="0" applyFont="1" applyAlignment="1">
      <alignment vertical="center"/>
    </xf>
    <xf numFmtId="0" fontId="54" fillId="0" borderId="0" xfId="0" applyFont="1" applyAlignment="1">
      <alignment horizontal="center" vertical="center"/>
    </xf>
    <xf numFmtId="1" fontId="31" fillId="0" borderId="0" xfId="0" applyNumberFormat="1" applyFont="1"/>
    <xf numFmtId="1" fontId="36" fillId="0" borderId="0" xfId="0" applyNumberFormat="1" applyFont="1"/>
    <xf numFmtId="14" fontId="39" fillId="2" borderId="71" xfId="1" applyNumberFormat="1" applyFont="1" applyFill="1" applyBorder="1" applyAlignment="1">
      <alignment horizontal="center" vertical="top" wrapText="1"/>
    </xf>
    <xf numFmtId="49" fontId="52" fillId="7" borderId="0" xfId="4" applyNumberFormat="1" applyFont="1" applyFill="1" applyAlignment="1">
      <alignment horizontal="left" vertical="center"/>
    </xf>
    <xf numFmtId="14" fontId="52" fillId="7" borderId="0" xfId="4" applyNumberFormat="1" applyFont="1" applyFill="1" applyAlignment="1">
      <alignment horizontal="left" vertical="center"/>
    </xf>
    <xf numFmtId="49" fontId="52" fillId="7" borderId="0" xfId="4" applyNumberFormat="1" applyFont="1" applyFill="1" applyAlignment="1">
      <alignment vertical="center"/>
    </xf>
    <xf numFmtId="49" fontId="52" fillId="7" borderId="0" xfId="4" applyNumberFormat="1" applyFont="1" applyFill="1" applyAlignment="1">
      <alignment horizontal="center" vertical="center"/>
    </xf>
    <xf numFmtId="164" fontId="52" fillId="7" borderId="0" xfId="20" applyFont="1" applyFill="1" applyAlignment="1">
      <alignment vertical="center"/>
    </xf>
    <xf numFmtId="0" fontId="52" fillId="7" borderId="0" xfId="4" applyFont="1" applyFill="1" applyAlignment="1">
      <alignment vertical="center"/>
    </xf>
    <xf numFmtId="49" fontId="36" fillId="0" borderId="0" xfId="0" applyNumberFormat="1" applyFont="1" applyAlignment="1">
      <alignment vertical="center"/>
    </xf>
    <xf numFmtId="49" fontId="36" fillId="0" borderId="0" xfId="0" applyNumberFormat="1" applyFont="1" applyAlignment="1">
      <alignment horizontal="center" vertical="center"/>
    </xf>
    <xf numFmtId="14" fontId="36" fillId="0" borderId="0" xfId="0" applyNumberFormat="1" applyFont="1" applyAlignment="1">
      <alignment vertical="center"/>
    </xf>
    <xf numFmtId="165" fontId="36" fillId="0" borderId="0" xfId="1" applyFont="1" applyAlignment="1">
      <alignment horizontal="center" vertical="center"/>
    </xf>
    <xf numFmtId="49" fontId="36" fillId="0" borderId="0" xfId="1" applyNumberFormat="1" applyFont="1" applyAlignment="1">
      <alignment horizontal="center" vertical="center"/>
    </xf>
    <xf numFmtId="0" fontId="6" fillId="0" borderId="0" xfId="0" applyFont="1" applyAlignment="1">
      <alignment vertical="center"/>
    </xf>
    <xf numFmtId="49" fontId="36" fillId="0" borderId="0" xfId="1" applyNumberFormat="1" applyFont="1" applyAlignment="1">
      <alignment vertical="center"/>
    </xf>
    <xf numFmtId="49" fontId="39" fillId="2" borderId="18" xfId="1" applyNumberFormat="1" applyFont="1" applyFill="1" applyBorder="1" applyAlignment="1">
      <alignment horizontal="center" vertical="top"/>
    </xf>
    <xf numFmtId="0" fontId="0" fillId="0" borderId="0" xfId="0" applyAlignment="1">
      <alignment horizontal="center" vertical="top"/>
    </xf>
    <xf numFmtId="165" fontId="52" fillId="7" borderId="0" xfId="1" applyFont="1" applyFill="1" applyAlignment="1">
      <alignment vertical="center"/>
    </xf>
    <xf numFmtId="165" fontId="52" fillId="7" borderId="0" xfId="1" applyFont="1" applyFill="1" applyAlignment="1">
      <alignment horizontal="center" vertical="center"/>
    </xf>
    <xf numFmtId="49" fontId="52" fillId="7" borderId="0" xfId="20" applyNumberFormat="1" applyFont="1" applyFill="1" applyAlignment="1">
      <alignment vertical="center"/>
    </xf>
    <xf numFmtId="49" fontId="45" fillId="7" borderId="0" xfId="4" applyNumberFormat="1" applyFont="1" applyFill="1" applyAlignment="1">
      <alignment vertical="center"/>
    </xf>
    <xf numFmtId="0" fontId="34" fillId="7" borderId="0" xfId="4" applyFont="1" applyFill="1"/>
    <xf numFmtId="0" fontId="31" fillId="7" borderId="0" xfId="4" applyFont="1" applyFill="1" applyAlignment="1">
      <alignment horizontal="left"/>
    </xf>
    <xf numFmtId="49" fontId="31" fillId="7" borderId="0" xfId="4" applyNumberFormat="1" applyFont="1" applyFill="1" applyAlignment="1">
      <alignment horizontal="left"/>
    </xf>
    <xf numFmtId="4" fontId="31" fillId="7" borderId="0" xfId="4" applyNumberFormat="1" applyFont="1" applyFill="1"/>
    <xf numFmtId="49" fontId="31" fillId="7" borderId="0" xfId="4" applyNumberFormat="1" applyFont="1" applyFill="1" applyAlignment="1">
      <alignment horizontal="center"/>
    </xf>
    <xf numFmtId="165" fontId="31" fillId="7" borderId="0" xfId="1" applyFont="1" applyFill="1" applyAlignment="1"/>
    <xf numFmtId="49" fontId="31" fillId="7" borderId="0" xfId="4" applyNumberFormat="1" applyFont="1" applyFill="1"/>
    <xf numFmtId="164" fontId="31" fillId="7" borderId="0" xfId="20" applyFont="1" applyFill="1"/>
    <xf numFmtId="15" fontId="31" fillId="7" borderId="0" xfId="4" applyNumberFormat="1" applyFont="1" applyFill="1"/>
    <xf numFmtId="0" fontId="31" fillId="7" borderId="0" xfId="4" applyFont="1" applyFill="1"/>
    <xf numFmtId="0" fontId="31" fillId="0" borderId="54" xfId="4" applyFont="1" applyBorder="1"/>
    <xf numFmtId="49" fontId="31" fillId="0" borderId="54" xfId="4" applyNumberFormat="1" applyFont="1" applyBorder="1"/>
    <xf numFmtId="49" fontId="31" fillId="0" borderId="54" xfId="4" applyNumberFormat="1" applyFont="1" applyBorder="1" applyAlignment="1">
      <alignment horizontal="center"/>
    </xf>
    <xf numFmtId="0" fontId="31" fillId="0" borderId="0" xfId="4" applyFont="1"/>
    <xf numFmtId="0" fontId="31" fillId="0" borderId="0" xfId="4" applyFont="1" applyAlignment="1">
      <alignment horizontal="center"/>
    </xf>
    <xf numFmtId="49" fontId="34" fillId="0" borderId="0" xfId="4" applyNumberFormat="1" applyFont="1" applyAlignment="1">
      <alignment horizontal="left"/>
    </xf>
    <xf numFmtId="49" fontId="31" fillId="0" borderId="0" xfId="4" applyNumberFormat="1" applyFont="1"/>
    <xf numFmtId="4" fontId="31" fillId="0" borderId="0" xfId="20" applyNumberFormat="1" applyFont="1" applyFill="1" applyProtection="1"/>
    <xf numFmtId="49" fontId="31" fillId="0" borderId="0" xfId="20" applyNumberFormat="1" applyFont="1" applyFill="1" applyAlignment="1" applyProtection="1">
      <alignment horizontal="center"/>
    </xf>
    <xf numFmtId="165" fontId="31" fillId="0" borderId="0" xfId="1" applyFont="1" applyAlignment="1"/>
    <xf numFmtId="49" fontId="31" fillId="0" borderId="0" xfId="4" applyNumberFormat="1" applyFont="1" applyAlignment="1">
      <alignment horizontal="center"/>
    </xf>
    <xf numFmtId="0" fontId="45" fillId="7" borderId="0" xfId="4" applyFont="1" applyFill="1" applyAlignment="1">
      <alignment vertical="center"/>
    </xf>
    <xf numFmtId="0" fontId="31" fillId="0" borderId="0" xfId="4" applyFont="1" applyAlignment="1">
      <alignment horizontal="left"/>
    </xf>
    <xf numFmtId="49" fontId="56" fillId="7" borderId="0" xfId="4" applyNumberFormat="1" applyFont="1" applyFill="1" applyAlignment="1">
      <alignment horizontal="left"/>
    </xf>
    <xf numFmtId="4" fontId="56" fillId="7" borderId="0" xfId="4" applyNumberFormat="1" applyFont="1" applyFill="1"/>
    <xf numFmtId="49" fontId="56" fillId="7" borderId="0" xfId="4" applyNumberFormat="1" applyFont="1" applyFill="1"/>
    <xf numFmtId="49" fontId="56" fillId="7" borderId="0" xfId="4" applyNumberFormat="1" applyFont="1" applyFill="1" applyAlignment="1">
      <alignment horizontal="center"/>
    </xf>
    <xf numFmtId="0" fontId="56" fillId="7" borderId="0" xfId="4" applyFont="1" applyFill="1"/>
    <xf numFmtId="0" fontId="39" fillId="2" borderId="19" xfId="4" applyFont="1" applyFill="1" applyBorder="1" applyAlignment="1">
      <alignment horizontal="center" vertical="top" wrapText="1"/>
    </xf>
    <xf numFmtId="0" fontId="34" fillId="0" borderId="0" xfId="4" applyFont="1" applyAlignment="1">
      <alignment horizontal="center" vertical="top" wrapText="1"/>
    </xf>
    <xf numFmtId="49" fontId="39" fillId="2" borderId="19" xfId="4" applyNumberFormat="1" applyFont="1" applyFill="1" applyBorder="1" applyAlignment="1">
      <alignment horizontal="center" vertical="top" wrapText="1"/>
    </xf>
    <xf numFmtId="4" fontId="39" fillId="2" borderId="19" xfId="4" applyNumberFormat="1" applyFont="1" applyFill="1" applyBorder="1" applyAlignment="1">
      <alignment horizontal="center" vertical="top" wrapText="1"/>
    </xf>
    <xf numFmtId="2" fontId="39" fillId="2" borderId="19" xfId="1" applyNumberFormat="1" applyFont="1" applyFill="1" applyBorder="1" applyAlignment="1">
      <alignment horizontal="center" vertical="top" wrapText="1"/>
    </xf>
    <xf numFmtId="0" fontId="2" fillId="2" borderId="95" xfId="0" applyFont="1" applyFill="1" applyBorder="1" applyAlignment="1">
      <alignment horizontal="centerContinuous" vertical="center"/>
    </xf>
    <xf numFmtId="0" fontId="2" fillId="2" borderId="96" xfId="0" applyFont="1" applyFill="1" applyBorder="1" applyAlignment="1">
      <alignment horizontal="centerContinuous" vertical="center"/>
    </xf>
    <xf numFmtId="0" fontId="2" fillId="2" borderId="97" xfId="0" applyFont="1" applyFill="1" applyBorder="1" applyAlignment="1">
      <alignment horizontal="centerContinuous" vertical="center"/>
    </xf>
    <xf numFmtId="0" fontId="2" fillId="2" borderId="96" xfId="0" applyFont="1" applyFill="1" applyBorder="1" applyAlignment="1">
      <alignment horizontal="center" vertical="center"/>
    </xf>
    <xf numFmtId="0" fontId="31" fillId="0" borderId="54" xfId="4" applyFont="1" applyBorder="1" applyAlignment="1">
      <alignment horizontal="center"/>
    </xf>
    <xf numFmtId="14" fontId="34" fillId="7" borderId="0" xfId="4" applyNumberFormat="1" applyFont="1" applyFill="1"/>
    <xf numFmtId="14" fontId="34" fillId="0" borderId="0" xfId="4" applyNumberFormat="1" applyFont="1" applyAlignment="1">
      <alignment horizontal="left"/>
    </xf>
    <xf numFmtId="0" fontId="4" fillId="4" borderId="0" xfId="1" applyNumberFormat="1" applyFont="1" applyFill="1" applyBorder="1" applyAlignment="1">
      <alignment horizontal="center" vertical="center"/>
    </xf>
    <xf numFmtId="0" fontId="38" fillId="0" borderId="0" xfId="0" applyFont="1" applyAlignment="1">
      <alignment horizontal="right" vertical="center" wrapText="1"/>
    </xf>
    <xf numFmtId="0" fontId="36" fillId="0" borderId="0" xfId="0" applyFont="1" applyAlignment="1">
      <alignment horizontal="right"/>
    </xf>
    <xf numFmtId="0" fontId="34" fillId="0" borderId="0" xfId="0" applyFont="1" applyAlignment="1">
      <alignment horizontal="center" vertical="center"/>
    </xf>
    <xf numFmtId="0" fontId="31" fillId="0" borderId="0" xfId="0" applyFont="1" applyAlignment="1">
      <alignment horizontal="center" vertical="top"/>
    </xf>
    <xf numFmtId="0" fontId="36" fillId="0" borderId="0" xfId="0" applyFont="1" applyAlignment="1">
      <alignment horizontal="center" vertical="top"/>
    </xf>
    <xf numFmtId="165" fontId="42" fillId="0" borderId="0" xfId="1" applyFont="1" applyBorder="1" applyAlignment="1">
      <alignment horizontal="centerContinuous" vertical="center"/>
    </xf>
    <xf numFmtId="0" fontId="36" fillId="0" borderId="98" xfId="0" applyFont="1" applyBorder="1" applyAlignment="1">
      <alignment horizontal="center" vertical="center"/>
    </xf>
    <xf numFmtId="0" fontId="38" fillId="0" borderId="98" xfId="0" applyFont="1" applyBorder="1" applyAlignment="1">
      <alignment horizontal="center" vertical="center" wrapText="1"/>
    </xf>
    <xf numFmtId="164" fontId="31" fillId="0" borderId="0" xfId="1" applyNumberFormat="1" applyFont="1" applyBorder="1"/>
    <xf numFmtId="164" fontId="38" fillId="0" borderId="0" xfId="1" applyNumberFormat="1" applyFont="1" applyBorder="1" applyAlignment="1">
      <alignment horizontal="center" vertical="center" wrapText="1"/>
    </xf>
    <xf numFmtId="0" fontId="34" fillId="0" borderId="98" xfId="0" applyFont="1" applyBorder="1" applyAlignment="1">
      <alignment vertical="center"/>
    </xf>
    <xf numFmtId="0" fontId="31" fillId="0" borderId="98" xfId="0" applyFont="1" applyBorder="1" applyAlignment="1">
      <alignment vertical="top"/>
    </xf>
    <xf numFmtId="165" fontId="39" fillId="2" borderId="48" xfId="1" applyFont="1" applyFill="1" applyBorder="1" applyAlignment="1">
      <alignment horizontal="center" vertical="top" wrapText="1"/>
    </xf>
    <xf numFmtId="49" fontId="36" fillId="0" borderId="0" xfId="1" applyNumberFormat="1" applyFont="1"/>
    <xf numFmtId="0" fontId="4" fillId="0" borderId="13" xfId="4" quotePrefix="1" applyBorder="1"/>
    <xf numFmtId="0" fontId="5" fillId="0" borderId="0" xfId="4" applyFont="1" applyAlignment="1">
      <alignment horizontal="center" vertical="center"/>
    </xf>
    <xf numFmtId="0" fontId="4" fillId="0" borderId="4" xfId="4" applyBorder="1"/>
    <xf numFmtId="17" fontId="4" fillId="0" borderId="4" xfId="4" applyNumberFormat="1" applyBorder="1"/>
    <xf numFmtId="0" fontId="4" fillId="0" borderId="4" xfId="19" applyBorder="1"/>
    <xf numFmtId="165" fontId="0" fillId="0" borderId="4" xfId="18" applyFont="1" applyBorder="1"/>
    <xf numFmtId="0" fontId="0" fillId="0" borderId="4" xfId="0" applyBorder="1"/>
    <xf numFmtId="0" fontId="50" fillId="0" borderId="0" xfId="4" applyFont="1" applyAlignment="1">
      <alignment horizontal="center" vertical="center" wrapText="1"/>
    </xf>
    <xf numFmtId="165" fontId="5" fillId="0" borderId="104" xfId="4" applyNumberFormat="1" applyFont="1" applyBorder="1"/>
    <xf numFmtId="0" fontId="5" fillId="0" borderId="0" xfId="4" applyFont="1" applyAlignment="1">
      <alignment vertical="top"/>
    </xf>
    <xf numFmtId="165" fontId="5" fillId="0" borderId="0" xfId="1" applyFont="1"/>
    <xf numFmtId="0" fontId="5" fillId="0" borderId="4" xfId="4" applyFont="1" applyBorder="1"/>
    <xf numFmtId="165" fontId="5" fillId="0" borderId="4" xfId="4" applyNumberFormat="1" applyFont="1" applyBorder="1"/>
    <xf numFmtId="4" fontId="60" fillId="9" borderId="45" xfId="23" applyNumberFormat="1" applyFont="1" applyFill="1" applyBorder="1" applyAlignment="1">
      <alignment horizontal="center"/>
    </xf>
    <xf numFmtId="4" fontId="60" fillId="9" borderId="44" xfId="23" applyNumberFormat="1" applyFont="1" applyFill="1" applyBorder="1"/>
    <xf numFmtId="9" fontId="60" fillId="9" borderId="45" xfId="24" applyFont="1" applyFill="1" applyBorder="1" applyAlignment="1">
      <alignment horizontal="center"/>
    </xf>
    <xf numFmtId="4" fontId="60" fillId="9" borderId="54" xfId="23" applyNumberFormat="1" applyFont="1" applyFill="1" applyBorder="1" applyAlignment="1">
      <alignment horizontal="center"/>
    </xf>
    <xf numFmtId="4" fontId="60" fillId="9" borderId="51" xfId="23" applyNumberFormat="1" applyFont="1" applyFill="1" applyBorder="1"/>
    <xf numFmtId="10" fontId="60" fillId="9" borderId="54" xfId="24" applyNumberFormat="1" applyFont="1" applyFill="1" applyBorder="1" applyAlignment="1">
      <alignment horizontal="center"/>
    </xf>
    <xf numFmtId="49" fontId="42" fillId="0" borderId="99" xfId="0" quotePrefix="1" applyNumberFormat="1" applyFont="1" applyBorder="1" applyAlignment="1">
      <alignment horizontal="left" vertical="center"/>
    </xf>
    <xf numFmtId="49" fontId="31" fillId="0" borderId="0" xfId="1" applyNumberFormat="1" applyFont="1" applyAlignment="1">
      <alignment horizontal="center"/>
    </xf>
    <xf numFmtId="0" fontId="16" fillId="0" borderId="16" xfId="4" applyFont="1" applyBorder="1"/>
    <xf numFmtId="0" fontId="16" fillId="0" borderId="57" xfId="4" applyFont="1" applyBorder="1"/>
    <xf numFmtId="0" fontId="16" fillId="0" borderId="16" xfId="4" applyFont="1" applyBorder="1" applyAlignment="1">
      <alignment vertical="center"/>
    </xf>
    <xf numFmtId="0" fontId="16" fillId="0" borderId="57" xfId="4" applyFont="1" applyBorder="1" applyAlignment="1">
      <alignment vertical="center"/>
    </xf>
    <xf numFmtId="49" fontId="16" fillId="0" borderId="16" xfId="4" applyNumberFormat="1" applyFont="1" applyBorder="1" applyAlignment="1">
      <alignment vertical="center"/>
    </xf>
    <xf numFmtId="49" fontId="16" fillId="0" borderId="57" xfId="4" applyNumberFormat="1" applyFont="1" applyBorder="1" applyAlignment="1">
      <alignment vertical="center"/>
    </xf>
    <xf numFmtId="49" fontId="14" fillId="0" borderId="16" xfId="4" applyNumberFormat="1" applyFont="1" applyBorder="1" applyAlignment="1">
      <alignment vertical="center"/>
    </xf>
    <xf numFmtId="49" fontId="14" fillId="0" borderId="57" xfId="4" applyNumberFormat="1" applyFont="1" applyBorder="1" applyAlignment="1">
      <alignment vertical="center"/>
    </xf>
    <xf numFmtId="49" fontId="8" fillId="0" borderId="15" xfId="4" applyNumberFormat="1" applyFont="1" applyBorder="1" applyAlignment="1">
      <alignment vertical="center"/>
    </xf>
    <xf numFmtId="49" fontId="8" fillId="0" borderId="16" xfId="4" applyNumberFormat="1" applyFont="1" applyBorder="1" applyAlignment="1">
      <alignment vertical="center"/>
    </xf>
    <xf numFmtId="49" fontId="8" fillId="0" borderId="57" xfId="4" applyNumberFormat="1" applyFont="1" applyBorder="1" applyAlignment="1">
      <alignment vertical="center"/>
    </xf>
    <xf numFmtId="2" fontId="8" fillId="0" borderId="57" xfId="4" applyNumberFormat="1" applyFont="1" applyBorder="1" applyAlignment="1">
      <alignment horizontal="right"/>
    </xf>
    <xf numFmtId="2" fontId="8" fillId="0" borderId="13" xfId="4" applyNumberFormat="1" applyFont="1" applyBorder="1" applyAlignment="1">
      <alignment horizontal="right"/>
    </xf>
    <xf numFmtId="49" fontId="8" fillId="0" borderId="16" xfId="4" applyNumberFormat="1" applyFont="1" applyBorder="1" applyAlignment="1">
      <alignment horizontal="left" vertical="top"/>
    </xf>
    <xf numFmtId="49" fontId="8" fillId="0" borderId="13" xfId="4" applyNumberFormat="1" applyFont="1" applyBorder="1" applyAlignment="1">
      <alignment horizontal="left" vertical="top"/>
    </xf>
    <xf numFmtId="171" fontId="31" fillId="0" borderId="0" xfId="0" applyNumberFormat="1" applyFont="1"/>
    <xf numFmtId="171" fontId="38" fillId="0" borderId="0" xfId="0" applyNumberFormat="1" applyFont="1" applyAlignment="1">
      <alignment horizontal="center" vertical="center" wrapText="1"/>
    </xf>
    <xf numFmtId="171" fontId="36" fillId="0" borderId="0" xfId="0" applyNumberFormat="1" applyFont="1"/>
    <xf numFmtId="165" fontId="5" fillId="0" borderId="54" xfId="4" applyNumberFormat="1" applyFont="1" applyBorder="1"/>
    <xf numFmtId="165" fontId="4" fillId="0" borderId="54" xfId="4" applyNumberFormat="1" applyBorder="1"/>
    <xf numFmtId="165" fontId="34" fillId="21" borderId="54" xfId="1" applyFont="1" applyFill="1" applyBorder="1" applyAlignment="1">
      <alignment horizontal="center" vertical="center"/>
    </xf>
    <xf numFmtId="165" fontId="39" fillId="2" borderId="54" xfId="1" applyFont="1" applyFill="1" applyBorder="1" applyAlignment="1">
      <alignment vertical="center" wrapText="1"/>
    </xf>
    <xf numFmtId="49" fontId="57" fillId="16" borderId="48" xfId="0" applyNumberFormat="1" applyFont="1" applyFill="1" applyBorder="1" applyAlignment="1">
      <alignment horizontal="center" vertical="top" wrapText="1"/>
    </xf>
    <xf numFmtId="165" fontId="57" fillId="16" borderId="48" xfId="1" applyFont="1" applyFill="1" applyBorder="1" applyAlignment="1">
      <alignment horizontal="center" vertical="top" wrapText="1"/>
    </xf>
    <xf numFmtId="49" fontId="34" fillId="16" borderId="48" xfId="0" applyNumberFormat="1" applyFont="1" applyFill="1" applyBorder="1" applyAlignment="1">
      <alignment horizontal="center" vertical="top" wrapText="1"/>
    </xf>
    <xf numFmtId="165" fontId="34" fillId="21" borderId="54" xfId="1" applyFont="1" applyFill="1" applyBorder="1" applyAlignment="1">
      <alignment vertical="center"/>
    </xf>
    <xf numFmtId="49" fontId="57" fillId="16" borderId="48" xfId="1" applyNumberFormat="1" applyFont="1" applyFill="1" applyBorder="1" applyAlignment="1">
      <alignment horizontal="center" vertical="top" wrapText="1"/>
    </xf>
    <xf numFmtId="164" fontId="42" fillId="0" borderId="99" xfId="1" quotePrefix="1" applyNumberFormat="1" applyFont="1" applyBorder="1" applyAlignment="1">
      <alignment horizontal="centerContinuous" vertical="center"/>
    </xf>
    <xf numFmtId="49" fontId="42" fillId="0" borderId="99" xfId="0" applyNumberFormat="1" applyFont="1" applyBorder="1" applyAlignment="1">
      <alignment horizontal="centerContinuous" vertical="center"/>
    </xf>
    <xf numFmtId="0" fontId="42" fillId="0" borderId="100" xfId="0" applyFont="1" applyBorder="1" applyAlignment="1">
      <alignment horizontal="centerContinuous" vertical="center"/>
    </xf>
    <xf numFmtId="49" fontId="42" fillId="0" borderId="0" xfId="0" applyNumberFormat="1" applyFont="1" applyAlignment="1">
      <alignment horizontal="center" vertical="center"/>
    </xf>
    <xf numFmtId="49" fontId="42" fillId="0" borderId="0" xfId="0" applyNumberFormat="1" applyFont="1" applyAlignment="1">
      <alignment vertical="center"/>
    </xf>
    <xf numFmtId="165" fontId="42" fillId="0" borderId="99" xfId="1" quotePrefix="1" applyFont="1" applyBorder="1" applyAlignment="1">
      <alignment horizontal="centerContinuous" vertical="center"/>
    </xf>
    <xf numFmtId="165" fontId="42" fillId="0" borderId="100" xfId="1" applyFont="1" applyBorder="1" applyAlignment="1">
      <alignment horizontal="centerContinuous" vertical="center"/>
    </xf>
    <xf numFmtId="49" fontId="42" fillId="0" borderId="0" xfId="0" applyNumberFormat="1" applyFont="1" applyAlignment="1">
      <alignment horizontal="centerContinuous" vertical="center"/>
    </xf>
    <xf numFmtId="164" fontId="42" fillId="0" borderId="0" xfId="1" applyNumberFormat="1" applyFont="1" applyBorder="1" applyAlignment="1">
      <alignment vertical="center"/>
    </xf>
    <xf numFmtId="49" fontId="34" fillId="0" borderId="0" xfId="0" applyNumberFormat="1" applyFont="1" applyAlignment="1">
      <alignment vertical="center"/>
    </xf>
    <xf numFmtId="1" fontId="42" fillId="0" borderId="99" xfId="0" quotePrefix="1" applyNumberFormat="1" applyFont="1" applyBorder="1" applyAlignment="1">
      <alignment horizontal="centerContinuous" vertical="center"/>
    </xf>
    <xf numFmtId="1" fontId="42" fillId="0" borderId="0" xfId="1" applyNumberFormat="1" applyFont="1" applyBorder="1" applyAlignment="1">
      <alignment horizontal="centerContinuous" vertical="center"/>
    </xf>
    <xf numFmtId="49" fontId="42" fillId="0" borderId="0" xfId="1" applyNumberFormat="1" applyFont="1" applyBorder="1" applyAlignment="1">
      <alignment horizontal="centerContinuous" vertical="center"/>
    </xf>
    <xf numFmtId="164" fontId="42" fillId="0" borderId="100" xfId="1" applyNumberFormat="1" applyFont="1" applyBorder="1" applyAlignment="1">
      <alignment horizontal="centerContinuous" vertical="center"/>
    </xf>
    <xf numFmtId="0" fontId="42" fillId="0" borderId="0" xfId="0" applyFont="1" applyAlignment="1">
      <alignment horizontal="center" vertical="center"/>
    </xf>
    <xf numFmtId="165" fontId="42" fillId="0" borderId="0" xfId="1" applyFont="1" applyAlignment="1">
      <alignment vertical="center"/>
    </xf>
    <xf numFmtId="49" fontId="34" fillId="0" borderId="0" xfId="0" applyNumberFormat="1" applyFont="1" applyAlignment="1">
      <alignment horizontal="center" vertical="center"/>
    </xf>
    <xf numFmtId="49" fontId="34" fillId="0" borderId="0" xfId="0" applyNumberFormat="1" applyFont="1" applyAlignment="1">
      <alignment horizontal="center"/>
    </xf>
    <xf numFmtId="1" fontId="34" fillId="0" borderId="0" xfId="0" applyNumberFormat="1" applyFont="1" applyAlignment="1">
      <alignment vertical="center"/>
    </xf>
    <xf numFmtId="0" fontId="42" fillId="0" borderId="0" xfId="0" applyFont="1" applyAlignment="1">
      <alignment vertical="center"/>
    </xf>
    <xf numFmtId="164" fontId="42" fillId="0" borderId="0" xfId="1" applyNumberFormat="1" applyFont="1" applyAlignment="1">
      <alignment vertical="center"/>
    </xf>
    <xf numFmtId="0" fontId="63" fillId="0" borderId="0" xfId="0" applyFont="1" applyAlignment="1">
      <alignment vertical="center"/>
    </xf>
    <xf numFmtId="49" fontId="42" fillId="0" borderId="100" xfId="0" applyNumberFormat="1" applyFont="1" applyBorder="1" applyAlignment="1">
      <alignment horizontal="centerContinuous" vertical="center"/>
    </xf>
    <xf numFmtId="49" fontId="42" fillId="0" borderId="102" xfId="0" applyNumberFormat="1" applyFont="1" applyBorder="1" applyAlignment="1">
      <alignment horizontal="center" vertical="center"/>
    </xf>
    <xf numFmtId="49" fontId="42" fillId="0" borderId="13" xfId="0" applyNumberFormat="1" applyFont="1" applyBorder="1" applyAlignment="1">
      <alignment horizontal="centerContinuous" vertical="center"/>
    </xf>
    <xf numFmtId="14" fontId="42" fillId="0" borderId="0" xfId="0" applyNumberFormat="1" applyFont="1" applyAlignment="1">
      <alignment horizontal="centerContinuous" vertical="center"/>
    </xf>
    <xf numFmtId="14" fontId="42" fillId="0" borderId="100" xfId="0" applyNumberFormat="1" applyFont="1" applyBorder="1" applyAlignment="1">
      <alignment horizontal="centerContinuous" vertical="center"/>
    </xf>
    <xf numFmtId="0" fontId="63" fillId="0" borderId="0" xfId="0" applyFont="1" applyAlignment="1">
      <alignment horizontal="centerContinuous" vertical="center"/>
    </xf>
    <xf numFmtId="49" fontId="63" fillId="0" borderId="99" xfId="0" quotePrefix="1" applyNumberFormat="1" applyFont="1" applyBorder="1" applyAlignment="1">
      <alignment horizontal="centerContinuous" vertical="center"/>
    </xf>
    <xf numFmtId="49" fontId="63" fillId="0" borderId="0" xfId="0" applyNumberFormat="1" applyFont="1" applyAlignment="1">
      <alignment horizontal="centerContinuous" vertical="center"/>
    </xf>
    <xf numFmtId="0" fontId="63" fillId="0" borderId="101" xfId="0" applyFont="1" applyBorder="1" applyAlignment="1">
      <alignment vertical="center"/>
    </xf>
    <xf numFmtId="49" fontId="42" fillId="0" borderId="99" xfId="0" quotePrefix="1" applyNumberFormat="1" applyFont="1" applyBorder="1" applyAlignment="1">
      <alignment horizontal="centerContinuous" vertical="center"/>
    </xf>
    <xf numFmtId="171" fontId="42" fillId="0" borderId="0" xfId="0" applyNumberFormat="1" applyFont="1" applyAlignment="1">
      <alignment horizontal="centerContinuous" vertical="center"/>
    </xf>
    <xf numFmtId="0" fontId="42" fillId="0" borderId="99" xfId="0" quotePrefix="1" applyFont="1" applyBorder="1" applyAlignment="1">
      <alignment horizontal="centerContinuous" vertical="center"/>
    </xf>
    <xf numFmtId="10" fontId="42" fillId="0" borderId="0" xfId="2" applyNumberFormat="1" applyFont="1" applyBorder="1" applyAlignment="1">
      <alignment horizontal="centerContinuous" vertical="center"/>
    </xf>
    <xf numFmtId="14" fontId="42" fillId="0" borderId="99" xfId="0" quotePrefix="1" applyNumberFormat="1" applyFont="1" applyBorder="1" applyAlignment="1">
      <alignment horizontal="centerContinuous" vertical="center"/>
    </xf>
    <xf numFmtId="14" fontId="42" fillId="0" borderId="0" xfId="0" quotePrefix="1" applyNumberFormat="1" applyFont="1" applyAlignment="1">
      <alignment horizontal="centerContinuous" vertical="center"/>
    </xf>
    <xf numFmtId="0" fontId="42" fillId="0" borderId="100" xfId="0" quotePrefix="1" applyFont="1" applyBorder="1" applyAlignment="1">
      <alignment horizontal="centerContinuous" vertical="center"/>
    </xf>
    <xf numFmtId="165" fontId="42" fillId="0" borderId="99" xfId="1" quotePrefix="1" applyFont="1" applyBorder="1" applyAlignment="1">
      <alignment vertical="center"/>
    </xf>
    <xf numFmtId="165" fontId="42" fillId="0" borderId="100" xfId="1" applyFont="1" applyBorder="1" applyAlignment="1">
      <alignment vertical="center"/>
    </xf>
    <xf numFmtId="165" fontId="42" fillId="0" borderId="100" xfId="1" applyFont="1" applyBorder="1" applyAlignment="1">
      <alignment horizontal="center" vertical="center"/>
    </xf>
    <xf numFmtId="0" fontId="42" fillId="0" borderId="102" xfId="0" quotePrefix="1" applyFont="1" applyBorder="1" applyAlignment="1">
      <alignment horizontal="centerContinuous" vertical="center"/>
    </xf>
    <xf numFmtId="0" fontId="42" fillId="0" borderId="13" xfId="0" applyFont="1" applyBorder="1" applyAlignment="1">
      <alignment horizontal="centerContinuous" vertical="center"/>
    </xf>
    <xf numFmtId="0" fontId="42" fillId="0" borderId="103" xfId="0" applyFont="1" applyBorder="1" applyAlignment="1">
      <alignment horizontal="centerContinuous" vertical="center"/>
    </xf>
    <xf numFmtId="0" fontId="64" fillId="0" borderId="0" xfId="0" applyFont="1" applyAlignment="1">
      <alignment horizontal="center" vertical="center" wrapText="1"/>
    </xf>
    <xf numFmtId="165" fontId="42" fillId="0" borderId="0" xfId="1" applyFont="1" applyAlignment="1">
      <alignment horizontal="center" vertical="center"/>
    </xf>
    <xf numFmtId="1" fontId="42" fillId="0" borderId="0" xfId="0" applyNumberFormat="1" applyFont="1" applyAlignment="1">
      <alignment horizontal="centerContinuous" vertical="center"/>
    </xf>
    <xf numFmtId="164" fontId="42" fillId="0" borderId="102" xfId="1" quotePrefix="1" applyNumberFormat="1" applyFont="1" applyBorder="1" applyAlignment="1">
      <alignment horizontal="center" vertical="center"/>
    </xf>
    <xf numFmtId="49" fontId="42" fillId="0" borderId="13" xfId="1" applyNumberFormat="1" applyFont="1" applyBorder="1" applyAlignment="1">
      <alignment horizontal="center" vertical="center"/>
    </xf>
    <xf numFmtId="49" fontId="42" fillId="0" borderId="103" xfId="1" applyNumberFormat="1" applyFont="1" applyBorder="1" applyAlignment="1">
      <alignment horizontal="center" vertical="center"/>
    </xf>
    <xf numFmtId="14" fontId="31" fillId="0" borderId="0" xfId="1" applyNumberFormat="1" applyFont="1"/>
    <xf numFmtId="165" fontId="39" fillId="2" borderId="45" xfId="1" applyFont="1" applyFill="1" applyBorder="1" applyAlignment="1">
      <alignment vertical="center" wrapText="1"/>
    </xf>
    <xf numFmtId="0" fontId="42" fillId="0" borderId="0" xfId="0" applyFont="1" applyAlignment="1">
      <alignment horizontal="centerContinuous" vertical="center"/>
    </xf>
    <xf numFmtId="165" fontId="34" fillId="0" borderId="0" xfId="1" applyFont="1" applyAlignment="1">
      <alignment horizontal="center" vertical="center"/>
    </xf>
    <xf numFmtId="14" fontId="34" fillId="0" borderId="0" xfId="0" applyNumberFormat="1" applyFont="1" applyAlignment="1">
      <alignment horizontal="center" vertical="center"/>
    </xf>
    <xf numFmtId="0" fontId="57" fillId="0" borderId="0" xfId="0" applyFont="1" applyAlignment="1">
      <alignment horizontal="center" vertical="center"/>
    </xf>
    <xf numFmtId="49" fontId="42" fillId="0" borderId="0" xfId="1" applyNumberFormat="1" applyFont="1" applyAlignment="1">
      <alignment horizontal="center" vertical="center"/>
    </xf>
    <xf numFmtId="49" fontId="34" fillId="0" borderId="0" xfId="1" applyNumberFormat="1" applyFont="1"/>
    <xf numFmtId="49" fontId="34" fillId="0" borderId="0" xfId="1" applyNumberFormat="1" applyFont="1" applyAlignment="1">
      <alignment horizontal="center"/>
    </xf>
    <xf numFmtId="49" fontId="34" fillId="0" borderId="0" xfId="0" applyNumberFormat="1" applyFont="1" applyAlignment="1">
      <alignment horizontal="centerContinuous" vertical="center"/>
    </xf>
    <xf numFmtId="165" fontId="34" fillId="0" borderId="0" xfId="1" applyFont="1" applyAlignment="1">
      <alignment horizontal="centerContinuous" vertical="center"/>
    </xf>
    <xf numFmtId="0" fontId="31" fillId="0" borderId="0" xfId="0" applyFont="1" applyAlignment="1">
      <alignment vertical="center"/>
    </xf>
    <xf numFmtId="49" fontId="34" fillId="7" borderId="0" xfId="4" applyNumberFormat="1" applyFont="1" applyFill="1"/>
    <xf numFmtId="49" fontId="45" fillId="7" borderId="0" xfId="4" applyNumberFormat="1" applyFont="1" applyFill="1"/>
    <xf numFmtId="49" fontId="56" fillId="7" borderId="0" xfId="1" applyNumberFormat="1" applyFont="1" applyFill="1" applyAlignment="1"/>
    <xf numFmtId="49" fontId="31" fillId="7" borderId="0" xfId="1" applyNumberFormat="1" applyFont="1" applyFill="1" applyAlignment="1"/>
    <xf numFmtId="49" fontId="0" fillId="0" borderId="54" xfId="0" applyNumberFormat="1" applyBorder="1"/>
    <xf numFmtId="0" fontId="5" fillId="16" borderId="0" xfId="1" applyNumberFormat="1" applyFont="1" applyFill="1" applyBorder="1" applyAlignment="1">
      <alignment horizontal="center" vertical="center"/>
    </xf>
    <xf numFmtId="0" fontId="5" fillId="21" borderId="7" xfId="1" applyNumberFormat="1" applyFont="1" applyFill="1" applyBorder="1" applyAlignment="1">
      <alignment horizontal="left" vertical="center"/>
    </xf>
    <xf numFmtId="49" fontId="5" fillId="21" borderId="0" xfId="17" applyNumberFormat="1" applyFont="1" applyFill="1" applyBorder="1" applyAlignment="1">
      <alignment vertical="center"/>
    </xf>
    <xf numFmtId="0" fontId="5" fillId="21" borderId="0" xfId="1" applyNumberFormat="1" applyFont="1" applyFill="1" applyBorder="1" applyAlignment="1">
      <alignment vertical="center"/>
    </xf>
    <xf numFmtId="0" fontId="5" fillId="21" borderId="0" xfId="1" applyNumberFormat="1" applyFont="1" applyFill="1" applyBorder="1" applyAlignment="1">
      <alignment horizontal="center" vertical="center"/>
    </xf>
    <xf numFmtId="0" fontId="5" fillId="21" borderId="2" xfId="1" applyNumberFormat="1" applyFont="1" applyFill="1" applyBorder="1" applyAlignment="1">
      <alignment vertical="center"/>
    </xf>
    <xf numFmtId="0" fontId="5" fillId="21" borderId="0" xfId="1" applyNumberFormat="1" applyFont="1" applyFill="1" applyBorder="1" applyAlignment="1">
      <alignment horizontal="left" vertical="center"/>
    </xf>
    <xf numFmtId="0" fontId="65" fillId="21" borderId="0" xfId="1" applyNumberFormat="1" applyFont="1" applyFill="1" applyBorder="1" applyAlignment="1">
      <alignment horizontal="center" vertical="center"/>
    </xf>
    <xf numFmtId="49" fontId="5" fillId="21" borderId="0" xfId="1" applyNumberFormat="1" applyFont="1" applyFill="1" applyBorder="1" applyAlignment="1">
      <alignment vertical="center"/>
    </xf>
    <xf numFmtId="0" fontId="5" fillId="21" borderId="4" xfId="1" applyNumberFormat="1" applyFont="1" applyFill="1" applyBorder="1" applyAlignment="1">
      <alignment vertical="center"/>
    </xf>
    <xf numFmtId="0" fontId="5" fillId="21" borderId="4" xfId="1" applyNumberFormat="1" applyFont="1" applyFill="1" applyBorder="1" applyAlignment="1">
      <alignment horizontal="center" vertical="center"/>
    </xf>
    <xf numFmtId="0" fontId="66" fillId="16" borderId="1" xfId="1" applyNumberFormat="1" applyFont="1" applyFill="1" applyBorder="1" applyAlignment="1">
      <alignment vertical="center"/>
    </xf>
    <xf numFmtId="0" fontId="66" fillId="16" borderId="0" xfId="1" applyNumberFormat="1" applyFont="1" applyFill="1" applyBorder="1" applyAlignment="1">
      <alignment vertical="center"/>
    </xf>
    <xf numFmtId="0" fontId="66" fillId="16" borderId="0" xfId="1" applyNumberFormat="1" applyFont="1" applyFill="1" applyBorder="1" applyAlignment="1">
      <alignment horizontal="center" vertical="center"/>
    </xf>
    <xf numFmtId="0" fontId="66" fillId="16" borderId="2" xfId="1" applyNumberFormat="1" applyFont="1" applyFill="1" applyBorder="1" applyAlignment="1">
      <alignment vertical="center"/>
    </xf>
    <xf numFmtId="49" fontId="5" fillId="21" borderId="0" xfId="1" applyNumberFormat="1" applyFont="1" applyFill="1" applyBorder="1" applyAlignment="1">
      <alignment horizontal="left" vertical="center"/>
    </xf>
    <xf numFmtId="0" fontId="4" fillId="21" borderId="0" xfId="1" applyNumberFormat="1" applyFont="1" applyFill="1" applyBorder="1" applyAlignment="1">
      <alignment vertical="center"/>
    </xf>
    <xf numFmtId="0" fontId="4" fillId="21" borderId="0" xfId="1" applyNumberFormat="1" applyFont="1" applyFill="1" applyBorder="1" applyAlignment="1">
      <alignment horizontal="center" vertical="center"/>
    </xf>
    <xf numFmtId="0" fontId="4" fillId="21" borderId="2" xfId="1" applyNumberFormat="1" applyFont="1" applyFill="1" applyBorder="1" applyAlignment="1">
      <alignment horizontal="center" vertical="center"/>
    </xf>
    <xf numFmtId="0" fontId="5" fillId="21" borderId="2" xfId="1" applyNumberFormat="1" applyFont="1" applyFill="1" applyBorder="1" applyAlignment="1">
      <alignment horizontal="center" vertical="center"/>
    </xf>
    <xf numFmtId="49" fontId="4" fillId="21" borderId="0" xfId="1" applyNumberFormat="1" applyFont="1" applyFill="1" applyBorder="1" applyAlignment="1">
      <alignment horizontal="center" vertical="center"/>
    </xf>
    <xf numFmtId="49" fontId="4" fillId="21" borderId="0" xfId="1" applyNumberFormat="1" applyFont="1" applyFill="1" applyBorder="1" applyAlignment="1">
      <alignment vertical="center"/>
    </xf>
    <xf numFmtId="49" fontId="4" fillId="21" borderId="2" xfId="1" applyNumberFormat="1" applyFont="1" applyFill="1" applyBorder="1" applyAlignment="1">
      <alignment horizontal="center" vertical="center"/>
    </xf>
    <xf numFmtId="49" fontId="4" fillId="21" borderId="0" xfId="17" applyNumberFormat="1" applyFont="1" applyFill="1" applyBorder="1" applyAlignment="1">
      <alignment vertical="center"/>
    </xf>
    <xf numFmtId="0" fontId="4" fillId="21" borderId="0" xfId="1" applyNumberFormat="1" applyFont="1" applyFill="1" applyBorder="1" applyAlignment="1">
      <alignment horizontal="left" vertical="center"/>
    </xf>
    <xf numFmtId="0" fontId="68" fillId="16" borderId="0" xfId="1" applyNumberFormat="1" applyFont="1" applyFill="1" applyBorder="1" applyAlignment="1">
      <alignment vertical="center"/>
    </xf>
    <xf numFmtId="0" fontId="4" fillId="21" borderId="7" xfId="1" applyNumberFormat="1" applyFont="1" applyFill="1" applyBorder="1" applyAlignment="1">
      <alignment horizontal="left" vertical="center"/>
    </xf>
    <xf numFmtId="0" fontId="4" fillId="21" borderId="4" xfId="1" applyNumberFormat="1" applyFont="1" applyFill="1" applyBorder="1" applyAlignment="1">
      <alignment vertical="center"/>
    </xf>
    <xf numFmtId="49" fontId="4" fillId="21" borderId="7" xfId="17" applyNumberFormat="1" applyFont="1" applyFill="1" applyBorder="1" applyAlignment="1">
      <alignment vertical="center"/>
    </xf>
    <xf numFmtId="49" fontId="69" fillId="21" borderId="7" xfId="17" applyNumberFormat="1" applyFont="1" applyFill="1" applyBorder="1" applyAlignment="1">
      <alignment horizontal="center" vertical="center"/>
    </xf>
    <xf numFmtId="49" fontId="4" fillId="21" borderId="8" xfId="17" applyNumberFormat="1" applyFont="1" applyFill="1" applyBorder="1" applyAlignment="1">
      <alignment vertical="center"/>
    </xf>
    <xf numFmtId="0" fontId="69" fillId="21" borderId="0" xfId="1" applyNumberFormat="1" applyFont="1" applyFill="1" applyBorder="1" applyAlignment="1">
      <alignment horizontal="center" vertical="center"/>
    </xf>
    <xf numFmtId="0" fontId="4" fillId="21" borderId="2" xfId="1" applyNumberFormat="1" applyFont="1" applyFill="1" applyBorder="1" applyAlignment="1">
      <alignment vertical="center"/>
    </xf>
    <xf numFmtId="0" fontId="71" fillId="22" borderId="107" xfId="23" applyFont="1" applyFill="1" applyBorder="1" applyAlignment="1">
      <alignment horizontal="center" vertical="center" wrapText="1"/>
    </xf>
    <xf numFmtId="0" fontId="4" fillId="21" borderId="2" xfId="1" applyNumberFormat="1" applyFont="1" applyFill="1" applyBorder="1" applyAlignment="1">
      <alignment horizontal="left" vertical="center"/>
    </xf>
    <xf numFmtId="0" fontId="4" fillId="21" borderId="4" xfId="1" applyNumberFormat="1" applyFont="1" applyFill="1" applyBorder="1" applyAlignment="1">
      <alignment horizontal="left" vertical="center"/>
    </xf>
    <xf numFmtId="0" fontId="69" fillId="21" borderId="4" xfId="1" applyNumberFormat="1" applyFont="1" applyFill="1" applyBorder="1" applyAlignment="1">
      <alignment horizontal="center" vertical="center"/>
    </xf>
    <xf numFmtId="0" fontId="4" fillId="21" borderId="5" xfId="1" applyNumberFormat="1" applyFont="1" applyFill="1" applyBorder="1" applyAlignment="1">
      <alignment horizontal="left" vertical="center"/>
    </xf>
    <xf numFmtId="49" fontId="4" fillId="21" borderId="2" xfId="1" applyNumberFormat="1" applyFont="1" applyFill="1" applyBorder="1" applyAlignment="1">
      <alignment vertical="center"/>
    </xf>
    <xf numFmtId="49" fontId="4" fillId="21" borderId="0" xfId="1" applyNumberFormat="1" applyFont="1" applyFill="1" applyBorder="1" applyAlignment="1">
      <alignment horizontal="left" vertical="center"/>
    </xf>
    <xf numFmtId="49" fontId="4" fillId="21" borderId="2" xfId="1" applyNumberFormat="1" applyFont="1" applyFill="1" applyBorder="1" applyAlignment="1">
      <alignment horizontal="left" vertical="center"/>
    </xf>
    <xf numFmtId="0" fontId="4" fillId="21" borderId="0" xfId="1" applyNumberFormat="1" applyFont="1" applyFill="1" applyBorder="1" applyAlignment="1">
      <alignment vertical="top" wrapText="1"/>
    </xf>
    <xf numFmtId="0" fontId="72" fillId="16" borderId="0" xfId="1" applyNumberFormat="1" applyFont="1" applyFill="1" applyBorder="1" applyAlignment="1">
      <alignment horizontal="center" vertical="center"/>
    </xf>
    <xf numFmtId="49" fontId="69" fillId="21" borderId="0" xfId="1" applyNumberFormat="1" applyFont="1" applyFill="1" applyBorder="1" applyAlignment="1">
      <alignment horizontal="center" vertical="center"/>
    </xf>
    <xf numFmtId="49" fontId="69" fillId="21" borderId="0" xfId="1" applyNumberFormat="1" applyFont="1" applyFill="1" applyBorder="1" applyAlignment="1">
      <alignment vertical="center"/>
    </xf>
    <xf numFmtId="49" fontId="73" fillId="21" borderId="0" xfId="22" applyNumberFormat="1" applyFont="1" applyFill="1" applyBorder="1" applyAlignment="1" applyProtection="1">
      <alignment vertical="center"/>
    </xf>
    <xf numFmtId="49" fontId="73" fillId="21" borderId="0" xfId="22" applyNumberFormat="1" applyFont="1" applyFill="1" applyBorder="1" applyAlignment="1">
      <alignment vertical="center"/>
    </xf>
    <xf numFmtId="49" fontId="4" fillId="21" borderId="2" xfId="17" applyNumberFormat="1" applyFont="1" applyFill="1" applyBorder="1" applyAlignment="1">
      <alignment vertical="center"/>
    </xf>
    <xf numFmtId="0" fontId="4" fillId="21" borderId="4" xfId="1" applyNumberFormat="1" applyFont="1" applyFill="1" applyBorder="1" applyAlignment="1">
      <alignment horizontal="center" vertical="center"/>
    </xf>
    <xf numFmtId="0" fontId="4" fillId="21" borderId="5" xfId="1" applyNumberFormat="1" applyFont="1" applyFill="1" applyBorder="1" applyAlignment="1">
      <alignment vertical="center"/>
    </xf>
    <xf numFmtId="0" fontId="5" fillId="21" borderId="5" xfId="1" applyNumberFormat="1" applyFont="1" applyFill="1" applyBorder="1" applyAlignment="1">
      <alignment vertical="center"/>
    </xf>
    <xf numFmtId="0" fontId="5" fillId="16" borderId="1" xfId="1" applyNumberFormat="1" applyFont="1" applyFill="1" applyBorder="1" applyAlignment="1">
      <alignment horizontal="center" vertical="center"/>
    </xf>
    <xf numFmtId="0" fontId="5" fillId="16" borderId="0" xfId="1" applyNumberFormat="1" applyFont="1" applyFill="1" applyBorder="1" applyAlignment="1">
      <alignment horizontal="center" vertical="center" wrapText="1"/>
    </xf>
    <xf numFmtId="0" fontId="5" fillId="16" borderId="2" xfId="1" applyNumberFormat="1" applyFont="1" applyFill="1" applyBorder="1" applyAlignment="1">
      <alignment horizontal="center" vertical="center"/>
    </xf>
    <xf numFmtId="0" fontId="65" fillId="16" borderId="0" xfId="1" applyNumberFormat="1" applyFont="1" applyFill="1" applyBorder="1" applyAlignment="1">
      <alignment horizontal="center" vertical="center"/>
    </xf>
    <xf numFmtId="0" fontId="4" fillId="4" borderId="0" xfId="1" applyNumberFormat="1" applyFont="1" applyFill="1" applyBorder="1" applyAlignment="1">
      <alignment horizontal="left" vertical="center"/>
    </xf>
    <xf numFmtId="0" fontId="4" fillId="4" borderId="2" xfId="1" applyNumberFormat="1" applyFont="1" applyFill="1" applyBorder="1" applyAlignment="1">
      <alignment horizontal="left" vertical="center"/>
    </xf>
    <xf numFmtId="0" fontId="74" fillId="0" borderId="0" xfId="0" applyFont="1" applyAlignment="1">
      <alignment horizontal="center" vertical="center"/>
    </xf>
    <xf numFmtId="0" fontId="3" fillId="3" borderId="108" xfId="0" applyFont="1" applyFill="1" applyBorder="1" applyAlignment="1">
      <alignment horizontal="center" vertical="center" wrapText="1"/>
    </xf>
    <xf numFmtId="0" fontId="3" fillId="3" borderId="109" xfId="0" applyFont="1" applyFill="1" applyBorder="1" applyAlignment="1">
      <alignment horizontal="center" vertical="center" wrapText="1"/>
    </xf>
    <xf numFmtId="0" fontId="3" fillId="3" borderId="110" xfId="0" applyFont="1" applyFill="1" applyBorder="1" applyAlignment="1">
      <alignment horizontal="center" vertical="center" wrapText="1"/>
    </xf>
    <xf numFmtId="2" fontId="5" fillId="21" borderId="0" xfId="1" applyNumberFormat="1" applyFont="1" applyFill="1" applyBorder="1" applyAlignment="1">
      <alignment vertical="center"/>
    </xf>
    <xf numFmtId="2" fontId="5" fillId="21" borderId="4" xfId="1" applyNumberFormat="1" applyFont="1" applyFill="1" applyBorder="1" applyAlignment="1">
      <alignment vertical="center"/>
    </xf>
    <xf numFmtId="49" fontId="5" fillId="21" borderId="4" xfId="1" applyNumberFormat="1" applyFont="1" applyFill="1" applyBorder="1" applyAlignment="1">
      <alignment vertical="center"/>
    </xf>
    <xf numFmtId="49" fontId="4" fillId="21" borderId="4" xfId="1" applyNumberFormat="1" applyFont="1" applyFill="1" applyBorder="1" applyAlignment="1">
      <alignment vertical="center"/>
    </xf>
    <xf numFmtId="49" fontId="4" fillId="21" borderId="5" xfId="1" applyNumberFormat="1" applyFont="1" applyFill="1" applyBorder="1" applyAlignment="1">
      <alignment vertical="center"/>
    </xf>
    <xf numFmtId="10" fontId="5" fillId="21" borderId="0" xfId="2" applyNumberFormat="1" applyFont="1" applyFill="1" applyBorder="1" applyAlignment="1">
      <alignment vertical="center"/>
    </xf>
    <xf numFmtId="10" fontId="5" fillId="21" borderId="4" xfId="2" applyNumberFormat="1" applyFont="1" applyFill="1" applyBorder="1" applyAlignment="1">
      <alignment vertical="center"/>
    </xf>
    <xf numFmtId="0" fontId="5" fillId="21" borderId="54" xfId="1" applyNumberFormat="1" applyFont="1" applyFill="1" applyBorder="1" applyAlignment="1">
      <alignment vertical="center"/>
    </xf>
    <xf numFmtId="0" fontId="5" fillId="21" borderId="16" xfId="1" applyNumberFormat="1" applyFont="1" applyFill="1" applyBorder="1" applyAlignment="1">
      <alignment vertical="center"/>
    </xf>
    <xf numFmtId="0" fontId="5" fillId="21" borderId="16" xfId="1" applyNumberFormat="1" applyFont="1" applyFill="1" applyBorder="1" applyAlignment="1">
      <alignment horizontal="center" vertical="center"/>
    </xf>
    <xf numFmtId="10" fontId="5" fillId="21" borderId="16" xfId="2" applyNumberFormat="1" applyFont="1" applyFill="1" applyBorder="1" applyAlignment="1">
      <alignment vertical="center"/>
    </xf>
    <xf numFmtId="0" fontId="5" fillId="21" borderId="17" xfId="1" applyNumberFormat="1" applyFont="1" applyFill="1" applyBorder="1" applyAlignment="1">
      <alignment vertical="center"/>
    </xf>
    <xf numFmtId="2" fontId="5" fillId="21" borderId="16" xfId="1" applyNumberFormat="1" applyFont="1" applyFill="1" applyBorder="1" applyAlignment="1">
      <alignment vertical="center"/>
    </xf>
    <xf numFmtId="0" fontId="5" fillId="21" borderId="32" xfId="1" applyNumberFormat="1" applyFont="1" applyFill="1" applyBorder="1" applyAlignment="1">
      <alignment vertical="center"/>
    </xf>
    <xf numFmtId="0" fontId="5" fillId="21" borderId="32" xfId="1" applyNumberFormat="1" applyFont="1" applyFill="1" applyBorder="1" applyAlignment="1">
      <alignment horizontal="center" vertical="center"/>
    </xf>
    <xf numFmtId="2" fontId="5" fillId="21" borderId="32" xfId="1" applyNumberFormat="1" applyFont="1" applyFill="1" applyBorder="1" applyAlignment="1">
      <alignment vertical="center"/>
    </xf>
    <xf numFmtId="10" fontId="5" fillId="21" borderId="32" xfId="2" applyNumberFormat="1" applyFont="1" applyFill="1" applyBorder="1" applyAlignment="1">
      <alignment vertical="center"/>
    </xf>
    <xf numFmtId="0" fontId="5" fillId="21" borderId="31" xfId="1" applyNumberFormat="1" applyFont="1" applyFill="1" applyBorder="1" applyAlignment="1">
      <alignment vertical="center"/>
    </xf>
    <xf numFmtId="0" fontId="5" fillId="21" borderId="112" xfId="1" applyNumberFormat="1" applyFont="1" applyFill="1" applyBorder="1" applyAlignment="1">
      <alignment vertical="center"/>
    </xf>
    <xf numFmtId="0" fontId="5" fillId="21" borderId="114" xfId="1" applyNumberFormat="1" applyFont="1" applyFill="1" applyBorder="1" applyAlignment="1">
      <alignment vertical="center"/>
    </xf>
    <xf numFmtId="0" fontId="5" fillId="21" borderId="57" xfId="1" applyNumberFormat="1" applyFont="1" applyFill="1" applyBorder="1" applyAlignment="1">
      <alignment vertical="center"/>
    </xf>
    <xf numFmtId="0" fontId="5" fillId="21" borderId="113" xfId="1" applyNumberFormat="1" applyFont="1" applyFill="1" applyBorder="1" applyAlignment="1">
      <alignment vertical="center"/>
    </xf>
    <xf numFmtId="2" fontId="5" fillId="21" borderId="115" xfId="1" applyNumberFormat="1" applyFont="1" applyFill="1" applyBorder="1" applyAlignment="1">
      <alignment vertical="center"/>
    </xf>
    <xf numFmtId="10" fontId="5" fillId="21" borderId="115" xfId="2" applyNumberFormat="1" applyFont="1" applyFill="1" applyBorder="1" applyAlignment="1">
      <alignment vertical="center"/>
    </xf>
    <xf numFmtId="0" fontId="5" fillId="21" borderId="115" xfId="1" applyNumberFormat="1" applyFont="1" applyFill="1" applyBorder="1" applyAlignment="1">
      <alignment vertical="center"/>
    </xf>
    <xf numFmtId="0" fontId="5" fillId="21" borderId="116" xfId="1" applyNumberFormat="1" applyFont="1" applyFill="1" applyBorder="1" applyAlignment="1">
      <alignment vertical="center"/>
    </xf>
    <xf numFmtId="0" fontId="5" fillId="21" borderId="51" xfId="1" applyNumberFormat="1" applyFont="1" applyFill="1" applyBorder="1" applyAlignment="1">
      <alignment vertical="center"/>
    </xf>
    <xf numFmtId="0" fontId="5" fillId="21" borderId="40" xfId="1" applyNumberFormat="1" applyFont="1" applyFill="1" applyBorder="1" applyAlignment="1">
      <alignment vertical="center"/>
    </xf>
    <xf numFmtId="0" fontId="5" fillId="21" borderId="39" xfId="1" applyNumberFormat="1" applyFont="1" applyFill="1" applyBorder="1" applyAlignment="1">
      <alignment vertical="center"/>
    </xf>
    <xf numFmtId="0" fontId="5" fillId="21" borderId="38" xfId="1" applyNumberFormat="1" applyFont="1" applyFill="1" applyBorder="1" applyAlignment="1">
      <alignment vertical="center"/>
    </xf>
    <xf numFmtId="0" fontId="69" fillId="21" borderId="0" xfId="1" applyNumberFormat="1" applyFont="1" applyFill="1" applyBorder="1" applyAlignment="1">
      <alignment vertical="center" wrapText="1"/>
    </xf>
    <xf numFmtId="0" fontId="4" fillId="21" borderId="7" xfId="1" applyNumberFormat="1" applyFont="1" applyFill="1" applyBorder="1" applyAlignment="1">
      <alignment vertical="center"/>
    </xf>
    <xf numFmtId="0" fontId="67" fillId="16" borderId="0" xfId="1" applyNumberFormat="1" applyFont="1" applyFill="1" applyBorder="1" applyAlignment="1">
      <alignment vertical="center"/>
    </xf>
    <xf numFmtId="0" fontId="4" fillId="4" borderId="0" xfId="1" applyNumberFormat="1" applyFont="1" applyFill="1" applyBorder="1" applyAlignment="1">
      <alignment vertical="center"/>
    </xf>
    <xf numFmtId="0" fontId="50" fillId="16" borderId="0" xfId="1" applyNumberFormat="1" applyFont="1" applyFill="1" applyBorder="1" applyAlignment="1">
      <alignment vertical="center"/>
    </xf>
    <xf numFmtId="0" fontId="5" fillId="21" borderId="7" xfId="1" applyNumberFormat="1" applyFont="1" applyFill="1" applyBorder="1" applyAlignment="1">
      <alignment vertical="center"/>
    </xf>
    <xf numFmtId="0" fontId="5" fillId="21" borderId="7" xfId="1" applyNumberFormat="1" applyFont="1" applyFill="1" applyBorder="1" applyAlignment="1">
      <alignment horizontal="center" vertical="center"/>
    </xf>
    <xf numFmtId="0" fontId="69" fillId="21" borderId="1" xfId="1" applyNumberFormat="1" applyFont="1" applyFill="1" applyBorder="1" applyAlignment="1">
      <alignment vertical="center"/>
    </xf>
    <xf numFmtId="0" fontId="75" fillId="21" borderId="15" xfId="0" applyFont="1" applyFill="1" applyBorder="1" applyAlignment="1">
      <alignment vertical="center"/>
    </xf>
    <xf numFmtId="0" fontId="75" fillId="21" borderId="3" xfId="0" applyFont="1" applyFill="1" applyBorder="1" applyAlignment="1">
      <alignment vertical="center"/>
    </xf>
    <xf numFmtId="0" fontId="75" fillId="21" borderId="1" xfId="0" applyFont="1" applyFill="1" applyBorder="1" applyAlignment="1">
      <alignment vertical="center"/>
    </xf>
    <xf numFmtId="0" fontId="69" fillId="21" borderId="3" xfId="1" applyNumberFormat="1" applyFont="1" applyFill="1" applyBorder="1" applyAlignment="1">
      <alignment vertical="center"/>
    </xf>
    <xf numFmtId="0" fontId="69" fillId="4" borderId="1" xfId="1" applyNumberFormat="1" applyFont="1" applyFill="1" applyBorder="1" applyAlignment="1">
      <alignment vertical="center"/>
    </xf>
    <xf numFmtId="0" fontId="69" fillId="21" borderId="1" xfId="1" applyNumberFormat="1" applyFont="1" applyFill="1" applyBorder="1" applyAlignment="1">
      <alignment vertical="top"/>
    </xf>
    <xf numFmtId="0" fontId="65" fillId="21" borderId="1" xfId="1" applyNumberFormat="1" applyFont="1" applyFill="1" applyBorder="1" applyAlignment="1">
      <alignment vertical="center"/>
    </xf>
    <xf numFmtId="0" fontId="69" fillId="21" borderId="6" xfId="1" applyNumberFormat="1" applyFont="1" applyFill="1" applyBorder="1" applyAlignment="1">
      <alignment vertical="center"/>
    </xf>
    <xf numFmtId="0" fontId="75" fillId="21" borderId="111" xfId="0" applyFont="1" applyFill="1" applyBorder="1" applyAlignment="1">
      <alignment vertical="center"/>
    </xf>
    <xf numFmtId="0" fontId="69" fillId="21" borderId="117" xfId="1" applyNumberFormat="1" applyFont="1" applyFill="1" applyBorder="1" applyAlignment="1">
      <alignment vertical="center"/>
    </xf>
    <xf numFmtId="0" fontId="69" fillId="21" borderId="15" xfId="1" applyNumberFormat="1" applyFont="1" applyFill="1" applyBorder="1" applyAlignment="1">
      <alignment vertical="center"/>
    </xf>
    <xf numFmtId="0" fontId="69" fillId="21" borderId="111" xfId="1" applyNumberFormat="1" applyFont="1" applyFill="1" applyBorder="1" applyAlignment="1">
      <alignment vertical="center"/>
    </xf>
    <xf numFmtId="49" fontId="39" fillId="2" borderId="48" xfId="1" applyNumberFormat="1" applyFont="1" applyFill="1" applyBorder="1" applyAlignment="1">
      <alignment horizontal="center" vertical="top" wrapText="1"/>
    </xf>
    <xf numFmtId="14" fontId="39" fillId="2" borderId="48" xfId="1" applyNumberFormat="1" applyFont="1" applyFill="1" applyBorder="1" applyAlignment="1">
      <alignment horizontal="center" vertical="top" wrapText="1"/>
    </xf>
    <xf numFmtId="49" fontId="39" fillId="2" borderId="48" xfId="1" applyNumberFormat="1" applyFont="1" applyFill="1" applyBorder="1" applyAlignment="1">
      <alignment horizontal="center" vertical="top"/>
    </xf>
    <xf numFmtId="0" fontId="41" fillId="0" borderId="0" xfId="0" applyFont="1" applyAlignment="1">
      <alignment vertical="center"/>
    </xf>
    <xf numFmtId="49" fontId="42" fillId="0" borderId="99" xfId="0" applyNumberFormat="1" applyFont="1" applyBorder="1" applyAlignment="1">
      <alignment horizontal="center" vertical="center"/>
    </xf>
    <xf numFmtId="49" fontId="40" fillId="0" borderId="0" xfId="1" applyNumberFormat="1" applyFont="1" applyAlignment="1">
      <alignment horizontal="centerContinuous" vertical="center"/>
    </xf>
    <xf numFmtId="0" fontId="41" fillId="0" borderId="0" xfId="0" applyFont="1" applyAlignment="1">
      <alignment horizontal="centerContinuous" vertical="center"/>
    </xf>
    <xf numFmtId="165" fontId="0" fillId="0" borderId="0" xfId="1" applyFont="1" applyAlignment="1">
      <alignment vertical="center"/>
    </xf>
    <xf numFmtId="165" fontId="54" fillId="0" borderId="0" xfId="1" applyFont="1" applyAlignment="1">
      <alignment vertical="center"/>
    </xf>
    <xf numFmtId="165" fontId="24" fillId="0" borderId="0" xfId="1" applyFont="1" applyAlignment="1">
      <alignment vertical="center"/>
    </xf>
    <xf numFmtId="165" fontId="74" fillId="0" borderId="0" xfId="1" applyFont="1" applyAlignment="1">
      <alignment horizontal="center" vertical="center"/>
    </xf>
    <xf numFmtId="165" fontId="0" fillId="0" borderId="0" xfId="1" applyFont="1" applyAlignment="1">
      <alignment horizontal="center" vertical="center"/>
    </xf>
    <xf numFmtId="0" fontId="13" fillId="0" borderId="0" xfId="4" applyFont="1"/>
    <xf numFmtId="17" fontId="13" fillId="0" borderId="0" xfId="4" applyNumberFormat="1" applyFont="1"/>
    <xf numFmtId="0" fontId="13" fillId="0" borderId="0" xfId="19" applyFont="1"/>
    <xf numFmtId="165" fontId="76" fillId="0" borderId="0" xfId="18" applyFont="1" applyBorder="1"/>
    <xf numFmtId="0" fontId="76" fillId="0" borderId="0" xfId="0" applyFont="1"/>
    <xf numFmtId="4" fontId="60" fillId="9" borderId="112" xfId="23" applyNumberFormat="1" applyFont="1" applyFill="1" applyBorder="1" applyAlignment="1">
      <alignment horizontal="center"/>
    </xf>
    <xf numFmtId="4" fontId="60" fillId="9" borderId="113" xfId="23" applyNumberFormat="1" applyFont="1" applyFill="1" applyBorder="1"/>
    <xf numFmtId="4" fontId="60" fillId="9" borderId="112" xfId="23" applyNumberFormat="1" applyFont="1" applyFill="1" applyBorder="1"/>
    <xf numFmtId="4" fontId="60" fillId="9" borderId="54" xfId="23" applyNumberFormat="1" applyFont="1" applyFill="1" applyBorder="1"/>
    <xf numFmtId="0" fontId="13" fillId="7" borderId="45" xfId="4" applyFont="1" applyFill="1" applyBorder="1" applyAlignment="1">
      <alignment horizontal="center" vertical="center"/>
    </xf>
    <xf numFmtId="49" fontId="35" fillId="0" borderId="72" xfId="19" applyNumberFormat="1" applyFont="1" applyBorder="1" applyAlignment="1">
      <alignment vertical="center"/>
    </xf>
    <xf numFmtId="49" fontId="31" fillId="0" borderId="72" xfId="19" applyNumberFormat="1" applyFont="1" applyBorder="1"/>
    <xf numFmtId="0" fontId="31" fillId="0" borderId="72" xfId="19" applyFont="1" applyBorder="1" applyAlignment="1">
      <alignment horizontal="center"/>
    </xf>
    <xf numFmtId="0" fontId="31" fillId="0" borderId="72" xfId="19" applyFont="1" applyBorder="1"/>
    <xf numFmtId="49" fontId="31" fillId="0" borderId="72" xfId="19" applyNumberFormat="1" applyFont="1" applyBorder="1" applyAlignment="1">
      <alignment horizontal="center"/>
    </xf>
    <xf numFmtId="14" fontId="31" fillId="0" borderId="72" xfId="19" applyNumberFormat="1" applyFont="1" applyBorder="1" applyAlignment="1">
      <alignment horizontal="center"/>
    </xf>
    <xf numFmtId="49" fontId="34" fillId="0" borderId="0" xfId="1" applyNumberFormat="1" applyFont="1" applyFill="1" applyBorder="1" applyAlignment="1">
      <alignment horizontal="left" vertical="center"/>
    </xf>
    <xf numFmtId="49" fontId="34" fillId="0" borderId="0" xfId="1" applyNumberFormat="1" applyFont="1" applyFill="1" applyBorder="1" applyAlignment="1">
      <alignment horizontal="right" vertical="center"/>
    </xf>
    <xf numFmtId="49" fontId="34" fillId="0" borderId="0" xfId="1" applyNumberFormat="1" applyFont="1" applyFill="1" applyBorder="1" applyAlignment="1">
      <alignment horizontal="center" vertical="center"/>
    </xf>
    <xf numFmtId="14" fontId="34" fillId="0" borderId="0" xfId="1" applyNumberFormat="1" applyFont="1" applyFill="1" applyBorder="1" applyAlignment="1">
      <alignment horizontal="left" vertical="center"/>
    </xf>
    <xf numFmtId="49" fontId="34" fillId="0" borderId="100" xfId="0" applyNumberFormat="1" applyFont="1" applyBorder="1" applyAlignment="1">
      <alignment horizontal="centerContinuous" vertical="center"/>
    </xf>
    <xf numFmtId="14" fontId="34" fillId="0" borderId="0" xfId="0" applyNumberFormat="1" applyFont="1" applyAlignment="1">
      <alignment horizontal="centerContinuous" vertical="center"/>
    </xf>
    <xf numFmtId="165" fontId="34" fillId="0" borderId="0" xfId="1" applyFont="1" applyBorder="1" applyAlignment="1">
      <alignment horizontal="centerContinuous" vertical="center"/>
    </xf>
    <xf numFmtId="165" fontId="34" fillId="0" borderId="100" xfId="1" applyFont="1" applyBorder="1" applyAlignment="1">
      <alignment horizontal="centerContinuous" vertical="center"/>
    </xf>
    <xf numFmtId="1" fontId="34" fillId="0" borderId="0" xfId="1" applyNumberFormat="1" applyFont="1" applyBorder="1" applyAlignment="1">
      <alignment horizontal="centerContinuous" vertical="center"/>
    </xf>
    <xf numFmtId="165" fontId="34" fillId="21" borderId="122" xfId="1" applyFont="1" applyFill="1" applyBorder="1" applyAlignment="1">
      <alignment vertical="center"/>
    </xf>
    <xf numFmtId="165" fontId="34" fillId="21" borderId="123" xfId="1" applyFont="1" applyFill="1" applyBorder="1" applyAlignment="1">
      <alignment vertical="center"/>
    </xf>
    <xf numFmtId="0" fontId="34" fillId="0" borderId="126" xfId="0" applyFont="1" applyBorder="1" applyAlignment="1">
      <alignment horizontal="center" vertical="center"/>
    </xf>
    <xf numFmtId="165" fontId="34" fillId="21" borderId="78" xfId="1" applyFont="1" applyFill="1" applyBorder="1" applyAlignment="1">
      <alignment vertical="center"/>
    </xf>
    <xf numFmtId="165" fontId="34" fillId="21" borderId="127" xfId="1" applyFont="1" applyFill="1" applyBorder="1" applyAlignment="1">
      <alignment vertical="center"/>
    </xf>
    <xf numFmtId="165" fontId="34" fillId="21" borderId="48" xfId="1" applyFont="1" applyFill="1" applyBorder="1" applyAlignment="1">
      <alignment vertical="center"/>
    </xf>
    <xf numFmtId="165" fontId="39" fillId="2" borderId="49" xfId="1" applyFont="1" applyFill="1" applyBorder="1" applyAlignment="1">
      <alignment horizontal="center" vertical="top" wrapText="1"/>
    </xf>
    <xf numFmtId="49" fontId="57" fillId="16" borderId="78" xfId="0" applyNumberFormat="1" applyFont="1" applyFill="1" applyBorder="1" applyAlignment="1">
      <alignment horizontal="center" vertical="center" wrapText="1"/>
    </xf>
    <xf numFmtId="165" fontId="34" fillId="21" borderId="48" xfId="1" applyFont="1" applyFill="1" applyBorder="1" applyAlignment="1">
      <alignment horizontal="center" vertical="center"/>
    </xf>
    <xf numFmtId="165" fontId="34" fillId="21" borderId="47" xfId="1" applyFont="1" applyFill="1" applyBorder="1" applyAlignment="1">
      <alignment horizontal="center" vertical="center"/>
    </xf>
    <xf numFmtId="165" fontId="34" fillId="21" borderId="57" xfId="1" applyFont="1" applyFill="1" applyBorder="1" applyAlignment="1">
      <alignment horizontal="center" vertical="center"/>
    </xf>
    <xf numFmtId="165" fontId="32" fillId="2" borderId="60" xfId="1" applyFont="1" applyFill="1" applyBorder="1" applyAlignment="1">
      <alignment horizontal="center" vertical="top" wrapText="1"/>
    </xf>
    <xf numFmtId="165" fontId="34" fillId="21" borderId="60" xfId="1" applyFont="1" applyFill="1" applyBorder="1" applyAlignment="1">
      <alignment horizontal="center" vertical="center"/>
    </xf>
    <xf numFmtId="165" fontId="34" fillId="21" borderId="49" xfId="1" applyFont="1" applyFill="1" applyBorder="1" applyAlignment="1">
      <alignment horizontal="center" vertical="center"/>
    </xf>
    <xf numFmtId="49" fontId="31" fillId="0" borderId="0" xfId="19" applyNumberFormat="1" applyFont="1" applyAlignment="1">
      <alignment vertical="center"/>
    </xf>
    <xf numFmtId="0" fontId="31" fillId="0" borderId="0" xfId="19" applyFont="1" applyAlignment="1">
      <alignment horizontal="center" vertical="center"/>
    </xf>
    <xf numFmtId="0" fontId="31" fillId="0" borderId="0" xfId="19" applyFont="1" applyAlignment="1">
      <alignment vertical="center"/>
    </xf>
    <xf numFmtId="49" fontId="31" fillId="0" borderId="0" xfId="19" applyNumberFormat="1" applyFont="1" applyAlignment="1">
      <alignment horizontal="center" vertical="center"/>
    </xf>
    <xf numFmtId="14" fontId="31" fillId="0" borderId="0" xfId="19" applyNumberFormat="1" applyFont="1" applyAlignment="1">
      <alignment vertical="center"/>
    </xf>
    <xf numFmtId="49" fontId="39" fillId="2" borderId="136" xfId="19" applyNumberFormat="1" applyFont="1" applyFill="1" applyBorder="1" applyAlignment="1">
      <alignment horizontal="centerContinuous" vertical="center" wrapText="1"/>
    </xf>
    <xf numFmtId="49" fontId="39" fillId="2" borderId="120" xfId="19" applyNumberFormat="1" applyFont="1" applyFill="1" applyBorder="1" applyAlignment="1">
      <alignment horizontal="centerContinuous" vertical="center" wrapText="1"/>
    </xf>
    <xf numFmtId="165" fontId="39" fillId="2" borderId="137" xfId="1" applyFont="1" applyFill="1" applyBorder="1" applyAlignment="1">
      <alignment horizontal="centerContinuous" vertical="center" wrapText="1"/>
    </xf>
    <xf numFmtId="165" fontId="34" fillId="30" borderId="64" xfId="1" applyFont="1" applyFill="1" applyBorder="1" applyAlignment="1">
      <alignment vertical="center"/>
    </xf>
    <xf numFmtId="0" fontId="4" fillId="0" borderId="15" xfId="4" applyBorder="1" applyAlignment="1">
      <alignment vertical="center"/>
    </xf>
    <xf numFmtId="0" fontId="13" fillId="7" borderId="1" xfId="4" applyFont="1" applyFill="1" applyBorder="1" applyAlignment="1">
      <alignment horizontal="center" vertical="center"/>
    </xf>
    <xf numFmtId="0" fontId="13" fillId="7" borderId="0" xfId="4" applyFont="1" applyFill="1" applyAlignment="1">
      <alignment horizontal="center" vertical="center"/>
    </xf>
    <xf numFmtId="0" fontId="5" fillId="7" borderId="48" xfId="4" applyFont="1" applyFill="1" applyBorder="1" applyAlignment="1">
      <alignment horizontal="center" vertical="center"/>
    </xf>
    <xf numFmtId="0" fontId="10" fillId="0" borderId="98" xfId="4" applyFont="1" applyBorder="1" applyAlignment="1">
      <alignment horizontal="center" vertical="center"/>
    </xf>
    <xf numFmtId="0" fontId="10" fillId="0" borderId="28" xfId="4" applyFont="1" applyBorder="1" applyAlignment="1">
      <alignment horizontal="center" vertical="center"/>
    </xf>
    <xf numFmtId="0" fontId="10" fillId="7" borderId="59" xfId="4" applyFont="1" applyFill="1" applyBorder="1" applyAlignment="1">
      <alignment horizontal="center" vertical="center"/>
    </xf>
    <xf numFmtId="0" fontId="8" fillId="0" borderId="51" xfId="4" applyFont="1" applyBorder="1" applyAlignment="1">
      <alignment vertical="center"/>
    </xf>
    <xf numFmtId="165" fontId="39" fillId="2" borderId="132" xfId="1" applyFont="1" applyFill="1" applyBorder="1" applyAlignment="1">
      <alignment horizontal="center" vertical="top" wrapText="1"/>
    </xf>
    <xf numFmtId="165" fontId="39" fillId="2" borderId="133" xfId="1" applyFont="1" applyFill="1" applyBorder="1" applyAlignment="1">
      <alignment horizontal="center" vertical="top" wrapText="1"/>
    </xf>
    <xf numFmtId="165" fontId="42" fillId="0" borderId="99" xfId="1" quotePrefix="1" applyFont="1" applyBorder="1" applyAlignment="1">
      <alignment horizontal="center" vertical="center"/>
    </xf>
    <xf numFmtId="165" fontId="42" fillId="0" borderId="0" xfId="1" applyFont="1" applyBorder="1" applyAlignment="1">
      <alignment horizontal="center" vertical="center"/>
    </xf>
    <xf numFmtId="0" fontId="38" fillId="0" borderId="48" xfId="0" applyFont="1" applyBorder="1" applyAlignment="1">
      <alignment horizontal="center" vertical="center" wrapText="1"/>
    </xf>
    <xf numFmtId="49" fontId="57" fillId="16" borderId="73" xfId="0" applyNumberFormat="1" applyFont="1" applyFill="1" applyBorder="1" applyAlignment="1">
      <alignment horizontal="center" vertical="top" wrapText="1"/>
    </xf>
    <xf numFmtId="165" fontId="39" fillId="2" borderId="134" xfId="1" applyFont="1" applyFill="1" applyBorder="1" applyAlignment="1">
      <alignment horizontal="center" vertical="top" wrapText="1"/>
    </xf>
    <xf numFmtId="165" fontId="32" fillId="2" borderId="73" xfId="1" applyFont="1" applyFill="1" applyBorder="1" applyAlignment="1">
      <alignment horizontal="center" vertical="top" wrapText="1"/>
    </xf>
    <xf numFmtId="165" fontId="32" fillId="2" borderId="140" xfId="1" applyFont="1" applyFill="1" applyBorder="1" applyAlignment="1">
      <alignment horizontal="center" vertical="top" wrapText="1"/>
    </xf>
    <xf numFmtId="165" fontId="32" fillId="2" borderId="141" xfId="1" applyFont="1" applyFill="1" applyBorder="1" applyAlignment="1">
      <alignment horizontal="center" vertical="top" wrapText="1"/>
    </xf>
    <xf numFmtId="165" fontId="32" fillId="2" borderId="142" xfId="1" applyFont="1" applyFill="1" applyBorder="1" applyAlignment="1">
      <alignment horizontal="center" vertical="top" wrapText="1"/>
    </xf>
    <xf numFmtId="49" fontId="4" fillId="21" borderId="0" xfId="1" quotePrefix="1" applyNumberFormat="1" applyFont="1" applyFill="1" applyBorder="1" applyAlignment="1">
      <alignment vertical="center"/>
    </xf>
    <xf numFmtId="0" fontId="39" fillId="2" borderId="73" xfId="0" applyFont="1" applyFill="1" applyBorder="1" applyAlignment="1">
      <alignment horizontal="center" vertical="top" wrapText="1"/>
    </xf>
    <xf numFmtId="49" fontId="39" fillId="2" borderId="73" xfId="19" applyNumberFormat="1" applyFont="1" applyFill="1" applyBorder="1" applyAlignment="1">
      <alignment horizontal="center" vertical="top" wrapText="1"/>
    </xf>
    <xf numFmtId="15" fontId="39" fillId="2" borderId="73" xfId="19" applyNumberFormat="1" applyFont="1" applyFill="1" applyBorder="1" applyAlignment="1">
      <alignment horizontal="center" vertical="top" wrapText="1"/>
    </xf>
    <xf numFmtId="0" fontId="39" fillId="2" borderId="73" xfId="19" applyFont="1" applyFill="1" applyBorder="1" applyAlignment="1">
      <alignment horizontal="center" vertical="top" wrapText="1"/>
    </xf>
    <xf numFmtId="165" fontId="31" fillId="0" borderId="73" xfId="1" applyFont="1" applyBorder="1" applyAlignment="1">
      <alignment vertical="top"/>
    </xf>
    <xf numFmtId="0" fontId="39" fillId="2" borderId="75" xfId="19" applyFont="1" applyFill="1" applyBorder="1" applyAlignment="1">
      <alignment horizontal="center" vertical="top" wrapText="1"/>
    </xf>
    <xf numFmtId="165" fontId="39" fillId="2" borderId="75" xfId="1" applyFont="1" applyFill="1" applyBorder="1" applyAlignment="1">
      <alignment horizontal="center" vertical="center" wrapText="1"/>
    </xf>
    <xf numFmtId="165" fontId="39" fillId="2" borderId="75" xfId="1" applyFont="1" applyFill="1" applyBorder="1" applyAlignment="1">
      <alignment horizontal="center" vertical="top" wrapText="1"/>
    </xf>
    <xf numFmtId="14" fontId="39" fillId="2" borderId="73" xfId="0" applyNumberFormat="1" applyFont="1" applyFill="1" applyBorder="1" applyAlignment="1">
      <alignment horizontal="center" vertical="top" wrapText="1"/>
    </xf>
    <xf numFmtId="49" fontId="39" fillId="2" borderId="73" xfId="0" applyNumberFormat="1" applyFont="1" applyFill="1" applyBorder="1" applyAlignment="1">
      <alignment horizontal="center" vertical="top" wrapText="1"/>
    </xf>
    <xf numFmtId="165" fontId="39" fillId="2" borderId="73" xfId="1" applyFont="1" applyFill="1" applyBorder="1" applyAlignment="1">
      <alignment horizontal="center" vertical="top" wrapText="1"/>
    </xf>
    <xf numFmtId="49" fontId="36" fillId="0" borderId="54" xfId="0" applyNumberFormat="1" applyFont="1" applyBorder="1"/>
    <xf numFmtId="49" fontId="36" fillId="0" borderId="54" xfId="0" applyNumberFormat="1" applyFont="1" applyBorder="1" applyAlignment="1">
      <alignment horizontal="center"/>
    </xf>
    <xf numFmtId="171" fontId="36" fillId="0" borderId="54" xfId="1" applyNumberFormat="1" applyFont="1" applyBorder="1"/>
    <xf numFmtId="165" fontId="36" fillId="0" borderId="54" xfId="1" applyFont="1" applyBorder="1"/>
    <xf numFmtId="0" fontId="36" fillId="0" borderId="54" xfId="0" applyFont="1" applyBorder="1" applyAlignment="1">
      <alignment horizontal="center"/>
    </xf>
    <xf numFmtId="171" fontId="36" fillId="0" borderId="54" xfId="0" applyNumberFormat="1" applyFont="1" applyBorder="1"/>
    <xf numFmtId="0" fontId="36" fillId="0" borderId="54" xfId="0" applyFont="1" applyBorder="1" applyAlignment="1">
      <alignment horizontal="right"/>
    </xf>
    <xf numFmtId="10" fontId="36" fillId="0" borderId="54" xfId="2" applyNumberFormat="1" applyFont="1" applyBorder="1"/>
    <xf numFmtId="14" fontId="36" fillId="0" borderId="54" xfId="0" applyNumberFormat="1" applyFont="1" applyBorder="1"/>
    <xf numFmtId="165" fontId="36" fillId="0" borderId="54" xfId="1" applyFont="1" applyBorder="1" applyAlignment="1">
      <alignment horizontal="center"/>
    </xf>
    <xf numFmtId="165" fontId="39" fillId="2" borderId="146" xfId="1" applyFont="1" applyFill="1" applyBorder="1" applyAlignment="1">
      <alignment horizontal="center" vertical="top" wrapText="1"/>
    </xf>
    <xf numFmtId="165" fontId="39" fillId="2" borderId="2" xfId="1" applyFont="1" applyFill="1" applyBorder="1" applyAlignment="1">
      <alignment horizontal="center" vertical="top" wrapText="1"/>
    </xf>
    <xf numFmtId="1" fontId="36" fillId="0" borderId="54" xfId="0" applyNumberFormat="1" applyFont="1" applyBorder="1" applyAlignment="1">
      <alignment horizontal="center"/>
    </xf>
    <xf numFmtId="49" fontId="36" fillId="0" borderId="54" xfId="1" applyNumberFormat="1" applyFont="1" applyBorder="1"/>
    <xf numFmtId="1" fontId="36" fillId="0" borderId="54" xfId="0" applyNumberFormat="1" applyFont="1" applyBorder="1"/>
    <xf numFmtId="164" fontId="39" fillId="2" borderId="73" xfId="1" applyNumberFormat="1" applyFont="1" applyFill="1" applyBorder="1" applyAlignment="1">
      <alignment horizontal="center" vertical="top" wrapText="1"/>
    </xf>
    <xf numFmtId="49" fontId="39" fillId="2" borderId="73" xfId="1" applyNumberFormat="1" applyFont="1" applyFill="1" applyBorder="1" applyAlignment="1">
      <alignment horizontal="center" vertical="top" wrapText="1"/>
    </xf>
    <xf numFmtId="49" fontId="36" fillId="0" borderId="48" xfId="0" applyNumberFormat="1" applyFont="1" applyBorder="1"/>
    <xf numFmtId="0" fontId="36" fillId="0" borderId="48" xfId="0" applyFont="1" applyBorder="1"/>
    <xf numFmtId="49" fontId="36" fillId="0" borderId="48" xfId="0" applyNumberFormat="1" applyFont="1" applyBorder="1" applyAlignment="1">
      <alignment horizontal="center"/>
    </xf>
    <xf numFmtId="165" fontId="36" fillId="0" borderId="48" xfId="1" applyFont="1" applyBorder="1"/>
    <xf numFmtId="0" fontId="36" fillId="0" borderId="48" xfId="0" applyFont="1" applyBorder="1" applyAlignment="1">
      <alignment horizontal="center"/>
    </xf>
    <xf numFmtId="171" fontId="36" fillId="0" borderId="48" xfId="1" applyNumberFormat="1" applyFont="1" applyBorder="1"/>
    <xf numFmtId="14" fontId="36" fillId="0" borderId="48" xfId="0" applyNumberFormat="1" applyFont="1" applyBorder="1"/>
    <xf numFmtId="165" fontId="36" fillId="0" borderId="48" xfId="1" applyFont="1" applyBorder="1" applyAlignment="1">
      <alignment horizontal="center"/>
    </xf>
    <xf numFmtId="1" fontId="36" fillId="0" borderId="48" xfId="0" applyNumberFormat="1" applyFont="1" applyBorder="1" applyAlignment="1">
      <alignment horizontal="center"/>
    </xf>
    <xf numFmtId="49" fontId="36" fillId="0" borderId="48" xfId="1" applyNumberFormat="1" applyFont="1" applyBorder="1"/>
    <xf numFmtId="1" fontId="36" fillId="0" borderId="48" xfId="0" applyNumberFormat="1" applyFont="1" applyBorder="1"/>
    <xf numFmtId="49" fontId="31" fillId="0" borderId="54" xfId="19" applyNumberFormat="1" applyFont="1" applyBorder="1"/>
    <xf numFmtId="0" fontId="31" fillId="0" borderId="54" xfId="19" applyFont="1" applyBorder="1" applyAlignment="1">
      <alignment horizontal="center"/>
    </xf>
    <xf numFmtId="0" fontId="31" fillId="0" borderId="54" xfId="19" applyFont="1" applyBorder="1"/>
    <xf numFmtId="171" fontId="31" fillId="0" borderId="54" xfId="1" applyNumberFormat="1" applyFont="1" applyBorder="1"/>
    <xf numFmtId="165" fontId="31" fillId="0" borderId="54" xfId="1" applyFont="1" applyBorder="1"/>
    <xf numFmtId="49" fontId="31" fillId="0" borderId="48" xfId="19" applyNumberFormat="1" applyFont="1" applyBorder="1"/>
    <xf numFmtId="0" fontId="31" fillId="0" borderId="48" xfId="19" applyFont="1" applyBorder="1" applyAlignment="1">
      <alignment horizontal="center"/>
    </xf>
    <xf numFmtId="0" fontId="31" fillId="0" borderId="48" xfId="19" applyFont="1" applyBorder="1"/>
    <xf numFmtId="171" fontId="31" fillId="0" borderId="48" xfId="1" applyNumberFormat="1" applyFont="1" applyBorder="1"/>
    <xf numFmtId="165" fontId="31" fillId="0" borderId="48" xfId="1" applyFont="1" applyBorder="1"/>
    <xf numFmtId="165" fontId="31" fillId="0" borderId="126" xfId="1" applyFont="1" applyBorder="1"/>
    <xf numFmtId="165" fontId="34" fillId="30" borderId="37" xfId="1" applyFont="1" applyFill="1" applyBorder="1" applyAlignment="1">
      <alignment vertical="center"/>
    </xf>
    <xf numFmtId="165" fontId="34" fillId="30" borderId="24" xfId="1" applyFont="1" applyFill="1" applyBorder="1" applyAlignment="1">
      <alignment vertical="center"/>
    </xf>
    <xf numFmtId="49" fontId="31" fillId="0" borderId="0" xfId="4" applyNumberFormat="1" applyFont="1" applyAlignment="1">
      <alignment horizontal="left"/>
    </xf>
    <xf numFmtId="49" fontId="31" fillId="0" borderId="54" xfId="4" applyNumberFormat="1" applyFont="1" applyBorder="1" applyAlignment="1">
      <alignment horizontal="left"/>
    </xf>
    <xf numFmtId="49" fontId="31" fillId="0" borderId="54" xfId="20" applyNumberFormat="1" applyFont="1" applyFill="1" applyBorder="1" applyAlignment="1" applyProtection="1"/>
    <xf numFmtId="165" fontId="31" fillId="0" borderId="54" xfId="1" applyFont="1" applyBorder="1" applyAlignment="1"/>
    <xf numFmtId="49" fontId="31" fillId="0" borderId="48" xfId="4" applyNumberFormat="1" applyFont="1" applyBorder="1"/>
    <xf numFmtId="49" fontId="31" fillId="0" borderId="48" xfId="4" applyNumberFormat="1" applyFont="1" applyBorder="1" applyAlignment="1">
      <alignment horizontal="center"/>
    </xf>
    <xf numFmtId="2" fontId="31" fillId="7" borderId="0" xfId="1" applyNumberFormat="1" applyFont="1" applyFill="1" applyAlignment="1">
      <alignment vertical="center"/>
    </xf>
    <xf numFmtId="2" fontId="87" fillId="0" borderId="0" xfId="1" applyNumberFormat="1" applyFont="1" applyAlignment="1">
      <alignment vertical="center"/>
    </xf>
    <xf numFmtId="4" fontId="31" fillId="0" borderId="54" xfId="20" applyNumberFormat="1" applyFont="1" applyFill="1" applyBorder="1" applyProtection="1"/>
    <xf numFmtId="49" fontId="31" fillId="0" borderId="54" xfId="20" applyNumberFormat="1" applyFont="1" applyFill="1" applyBorder="1" applyAlignment="1" applyProtection="1">
      <alignment horizontal="center"/>
    </xf>
    <xf numFmtId="49" fontId="88" fillId="2" borderId="19" xfId="4" applyNumberFormat="1" applyFont="1" applyFill="1" applyBorder="1" applyAlignment="1">
      <alignment horizontal="center" vertical="top" wrapText="1"/>
    </xf>
    <xf numFmtId="0" fontId="31" fillId="0" borderId="141" xfId="0" applyFont="1" applyBorder="1" applyAlignment="1">
      <alignment horizontal="center" vertical="top"/>
    </xf>
    <xf numFmtId="0" fontId="0" fillId="0" borderId="87" xfId="0" applyBorder="1" applyAlignment="1">
      <alignment vertical="center" wrapText="1"/>
    </xf>
    <xf numFmtId="0" fontId="0" fillId="0" borderId="88" xfId="0" applyBorder="1" applyAlignment="1">
      <alignment vertical="center" wrapText="1"/>
    </xf>
    <xf numFmtId="0" fontId="0" fillId="0" borderId="89" xfId="0" applyBorder="1" applyAlignment="1">
      <alignment vertical="center" wrapText="1"/>
    </xf>
    <xf numFmtId="0" fontId="8" fillId="0" borderId="0" xfId="4" applyFont="1" applyAlignment="1">
      <alignment vertical="center" wrapText="1"/>
    </xf>
    <xf numFmtId="49" fontId="11" fillId="0" borderId="1" xfId="4" applyNumberFormat="1" applyFont="1" applyBorder="1" applyAlignment="1">
      <alignment horizontal="left" vertical="center"/>
    </xf>
    <xf numFmtId="49" fontId="89" fillId="0" borderId="63" xfId="4" applyNumberFormat="1" applyFont="1" applyBorder="1" applyAlignment="1">
      <alignment horizontal="left" vertical="center"/>
    </xf>
    <xf numFmtId="49" fontId="89" fillId="0" borderId="48" xfId="4" applyNumberFormat="1" applyFont="1" applyBorder="1" applyAlignment="1">
      <alignment horizontal="left" vertical="center"/>
    </xf>
    <xf numFmtId="49" fontId="89" fillId="0" borderId="45" xfId="4" applyNumberFormat="1" applyFont="1" applyBorder="1" applyAlignment="1">
      <alignment horizontal="left" vertical="center"/>
    </xf>
    <xf numFmtId="0" fontId="11" fillId="0" borderId="4" xfId="4" applyFont="1" applyBorder="1" applyAlignment="1">
      <alignment vertical="center"/>
    </xf>
    <xf numFmtId="164" fontId="9" fillId="0" borderId="48" xfId="5" applyNumberFormat="1" applyFont="1" applyBorder="1" applyAlignment="1">
      <alignment vertical="center"/>
    </xf>
    <xf numFmtId="49" fontId="58" fillId="21" borderId="0" xfId="22" applyNumberFormat="1" applyFill="1" applyBorder="1" applyAlignment="1">
      <alignment vertical="center"/>
    </xf>
    <xf numFmtId="49" fontId="58" fillId="21" borderId="0" xfId="22" applyNumberFormat="1" applyFill="1" applyBorder="1" applyAlignment="1" applyProtection="1">
      <alignment vertical="center"/>
    </xf>
    <xf numFmtId="49" fontId="36" fillId="5" borderId="54" xfId="0" applyNumberFormat="1" applyFont="1" applyFill="1" applyBorder="1"/>
    <xf numFmtId="0" fontId="36" fillId="5" borderId="54" xfId="0" applyFont="1" applyFill="1" applyBorder="1"/>
    <xf numFmtId="49" fontId="36" fillId="5" borderId="54" xfId="0" applyNumberFormat="1" applyFont="1" applyFill="1" applyBorder="1" applyAlignment="1">
      <alignment horizontal="center"/>
    </xf>
    <xf numFmtId="171" fontId="36" fillId="5" borderId="54" xfId="1" applyNumberFormat="1" applyFont="1" applyFill="1" applyBorder="1"/>
    <xf numFmtId="165" fontId="36" fillId="5" borderId="54" xfId="1" applyFont="1" applyFill="1" applyBorder="1"/>
    <xf numFmtId="0" fontId="36" fillId="5" borderId="54" xfId="0" applyFont="1" applyFill="1" applyBorder="1" applyAlignment="1">
      <alignment horizontal="center"/>
    </xf>
    <xf numFmtId="171" fontId="36" fillId="5" borderId="54" xfId="0" applyNumberFormat="1" applyFont="1" applyFill="1" applyBorder="1"/>
    <xf numFmtId="0" fontId="36" fillId="5" borderId="54" xfId="0" applyFont="1" applyFill="1" applyBorder="1" applyAlignment="1">
      <alignment horizontal="right"/>
    </xf>
    <xf numFmtId="10" fontId="36" fillId="5" borderId="54" xfId="2" applyNumberFormat="1" applyFont="1" applyFill="1" applyBorder="1"/>
    <xf numFmtId="14" fontId="36" fillId="5" borderId="54" xfId="0" applyNumberFormat="1" applyFont="1" applyFill="1" applyBorder="1"/>
    <xf numFmtId="165" fontId="36" fillId="5" borderId="54" xfId="1" applyFont="1" applyFill="1" applyBorder="1" applyAlignment="1">
      <alignment horizontal="center"/>
    </xf>
    <xf numFmtId="0" fontId="36" fillId="5" borderId="0" xfId="0" applyFont="1" applyFill="1"/>
    <xf numFmtId="49" fontId="36" fillId="5" borderId="48" xfId="0" applyNumberFormat="1" applyFont="1" applyFill="1" applyBorder="1"/>
    <xf numFmtId="0" fontId="36" fillId="5" borderId="48" xfId="0" applyFont="1" applyFill="1" applyBorder="1"/>
    <xf numFmtId="0" fontId="36" fillId="5" borderId="48" xfId="0" applyFont="1" applyFill="1" applyBorder="1" applyAlignment="1">
      <alignment horizontal="center"/>
    </xf>
    <xf numFmtId="1" fontId="36" fillId="5" borderId="48" xfId="0" applyNumberFormat="1" applyFont="1" applyFill="1" applyBorder="1" applyAlignment="1">
      <alignment horizontal="center"/>
    </xf>
    <xf numFmtId="49" fontId="36" fillId="5" borderId="48" xfId="0" applyNumberFormat="1" applyFont="1" applyFill="1" applyBorder="1" applyAlignment="1">
      <alignment horizontal="center"/>
    </xf>
    <xf numFmtId="165" fontId="36" fillId="5" borderId="48" xfId="1" applyFont="1" applyFill="1" applyBorder="1"/>
    <xf numFmtId="49" fontId="36" fillId="5" borderId="48" xfId="1" applyNumberFormat="1" applyFont="1" applyFill="1" applyBorder="1"/>
    <xf numFmtId="14" fontId="36" fillId="5" borderId="48" xfId="0" applyNumberFormat="1" applyFont="1" applyFill="1" applyBorder="1"/>
    <xf numFmtId="165" fontId="36" fillId="5" borderId="48" xfId="1" applyFont="1" applyFill="1" applyBorder="1" applyAlignment="1">
      <alignment horizontal="center"/>
    </xf>
    <xf numFmtId="1" fontId="36" fillId="5" borderId="48" xfId="0" applyNumberFormat="1" applyFont="1" applyFill="1" applyBorder="1"/>
    <xf numFmtId="0" fontId="59" fillId="20" borderId="21" xfId="23" applyFont="1" applyFill="1" applyBorder="1" applyAlignment="1">
      <alignment horizontal="center" vertical="center" wrapText="1"/>
    </xf>
    <xf numFmtId="0" fontId="59" fillId="20" borderId="22" xfId="23" applyFont="1" applyFill="1" applyBorder="1" applyAlignment="1">
      <alignment horizontal="center" vertical="center" wrapText="1"/>
    </xf>
    <xf numFmtId="0" fontId="59" fillId="20" borderId="23" xfId="23" applyFont="1" applyFill="1" applyBorder="1" applyAlignment="1">
      <alignment horizontal="center" vertical="center" wrapText="1"/>
    </xf>
    <xf numFmtId="0" fontId="70" fillId="16" borderId="105" xfId="23" applyFont="1" applyFill="1" applyBorder="1" applyAlignment="1">
      <alignment horizontal="center" vertical="center" wrapText="1"/>
    </xf>
    <xf numFmtId="0" fontId="70" fillId="16" borderId="96" xfId="23" applyFont="1" applyFill="1" applyBorder="1" applyAlignment="1">
      <alignment horizontal="center" vertical="center" wrapText="1"/>
    </xf>
    <xf numFmtId="0" fontId="70" fillId="16" borderId="106" xfId="23" applyFont="1" applyFill="1" applyBorder="1" applyAlignment="1">
      <alignment horizontal="center" vertical="center" wrapText="1"/>
    </xf>
    <xf numFmtId="0" fontId="4" fillId="21" borderId="0" xfId="1" applyNumberFormat="1" applyFont="1" applyFill="1" applyBorder="1" applyAlignment="1">
      <alignment vertical="top" wrapText="1"/>
    </xf>
    <xf numFmtId="49" fontId="5" fillId="21" borderId="54" xfId="1" applyNumberFormat="1" applyFont="1" applyFill="1" applyBorder="1" applyAlignment="1">
      <alignment vertical="center"/>
    </xf>
    <xf numFmtId="0" fontId="4" fillId="0" borderId="0" xfId="4"/>
    <xf numFmtId="0" fontId="5" fillId="0" borderId="77" xfId="4" applyFont="1" applyBorder="1" applyAlignment="1">
      <alignment horizontal="center"/>
    </xf>
    <xf numFmtId="0" fontId="29" fillId="6" borderId="78" xfId="4" applyFont="1" applyFill="1" applyBorder="1" applyAlignment="1">
      <alignment horizontal="center" vertical="top" wrapText="1"/>
    </xf>
    <xf numFmtId="0" fontId="29" fillId="6" borderId="79" xfId="4" applyFont="1" applyFill="1" applyBorder="1" applyAlignment="1">
      <alignment horizontal="center" vertical="top" wrapText="1"/>
    </xf>
    <xf numFmtId="0" fontId="29" fillId="6" borderId="75" xfId="4" applyFont="1" applyFill="1" applyBorder="1" applyAlignment="1">
      <alignment horizontal="center" vertical="center" wrapText="1"/>
    </xf>
    <xf numFmtId="0" fontId="29" fillId="6" borderId="83" xfId="4" applyFont="1" applyFill="1" applyBorder="1" applyAlignment="1">
      <alignment horizontal="center" vertical="center" wrapText="1"/>
    </xf>
    <xf numFmtId="0" fontId="29" fillId="6" borderId="94" xfId="4" applyFont="1" applyFill="1" applyBorder="1" applyAlignment="1">
      <alignment horizontal="center" vertical="center" wrapText="1"/>
    </xf>
    <xf numFmtId="0" fontId="29" fillId="6" borderId="0" xfId="4" applyFont="1" applyFill="1" applyAlignment="1">
      <alignment horizontal="center" vertical="center" wrapText="1"/>
    </xf>
    <xf numFmtId="0" fontId="29" fillId="6" borderId="74" xfId="4" applyFont="1" applyFill="1" applyBorder="1" applyAlignment="1">
      <alignment horizontal="center" vertical="center" wrapText="1"/>
    </xf>
    <xf numFmtId="0" fontId="28" fillId="6" borderId="72" xfId="4" applyFont="1" applyFill="1" applyBorder="1" applyAlignment="1">
      <alignment horizontal="center" vertical="center"/>
    </xf>
    <xf numFmtId="0" fontId="29" fillId="6" borderId="73" xfId="4" applyFont="1" applyFill="1" applyBorder="1" applyAlignment="1">
      <alignment horizontal="center" vertical="center" wrapText="1"/>
    </xf>
    <xf numFmtId="0" fontId="29" fillId="6" borderId="82" xfId="4" applyFont="1" applyFill="1" applyBorder="1" applyAlignment="1">
      <alignment horizontal="center" vertical="center" wrapText="1"/>
    </xf>
    <xf numFmtId="0" fontId="29" fillId="6" borderId="73" xfId="4" applyFont="1" applyFill="1" applyBorder="1" applyAlignment="1">
      <alignment horizontal="center" vertical="top" wrapText="1"/>
    </xf>
    <xf numFmtId="0" fontId="29" fillId="6" borderId="82" xfId="4" applyFont="1" applyFill="1" applyBorder="1" applyAlignment="1">
      <alignment horizontal="center" vertical="top" wrapText="1"/>
    </xf>
    <xf numFmtId="0" fontId="29" fillId="6" borderId="76" xfId="4" applyFont="1" applyFill="1" applyBorder="1" applyAlignment="1">
      <alignment horizontal="center" vertical="top" wrapText="1"/>
    </xf>
    <xf numFmtId="0" fontId="29" fillId="6" borderId="77" xfId="4" applyFont="1" applyFill="1" applyBorder="1" applyAlignment="1">
      <alignment horizontal="center" vertical="top" wrapText="1"/>
    </xf>
    <xf numFmtId="0" fontId="49" fillId="0" borderId="0" xfId="4" applyFont="1"/>
    <xf numFmtId="0" fontId="5" fillId="0" borderId="0" xfId="4" applyFont="1"/>
    <xf numFmtId="0" fontId="4" fillId="0" borderId="93" xfId="4" applyBorder="1"/>
    <xf numFmtId="164" fontId="9" fillId="0" borderId="51" xfId="8" applyNumberFormat="1" applyFont="1" applyBorder="1" applyAlignment="1">
      <alignment horizontal="center" vertical="center"/>
    </xf>
    <xf numFmtId="164" fontId="9" fillId="0" borderId="16" xfId="8" applyNumberFormat="1" applyFont="1" applyBorder="1" applyAlignment="1">
      <alignment horizontal="center" vertical="center"/>
    </xf>
    <xf numFmtId="164" fontId="9" fillId="0" borderId="44" xfId="8" applyNumberFormat="1" applyFont="1" applyBorder="1" applyAlignment="1">
      <alignment horizontal="center" vertical="center"/>
    </xf>
    <xf numFmtId="164" fontId="9" fillId="0" borderId="13" xfId="8" applyNumberFormat="1" applyFont="1" applyBorder="1" applyAlignment="1">
      <alignment horizontal="center" vertical="center"/>
    </xf>
    <xf numFmtId="0" fontId="7" fillId="31" borderId="21" xfId="4" applyFont="1" applyFill="1" applyBorder="1" applyAlignment="1">
      <alignment vertical="center"/>
    </xf>
    <xf numFmtId="0" fontId="7" fillId="31" borderId="22" xfId="4" applyFont="1" applyFill="1" applyBorder="1" applyAlignment="1">
      <alignment vertical="center"/>
    </xf>
    <xf numFmtId="0" fontId="7" fillId="31" borderId="23" xfId="4" applyFont="1" applyFill="1" applyBorder="1" applyAlignment="1">
      <alignment vertical="center"/>
    </xf>
    <xf numFmtId="0" fontId="10" fillId="7" borderId="44" xfId="4" applyFont="1" applyFill="1" applyBorder="1" applyAlignment="1">
      <alignment horizontal="center" vertical="center"/>
    </xf>
    <xf numFmtId="0" fontId="10" fillId="7" borderId="13" xfId="4" applyFont="1" applyFill="1" applyBorder="1" applyAlignment="1">
      <alignment horizontal="center" vertical="center"/>
    </xf>
    <xf numFmtId="0" fontId="10" fillId="7" borderId="14" xfId="4" applyFont="1" applyFill="1" applyBorder="1" applyAlignment="1">
      <alignment horizontal="center" vertical="center"/>
    </xf>
    <xf numFmtId="0" fontId="17" fillId="7" borderId="54" xfId="4" applyFont="1" applyFill="1" applyBorder="1" applyAlignment="1">
      <alignment horizontal="center" vertical="center"/>
    </xf>
    <xf numFmtId="0" fontId="7" fillId="5" borderId="51" xfId="4" applyFont="1" applyFill="1" applyBorder="1" applyAlignment="1">
      <alignment horizontal="center" vertical="center"/>
    </xf>
    <xf numFmtId="0" fontId="7" fillId="5" borderId="57" xfId="4" applyFont="1" applyFill="1" applyBorder="1" applyAlignment="1">
      <alignment horizontal="center" vertical="center"/>
    </xf>
    <xf numFmtId="164" fontId="9" fillId="0" borderId="47" xfId="8" applyNumberFormat="1" applyFont="1" applyBorder="1" applyAlignment="1">
      <alignment horizontal="center" vertical="center"/>
    </xf>
    <xf numFmtId="164" fontId="9" fillId="0" borderId="49" xfId="8" applyNumberFormat="1" applyFont="1" applyBorder="1" applyAlignment="1">
      <alignment horizontal="center" vertical="center"/>
    </xf>
    <xf numFmtId="166" fontId="9" fillId="13" borderId="51" xfId="8" applyNumberFormat="1" applyFont="1" applyFill="1" applyBorder="1" applyAlignment="1">
      <alignment horizontal="center" vertical="center"/>
    </xf>
    <xf numFmtId="166" fontId="9" fillId="13" borderId="16" xfId="8" applyNumberFormat="1" applyFont="1" applyFill="1" applyBorder="1" applyAlignment="1">
      <alignment horizontal="center" vertical="center"/>
    </xf>
    <xf numFmtId="166" fontId="9" fillId="13" borderId="57" xfId="8" applyNumberFormat="1" applyFont="1" applyFill="1" applyBorder="1" applyAlignment="1">
      <alignment horizontal="center" vertical="center"/>
    </xf>
    <xf numFmtId="0" fontId="10" fillId="7" borderId="28" xfId="4" applyFont="1" applyFill="1" applyBorder="1" applyAlignment="1">
      <alignment horizontal="center" vertical="center"/>
    </xf>
    <xf numFmtId="0" fontId="10" fillId="7" borderId="0" xfId="4" applyFont="1" applyFill="1" applyAlignment="1">
      <alignment horizontal="center" vertical="center"/>
    </xf>
    <xf numFmtId="0" fontId="10" fillId="7" borderId="2" xfId="4" applyFont="1" applyFill="1" applyBorder="1" applyAlignment="1">
      <alignment horizontal="center" vertical="center"/>
    </xf>
    <xf numFmtId="164" fontId="12" fillId="0" borderId="21" xfId="8" applyNumberFormat="1" applyFont="1" applyBorder="1" applyAlignment="1">
      <alignment horizontal="center" vertical="center"/>
    </xf>
    <xf numFmtId="164" fontId="12" fillId="0" borderId="22" xfId="8" applyNumberFormat="1" applyFont="1" applyBorder="1" applyAlignment="1">
      <alignment horizontal="center" vertical="center"/>
    </xf>
    <xf numFmtId="164" fontId="9" fillId="12" borderId="30" xfId="8" applyNumberFormat="1" applyFont="1" applyFill="1" applyBorder="1" applyAlignment="1">
      <alignment horizontal="center" vertical="center"/>
    </xf>
    <xf numFmtId="164" fontId="9" fillId="12" borderId="4" xfId="8" applyNumberFormat="1" applyFont="1" applyFill="1" applyBorder="1" applyAlignment="1">
      <alignment horizontal="center" vertical="center"/>
    </xf>
    <xf numFmtId="164" fontId="9" fillId="12" borderId="5" xfId="8" applyNumberFormat="1" applyFont="1" applyFill="1" applyBorder="1" applyAlignment="1">
      <alignment horizontal="center" vertical="center"/>
    </xf>
    <xf numFmtId="0" fontId="10" fillId="12" borderId="38" xfId="4" applyFont="1" applyFill="1" applyBorder="1" applyAlignment="1">
      <alignment horizontal="center" vertical="center"/>
    </xf>
    <xf numFmtId="0" fontId="10" fillId="12" borderId="32" xfId="4" applyFont="1" applyFill="1" applyBorder="1" applyAlignment="1">
      <alignment horizontal="center" vertical="center"/>
    </xf>
    <xf numFmtId="0" fontId="10" fillId="12" borderId="31" xfId="4" applyFont="1" applyFill="1" applyBorder="1" applyAlignment="1">
      <alignment horizontal="center" vertical="center"/>
    </xf>
    <xf numFmtId="0" fontId="10" fillId="12" borderId="51" xfId="4" applyFont="1" applyFill="1" applyBorder="1" applyAlignment="1">
      <alignment horizontal="center" vertical="center"/>
    </xf>
    <xf numFmtId="0" fontId="10" fillId="12" borderId="16" xfId="4" applyFont="1" applyFill="1" applyBorder="1" applyAlignment="1">
      <alignment horizontal="center" vertical="center"/>
    </xf>
    <xf numFmtId="0" fontId="10" fillId="12" borderId="17" xfId="4" applyFont="1" applyFill="1" applyBorder="1" applyAlignment="1">
      <alignment horizontal="center" vertical="center"/>
    </xf>
    <xf numFmtId="0" fontId="8" fillId="7" borderId="18" xfId="4" applyFont="1" applyFill="1" applyBorder="1" applyAlignment="1">
      <alignment horizontal="center" vertical="center" wrapText="1"/>
    </xf>
    <xf numFmtId="0" fontId="8" fillId="7" borderId="19" xfId="4" applyFont="1" applyFill="1" applyBorder="1" applyAlignment="1">
      <alignment horizontal="center" vertical="center" wrapText="1"/>
    </xf>
    <xf numFmtId="0" fontId="8" fillId="7" borderId="20" xfId="4" applyFont="1" applyFill="1" applyBorder="1" applyAlignment="1">
      <alignment horizontal="center" vertical="center" wrapText="1"/>
    </xf>
    <xf numFmtId="0" fontId="8" fillId="7" borderId="1" xfId="4" applyFont="1" applyFill="1" applyBorder="1" applyAlignment="1">
      <alignment horizontal="center" vertical="center" wrapText="1"/>
    </xf>
    <xf numFmtId="0" fontId="8" fillId="7" borderId="0" xfId="4" applyFont="1" applyFill="1" applyAlignment="1">
      <alignment horizontal="center" vertical="center" wrapText="1"/>
    </xf>
    <xf numFmtId="0" fontId="8" fillId="7" borderId="2" xfId="4" applyFont="1" applyFill="1" applyBorder="1" applyAlignment="1">
      <alignment horizontal="center" vertical="center" wrapText="1"/>
    </xf>
    <xf numFmtId="0" fontId="8" fillId="7" borderId="3" xfId="4" applyFont="1" applyFill="1" applyBorder="1" applyAlignment="1">
      <alignment horizontal="center" vertical="center" wrapText="1"/>
    </xf>
    <xf numFmtId="0" fontId="8" fillId="7" borderId="4" xfId="4" applyFont="1" applyFill="1" applyBorder="1" applyAlignment="1">
      <alignment horizontal="center" vertical="center" wrapText="1"/>
    </xf>
    <xf numFmtId="0" fontId="8" fillId="7" borderId="5" xfId="4" applyFont="1" applyFill="1" applyBorder="1" applyAlignment="1">
      <alignment horizontal="center" vertical="center" wrapText="1"/>
    </xf>
    <xf numFmtId="164" fontId="9" fillId="0" borderId="52" xfId="8" applyNumberFormat="1" applyFont="1" applyBorder="1" applyAlignment="1">
      <alignment horizontal="center" vertical="center"/>
    </xf>
    <xf numFmtId="164" fontId="9" fillId="0" borderId="22" xfId="8" applyNumberFormat="1" applyFont="1" applyBorder="1" applyAlignment="1">
      <alignment horizontal="center" vertical="center"/>
    </xf>
    <xf numFmtId="0" fontId="8" fillId="7" borderId="70" xfId="4" applyFont="1" applyFill="1" applyBorder="1" applyAlignment="1">
      <alignment horizontal="center" vertical="center" wrapText="1"/>
    </xf>
    <xf numFmtId="0" fontId="8" fillId="7" borderId="59" xfId="4" applyFont="1" applyFill="1" applyBorder="1" applyAlignment="1">
      <alignment horizontal="center" vertical="center" wrapText="1"/>
    </xf>
    <xf numFmtId="0" fontId="8" fillId="7" borderId="69" xfId="4" applyFont="1" applyFill="1" applyBorder="1" applyAlignment="1">
      <alignment horizontal="center" vertical="center" wrapText="1"/>
    </xf>
    <xf numFmtId="164" fontId="12" fillId="10" borderId="21" xfId="8" applyNumberFormat="1" applyFont="1" applyFill="1" applyBorder="1" applyAlignment="1">
      <alignment horizontal="center" vertical="center"/>
    </xf>
    <xf numFmtId="164" fontId="12" fillId="10" borderId="22" xfId="8" applyNumberFormat="1" applyFont="1" applyFill="1" applyBorder="1" applyAlignment="1">
      <alignment horizontal="center" vertical="center"/>
    </xf>
    <xf numFmtId="164" fontId="9" fillId="0" borderId="38" xfId="8" applyNumberFormat="1" applyFont="1" applyBorder="1" applyAlignment="1">
      <alignment horizontal="center" vertical="center"/>
    </xf>
    <xf numFmtId="164" fontId="9" fillId="0" borderId="32" xfId="8" applyNumberFormat="1" applyFont="1" applyBorder="1" applyAlignment="1">
      <alignment horizontal="center" vertical="center"/>
    </xf>
    <xf numFmtId="164" fontId="9" fillId="0" borderId="42" xfId="8" applyNumberFormat="1" applyFont="1" applyBorder="1" applyAlignment="1">
      <alignment horizontal="center" vertical="center"/>
    </xf>
    <xf numFmtId="164" fontId="9" fillId="0" borderId="10" xfId="8" applyNumberFormat="1" applyFont="1" applyBorder="1" applyAlignment="1">
      <alignment horizontal="center" vertical="center"/>
    </xf>
    <xf numFmtId="49" fontId="11" fillId="11" borderId="21" xfId="4" applyNumberFormat="1" applyFont="1" applyFill="1" applyBorder="1" applyAlignment="1">
      <alignment horizontal="center" vertical="center"/>
    </xf>
    <xf numFmtId="49" fontId="11" fillId="11" borderId="22" xfId="4" applyNumberFormat="1" applyFont="1" applyFill="1" applyBorder="1" applyAlignment="1">
      <alignment horizontal="center" vertical="center"/>
    </xf>
    <xf numFmtId="164" fontId="9" fillId="0" borderId="4" xfId="8" applyNumberFormat="1" applyFont="1" applyBorder="1" applyAlignment="1">
      <alignment horizontal="center" vertical="center"/>
    </xf>
    <xf numFmtId="164" fontId="9" fillId="0" borderId="5" xfId="8" applyNumberFormat="1" applyFont="1" applyBorder="1" applyAlignment="1">
      <alignment horizontal="center" vertical="center"/>
    </xf>
    <xf numFmtId="0" fontId="8" fillId="0" borderId="10" xfId="4" applyFont="1" applyBorder="1" applyAlignment="1">
      <alignment horizontal="center" vertical="center"/>
    </xf>
    <xf numFmtId="164" fontId="12" fillId="0" borderId="52" xfId="8" applyNumberFormat="1" applyFont="1" applyBorder="1" applyAlignment="1">
      <alignment horizontal="center" vertical="center"/>
    </xf>
    <xf numFmtId="164" fontId="9" fillId="0" borderId="40" xfId="8" applyNumberFormat="1" applyFont="1" applyBorder="1" applyAlignment="1">
      <alignment horizontal="center" vertical="center"/>
    </xf>
    <xf numFmtId="0" fontId="8" fillId="0" borderId="1" xfId="4" applyFont="1" applyBorder="1" applyAlignment="1">
      <alignment horizontal="center" vertical="center"/>
    </xf>
    <xf numFmtId="0" fontId="8" fillId="0" borderId="0" xfId="4" applyFont="1" applyAlignment="1">
      <alignment horizontal="center" vertical="center"/>
    </xf>
    <xf numFmtId="0" fontId="8" fillId="0" borderId="2" xfId="4" applyFont="1" applyBorder="1" applyAlignment="1">
      <alignment horizontal="center" vertical="center"/>
    </xf>
    <xf numFmtId="0" fontId="11" fillId="11" borderId="21" xfId="4" applyFont="1" applyFill="1" applyBorder="1" applyAlignment="1">
      <alignment horizontal="center" vertical="center"/>
    </xf>
    <xf numFmtId="0" fontId="11" fillId="11" borderId="22" xfId="4" applyFont="1" applyFill="1" applyBorder="1" applyAlignment="1">
      <alignment horizontal="center" vertical="center"/>
    </xf>
    <xf numFmtId="0" fontId="10" fillId="7" borderId="42" xfId="4" applyFont="1" applyFill="1" applyBorder="1" applyAlignment="1">
      <alignment horizontal="center" vertical="center" wrapText="1"/>
    </xf>
    <xf numFmtId="0" fontId="10" fillId="7" borderId="10" xfId="4" applyFont="1" applyFill="1" applyBorder="1" applyAlignment="1">
      <alignment horizontal="center" vertical="center" wrapText="1"/>
    </xf>
    <xf numFmtId="0" fontId="10" fillId="7" borderId="11" xfId="4" applyFont="1" applyFill="1" applyBorder="1" applyAlignment="1">
      <alignment horizontal="center" vertical="center" wrapText="1"/>
    </xf>
    <xf numFmtId="0" fontId="11" fillId="10" borderId="21" xfId="4" applyFont="1" applyFill="1" applyBorder="1" applyAlignment="1">
      <alignment horizontal="center" vertical="center"/>
    </xf>
    <xf numFmtId="0" fontId="11" fillId="10" borderId="22" xfId="4" applyFont="1" applyFill="1" applyBorder="1" applyAlignment="1">
      <alignment horizontal="center" vertical="center"/>
    </xf>
    <xf numFmtId="0" fontId="11" fillId="10" borderId="21" xfId="4" applyFont="1" applyFill="1" applyBorder="1" applyAlignment="1">
      <alignment horizontal="center" vertical="center" wrapText="1"/>
    </xf>
    <xf numFmtId="0" fontId="11" fillId="10" borderId="22" xfId="4" applyFont="1" applyFill="1" applyBorder="1" applyAlignment="1">
      <alignment horizontal="center" vertical="center" wrapText="1"/>
    </xf>
    <xf numFmtId="0" fontId="11" fillId="10" borderId="23" xfId="4" applyFont="1" applyFill="1" applyBorder="1" applyAlignment="1">
      <alignment horizontal="center" vertical="center" wrapText="1"/>
    </xf>
    <xf numFmtId="49" fontId="11" fillId="0" borderId="21" xfId="4" applyNumberFormat="1" applyFont="1" applyBorder="1" applyAlignment="1">
      <alignment horizontal="center" vertical="center"/>
    </xf>
    <xf numFmtId="49" fontId="11" fillId="0" borderId="22" xfId="4" applyNumberFormat="1" applyFont="1" applyBorder="1" applyAlignment="1">
      <alignment horizontal="center" vertical="center"/>
    </xf>
    <xf numFmtId="49" fontId="11" fillId="0" borderId="23" xfId="4" applyNumberFormat="1" applyFont="1" applyBorder="1" applyAlignment="1">
      <alignment horizontal="center" vertical="center"/>
    </xf>
    <xf numFmtId="0" fontId="14" fillId="7" borderId="65" xfId="4" applyFont="1" applyFill="1" applyBorder="1" applyAlignment="1">
      <alignment horizontal="center" vertical="center"/>
    </xf>
    <xf numFmtId="0" fontId="8" fillId="7" borderId="56" xfId="4" applyFont="1" applyFill="1" applyBorder="1" applyAlignment="1">
      <alignment horizontal="center" vertical="center" wrapText="1"/>
    </xf>
    <xf numFmtId="0" fontId="8" fillId="7" borderId="46" xfId="4" applyFont="1" applyFill="1" applyBorder="1" applyAlignment="1">
      <alignment horizontal="center" vertical="center" wrapText="1"/>
    </xf>
    <xf numFmtId="0" fontId="18" fillId="9" borderId="48" xfId="4" applyFont="1" applyFill="1" applyBorder="1" applyAlignment="1">
      <alignment horizontal="center" vertical="center"/>
    </xf>
    <xf numFmtId="0" fontId="18" fillId="9" borderId="45" xfId="4" applyFont="1" applyFill="1" applyBorder="1" applyAlignment="1">
      <alignment horizontal="center" vertical="center"/>
    </xf>
    <xf numFmtId="0" fontId="14" fillId="9" borderId="54" xfId="4" applyFont="1" applyFill="1" applyBorder="1" applyAlignment="1">
      <alignment horizontal="center" vertical="center"/>
    </xf>
    <xf numFmtId="0" fontId="13" fillId="9" borderId="51" xfId="4" applyFont="1" applyFill="1" applyBorder="1" applyAlignment="1">
      <alignment horizontal="center" vertical="center"/>
    </xf>
    <xf numFmtId="0" fontId="13" fillId="9" borderId="16" xfId="4" applyFont="1" applyFill="1" applyBorder="1" applyAlignment="1">
      <alignment horizontal="center" vertical="center"/>
    </xf>
    <xf numFmtId="0" fontId="13" fillId="9" borderId="57" xfId="4" applyFont="1" applyFill="1" applyBorder="1" applyAlignment="1">
      <alignment horizontal="center" vertical="center"/>
    </xf>
    <xf numFmtId="0" fontId="10" fillId="9" borderId="54" xfId="4" quotePrefix="1" applyFont="1" applyFill="1" applyBorder="1" applyAlignment="1">
      <alignment horizontal="center" vertical="center"/>
    </xf>
    <xf numFmtId="0" fontId="14" fillId="7" borderId="54" xfId="4" applyFont="1" applyFill="1" applyBorder="1" applyAlignment="1">
      <alignment horizontal="center" vertical="center"/>
    </xf>
    <xf numFmtId="164" fontId="15" fillId="9" borderId="13" xfId="8" applyNumberFormat="1" applyFont="1" applyFill="1" applyBorder="1" applyAlignment="1">
      <alignment horizontal="center" vertical="center"/>
    </xf>
    <xf numFmtId="164" fontId="15" fillId="9" borderId="44" xfId="8" applyNumberFormat="1" applyFont="1" applyFill="1" applyBorder="1" applyAlignment="1">
      <alignment horizontal="center" vertical="center"/>
    </xf>
    <xf numFmtId="164" fontId="15" fillId="9" borderId="13" xfId="8" quotePrefix="1" applyNumberFormat="1" applyFont="1" applyFill="1" applyBorder="1" applyAlignment="1">
      <alignment horizontal="center" vertical="center"/>
    </xf>
    <xf numFmtId="164" fontId="15" fillId="9" borderId="58" xfId="8" quotePrefix="1" applyNumberFormat="1" applyFont="1" applyFill="1" applyBorder="1" applyAlignment="1">
      <alignment horizontal="center" vertical="center"/>
    </xf>
    <xf numFmtId="0" fontId="5" fillId="7" borderId="18" xfId="4" applyFont="1" applyFill="1" applyBorder="1" applyAlignment="1">
      <alignment horizontal="left" vertical="center" wrapText="1"/>
    </xf>
    <xf numFmtId="0" fontId="6" fillId="7" borderId="19" xfId="4" applyFont="1" applyFill="1" applyBorder="1" applyAlignment="1">
      <alignment horizontal="left" vertical="center" wrapText="1"/>
    </xf>
    <xf numFmtId="0" fontId="6" fillId="7" borderId="3" xfId="4" applyFont="1" applyFill="1" applyBorder="1" applyAlignment="1">
      <alignment horizontal="left" vertical="center" wrapText="1"/>
    </xf>
    <xf numFmtId="0" fontId="6" fillId="7" borderId="4" xfId="4" applyFont="1" applyFill="1" applyBorder="1" applyAlignment="1">
      <alignment horizontal="left" vertical="center" wrapText="1"/>
    </xf>
    <xf numFmtId="0" fontId="13" fillId="7" borderId="18" xfId="4" applyFont="1" applyFill="1" applyBorder="1" applyAlignment="1">
      <alignment horizontal="center" vertical="center" wrapText="1"/>
    </xf>
    <xf numFmtId="0" fontId="13" fillId="7" borderId="19" xfId="4" applyFont="1" applyFill="1" applyBorder="1" applyAlignment="1">
      <alignment horizontal="center" vertical="center" wrapText="1"/>
    </xf>
    <xf numFmtId="0" fontId="13" fillId="7" borderId="20" xfId="4" applyFont="1" applyFill="1" applyBorder="1" applyAlignment="1">
      <alignment horizontal="center" vertical="center" wrapText="1"/>
    </xf>
    <xf numFmtId="0" fontId="13" fillId="7" borderId="3" xfId="4" applyFont="1" applyFill="1" applyBorder="1" applyAlignment="1">
      <alignment horizontal="center" vertical="center" wrapText="1"/>
    </xf>
    <xf numFmtId="0" fontId="13" fillId="7" borderId="4" xfId="4" applyFont="1" applyFill="1" applyBorder="1" applyAlignment="1">
      <alignment horizontal="center" vertical="center" wrapText="1"/>
    </xf>
    <xf numFmtId="0" fontId="13" fillId="7" borderId="5" xfId="4" applyFont="1" applyFill="1" applyBorder="1" applyAlignment="1">
      <alignment horizontal="center" vertical="center" wrapText="1"/>
    </xf>
    <xf numFmtId="0" fontId="13" fillId="7" borderId="21" xfId="4" applyFont="1" applyFill="1" applyBorder="1" applyAlignment="1">
      <alignment horizontal="center" vertical="center"/>
    </xf>
    <xf numFmtId="0" fontId="13" fillId="7" borderId="22" xfId="4" applyFont="1" applyFill="1" applyBorder="1" applyAlignment="1">
      <alignment horizontal="center" vertical="center"/>
    </xf>
    <xf numFmtId="0" fontId="13" fillId="7" borderId="23" xfId="4" applyFont="1" applyFill="1" applyBorder="1" applyAlignment="1">
      <alignment horizontal="center" vertical="center"/>
    </xf>
    <xf numFmtId="0" fontId="10" fillId="7" borderId="51" xfId="4" applyFont="1" applyFill="1" applyBorder="1" applyAlignment="1">
      <alignment horizontal="center" vertical="center"/>
    </xf>
    <xf numFmtId="0" fontId="10" fillId="7" borderId="16" xfId="4" applyFont="1" applyFill="1" applyBorder="1" applyAlignment="1">
      <alignment horizontal="center" vertical="center"/>
    </xf>
    <xf numFmtId="0" fontId="10" fillId="7" borderId="17" xfId="4" applyFont="1" applyFill="1" applyBorder="1" applyAlignment="1">
      <alignment horizontal="center" vertical="center"/>
    </xf>
    <xf numFmtId="0" fontId="14" fillId="0" borderId="16" xfId="4" applyFont="1" applyBorder="1" applyAlignment="1">
      <alignment horizontal="left" vertical="center" wrapText="1"/>
    </xf>
    <xf numFmtId="0" fontId="14" fillId="0" borderId="57" xfId="4" applyFont="1" applyBorder="1" applyAlignment="1">
      <alignment horizontal="left" vertical="center" wrapText="1"/>
    </xf>
    <xf numFmtId="0" fontId="14" fillId="0" borderId="13" xfId="4" applyFont="1" applyBorder="1" applyAlignment="1">
      <alignment horizontal="left" vertical="center" wrapText="1"/>
    </xf>
    <xf numFmtId="0" fontId="14" fillId="0" borderId="58" xfId="4" applyFont="1" applyBorder="1" applyAlignment="1">
      <alignment horizontal="left" vertical="center" wrapText="1"/>
    </xf>
    <xf numFmtId="166" fontId="9" fillId="13" borderId="44" xfId="8" applyNumberFormat="1" applyFont="1" applyFill="1" applyBorder="1" applyAlignment="1">
      <alignment horizontal="center" vertical="center"/>
    </xf>
    <xf numFmtId="166" fontId="9" fillId="13" borderId="13" xfId="8" applyNumberFormat="1" applyFont="1" applyFill="1" applyBorder="1" applyAlignment="1">
      <alignment horizontal="center" vertical="center"/>
    </xf>
    <xf numFmtId="166" fontId="9" fillId="13" borderId="58" xfId="8" applyNumberFormat="1" applyFont="1" applyFill="1" applyBorder="1" applyAlignment="1">
      <alignment horizontal="center" vertical="center"/>
    </xf>
    <xf numFmtId="0" fontId="11" fillId="7" borderId="21" xfId="4" applyFont="1" applyFill="1" applyBorder="1" applyAlignment="1">
      <alignment horizontal="center" vertical="center"/>
    </xf>
    <xf numFmtId="0" fontId="11" fillId="7" borderId="22" xfId="4" applyFont="1" applyFill="1" applyBorder="1" applyAlignment="1">
      <alignment horizontal="center" vertical="center"/>
    </xf>
    <xf numFmtId="0" fontId="11" fillId="7" borderId="23" xfId="4" applyFont="1" applyFill="1" applyBorder="1" applyAlignment="1">
      <alignment horizontal="center" vertical="center"/>
    </xf>
    <xf numFmtId="0" fontId="11" fillId="7" borderId="21" xfId="4" applyFont="1" applyFill="1" applyBorder="1" applyAlignment="1">
      <alignment horizontal="left" vertical="center"/>
    </xf>
    <xf numFmtId="0" fontId="11" fillId="7" borderId="22" xfId="4" applyFont="1" applyFill="1" applyBorder="1" applyAlignment="1">
      <alignment horizontal="left" vertical="center"/>
    </xf>
    <xf numFmtId="0" fontId="11" fillId="7" borderId="23" xfId="4" applyFont="1" applyFill="1" applyBorder="1" applyAlignment="1">
      <alignment horizontal="left" vertical="center"/>
    </xf>
    <xf numFmtId="164" fontId="9" fillId="12" borderId="44" xfId="8" applyNumberFormat="1" applyFont="1" applyFill="1" applyBorder="1" applyAlignment="1">
      <alignment horizontal="center" vertical="center"/>
    </xf>
    <xf numFmtId="164" fontId="9" fillId="12" borderId="13" xfId="8" applyNumberFormat="1" applyFont="1" applyFill="1" applyBorder="1" applyAlignment="1">
      <alignment horizontal="center" vertical="center"/>
    </xf>
    <xf numFmtId="164" fontId="9" fillId="12" borderId="14" xfId="8" applyNumberFormat="1" applyFont="1" applyFill="1" applyBorder="1" applyAlignment="1">
      <alignment horizontal="center" vertical="center"/>
    </xf>
    <xf numFmtId="0" fontId="10" fillId="12" borderId="54" xfId="4" applyFont="1" applyFill="1" applyBorder="1" applyAlignment="1">
      <alignment horizontal="center" vertical="center"/>
    </xf>
    <xf numFmtId="0" fontId="10" fillId="12" borderId="67" xfId="4" applyFont="1" applyFill="1" applyBorder="1" applyAlignment="1">
      <alignment horizontal="center" vertical="center"/>
    </xf>
    <xf numFmtId="0" fontId="8" fillId="7" borderId="28" xfId="4" applyFont="1" applyFill="1" applyBorder="1" applyAlignment="1">
      <alignment horizontal="center" vertical="center" wrapText="1"/>
    </xf>
    <xf numFmtId="0" fontId="8" fillId="7" borderId="44" xfId="4" applyFont="1" applyFill="1" applyBorder="1" applyAlignment="1">
      <alignment horizontal="center" vertical="center" wrapText="1"/>
    </xf>
    <xf numFmtId="0" fontId="8" fillId="7" borderId="13" xfId="4" applyFont="1" applyFill="1" applyBorder="1" applyAlignment="1">
      <alignment horizontal="center" vertical="center" wrapText="1"/>
    </xf>
    <xf numFmtId="0" fontId="8" fillId="7" borderId="58" xfId="4" applyFont="1" applyFill="1" applyBorder="1" applyAlignment="1">
      <alignment horizontal="center" vertical="center" wrapText="1"/>
    </xf>
    <xf numFmtId="0" fontId="8" fillId="7" borderId="47" xfId="4" applyFont="1" applyFill="1" applyBorder="1" applyAlignment="1">
      <alignment horizontal="center" vertical="center" wrapText="1"/>
    </xf>
    <xf numFmtId="0" fontId="8" fillId="7" borderId="49" xfId="4" applyFont="1" applyFill="1" applyBorder="1" applyAlignment="1">
      <alignment horizontal="center" vertical="center" wrapText="1"/>
    </xf>
    <xf numFmtId="0" fontId="8" fillId="7" borderId="60" xfId="4" applyFont="1" applyFill="1" applyBorder="1" applyAlignment="1">
      <alignment horizontal="center" vertical="center" wrapText="1"/>
    </xf>
    <xf numFmtId="0" fontId="8" fillId="7" borderId="47" xfId="4" applyFont="1" applyFill="1" applyBorder="1" applyAlignment="1">
      <alignment horizontal="center" vertical="center"/>
    </xf>
    <xf numFmtId="0" fontId="8" fillId="7" borderId="49" xfId="4" applyFont="1" applyFill="1" applyBorder="1" applyAlignment="1">
      <alignment horizontal="center" vertical="center"/>
    </xf>
    <xf numFmtId="0" fontId="8" fillId="7" borderId="60" xfId="4" applyFont="1" applyFill="1" applyBorder="1" applyAlignment="1">
      <alignment horizontal="center" vertical="center"/>
    </xf>
    <xf numFmtId="0" fontId="8" fillId="7" borderId="28" xfId="4" applyFont="1" applyFill="1" applyBorder="1" applyAlignment="1">
      <alignment horizontal="center" vertical="center"/>
    </xf>
    <xf numFmtId="0" fontId="8" fillId="7" borderId="0" xfId="4" applyFont="1" applyFill="1" applyAlignment="1">
      <alignment horizontal="center" vertical="center"/>
    </xf>
    <xf numFmtId="0" fontId="8" fillId="7" borderId="59" xfId="4" applyFont="1" applyFill="1" applyBorder="1" applyAlignment="1">
      <alignment horizontal="center" vertical="center"/>
    </xf>
    <xf numFmtId="0" fontId="10" fillId="7" borderId="47" xfId="4" applyFont="1" applyFill="1" applyBorder="1" applyAlignment="1">
      <alignment horizontal="center" vertical="center"/>
    </xf>
    <xf numFmtId="0" fontId="10" fillId="7" borderId="49" xfId="4" applyFont="1" applyFill="1" applyBorder="1" applyAlignment="1">
      <alignment horizontal="center" vertical="center"/>
    </xf>
    <xf numFmtId="0" fontId="10" fillId="7" borderId="66" xfId="4" applyFont="1" applyFill="1" applyBorder="1" applyAlignment="1">
      <alignment horizontal="center" vertical="center"/>
    </xf>
    <xf numFmtId="164" fontId="15" fillId="5" borderId="51" xfId="5" applyNumberFormat="1" applyFont="1" applyFill="1" applyBorder="1" applyAlignment="1">
      <alignment horizontal="center" vertical="center"/>
    </xf>
    <xf numFmtId="164" fontId="15" fillId="5" borderId="16" xfId="5" applyNumberFormat="1" applyFont="1" applyFill="1" applyBorder="1" applyAlignment="1">
      <alignment horizontal="center" vertical="center"/>
    </xf>
    <xf numFmtId="164" fontId="15" fillId="5" borderId="17" xfId="5" applyNumberFormat="1" applyFont="1" applyFill="1" applyBorder="1" applyAlignment="1">
      <alignment horizontal="center" vertical="center"/>
    </xf>
    <xf numFmtId="164" fontId="15" fillId="5" borderId="44" xfId="5" applyNumberFormat="1" applyFont="1" applyFill="1" applyBorder="1" applyAlignment="1">
      <alignment horizontal="center" vertical="center"/>
    </xf>
    <xf numFmtId="164" fontId="15" fillId="5" borderId="13" xfId="5" applyNumberFormat="1" applyFont="1" applyFill="1" applyBorder="1" applyAlignment="1">
      <alignment horizontal="center" vertical="center"/>
    </xf>
    <xf numFmtId="164" fontId="15" fillId="5" borderId="14" xfId="5" applyNumberFormat="1" applyFont="1" applyFill="1" applyBorder="1" applyAlignment="1">
      <alignment horizontal="center" vertical="center"/>
    </xf>
    <xf numFmtId="0" fontId="11" fillId="7" borderId="51" xfId="4" applyFont="1" applyFill="1" applyBorder="1" applyAlignment="1">
      <alignment horizontal="center" vertical="center"/>
    </xf>
    <xf numFmtId="0" fontId="11" fillId="7" borderId="16" xfId="4" applyFont="1" applyFill="1" applyBorder="1" applyAlignment="1">
      <alignment horizontal="center" vertical="center"/>
    </xf>
    <xf numFmtId="0" fontId="11" fillId="7" borderId="17" xfId="4" applyFont="1" applyFill="1" applyBorder="1" applyAlignment="1">
      <alignment horizontal="center" vertical="center"/>
    </xf>
    <xf numFmtId="164" fontId="15" fillId="5" borderId="47" xfId="5" applyNumberFormat="1" applyFont="1" applyFill="1" applyBorder="1" applyAlignment="1">
      <alignment horizontal="center" vertical="center"/>
    </xf>
    <xf numFmtId="164" fontId="15" fillId="5" borderId="49" xfId="5" applyNumberFormat="1" applyFont="1" applyFill="1" applyBorder="1" applyAlignment="1">
      <alignment horizontal="center" vertical="center"/>
    </xf>
    <xf numFmtId="164" fontId="15" fillId="5" borderId="66" xfId="5" applyNumberFormat="1" applyFont="1" applyFill="1" applyBorder="1" applyAlignment="1">
      <alignment horizontal="center" vertical="center"/>
    </xf>
    <xf numFmtId="164" fontId="9" fillId="5" borderId="42" xfId="5" applyNumberFormat="1" applyFont="1" applyFill="1" applyBorder="1" applyAlignment="1">
      <alignment horizontal="center" vertical="center"/>
    </xf>
    <xf numFmtId="164" fontId="9" fillId="5" borderId="10" xfId="5" applyNumberFormat="1" applyFont="1" applyFill="1" applyBorder="1" applyAlignment="1">
      <alignment horizontal="center" vertical="center"/>
    </xf>
    <xf numFmtId="164" fontId="9" fillId="5" borderId="43" xfId="5" applyNumberFormat="1" applyFont="1" applyFill="1" applyBorder="1" applyAlignment="1">
      <alignment horizontal="center" vertical="center"/>
    </xf>
    <xf numFmtId="164" fontId="9" fillId="0" borderId="54" xfId="5" applyNumberFormat="1" applyFont="1" applyBorder="1" applyAlignment="1">
      <alignment horizontal="center" vertical="center"/>
    </xf>
    <xf numFmtId="164" fontId="9" fillId="0" borderId="51" xfId="5" applyNumberFormat="1" applyFont="1" applyBorder="1" applyAlignment="1">
      <alignment horizontal="center" vertical="center"/>
    </xf>
    <xf numFmtId="164" fontId="9" fillId="0" borderId="16" xfId="5" applyNumberFormat="1" applyFont="1" applyBorder="1" applyAlignment="1">
      <alignment horizontal="center" vertical="center"/>
    </xf>
    <xf numFmtId="164" fontId="9" fillId="0" borderId="57" xfId="5" applyNumberFormat="1" applyFont="1" applyBorder="1" applyAlignment="1">
      <alignment horizontal="center" vertical="center"/>
    </xf>
    <xf numFmtId="164" fontId="9" fillId="0" borderId="17" xfId="5" applyNumberFormat="1" applyFont="1" applyBorder="1" applyAlignment="1">
      <alignment horizontal="center" vertical="center"/>
    </xf>
    <xf numFmtId="49" fontId="8" fillId="7" borderId="47" xfId="4" applyNumberFormat="1" applyFont="1" applyFill="1" applyBorder="1" applyAlignment="1">
      <alignment horizontal="center" vertical="center" wrapText="1"/>
    </xf>
    <xf numFmtId="49" fontId="8" fillId="7" borderId="49" xfId="4" applyNumberFormat="1" applyFont="1" applyFill="1" applyBorder="1" applyAlignment="1">
      <alignment horizontal="center" vertical="center" wrapText="1"/>
    </xf>
    <xf numFmtId="49" fontId="8" fillId="7" borderId="60" xfId="4" applyNumberFormat="1" applyFont="1" applyFill="1" applyBorder="1" applyAlignment="1">
      <alignment horizontal="center" vertical="center" wrapText="1"/>
    </xf>
    <xf numFmtId="49" fontId="8" fillId="7" borderId="44" xfId="4" applyNumberFormat="1" applyFont="1" applyFill="1" applyBorder="1" applyAlignment="1">
      <alignment horizontal="center" vertical="center" wrapText="1"/>
    </xf>
    <xf numFmtId="49" fontId="8" fillId="7" borderId="13" xfId="4" applyNumberFormat="1" applyFont="1" applyFill="1" applyBorder="1" applyAlignment="1">
      <alignment horizontal="center" vertical="center" wrapText="1"/>
    </xf>
    <xf numFmtId="49" fontId="8" fillId="7" borderId="58" xfId="4" applyNumberFormat="1" applyFont="1" applyFill="1" applyBorder="1" applyAlignment="1">
      <alignment horizontal="center" vertical="center" wrapText="1"/>
    </xf>
    <xf numFmtId="164" fontId="9" fillId="0" borderId="45" xfId="5" applyNumberFormat="1" applyFont="1" applyBorder="1" applyAlignment="1">
      <alignment horizontal="center" vertical="center"/>
    </xf>
    <xf numFmtId="164" fontId="9" fillId="0" borderId="27" xfId="5" applyNumberFormat="1" applyFont="1" applyBorder="1" applyAlignment="1">
      <alignment horizontal="center" vertical="center"/>
    </xf>
    <xf numFmtId="164" fontId="9" fillId="0" borderId="19" xfId="5" applyNumberFormat="1" applyFont="1" applyBorder="1" applyAlignment="1">
      <alignment horizontal="center" vertical="center"/>
    </xf>
    <xf numFmtId="164" fontId="9" fillId="0" borderId="70" xfId="5" applyNumberFormat="1" applyFont="1" applyBorder="1" applyAlignment="1">
      <alignment horizontal="center" vertical="center"/>
    </xf>
    <xf numFmtId="164" fontId="9" fillId="0" borderId="42" xfId="5" applyNumberFormat="1" applyFont="1" applyBorder="1" applyAlignment="1">
      <alignment horizontal="center" vertical="center"/>
    </xf>
    <xf numFmtId="164" fontId="9" fillId="0" borderId="10" xfId="5" applyNumberFormat="1" applyFont="1" applyBorder="1" applyAlignment="1">
      <alignment horizontal="center" vertical="center"/>
    </xf>
    <xf numFmtId="164" fontId="9" fillId="0" borderId="11" xfId="5" applyNumberFormat="1" applyFont="1" applyBorder="1" applyAlignment="1">
      <alignment horizontal="center" vertical="center"/>
    </xf>
    <xf numFmtId="0" fontId="14" fillId="7" borderId="48" xfId="4" applyFont="1" applyFill="1" applyBorder="1" applyAlignment="1">
      <alignment horizontal="center" vertical="center"/>
    </xf>
    <xf numFmtId="0" fontId="14" fillId="7" borderId="45" xfId="4" applyFont="1" applyFill="1" applyBorder="1" applyAlignment="1">
      <alignment horizontal="center" vertical="center"/>
    </xf>
    <xf numFmtId="0" fontId="14" fillId="9" borderId="51" xfId="4" applyFont="1" applyFill="1" applyBorder="1" applyAlignment="1">
      <alignment horizontal="center" vertical="center"/>
    </xf>
    <xf numFmtId="0" fontId="14" fillId="9" borderId="16" xfId="4" applyFont="1" applyFill="1" applyBorder="1" applyAlignment="1">
      <alignment horizontal="center" vertical="center"/>
    </xf>
    <xf numFmtId="0" fontId="14" fillId="9" borderId="57" xfId="4" applyFont="1" applyFill="1" applyBorder="1" applyAlignment="1">
      <alignment horizontal="center" vertical="center"/>
    </xf>
    <xf numFmtId="164" fontId="12" fillId="0" borderId="52" xfId="5" applyNumberFormat="1" applyFont="1" applyBorder="1" applyAlignment="1">
      <alignment horizontal="center" vertical="center"/>
    </xf>
    <xf numFmtId="164" fontId="12" fillId="0" borderId="22" xfId="5" applyNumberFormat="1" applyFont="1" applyBorder="1" applyAlignment="1">
      <alignment horizontal="center" vertical="center"/>
    </xf>
    <xf numFmtId="164" fontId="12" fillId="0" borderId="55" xfId="5" applyNumberFormat="1" applyFont="1" applyBorder="1" applyAlignment="1">
      <alignment horizontal="center" vertical="center"/>
    </xf>
    <xf numFmtId="164" fontId="9" fillId="0" borderId="38" xfId="5" applyNumberFormat="1" applyFont="1" applyBorder="1" applyAlignment="1">
      <alignment horizontal="center" vertical="center"/>
    </xf>
    <xf numFmtId="164" fontId="9" fillId="0" borderId="32" xfId="5" applyNumberFormat="1" applyFont="1" applyBorder="1" applyAlignment="1">
      <alignment horizontal="center" vertical="center"/>
    </xf>
    <xf numFmtId="164" fontId="9" fillId="0" borderId="40" xfId="5" applyNumberFormat="1" applyFont="1" applyBorder="1" applyAlignment="1">
      <alignment horizontal="center" vertical="center"/>
    </xf>
    <xf numFmtId="164" fontId="9" fillId="0" borderId="44" xfId="5" applyNumberFormat="1" applyFont="1" applyBorder="1" applyAlignment="1">
      <alignment horizontal="center" vertical="center"/>
    </xf>
    <xf numFmtId="164" fontId="9" fillId="0" borderId="13" xfId="5" applyNumberFormat="1" applyFont="1" applyBorder="1" applyAlignment="1">
      <alignment horizontal="center" vertical="center"/>
    </xf>
    <xf numFmtId="164" fontId="9" fillId="0" borderId="58" xfId="5" applyNumberFormat="1" applyFont="1" applyBorder="1" applyAlignment="1">
      <alignment horizontal="center" vertical="center"/>
    </xf>
    <xf numFmtId="49" fontId="8" fillId="7" borderId="27" xfId="4" applyNumberFormat="1" applyFont="1" applyFill="1" applyBorder="1" applyAlignment="1">
      <alignment horizontal="center" vertical="center" wrapText="1"/>
    </xf>
    <xf numFmtId="49" fontId="8" fillId="7" borderId="19" xfId="4" applyNumberFormat="1" applyFont="1" applyFill="1" applyBorder="1" applyAlignment="1">
      <alignment horizontal="center" vertical="center" wrapText="1"/>
    </xf>
    <xf numFmtId="49" fontId="8" fillId="7" borderId="20" xfId="4" applyNumberFormat="1" applyFont="1" applyFill="1" applyBorder="1" applyAlignment="1">
      <alignment horizontal="center" vertical="center" wrapText="1"/>
    </xf>
    <xf numFmtId="49" fontId="8" fillId="7" borderId="14" xfId="4" applyNumberFormat="1" applyFont="1" applyFill="1" applyBorder="1" applyAlignment="1">
      <alignment horizontal="center" vertical="center" wrapText="1"/>
    </xf>
    <xf numFmtId="49" fontId="10" fillId="7" borderId="47" xfId="4" applyNumberFormat="1" applyFont="1" applyFill="1" applyBorder="1" applyAlignment="1">
      <alignment horizontal="center" vertical="center" wrapText="1"/>
    </xf>
    <xf numFmtId="49" fontId="10" fillId="7" borderId="49" xfId="4" applyNumberFormat="1" applyFont="1" applyFill="1" applyBorder="1" applyAlignment="1">
      <alignment horizontal="center" vertical="center" wrapText="1"/>
    </xf>
    <xf numFmtId="49" fontId="10" fillId="7" borderId="66" xfId="4" applyNumberFormat="1" applyFont="1" applyFill="1" applyBorder="1" applyAlignment="1">
      <alignment horizontal="center" vertical="center" wrapText="1"/>
    </xf>
    <xf numFmtId="49" fontId="10" fillId="7" borderId="28" xfId="4" applyNumberFormat="1" applyFont="1" applyFill="1" applyBorder="1" applyAlignment="1">
      <alignment horizontal="center" vertical="center" wrapText="1"/>
    </xf>
    <xf numFmtId="49" fontId="10" fillId="7" borderId="0" xfId="4" applyNumberFormat="1" applyFont="1" applyFill="1" applyAlignment="1">
      <alignment horizontal="center" vertical="center" wrapText="1"/>
    </xf>
    <xf numFmtId="49" fontId="10" fillId="7" borderId="2" xfId="4" applyNumberFormat="1" applyFont="1" applyFill="1" applyBorder="1" applyAlignment="1">
      <alignment horizontal="center" vertical="center" wrapText="1"/>
    </xf>
    <xf numFmtId="49" fontId="10" fillId="7" borderId="30" xfId="4" applyNumberFormat="1" applyFont="1" applyFill="1" applyBorder="1" applyAlignment="1">
      <alignment horizontal="center" vertical="center" wrapText="1"/>
    </xf>
    <xf numFmtId="49" fontId="10" fillId="7" borderId="4" xfId="4" applyNumberFormat="1" applyFont="1" applyFill="1" applyBorder="1" applyAlignment="1">
      <alignment horizontal="center" vertical="center" wrapText="1"/>
    </xf>
    <xf numFmtId="49" fontId="10" fillId="7" borderId="5" xfId="4" applyNumberFormat="1" applyFont="1" applyFill="1" applyBorder="1" applyAlignment="1">
      <alignment horizontal="center" vertical="center" wrapText="1"/>
    </xf>
    <xf numFmtId="164" fontId="9" fillId="0" borderId="43" xfId="5" applyNumberFormat="1" applyFont="1" applyBorder="1" applyAlignment="1">
      <alignment horizontal="center" vertical="center"/>
    </xf>
    <xf numFmtId="170" fontId="10" fillId="5" borderId="51" xfId="1" applyNumberFormat="1" applyFont="1" applyFill="1" applyBorder="1" applyAlignment="1">
      <alignment horizontal="center" vertical="center"/>
    </xf>
    <xf numFmtId="170" fontId="10" fillId="5" borderId="16" xfId="1" applyNumberFormat="1" applyFont="1" applyFill="1" applyBorder="1" applyAlignment="1">
      <alignment horizontal="center" vertical="center"/>
    </xf>
    <xf numFmtId="170" fontId="10" fillId="5" borderId="57" xfId="1" applyNumberFormat="1" applyFont="1" applyFill="1" applyBorder="1" applyAlignment="1">
      <alignment horizontal="center" vertical="center"/>
    </xf>
    <xf numFmtId="0" fontId="4" fillId="0" borderId="51" xfId="4" applyBorder="1" applyAlignment="1">
      <alignment horizontal="right" vertical="center"/>
    </xf>
    <xf numFmtId="0" fontId="4" fillId="0" borderId="16" xfId="4" applyBorder="1" applyAlignment="1">
      <alignment horizontal="right" vertical="center"/>
    </xf>
    <xf numFmtId="0" fontId="4" fillId="0" borderId="57" xfId="4" applyBorder="1" applyAlignment="1">
      <alignment horizontal="right" vertical="center"/>
    </xf>
    <xf numFmtId="0" fontId="4" fillId="0" borderId="15" xfId="4" applyBorder="1" applyAlignment="1">
      <alignment horizontal="right" vertical="center"/>
    </xf>
    <xf numFmtId="0" fontId="11" fillId="0" borderId="51" xfId="4" applyFont="1" applyBorder="1" applyAlignment="1">
      <alignment horizontal="center" vertical="top" wrapText="1"/>
    </xf>
    <xf numFmtId="0" fontId="11" fillId="0" borderId="16" xfId="4" applyFont="1" applyBorder="1" applyAlignment="1">
      <alignment horizontal="center" vertical="top" wrapText="1"/>
    </xf>
    <xf numFmtId="0" fontId="11" fillId="0" borderId="57" xfId="4" applyFont="1" applyBorder="1" applyAlignment="1">
      <alignment horizontal="center" vertical="top" wrapText="1"/>
    </xf>
    <xf numFmtId="164" fontId="12" fillId="0" borderId="51" xfId="5" applyNumberFormat="1" applyFont="1" applyBorder="1" applyAlignment="1">
      <alignment horizontal="center" vertical="center"/>
    </xf>
    <xf numFmtId="164" fontId="12" fillId="0" borderId="16" xfId="5" applyNumberFormat="1" applyFont="1" applyBorder="1" applyAlignment="1">
      <alignment horizontal="center" vertical="center"/>
    </xf>
    <xf numFmtId="164" fontId="12" fillId="0" borderId="17" xfId="5" applyNumberFormat="1" applyFont="1" applyBorder="1" applyAlignment="1">
      <alignment horizontal="center" vertical="center"/>
    </xf>
    <xf numFmtId="164" fontId="9" fillId="0" borderId="51" xfId="5" quotePrefix="1" applyNumberFormat="1" applyFont="1" applyBorder="1" applyAlignment="1">
      <alignment horizontal="center" vertical="center"/>
    </xf>
    <xf numFmtId="164" fontId="12" fillId="0" borderId="57" xfId="5" applyNumberFormat="1" applyFont="1" applyBorder="1" applyAlignment="1">
      <alignment horizontal="center" vertical="center"/>
    </xf>
    <xf numFmtId="164" fontId="9" fillId="5" borderId="51" xfId="5" applyNumberFormat="1" applyFont="1" applyFill="1" applyBorder="1" applyAlignment="1">
      <alignment horizontal="center" vertical="center"/>
    </xf>
    <xf numFmtId="164" fontId="9" fillId="5" borderId="16" xfId="5" applyNumberFormat="1" applyFont="1" applyFill="1" applyBorder="1" applyAlignment="1">
      <alignment horizontal="center" vertical="center"/>
    </xf>
    <xf numFmtId="164" fontId="9" fillId="5" borderId="17" xfId="5" applyNumberFormat="1" applyFont="1" applyFill="1" applyBorder="1" applyAlignment="1">
      <alignment horizontal="center" vertical="center"/>
    </xf>
    <xf numFmtId="0" fontId="11" fillId="7" borderId="18" xfId="4" applyFont="1" applyFill="1" applyBorder="1" applyAlignment="1">
      <alignment horizontal="center" vertical="center"/>
    </xf>
    <xf numFmtId="0" fontId="11" fillId="7" borderId="19" xfId="4" applyFont="1" applyFill="1" applyBorder="1" applyAlignment="1">
      <alignment horizontal="center" vertical="center"/>
    </xf>
    <xf numFmtId="0" fontId="11" fillId="7" borderId="20" xfId="4" applyFont="1" applyFill="1" applyBorder="1" applyAlignment="1">
      <alignment horizontal="center" vertical="center"/>
    </xf>
    <xf numFmtId="164" fontId="12" fillId="0" borderId="23" xfId="5" applyNumberFormat="1" applyFont="1" applyBorder="1" applyAlignment="1">
      <alignment horizontal="center" vertical="center"/>
    </xf>
    <xf numFmtId="0" fontId="14" fillId="0" borderId="47" xfId="4" applyFont="1" applyBorder="1" applyAlignment="1">
      <alignment horizontal="center" vertical="center" wrapText="1"/>
    </xf>
    <xf numFmtId="0" fontId="14" fillId="0" borderId="49" xfId="4" applyFont="1" applyBorder="1" applyAlignment="1">
      <alignment horizontal="center" vertical="center" wrapText="1"/>
    </xf>
    <xf numFmtId="0" fontId="14" fillId="0" borderId="60" xfId="4" applyFont="1" applyBorder="1" applyAlignment="1">
      <alignment horizontal="center" vertical="center" wrapText="1"/>
    </xf>
    <xf numFmtId="0" fontId="14" fillId="0" borderId="28" xfId="4" applyFont="1" applyBorder="1" applyAlignment="1">
      <alignment horizontal="center" vertical="center" wrapText="1"/>
    </xf>
    <xf numFmtId="0" fontId="14" fillId="0" borderId="0" xfId="4" applyFont="1" applyAlignment="1">
      <alignment horizontal="center" vertical="center" wrapText="1"/>
    </xf>
    <xf numFmtId="0" fontId="14" fillId="0" borderId="59" xfId="4" applyFont="1" applyBorder="1" applyAlignment="1">
      <alignment horizontal="center" vertical="center" wrapText="1"/>
    </xf>
    <xf numFmtId="0" fontId="14" fillId="0" borderId="44" xfId="4" applyFont="1" applyBorder="1" applyAlignment="1">
      <alignment horizontal="center" vertical="center" wrapText="1"/>
    </xf>
    <xf numFmtId="0" fontId="14" fillId="0" borderId="13" xfId="4" applyFont="1" applyBorder="1" applyAlignment="1">
      <alignment horizontal="center" vertical="center" wrapText="1"/>
    </xf>
    <xf numFmtId="0" fontId="14" fillId="0" borderId="58" xfId="4" applyFont="1" applyBorder="1" applyAlignment="1">
      <alignment horizontal="center" vertical="center" wrapText="1"/>
    </xf>
    <xf numFmtId="164" fontId="9" fillId="0" borderId="31" xfId="5" applyNumberFormat="1" applyFont="1" applyBorder="1" applyAlignment="1">
      <alignment horizontal="center" vertical="center"/>
    </xf>
    <xf numFmtId="0" fontId="8" fillId="0" borderId="43" xfId="4" applyFont="1" applyBorder="1" applyAlignment="1">
      <alignment horizontal="center" vertical="center"/>
    </xf>
    <xf numFmtId="49" fontId="9" fillId="0" borderId="16" xfId="4" applyNumberFormat="1" applyFont="1" applyBorder="1" applyAlignment="1">
      <alignment horizontal="center" vertical="center"/>
    </xf>
    <xf numFmtId="0" fontId="9" fillId="0" borderId="16" xfId="4" applyFont="1" applyBorder="1" applyAlignment="1">
      <alignment horizontal="center" vertical="center"/>
    </xf>
    <xf numFmtId="0" fontId="8" fillId="0" borderId="18" xfId="4" applyFont="1" applyBorder="1" applyAlignment="1">
      <alignment horizontal="center" vertical="center"/>
    </xf>
    <xf numFmtId="0" fontId="8" fillId="0" borderId="19" xfId="4" applyFont="1" applyBorder="1" applyAlignment="1">
      <alignment horizontal="center" vertical="center"/>
    </xf>
    <xf numFmtId="0" fontId="8" fillId="0" borderId="20" xfId="4" applyFont="1" applyBorder="1" applyAlignment="1">
      <alignment horizontal="center" vertical="center"/>
    </xf>
    <xf numFmtId="49" fontId="9" fillId="0" borderId="15" xfId="4" applyNumberFormat="1" applyFont="1" applyBorder="1" applyAlignment="1">
      <alignment horizontal="center" vertical="center"/>
    </xf>
    <xf numFmtId="0" fontId="9" fillId="0" borderId="17" xfId="4" applyFont="1" applyBorder="1" applyAlignment="1">
      <alignment horizontal="center" vertical="center"/>
    </xf>
    <xf numFmtId="164" fontId="9" fillId="0" borderId="22" xfId="5" applyNumberFormat="1" applyFont="1" applyBorder="1" applyAlignment="1">
      <alignment horizontal="center" vertical="center"/>
    </xf>
    <xf numFmtId="164" fontId="9" fillId="0" borderId="23" xfId="5" applyNumberFormat="1" applyFont="1" applyBorder="1" applyAlignment="1">
      <alignment horizontal="center" vertical="center"/>
    </xf>
    <xf numFmtId="164" fontId="9" fillId="0" borderId="52" xfId="5" applyNumberFormat="1" applyFont="1" applyBorder="1" applyAlignment="1">
      <alignment horizontal="center" vertical="center"/>
    </xf>
    <xf numFmtId="0" fontId="11" fillId="0" borderId="21" xfId="4" applyFont="1" applyBorder="1" applyAlignment="1">
      <alignment horizontal="center" vertical="center" wrapText="1"/>
    </xf>
    <xf numFmtId="0" fontId="11" fillId="0" borderId="22" xfId="4" applyFont="1" applyBorder="1" applyAlignment="1">
      <alignment horizontal="center" vertical="center" wrapText="1"/>
    </xf>
    <xf numFmtId="0" fontId="11" fillId="0" borderId="23" xfId="4" applyFont="1" applyBorder="1" applyAlignment="1">
      <alignment horizontal="center" vertical="center" wrapText="1"/>
    </xf>
    <xf numFmtId="0" fontId="11" fillId="0" borderId="21" xfId="4" applyFont="1" applyBorder="1" applyAlignment="1">
      <alignment horizontal="center" vertical="center"/>
    </xf>
    <xf numFmtId="0" fontId="11" fillId="0" borderId="22" xfId="4" applyFont="1" applyBorder="1" applyAlignment="1">
      <alignment horizontal="center" vertical="center"/>
    </xf>
    <xf numFmtId="0" fontId="11" fillId="0" borderId="23" xfId="4" applyFont="1" applyBorder="1" applyAlignment="1">
      <alignment horizontal="center" vertical="center"/>
    </xf>
    <xf numFmtId="49" fontId="11" fillId="8" borderId="21" xfId="4" applyNumberFormat="1" applyFont="1" applyFill="1" applyBorder="1" applyAlignment="1">
      <alignment horizontal="center" vertical="center"/>
    </xf>
    <xf numFmtId="49" fontId="11" fillId="8" borderId="22" xfId="4" applyNumberFormat="1" applyFont="1" applyFill="1" applyBorder="1" applyAlignment="1">
      <alignment horizontal="center" vertical="center"/>
    </xf>
    <xf numFmtId="0" fontId="11" fillId="8" borderId="21" xfId="4" applyFont="1" applyFill="1" applyBorder="1" applyAlignment="1">
      <alignment horizontal="center" vertical="center"/>
    </xf>
    <xf numFmtId="0" fontId="11" fillId="8" borderId="22" xfId="4" applyFont="1" applyFill="1" applyBorder="1" applyAlignment="1">
      <alignment horizontal="center" vertical="center"/>
    </xf>
    <xf numFmtId="164" fontId="12" fillId="0" borderId="54" xfId="5" applyNumberFormat="1" applyFont="1" applyBorder="1" applyAlignment="1">
      <alignment horizontal="center" vertical="center"/>
    </xf>
    <xf numFmtId="164" fontId="12" fillId="0" borderId="67" xfId="5" applyNumberFormat="1" applyFont="1" applyBorder="1" applyAlignment="1">
      <alignment horizontal="center" vertical="center"/>
    </xf>
    <xf numFmtId="164" fontId="12" fillId="0" borderId="38" xfId="5" applyNumberFormat="1" applyFont="1" applyBorder="1" applyAlignment="1">
      <alignment horizontal="center" vertical="center"/>
    </xf>
    <xf numFmtId="164" fontId="12" fillId="0" borderId="32" xfId="5" applyNumberFormat="1" applyFont="1" applyBorder="1" applyAlignment="1">
      <alignment horizontal="center" vertical="center"/>
    </xf>
    <xf numFmtId="164" fontId="12" fillId="0" borderId="31" xfId="5" applyNumberFormat="1" applyFont="1" applyBorder="1" applyAlignment="1">
      <alignment horizontal="center" vertical="center"/>
    </xf>
    <xf numFmtId="0" fontId="14" fillId="0" borderId="50" xfId="4" applyFont="1" applyBorder="1" applyAlignment="1">
      <alignment horizontal="center" vertical="center" wrapText="1"/>
    </xf>
    <xf numFmtId="0" fontId="14" fillId="0" borderId="1" xfId="4" applyFont="1" applyBorder="1" applyAlignment="1">
      <alignment horizontal="center" vertical="center" wrapText="1"/>
    </xf>
    <xf numFmtId="0" fontId="14" fillId="0" borderId="12" xfId="4" applyFont="1" applyBorder="1" applyAlignment="1">
      <alignment horizontal="center" vertical="center" wrapText="1"/>
    </xf>
    <xf numFmtId="2" fontId="8" fillId="0" borderId="16" xfId="4" applyNumberFormat="1" applyFont="1" applyBorder="1" applyAlignment="1">
      <alignment horizontal="center" vertical="center" wrapText="1"/>
    </xf>
    <xf numFmtId="0" fontId="4" fillId="0" borderId="15" xfId="4" applyBorder="1" applyAlignment="1">
      <alignment horizontal="right" vertical="center" wrapText="1"/>
    </xf>
    <xf numFmtId="164" fontId="12" fillId="5" borderId="51" xfId="5" applyNumberFormat="1" applyFont="1" applyFill="1" applyBorder="1" applyAlignment="1">
      <alignment horizontal="center" vertical="center"/>
    </xf>
    <xf numFmtId="164" fontId="12" fillId="5" borderId="16" xfId="5" applyNumberFormat="1" applyFont="1" applyFill="1" applyBorder="1" applyAlignment="1">
      <alignment horizontal="center" vertical="center"/>
    </xf>
    <xf numFmtId="164" fontId="12" fillId="5" borderId="57" xfId="5" applyNumberFormat="1" applyFont="1" applyFill="1" applyBorder="1" applyAlignment="1">
      <alignment horizontal="center" vertical="center"/>
    </xf>
    <xf numFmtId="0" fontId="8" fillId="0" borderId="16" xfId="4" applyFont="1" applyBorder="1" applyAlignment="1">
      <alignment vertical="top"/>
    </xf>
    <xf numFmtId="0" fontId="8" fillId="0" borderId="57" xfId="4" applyFont="1" applyBorder="1" applyAlignment="1">
      <alignment vertical="top"/>
    </xf>
    <xf numFmtId="0" fontId="8" fillId="0" borderId="17" xfId="4" applyFont="1" applyBorder="1" applyAlignment="1">
      <alignment vertical="top"/>
    </xf>
    <xf numFmtId="0" fontId="11" fillId="0" borderId="15" xfId="4" applyFont="1" applyBorder="1" applyAlignment="1">
      <alignment horizontal="center" vertical="top" wrapText="1"/>
    </xf>
    <xf numFmtId="164" fontId="9" fillId="0" borderId="51" xfId="5" applyNumberFormat="1" applyFont="1" applyFill="1" applyBorder="1" applyAlignment="1">
      <alignment horizontal="center" vertical="center"/>
    </xf>
    <xf numFmtId="164" fontId="9" fillId="0" borderId="16" xfId="5" applyNumberFormat="1" applyFont="1" applyFill="1" applyBorder="1" applyAlignment="1">
      <alignment horizontal="center" vertical="center"/>
    </xf>
    <xf numFmtId="164" fontId="9" fillId="0" borderId="17" xfId="5" applyNumberFormat="1" applyFont="1" applyFill="1" applyBorder="1" applyAlignment="1">
      <alignment horizontal="center" vertical="center"/>
    </xf>
    <xf numFmtId="0" fontId="4" fillId="7" borderId="19" xfId="4" applyFill="1" applyBorder="1" applyAlignment="1">
      <alignment horizontal="left" vertical="center" wrapText="1"/>
    </xf>
    <xf numFmtId="0" fontId="4" fillId="7" borderId="3" xfId="4" applyFill="1" applyBorder="1" applyAlignment="1">
      <alignment horizontal="left" vertical="center" wrapText="1"/>
    </xf>
    <xf numFmtId="0" fontId="4" fillId="7" borderId="4" xfId="4" applyFill="1" applyBorder="1" applyAlignment="1">
      <alignment horizontal="left" vertical="center" wrapText="1"/>
    </xf>
    <xf numFmtId="164" fontId="15" fillId="9" borderId="13" xfId="5" applyNumberFormat="1" applyFont="1" applyFill="1" applyBorder="1" applyAlignment="1">
      <alignment horizontal="center" vertical="center"/>
    </xf>
    <xf numFmtId="164" fontId="15" fillId="9" borderId="14" xfId="5" applyNumberFormat="1" applyFont="1" applyFill="1" applyBorder="1" applyAlignment="1">
      <alignment horizontal="center" vertical="center"/>
    </xf>
    <xf numFmtId="0" fontId="10" fillId="9" borderId="54" xfId="4" applyFont="1" applyFill="1" applyBorder="1" applyAlignment="1">
      <alignment horizontal="center" vertical="center"/>
    </xf>
    <xf numFmtId="164" fontId="15" fillId="9" borderId="44" xfId="5" quotePrefix="1" applyNumberFormat="1" applyFont="1" applyFill="1" applyBorder="1" applyAlignment="1">
      <alignment horizontal="center" vertical="center"/>
    </xf>
    <xf numFmtId="164" fontId="15" fillId="9" borderId="13" xfId="5" quotePrefix="1" applyNumberFormat="1" applyFont="1" applyFill="1" applyBorder="1" applyAlignment="1">
      <alignment horizontal="center" vertical="center"/>
    </xf>
    <xf numFmtId="164" fontId="15" fillId="9" borderId="58" xfId="5" quotePrefix="1" applyNumberFormat="1" applyFont="1" applyFill="1" applyBorder="1" applyAlignment="1">
      <alignment horizontal="center" vertical="center"/>
    </xf>
    <xf numFmtId="164" fontId="9" fillId="0" borderId="14" xfId="5" applyNumberFormat="1" applyFont="1" applyBorder="1" applyAlignment="1">
      <alignment horizontal="center" vertical="center"/>
    </xf>
    <xf numFmtId="164" fontId="9" fillId="0" borderId="39" xfId="5" applyNumberFormat="1" applyFont="1" applyBorder="1" applyAlignment="1">
      <alignment horizontal="center" vertical="center"/>
    </xf>
    <xf numFmtId="167" fontId="12" fillId="0" borderId="52" xfId="5" applyNumberFormat="1" applyFont="1" applyBorder="1" applyAlignment="1">
      <alignment horizontal="center" vertical="center"/>
    </xf>
    <xf numFmtId="167" fontId="12" fillId="0" borderId="22" xfId="5" applyNumberFormat="1" applyFont="1" applyBorder="1" applyAlignment="1">
      <alignment horizontal="center" vertical="center"/>
    </xf>
    <xf numFmtId="167" fontId="12" fillId="0" borderId="23" xfId="5" applyNumberFormat="1" applyFont="1" applyBorder="1" applyAlignment="1">
      <alignment horizontal="center" vertical="center"/>
    </xf>
    <xf numFmtId="164" fontId="12" fillId="0" borderId="21" xfId="5" applyNumberFormat="1" applyFont="1" applyBorder="1" applyAlignment="1">
      <alignment horizontal="center" vertical="center"/>
    </xf>
    <xf numFmtId="164" fontId="9" fillId="0" borderId="38" xfId="5" applyNumberFormat="1" applyFont="1" applyFill="1" applyBorder="1" applyAlignment="1">
      <alignment horizontal="center" vertical="center"/>
    </xf>
    <xf numFmtId="164" fontId="9" fillId="0" borderId="32" xfId="5" applyNumberFormat="1" applyFont="1" applyFill="1" applyBorder="1" applyAlignment="1">
      <alignment horizontal="center" vertical="center"/>
    </xf>
    <xf numFmtId="164" fontId="9" fillId="0" borderId="31" xfId="5" applyNumberFormat="1" applyFont="1" applyFill="1" applyBorder="1" applyAlignment="1">
      <alignment horizontal="center" vertical="center"/>
    </xf>
    <xf numFmtId="164" fontId="9" fillId="0" borderId="28" xfId="5" applyNumberFormat="1" applyFont="1" applyBorder="1" applyAlignment="1">
      <alignment horizontal="center" vertical="center"/>
    </xf>
    <xf numFmtId="164" fontId="9" fillId="0" borderId="0" xfId="5" applyNumberFormat="1" applyFont="1" applyBorder="1" applyAlignment="1">
      <alignment horizontal="center" vertical="center"/>
    </xf>
    <xf numFmtId="164" fontId="9" fillId="0" borderId="59" xfId="5" applyNumberFormat="1" applyFont="1" applyBorder="1" applyAlignment="1">
      <alignment horizontal="center" vertical="center"/>
    </xf>
    <xf numFmtId="49" fontId="10" fillId="7" borderId="27" xfId="4" applyNumberFormat="1" applyFont="1" applyFill="1" applyBorder="1" applyAlignment="1">
      <alignment horizontal="center" vertical="center" wrapText="1"/>
    </xf>
    <xf numFmtId="49" fontId="10" fillId="7" borderId="19" xfId="4" applyNumberFormat="1" applyFont="1" applyFill="1" applyBorder="1" applyAlignment="1">
      <alignment horizontal="center" vertical="center" wrapText="1"/>
    </xf>
    <xf numFmtId="49" fontId="10" fillId="7" borderId="20" xfId="4" applyNumberFormat="1" applyFont="1" applyFill="1" applyBorder="1" applyAlignment="1">
      <alignment horizontal="center" vertical="center" wrapText="1"/>
    </xf>
    <xf numFmtId="49" fontId="10" fillId="7" borderId="44" xfId="4" applyNumberFormat="1" applyFont="1" applyFill="1" applyBorder="1" applyAlignment="1">
      <alignment horizontal="center" vertical="center" wrapText="1"/>
    </xf>
    <xf numFmtId="49" fontId="10" fillId="7" borderId="13" xfId="4" applyNumberFormat="1" applyFont="1" applyFill="1" applyBorder="1" applyAlignment="1">
      <alignment horizontal="center" vertical="center" wrapText="1"/>
    </xf>
    <xf numFmtId="49" fontId="10" fillId="7" borderId="14" xfId="4" applyNumberFormat="1" applyFont="1" applyFill="1" applyBorder="1" applyAlignment="1">
      <alignment horizontal="center" vertical="center" wrapText="1"/>
    </xf>
    <xf numFmtId="165" fontId="39" fillId="2" borderId="47" xfId="1" applyFont="1" applyFill="1" applyBorder="1" applyAlignment="1">
      <alignment horizontal="center" vertical="center" wrapText="1"/>
    </xf>
    <xf numFmtId="165" fontId="39" fillId="2" borderId="28" xfId="1" applyFont="1" applyFill="1" applyBorder="1" applyAlignment="1">
      <alignment horizontal="center" vertical="center" wrapText="1"/>
    </xf>
    <xf numFmtId="0" fontId="32" fillId="2" borderId="129" xfId="0" applyFont="1" applyFill="1" applyBorder="1" applyAlignment="1">
      <alignment horizontal="center" vertical="top" wrapText="1"/>
    </xf>
    <xf numFmtId="0" fontId="32" fillId="2" borderId="139" xfId="0" applyFont="1" applyFill="1" applyBorder="1" applyAlignment="1">
      <alignment horizontal="center" vertical="top" wrapText="1"/>
    </xf>
    <xf numFmtId="10" fontId="32" fillId="2" borderId="54" xfId="2" applyNumberFormat="1" applyFont="1" applyFill="1" applyBorder="1" applyAlignment="1">
      <alignment horizontal="center" vertical="top" wrapText="1"/>
    </xf>
    <xf numFmtId="10" fontId="32" fillId="2" borderId="49" xfId="2" applyNumberFormat="1" applyFont="1" applyFill="1" applyBorder="1" applyAlignment="1">
      <alignment horizontal="center" vertical="top" wrapText="1"/>
    </xf>
    <xf numFmtId="49" fontId="57" fillId="16" borderId="54" xfId="0" applyNumberFormat="1" applyFont="1" applyFill="1" applyBorder="1" applyAlignment="1">
      <alignment horizontal="center" vertical="center" wrapText="1"/>
    </xf>
    <xf numFmtId="171" fontId="39" fillId="2" borderId="131" xfId="0" applyNumberFormat="1" applyFont="1" applyFill="1" applyBorder="1" applyAlignment="1">
      <alignment horizontal="center" vertical="top" wrapText="1"/>
    </xf>
    <xf numFmtId="171" fontId="39" fillId="2" borderId="132" xfId="0" applyNumberFormat="1" applyFont="1" applyFill="1" applyBorder="1" applyAlignment="1">
      <alignment horizontal="center" vertical="top" wrapText="1"/>
    </xf>
    <xf numFmtId="49" fontId="39" fillId="2" borderId="80" xfId="0" applyNumberFormat="1" applyFont="1" applyFill="1" applyBorder="1" applyAlignment="1">
      <alignment horizontal="center" vertical="top" wrapText="1"/>
    </xf>
    <xf numFmtId="49" fontId="39" fillId="2" borderId="134" xfId="0" applyNumberFormat="1" applyFont="1" applyFill="1" applyBorder="1" applyAlignment="1">
      <alignment horizontal="center" vertical="top" wrapText="1"/>
    </xf>
    <xf numFmtId="49" fontId="39" fillId="2" borderId="131" xfId="0" applyNumberFormat="1" applyFont="1" applyFill="1" applyBorder="1" applyAlignment="1">
      <alignment horizontal="center" vertical="top" wrapText="1"/>
    </xf>
    <xf numFmtId="49" fontId="39" fillId="2" borderId="132" xfId="0" applyNumberFormat="1" applyFont="1" applyFill="1" applyBorder="1" applyAlignment="1">
      <alignment horizontal="center" vertical="top" wrapText="1"/>
    </xf>
    <xf numFmtId="1" fontId="57" fillId="16" borderId="48" xfId="0" applyNumberFormat="1" applyFont="1" applyFill="1" applyBorder="1" applyAlignment="1">
      <alignment horizontal="center" vertical="top" wrapText="1"/>
    </xf>
    <xf numFmtId="1" fontId="57" fillId="16" borderId="98" xfId="0" applyNumberFormat="1" applyFont="1" applyFill="1" applyBorder="1" applyAlignment="1">
      <alignment horizontal="center" vertical="top" wrapText="1"/>
    </xf>
    <xf numFmtId="49" fontId="39" fillId="2" borderId="54" xfId="0" applyNumberFormat="1" applyFont="1" applyFill="1" applyBorder="1" applyAlignment="1">
      <alignment horizontal="center" vertical="top" wrapText="1"/>
    </xf>
    <xf numFmtId="49" fontId="39" fillId="2" borderId="48" xfId="0" applyNumberFormat="1" applyFont="1" applyFill="1" applyBorder="1" applyAlignment="1">
      <alignment horizontal="center" vertical="top" wrapText="1"/>
    </xf>
    <xf numFmtId="164" fontId="39" fillId="2" borderId="132" xfId="1" applyNumberFormat="1" applyFont="1" applyFill="1" applyBorder="1" applyAlignment="1">
      <alignment horizontal="center" vertical="top" wrapText="1"/>
    </xf>
    <xf numFmtId="164" fontId="39" fillId="2" borderId="75" xfId="1" applyNumberFormat="1" applyFont="1" applyFill="1" applyBorder="1" applyAlignment="1">
      <alignment horizontal="center" vertical="top" wrapText="1"/>
    </xf>
    <xf numFmtId="14" fontId="32" fillId="2" borderId="54" xfId="1" applyNumberFormat="1" applyFont="1" applyFill="1" applyBorder="1" applyAlignment="1">
      <alignment horizontal="center" vertical="top" wrapText="1"/>
    </xf>
    <xf numFmtId="14" fontId="32" fillId="2" borderId="49" xfId="1" applyNumberFormat="1" applyFont="1" applyFill="1" applyBorder="1" applyAlignment="1">
      <alignment horizontal="center" vertical="top" wrapText="1"/>
    </xf>
    <xf numFmtId="0" fontId="32" fillId="2" borderId="80" xfId="1" applyNumberFormat="1" applyFont="1" applyFill="1" applyBorder="1" applyAlignment="1">
      <alignment horizontal="center" vertical="top" wrapText="1"/>
    </xf>
    <xf numFmtId="0" fontId="32" fillId="2" borderId="135" xfId="1" applyNumberFormat="1" applyFont="1" applyFill="1" applyBorder="1" applyAlignment="1">
      <alignment horizontal="center" vertical="top" wrapText="1"/>
    </xf>
    <xf numFmtId="165" fontId="32" fillId="2" borderId="131" xfId="1" applyFont="1" applyFill="1" applyBorder="1" applyAlignment="1">
      <alignment horizontal="center" vertical="top" wrapText="1"/>
    </xf>
    <xf numFmtId="165" fontId="32" fillId="2" borderId="132" xfId="1" applyFont="1" applyFill="1" applyBorder="1" applyAlignment="1">
      <alignment horizontal="center" vertical="top" wrapText="1"/>
    </xf>
    <xf numFmtId="165" fontId="32" fillId="2" borderId="129" xfId="1" applyFont="1" applyFill="1" applyBorder="1" applyAlignment="1">
      <alignment horizontal="center" vertical="top" wrapText="1"/>
    </xf>
    <xf numFmtId="165" fontId="32" fillId="2" borderId="133" xfId="1" applyFont="1" applyFill="1" applyBorder="1" applyAlignment="1">
      <alignment horizontal="center" vertical="top" wrapText="1"/>
    </xf>
    <xf numFmtId="0" fontId="32" fillId="2" borderId="54" xfId="0" applyFont="1" applyFill="1" applyBorder="1" applyAlignment="1">
      <alignment horizontal="center" vertical="top" wrapText="1"/>
    </xf>
    <xf numFmtId="0" fontId="32" fillId="2" borderId="47" xfId="0" applyFont="1" applyFill="1" applyBorder="1" applyAlignment="1">
      <alignment horizontal="center" vertical="top" wrapText="1"/>
    </xf>
    <xf numFmtId="165" fontId="39" fillId="2" borderId="132" xfId="1" applyFont="1" applyFill="1" applyBorder="1" applyAlignment="1">
      <alignment horizontal="center" vertical="top" wrapText="1"/>
    </xf>
    <xf numFmtId="165" fontId="39" fillId="2" borderId="75" xfId="1" applyFont="1" applyFill="1" applyBorder="1" applyAlignment="1">
      <alignment horizontal="center" vertical="top" wrapText="1"/>
    </xf>
    <xf numFmtId="10" fontId="32" fillId="2" borderId="73" xfId="2" applyNumberFormat="1" applyFont="1" applyFill="1" applyBorder="1" applyAlignment="1">
      <alignment horizontal="center" vertical="top" wrapText="1"/>
    </xf>
    <xf numFmtId="10" fontId="32" fillId="2" borderId="75" xfId="2" applyNumberFormat="1" applyFont="1" applyFill="1" applyBorder="1" applyAlignment="1">
      <alignment horizontal="center" vertical="top" wrapText="1"/>
    </xf>
    <xf numFmtId="14" fontId="32" fillId="2" borderId="73" xfId="1" applyNumberFormat="1" applyFont="1" applyFill="1" applyBorder="1" applyAlignment="1">
      <alignment horizontal="center" vertical="top" wrapText="1"/>
    </xf>
    <xf numFmtId="14" fontId="32" fillId="2" borderId="75" xfId="1" applyNumberFormat="1" applyFont="1" applyFill="1" applyBorder="1" applyAlignment="1">
      <alignment horizontal="center" vertical="top" wrapText="1"/>
    </xf>
    <xf numFmtId="164" fontId="39" fillId="2" borderId="134" xfId="1" applyNumberFormat="1" applyFont="1" applyFill="1" applyBorder="1" applyAlignment="1">
      <alignment horizontal="center" vertical="top" wrapText="1"/>
    </xf>
    <xf numFmtId="164" fontId="39" fillId="2" borderId="143" xfId="1" applyNumberFormat="1" applyFont="1" applyFill="1" applyBorder="1" applyAlignment="1">
      <alignment horizontal="center" vertical="top" wrapText="1"/>
    </xf>
    <xf numFmtId="49" fontId="39" fillId="2" borderId="75" xfId="0" applyNumberFormat="1" applyFont="1" applyFill="1" applyBorder="1" applyAlignment="1">
      <alignment horizontal="center" vertical="top" wrapText="1"/>
    </xf>
    <xf numFmtId="165" fontId="39" fillId="2" borderId="133" xfId="1" applyFont="1" applyFill="1" applyBorder="1" applyAlignment="1">
      <alignment horizontal="center" vertical="top" wrapText="1"/>
    </xf>
    <xf numFmtId="165" fontId="39" fillId="2" borderId="144" xfId="1" applyFont="1" applyFill="1" applyBorder="1" applyAlignment="1">
      <alignment horizontal="center" vertical="top" wrapText="1"/>
    </xf>
    <xf numFmtId="0" fontId="39" fillId="2" borderId="54" xfId="1" applyNumberFormat="1" applyFont="1" applyFill="1" applyBorder="1" applyAlignment="1">
      <alignment horizontal="center" vertical="top" wrapText="1"/>
    </xf>
    <xf numFmtId="0" fontId="39" fillId="2" borderId="48" xfId="1" applyNumberFormat="1" applyFont="1" applyFill="1" applyBorder="1" applyAlignment="1">
      <alignment horizontal="center" vertical="top" wrapText="1"/>
    </xf>
    <xf numFmtId="49" fontId="39" fillId="2" borderId="54" xfId="1" applyNumberFormat="1" applyFont="1" applyFill="1" applyBorder="1" applyAlignment="1">
      <alignment horizontal="center" vertical="top" wrapText="1"/>
    </xf>
    <xf numFmtId="49" fontId="39" fillId="2" borderId="48" xfId="1" applyNumberFormat="1" applyFont="1" applyFill="1" applyBorder="1" applyAlignment="1">
      <alignment horizontal="center" vertical="top" wrapText="1"/>
    </xf>
    <xf numFmtId="49" fontId="34" fillId="12" borderId="54" xfId="0" applyNumberFormat="1" applyFont="1" applyFill="1" applyBorder="1" applyAlignment="1">
      <alignment horizontal="center" vertical="center"/>
    </xf>
    <xf numFmtId="49" fontId="34" fillId="12" borderId="51" xfId="0" applyNumberFormat="1" applyFont="1" applyFill="1" applyBorder="1" applyAlignment="1">
      <alignment horizontal="center" vertical="center"/>
    </xf>
    <xf numFmtId="49" fontId="34" fillId="12" borderId="16" xfId="0" applyNumberFormat="1" applyFont="1" applyFill="1" applyBorder="1" applyAlignment="1">
      <alignment horizontal="center" vertical="center"/>
    </xf>
    <xf numFmtId="49" fontId="34" fillId="12" borderId="57" xfId="0" applyNumberFormat="1" applyFont="1" applyFill="1" applyBorder="1" applyAlignment="1">
      <alignment horizontal="center" vertical="center"/>
    </xf>
    <xf numFmtId="165" fontId="34" fillId="16" borderId="54" xfId="1" applyFont="1" applyFill="1" applyBorder="1" applyAlignment="1">
      <alignment horizontal="center" vertical="top" wrapText="1"/>
    </xf>
    <xf numFmtId="165" fontId="34" fillId="16" borderId="48" xfId="1" applyFont="1" applyFill="1" applyBorder="1" applyAlignment="1">
      <alignment horizontal="center" vertical="top" wrapText="1"/>
    </xf>
    <xf numFmtId="1" fontId="34" fillId="16" borderId="54" xfId="1" applyNumberFormat="1" applyFont="1" applyFill="1" applyBorder="1" applyAlignment="1">
      <alignment horizontal="center" vertical="top" wrapText="1"/>
    </xf>
    <xf numFmtId="1" fontId="34" fillId="16" borderId="48" xfId="1" applyNumberFormat="1" applyFont="1" applyFill="1" applyBorder="1" applyAlignment="1">
      <alignment horizontal="center" vertical="top" wrapText="1"/>
    </xf>
    <xf numFmtId="14" fontId="39" fillId="2" borderId="78" xfId="0" applyNumberFormat="1" applyFont="1" applyFill="1" applyBorder="1" applyAlignment="1">
      <alignment horizontal="center" vertical="top" wrapText="1"/>
    </xf>
    <xf numFmtId="14" fontId="39" fillId="2" borderId="73" xfId="0" applyNumberFormat="1" applyFont="1" applyFill="1" applyBorder="1" applyAlignment="1">
      <alignment horizontal="center" vertical="top" wrapText="1"/>
    </xf>
    <xf numFmtId="0" fontId="39" fillId="2" borderId="78" xfId="0" applyFont="1" applyFill="1" applyBorder="1" applyAlignment="1">
      <alignment horizontal="center" vertical="top" wrapText="1"/>
    </xf>
    <xf numFmtId="0" fontId="39" fillId="2" borderId="73" xfId="0" applyFont="1" applyFill="1" applyBorder="1" applyAlignment="1">
      <alignment horizontal="center" vertical="top" wrapText="1"/>
    </xf>
    <xf numFmtId="49" fontId="39" fillId="2" borderId="125" xfId="0" applyNumberFormat="1" applyFont="1" applyFill="1" applyBorder="1" applyAlignment="1">
      <alignment horizontal="center" vertical="top" wrapText="1"/>
    </xf>
    <xf numFmtId="49" fontId="39" fillId="2" borderId="138" xfId="0" applyNumberFormat="1" applyFont="1" applyFill="1" applyBorder="1" applyAlignment="1">
      <alignment horizontal="center" vertical="top" wrapText="1"/>
    </xf>
    <xf numFmtId="49" fontId="39" fillId="2" borderId="78" xfId="0" applyNumberFormat="1" applyFont="1" applyFill="1" applyBorder="1" applyAlignment="1">
      <alignment horizontal="center" vertical="top" wrapText="1"/>
    </xf>
    <xf numFmtId="49" fontId="39" fillId="2" borderId="73" xfId="0" applyNumberFormat="1" applyFont="1" applyFill="1" applyBorder="1" applyAlignment="1">
      <alignment horizontal="center" vertical="top" wrapText="1"/>
    </xf>
    <xf numFmtId="49" fontId="57" fillId="16" borderId="48" xfId="0" applyNumberFormat="1" applyFont="1" applyFill="1" applyBorder="1" applyAlignment="1">
      <alignment horizontal="center" vertical="top" wrapText="1"/>
    </xf>
    <xf numFmtId="49" fontId="57" fillId="16" borderId="98" xfId="0" applyNumberFormat="1" applyFont="1" applyFill="1" applyBorder="1" applyAlignment="1">
      <alignment horizontal="center" vertical="top" wrapText="1"/>
    </xf>
    <xf numFmtId="49" fontId="39" fillId="2" borderId="79" xfId="0" applyNumberFormat="1" applyFont="1" applyFill="1" applyBorder="1" applyAlignment="1">
      <alignment horizontal="center" vertical="top" wrapText="1"/>
    </xf>
    <xf numFmtId="49" fontId="39" fillId="2" borderId="84" xfId="0" applyNumberFormat="1" applyFont="1" applyFill="1" applyBorder="1" applyAlignment="1">
      <alignment horizontal="center" vertical="top" wrapText="1"/>
    </xf>
    <xf numFmtId="164" fontId="39" fillId="2" borderId="133" xfId="1" applyNumberFormat="1" applyFont="1" applyFill="1" applyBorder="1" applyAlignment="1">
      <alignment horizontal="center" vertical="top" wrapText="1"/>
    </xf>
    <xf numFmtId="164" fontId="39" fillId="2" borderId="144" xfId="1" applyNumberFormat="1" applyFont="1" applyFill="1" applyBorder="1" applyAlignment="1">
      <alignment horizontal="center" vertical="top" wrapText="1"/>
    </xf>
    <xf numFmtId="0" fontId="39" fillId="2" borderId="134" xfId="1" applyNumberFormat="1" applyFont="1" applyFill="1" applyBorder="1" applyAlignment="1">
      <alignment horizontal="center" vertical="top" wrapText="1"/>
    </xf>
    <xf numFmtId="0" fontId="39" fillId="2" borderId="143" xfId="1" applyNumberFormat="1" applyFont="1" applyFill="1" applyBorder="1" applyAlignment="1">
      <alignment horizontal="center" vertical="top" wrapText="1"/>
    </xf>
    <xf numFmtId="0" fontId="39" fillId="2" borderId="132" xfId="1" applyNumberFormat="1" applyFont="1" applyFill="1" applyBorder="1" applyAlignment="1">
      <alignment horizontal="center" vertical="top" wrapText="1"/>
    </xf>
    <xf numFmtId="0" fontId="39" fillId="2" borderId="75" xfId="1" applyNumberFormat="1" applyFont="1" applyFill="1" applyBorder="1" applyAlignment="1">
      <alignment horizontal="center" vertical="top" wrapText="1"/>
    </xf>
    <xf numFmtId="165" fontId="42" fillId="16" borderId="9" xfId="1" applyFont="1" applyFill="1" applyBorder="1" applyAlignment="1">
      <alignment horizontal="center" vertical="center"/>
    </xf>
    <xf numFmtId="165" fontId="42" fillId="16" borderId="10" xfId="1" applyFont="1" applyFill="1" applyBorder="1" applyAlignment="1">
      <alignment horizontal="center" vertical="center"/>
    </xf>
    <xf numFmtId="165" fontId="42" fillId="16" borderId="11" xfId="1" applyFont="1" applyFill="1" applyBorder="1" applyAlignment="1">
      <alignment horizontal="center" vertical="center"/>
    </xf>
    <xf numFmtId="0" fontId="39" fillId="2" borderId="131" xfId="0" applyFont="1" applyFill="1" applyBorder="1" applyAlignment="1">
      <alignment horizontal="center" vertical="top" wrapText="1"/>
    </xf>
    <xf numFmtId="0" fontId="39" fillId="2" borderId="132" xfId="0" applyFont="1" applyFill="1" applyBorder="1" applyAlignment="1">
      <alignment horizontal="center" vertical="top" wrapText="1"/>
    </xf>
    <xf numFmtId="1" fontId="39" fillId="2" borderId="131" xfId="0" applyNumberFormat="1" applyFont="1" applyFill="1" applyBorder="1" applyAlignment="1">
      <alignment horizontal="center" vertical="top" wrapText="1"/>
    </xf>
    <xf numFmtId="1" fontId="39" fillId="2" borderId="132" xfId="0" applyNumberFormat="1" applyFont="1" applyFill="1" applyBorder="1" applyAlignment="1">
      <alignment horizontal="center" vertical="top" wrapText="1"/>
    </xf>
    <xf numFmtId="165" fontId="39" fillId="2" borderId="48" xfId="1" applyFont="1" applyFill="1" applyBorder="1" applyAlignment="1">
      <alignment horizontal="center" vertical="top" wrapText="1"/>
    </xf>
    <xf numFmtId="165" fontId="39" fillId="2" borderId="98" xfId="1" applyFont="1" applyFill="1" applyBorder="1" applyAlignment="1">
      <alignment horizontal="center" vertical="top" wrapText="1"/>
    </xf>
    <xf numFmtId="49" fontId="57" fillId="12" borderId="54" xfId="0" applyNumberFormat="1" applyFont="1" applyFill="1" applyBorder="1" applyAlignment="1">
      <alignment horizontal="center" vertical="center"/>
    </xf>
    <xf numFmtId="165" fontId="39" fillId="2" borderId="131" xfId="1" applyFont="1" applyFill="1" applyBorder="1" applyAlignment="1">
      <alignment horizontal="center" vertical="top" wrapText="1"/>
    </xf>
    <xf numFmtId="164" fontId="39" fillId="2" borderId="129" xfId="1" applyNumberFormat="1" applyFont="1" applyFill="1" applyBorder="1" applyAlignment="1">
      <alignment horizontal="center" vertical="top" wrapText="1"/>
    </xf>
    <xf numFmtId="14" fontId="39" fillId="2" borderId="132" xfId="1" applyNumberFormat="1" applyFont="1" applyFill="1" applyBorder="1" applyAlignment="1">
      <alignment horizontal="center" vertical="top" wrapText="1"/>
    </xf>
    <xf numFmtId="14" fontId="39" fillId="2" borderId="75" xfId="1" applyNumberFormat="1" applyFont="1" applyFill="1" applyBorder="1" applyAlignment="1">
      <alignment horizontal="center" vertical="top" wrapText="1"/>
    </xf>
    <xf numFmtId="0" fontId="39" fillId="2" borderId="131" xfId="1" applyNumberFormat="1" applyFont="1" applyFill="1" applyBorder="1" applyAlignment="1">
      <alignment horizontal="center" vertical="top" wrapText="1"/>
    </xf>
    <xf numFmtId="49" fontId="39" fillId="2" borderId="135" xfId="1" applyNumberFormat="1" applyFont="1" applyFill="1" applyBorder="1" applyAlignment="1">
      <alignment horizontal="center" vertical="top" wrapText="1"/>
    </xf>
    <xf numFmtId="49" fontId="39" fillId="2" borderId="75" xfId="1" applyNumberFormat="1" applyFont="1" applyFill="1" applyBorder="1" applyAlignment="1">
      <alignment horizontal="center" vertical="top" wrapText="1"/>
    </xf>
    <xf numFmtId="1" fontId="57" fillId="16" borderId="54" xfId="0" applyNumberFormat="1" applyFont="1" applyFill="1" applyBorder="1" applyAlignment="1">
      <alignment horizontal="center" vertical="top" wrapText="1"/>
    </xf>
    <xf numFmtId="0" fontId="39" fillId="2" borderId="47" xfId="0" applyFont="1" applyFill="1" applyBorder="1" applyAlignment="1">
      <alignment horizontal="center" vertical="top" wrapText="1"/>
    </xf>
    <xf numFmtId="0" fontId="39" fillId="2" borderId="143" xfId="0" applyFont="1" applyFill="1" applyBorder="1" applyAlignment="1">
      <alignment horizontal="center" vertical="top" wrapText="1"/>
    </xf>
    <xf numFmtId="49" fontId="39" fillId="2" borderId="133" xfId="1" applyNumberFormat="1" applyFont="1" applyFill="1" applyBorder="1" applyAlignment="1">
      <alignment horizontal="center" vertical="top" wrapText="1"/>
    </xf>
    <xf numFmtId="49" fontId="39" fillId="2" borderId="144" xfId="1" applyNumberFormat="1" applyFont="1" applyFill="1" applyBorder="1" applyAlignment="1">
      <alignment horizontal="center" vertical="top" wrapText="1"/>
    </xf>
    <xf numFmtId="0" fontId="39" fillId="2" borderId="80" xfId="1" applyNumberFormat="1" applyFont="1" applyFill="1" applyBorder="1" applyAlignment="1">
      <alignment horizontal="center" vertical="top" wrapText="1"/>
    </xf>
    <xf numFmtId="49" fontId="57" fillId="16" borderId="54" xfId="0" applyNumberFormat="1" applyFont="1" applyFill="1" applyBorder="1" applyAlignment="1">
      <alignment horizontal="center" vertical="top" wrapText="1"/>
    </xf>
    <xf numFmtId="49" fontId="57" fillId="16" borderId="47" xfId="0" applyNumberFormat="1" applyFont="1" applyFill="1" applyBorder="1" applyAlignment="1">
      <alignment horizontal="center" vertical="top" wrapText="1"/>
    </xf>
    <xf numFmtId="49" fontId="39" fillId="2" borderId="129" xfId="0" applyNumberFormat="1" applyFont="1" applyFill="1" applyBorder="1" applyAlignment="1">
      <alignment horizontal="center" vertical="top" wrapText="1"/>
    </xf>
    <xf numFmtId="49" fontId="39" fillId="2" borderId="133" xfId="0" applyNumberFormat="1" applyFont="1" applyFill="1" applyBorder="1" applyAlignment="1">
      <alignment horizontal="center" vertical="top" wrapText="1"/>
    </xf>
    <xf numFmtId="14" fontId="39" fillId="2" borderId="131" xfId="0" applyNumberFormat="1" applyFont="1" applyFill="1" applyBorder="1" applyAlignment="1">
      <alignment horizontal="center" vertical="top" wrapText="1"/>
    </xf>
    <xf numFmtId="14" fontId="39" fillId="2" borderId="132" xfId="0" applyNumberFormat="1" applyFont="1" applyFill="1" applyBorder="1" applyAlignment="1">
      <alignment horizontal="center" vertical="top" wrapText="1"/>
    </xf>
    <xf numFmtId="165" fontId="39" fillId="2" borderId="130" xfId="1" applyFont="1" applyFill="1" applyBorder="1" applyAlignment="1">
      <alignment horizontal="center" vertical="center" wrapText="1"/>
    </xf>
    <xf numFmtId="165" fontId="39" fillId="2" borderId="73" xfId="1" applyFont="1" applyFill="1" applyBorder="1" applyAlignment="1">
      <alignment horizontal="center" vertical="center" wrapText="1"/>
    </xf>
    <xf numFmtId="164" fontId="39" fillId="2" borderId="128" xfId="1" applyNumberFormat="1" applyFont="1" applyFill="1" applyBorder="1" applyAlignment="1">
      <alignment horizontal="center" vertical="center" wrapText="1"/>
    </xf>
    <xf numFmtId="164" fontId="39" fillId="2" borderId="73" xfId="1" applyNumberFormat="1" applyFont="1" applyFill="1" applyBorder="1" applyAlignment="1">
      <alignment horizontal="center" vertical="center" wrapText="1"/>
    </xf>
    <xf numFmtId="49" fontId="34" fillId="16" borderId="54" xfId="0" applyNumberFormat="1" applyFont="1" applyFill="1" applyBorder="1" applyAlignment="1">
      <alignment horizontal="center" vertical="top" wrapText="1"/>
    </xf>
    <xf numFmtId="49" fontId="34" fillId="16" borderId="48" xfId="0" applyNumberFormat="1" applyFont="1" applyFill="1" applyBorder="1" applyAlignment="1">
      <alignment horizontal="center" vertical="top" wrapText="1"/>
    </xf>
    <xf numFmtId="164" fontId="34" fillId="16" borderId="54" xfId="1" applyNumberFormat="1" applyFont="1" applyFill="1" applyBorder="1" applyAlignment="1">
      <alignment horizontal="center" vertical="top" wrapText="1"/>
    </xf>
    <xf numFmtId="164" fontId="34" fillId="16" borderId="48" xfId="1" applyNumberFormat="1" applyFont="1" applyFill="1" applyBorder="1" applyAlignment="1">
      <alignment horizontal="center" vertical="top" wrapText="1"/>
    </xf>
    <xf numFmtId="49" fontId="34" fillId="16" borderId="54" xfId="1" applyNumberFormat="1" applyFont="1" applyFill="1" applyBorder="1" applyAlignment="1">
      <alignment horizontal="center" vertical="top" wrapText="1"/>
    </xf>
    <xf numFmtId="49" fontId="34" fillId="16" borderId="48" xfId="1" applyNumberFormat="1" applyFont="1" applyFill="1" applyBorder="1" applyAlignment="1">
      <alignment horizontal="center" vertical="top" wrapText="1"/>
    </xf>
    <xf numFmtId="0" fontId="39" fillId="2" borderId="122" xfId="0" applyFont="1" applyFill="1" applyBorder="1" applyAlignment="1">
      <alignment horizontal="center" vertical="top" wrapText="1"/>
    </xf>
    <xf numFmtId="0" fontId="39" fillId="2" borderId="146" xfId="0" applyFont="1" applyFill="1" applyBorder="1" applyAlignment="1">
      <alignment horizontal="center" vertical="top" wrapText="1"/>
    </xf>
    <xf numFmtId="49" fontId="39" fillId="2" borderId="121" xfId="0" applyNumberFormat="1" applyFont="1" applyFill="1" applyBorder="1" applyAlignment="1">
      <alignment horizontal="center" vertical="top" wrapText="1"/>
    </xf>
    <xf numFmtId="49" fontId="39" fillId="2" borderId="145" xfId="0" applyNumberFormat="1" applyFont="1" applyFill="1" applyBorder="1" applyAlignment="1">
      <alignment horizontal="center" vertical="top" wrapText="1"/>
    </xf>
    <xf numFmtId="49" fontId="39" fillId="2" borderId="122" xfId="0" applyNumberFormat="1" applyFont="1" applyFill="1" applyBorder="1" applyAlignment="1">
      <alignment horizontal="center" vertical="top" wrapText="1"/>
    </xf>
    <xf numFmtId="49" fontId="39" fillId="2" borderId="146" xfId="0" applyNumberFormat="1" applyFont="1" applyFill="1" applyBorder="1" applyAlignment="1">
      <alignment horizontal="center" vertical="top" wrapText="1"/>
    </xf>
    <xf numFmtId="164" fontId="39" fillId="2" borderId="122" xfId="1" applyNumberFormat="1" applyFont="1" applyFill="1" applyBorder="1" applyAlignment="1">
      <alignment horizontal="center" vertical="top" wrapText="1"/>
    </xf>
    <xf numFmtId="164" fontId="39" fillId="2" borderId="146" xfId="1" applyNumberFormat="1" applyFont="1" applyFill="1" applyBorder="1" applyAlignment="1">
      <alignment horizontal="center" vertical="top" wrapText="1"/>
    </xf>
    <xf numFmtId="15" fontId="39" fillId="2" borderId="122" xfId="0" applyNumberFormat="1" applyFont="1" applyFill="1" applyBorder="1" applyAlignment="1">
      <alignment horizontal="center" vertical="top" wrapText="1"/>
    </xf>
    <xf numFmtId="15" fontId="39" fillId="2" borderId="146" xfId="0" applyNumberFormat="1" applyFont="1" applyFill="1" applyBorder="1" applyAlignment="1">
      <alignment horizontal="center" vertical="top" wrapText="1"/>
    </xf>
    <xf numFmtId="14" fontId="39" fillId="2" borderId="122" xfId="0" applyNumberFormat="1" applyFont="1" applyFill="1" applyBorder="1" applyAlignment="1">
      <alignment horizontal="center" vertical="top" wrapText="1"/>
    </xf>
    <xf numFmtId="14" fontId="39" fillId="2" borderId="146" xfId="0" applyNumberFormat="1" applyFont="1" applyFill="1" applyBorder="1" applyAlignment="1">
      <alignment horizontal="center" vertical="top" wrapText="1"/>
    </xf>
    <xf numFmtId="164" fontId="39" fillId="2" borderId="119" xfId="1" applyNumberFormat="1" applyFont="1" applyFill="1" applyBorder="1" applyAlignment="1">
      <alignment horizontal="center" vertical="top" wrapText="1"/>
    </xf>
    <xf numFmtId="164" fontId="39" fillId="2" borderId="147" xfId="1" applyNumberFormat="1" applyFont="1" applyFill="1" applyBorder="1" applyAlignment="1">
      <alignment horizontal="center" vertical="top" wrapText="1"/>
    </xf>
    <xf numFmtId="0" fontId="39" fillId="2" borderId="119" xfId="1" applyNumberFormat="1" applyFont="1" applyFill="1" applyBorder="1" applyAlignment="1">
      <alignment horizontal="center" vertical="top" wrapText="1"/>
    </xf>
    <xf numFmtId="0" fontId="39" fillId="2" borderId="147" xfId="1" applyNumberFormat="1" applyFont="1" applyFill="1" applyBorder="1" applyAlignment="1">
      <alignment horizontal="center" vertical="top" wrapText="1"/>
    </xf>
    <xf numFmtId="165" fontId="39" fillId="2" borderId="119" xfId="1" applyFont="1" applyFill="1" applyBorder="1" applyAlignment="1">
      <alignment horizontal="center" vertical="top" wrapText="1"/>
    </xf>
    <xf numFmtId="165" fontId="39" fillId="2" borderId="147" xfId="1" applyFont="1" applyFill="1" applyBorder="1" applyAlignment="1">
      <alignment horizontal="center" vertical="top" wrapText="1"/>
    </xf>
    <xf numFmtId="49" fontId="39" fillId="2" borderId="119" xfId="1" applyNumberFormat="1" applyFont="1" applyFill="1" applyBorder="1" applyAlignment="1">
      <alignment horizontal="center" vertical="top" wrapText="1"/>
    </xf>
    <xf numFmtId="49" fontId="39" fillId="2" borderId="147" xfId="1" applyNumberFormat="1" applyFont="1" applyFill="1" applyBorder="1" applyAlignment="1">
      <alignment horizontal="center" vertical="top" wrapText="1"/>
    </xf>
    <xf numFmtId="49" fontId="39" fillId="2" borderId="79" xfId="1" applyNumberFormat="1" applyFont="1" applyFill="1" applyBorder="1" applyAlignment="1">
      <alignment horizontal="center" vertical="top" wrapText="1"/>
    </xf>
    <xf numFmtId="49" fontId="39" fillId="2" borderId="84" xfId="1" applyNumberFormat="1" applyFont="1" applyFill="1" applyBorder="1" applyAlignment="1">
      <alignment horizontal="center" vertical="top" wrapText="1"/>
    </xf>
    <xf numFmtId="49" fontId="39" fillId="2" borderId="78" xfId="1" applyNumberFormat="1" applyFont="1" applyFill="1" applyBorder="1" applyAlignment="1">
      <alignment horizontal="center" vertical="top" wrapText="1"/>
    </xf>
    <xf numFmtId="49" fontId="39" fillId="2" borderId="73" xfId="1" applyNumberFormat="1" applyFont="1" applyFill="1" applyBorder="1" applyAlignment="1">
      <alignment horizontal="center" vertical="top" wrapText="1"/>
    </xf>
    <xf numFmtId="0" fontId="0" fillId="0" borderId="87" xfId="0" applyBorder="1" applyAlignment="1">
      <alignment vertical="center" wrapText="1"/>
    </xf>
    <xf numFmtId="0" fontId="0" fillId="0" borderId="88" xfId="0" applyBorder="1" applyAlignment="1">
      <alignment vertical="center" wrapText="1"/>
    </xf>
    <xf numFmtId="0" fontId="0" fillId="0" borderId="89" xfId="0" applyBorder="1" applyAlignment="1">
      <alignment vertical="center" wrapText="1"/>
    </xf>
    <xf numFmtId="0" fontId="0" fillId="0" borderId="86" xfId="0" applyBorder="1" applyAlignment="1">
      <alignment vertical="center" wrapText="1"/>
    </xf>
    <xf numFmtId="0" fontId="24" fillId="0" borderId="88" xfId="0" applyFont="1" applyBorder="1" applyAlignment="1">
      <alignment horizontal="center" vertical="center"/>
    </xf>
    <xf numFmtId="0" fontId="24" fillId="0" borderId="89" xfId="0" applyFont="1" applyBorder="1" applyAlignment="1">
      <alignment horizontal="center" vertical="center"/>
    </xf>
    <xf numFmtId="49" fontId="46" fillId="17" borderId="87" xfId="0" applyNumberFormat="1" applyFont="1" applyFill="1" applyBorder="1" applyAlignment="1">
      <alignment horizontal="center" vertical="center"/>
    </xf>
    <xf numFmtId="49" fontId="46" fillId="17" borderId="88" xfId="0" applyNumberFormat="1" applyFont="1" applyFill="1" applyBorder="1" applyAlignment="1">
      <alignment horizontal="center" vertical="center"/>
    </xf>
    <xf numFmtId="49" fontId="46" fillId="17" borderId="89" xfId="0" applyNumberFormat="1" applyFont="1" applyFill="1" applyBorder="1" applyAlignment="1">
      <alignment horizontal="center" vertical="center"/>
    </xf>
    <xf numFmtId="0" fontId="24" fillId="12" borderId="87" xfId="0" applyFont="1" applyFill="1" applyBorder="1" applyAlignment="1">
      <alignment horizontal="center" vertical="top" wrapText="1"/>
    </xf>
    <xf numFmtId="0" fontId="24" fillId="12" borderId="88" xfId="0" applyFont="1" applyFill="1" applyBorder="1" applyAlignment="1">
      <alignment horizontal="center" vertical="top" wrapText="1"/>
    </xf>
    <xf numFmtId="0" fontId="24" fillId="12" borderId="89" xfId="0" applyFont="1" applyFill="1" applyBorder="1" applyAlignment="1">
      <alignment horizontal="center" vertical="top" wrapText="1"/>
    </xf>
    <xf numFmtId="0" fontId="0" fillId="0" borderId="87" xfId="0" applyBorder="1" applyAlignment="1">
      <alignment horizontal="center" vertical="center" wrapText="1"/>
    </xf>
    <xf numFmtId="0" fontId="0" fillId="0" borderId="88" xfId="0" applyBorder="1" applyAlignment="1">
      <alignment horizontal="center" vertical="center" wrapText="1"/>
    </xf>
    <xf numFmtId="0" fontId="24" fillId="12" borderId="90" xfId="0" applyFont="1" applyFill="1" applyBorder="1" applyAlignment="1">
      <alignment horizontal="center" vertical="top" wrapText="1"/>
    </xf>
    <xf numFmtId="0" fontId="24" fillId="12" borderId="91" xfId="0" applyFont="1" applyFill="1" applyBorder="1" applyAlignment="1">
      <alignment horizontal="center" vertical="top" wrapText="1"/>
    </xf>
    <xf numFmtId="0" fontId="24" fillId="12" borderId="92" xfId="0" applyFont="1" applyFill="1" applyBorder="1" applyAlignment="1">
      <alignment horizontal="center" vertical="top" wrapText="1"/>
    </xf>
    <xf numFmtId="4" fontId="0" fillId="0" borderId="87" xfId="1" applyNumberFormat="1" applyFont="1" applyBorder="1" applyAlignment="1">
      <alignment horizontal="center" vertical="center"/>
    </xf>
    <xf numFmtId="4" fontId="0" fillId="0" borderId="89" xfId="1" applyNumberFormat="1" applyFont="1" applyBorder="1" applyAlignment="1">
      <alignment horizontal="center" vertical="center"/>
    </xf>
    <xf numFmtId="4" fontId="24" fillId="0" borderId="87" xfId="1" applyNumberFormat="1" applyFont="1" applyBorder="1" applyAlignment="1">
      <alignment horizontal="center" vertical="center"/>
    </xf>
    <xf numFmtId="4" fontId="24" fillId="0" borderId="89" xfId="1" applyNumberFormat="1" applyFont="1" applyBorder="1" applyAlignment="1">
      <alignment horizontal="center" vertical="center"/>
    </xf>
    <xf numFmtId="49" fontId="0" fillId="0" borderId="87" xfId="0" applyNumberFormat="1" applyBorder="1" applyAlignment="1">
      <alignment vertical="center" wrapText="1"/>
    </xf>
    <xf numFmtId="49" fontId="0" fillId="0" borderId="88" xfId="0" applyNumberFormat="1" applyBorder="1" applyAlignment="1">
      <alignment vertical="center" wrapText="1"/>
    </xf>
    <xf numFmtId="49" fontId="0" fillId="0" borderId="89" xfId="0" applyNumberFormat="1" applyBorder="1" applyAlignment="1">
      <alignment vertical="center" wrapText="1"/>
    </xf>
    <xf numFmtId="49" fontId="24" fillId="0" borderId="87" xfId="0" applyNumberFormat="1" applyFont="1" applyBorder="1" applyAlignment="1">
      <alignment horizontal="center" vertical="center"/>
    </xf>
    <xf numFmtId="49" fontId="24" fillId="0" borderId="88" xfId="0" applyNumberFormat="1" applyFont="1" applyBorder="1" applyAlignment="1">
      <alignment horizontal="center" vertical="center"/>
    </xf>
    <xf numFmtId="49" fontId="24" fillId="0" borderId="89" xfId="0" applyNumberFormat="1" applyFont="1" applyBorder="1" applyAlignment="1">
      <alignment horizontal="center" vertical="center"/>
    </xf>
    <xf numFmtId="0" fontId="0" fillId="0" borderId="89" xfId="0" applyBorder="1" applyAlignment="1">
      <alignment horizontal="center" vertical="center" wrapText="1"/>
    </xf>
    <xf numFmtId="49" fontId="24" fillId="12" borderId="87" xfId="0" applyNumberFormat="1" applyFont="1" applyFill="1" applyBorder="1" applyAlignment="1">
      <alignment horizontal="center" vertical="center" wrapText="1"/>
    </xf>
    <xf numFmtId="49" fontId="24" fillId="12" borderId="88" xfId="0" applyNumberFormat="1" applyFont="1" applyFill="1" applyBorder="1" applyAlignment="1">
      <alignment horizontal="center" vertical="center" wrapText="1"/>
    </xf>
    <xf numFmtId="49" fontId="24" fillId="12" borderId="89" xfId="0" applyNumberFormat="1" applyFont="1" applyFill="1" applyBorder="1" applyAlignment="1">
      <alignment horizontal="center" vertical="center" wrapText="1"/>
    </xf>
    <xf numFmtId="49" fontId="39" fillId="2" borderId="124" xfId="20" applyNumberFormat="1" applyFont="1" applyFill="1" applyBorder="1" applyAlignment="1">
      <alignment horizontal="center" vertical="center"/>
    </xf>
    <xf numFmtId="49" fontId="39" fillId="2" borderId="73" xfId="20" applyNumberFormat="1" applyFont="1" applyFill="1" applyBorder="1" applyAlignment="1">
      <alignment horizontal="center" vertical="center"/>
    </xf>
  </cellXfs>
  <cellStyles count="42">
    <cellStyle name="Accent" xfId="25" xr:uid="{00000000-0005-0000-0000-000000000000}"/>
    <cellStyle name="Accent 1" xfId="26" xr:uid="{00000000-0005-0000-0000-000001000000}"/>
    <cellStyle name="Accent 2" xfId="27" xr:uid="{00000000-0005-0000-0000-000002000000}"/>
    <cellStyle name="Accent 3" xfId="28" xr:uid="{00000000-0005-0000-0000-000003000000}"/>
    <cellStyle name="Bad" xfId="29" xr:uid="{00000000-0005-0000-0000-000004000000}"/>
    <cellStyle name="Error" xfId="30" xr:uid="{00000000-0005-0000-0000-000005000000}"/>
    <cellStyle name="Excel Built-in Normal" xfId="6" xr:uid="{00000000-0005-0000-0000-000006000000}"/>
    <cellStyle name="Excel Built-in Normal 2" xfId="31" xr:uid="{00000000-0005-0000-0000-000007000000}"/>
    <cellStyle name="Footnote" xfId="32" xr:uid="{00000000-0005-0000-0000-000008000000}"/>
    <cellStyle name="Good" xfId="33" xr:uid="{00000000-0005-0000-0000-000009000000}"/>
    <cellStyle name="Heading" xfId="34" xr:uid="{00000000-0005-0000-0000-00000A000000}"/>
    <cellStyle name="Heading 1" xfId="35" xr:uid="{00000000-0005-0000-0000-00000B000000}"/>
    <cellStyle name="Heading 2" xfId="36" xr:uid="{00000000-0005-0000-0000-00000C000000}"/>
    <cellStyle name="Hipervínculo" xfId="22" builtinId="8"/>
    <cellStyle name="Hipervínculo 2" xfId="21" xr:uid="{00000000-0005-0000-0000-00000E000000}"/>
    <cellStyle name="Millares" xfId="1" builtinId="3"/>
    <cellStyle name="Millares 2" xfId="3" xr:uid="{00000000-0005-0000-0000-000010000000}"/>
    <cellStyle name="Millares 2 2" xfId="17" xr:uid="{00000000-0005-0000-0000-000011000000}"/>
    <cellStyle name="Millares 2 2 2" xfId="18" xr:uid="{00000000-0005-0000-0000-000012000000}"/>
    <cellStyle name="Millares 3" xfId="5" xr:uid="{00000000-0005-0000-0000-000013000000}"/>
    <cellStyle name="Millares 3 2" xfId="10" xr:uid="{00000000-0005-0000-0000-000014000000}"/>
    <cellStyle name="Millares 3 3" xfId="12" xr:uid="{00000000-0005-0000-0000-000015000000}"/>
    <cellStyle name="Millares 3 4" xfId="14" xr:uid="{00000000-0005-0000-0000-000016000000}"/>
    <cellStyle name="Millares 3 5" xfId="15" xr:uid="{00000000-0005-0000-0000-000017000000}"/>
    <cellStyle name="Millares 4" xfId="8" xr:uid="{00000000-0005-0000-0000-000018000000}"/>
    <cellStyle name="Millares 5" xfId="9" xr:uid="{00000000-0005-0000-0000-000019000000}"/>
    <cellStyle name="Millares 6" xfId="11" xr:uid="{00000000-0005-0000-0000-00001A000000}"/>
    <cellStyle name="Millares 7" xfId="13" xr:uid="{00000000-0005-0000-0000-00001B000000}"/>
    <cellStyle name="Millares 8" xfId="16" xr:uid="{00000000-0005-0000-0000-00001C000000}"/>
    <cellStyle name="Millares 9" xfId="20" xr:uid="{00000000-0005-0000-0000-00001D000000}"/>
    <cellStyle name="Neutral 2" xfId="37" xr:uid="{00000000-0005-0000-0000-00001E000000}"/>
    <cellStyle name="Normal" xfId="0" builtinId="0"/>
    <cellStyle name="Normal 2" xfId="4" xr:uid="{00000000-0005-0000-0000-000020000000}"/>
    <cellStyle name="Normal 2 2" xfId="23" xr:uid="{00000000-0005-0000-0000-000021000000}"/>
    <cellStyle name="Normal 3" xfId="19" xr:uid="{00000000-0005-0000-0000-000022000000}"/>
    <cellStyle name="Note" xfId="38" xr:uid="{00000000-0005-0000-0000-000023000000}"/>
    <cellStyle name="Porcentaje" xfId="2" builtinId="5"/>
    <cellStyle name="Porcentual 2" xfId="24" xr:uid="{00000000-0005-0000-0000-000025000000}"/>
    <cellStyle name="Status" xfId="39" xr:uid="{00000000-0005-0000-0000-000026000000}"/>
    <cellStyle name="TableStyleLight1" xfId="7" xr:uid="{00000000-0005-0000-0000-000027000000}"/>
    <cellStyle name="Text" xfId="40" xr:uid="{00000000-0005-0000-0000-000028000000}"/>
    <cellStyle name="Warning" xfId="41" xr:uid="{00000000-0005-0000-0000-000029000000}"/>
  </cellStyles>
  <dxfs count="18">
    <dxf>
      <font>
        <color auto="1"/>
      </font>
      <fill>
        <patternFill>
          <bgColor theme="3" tint="0.79998168889431442"/>
        </patternFill>
      </fill>
    </dxf>
    <dxf>
      <font>
        <color auto="1"/>
      </font>
      <fill>
        <patternFill>
          <bgColor theme="3" tint="0.79998168889431442"/>
        </patternFill>
      </fill>
    </dxf>
    <dxf>
      <font>
        <color auto="1"/>
      </font>
      <fill>
        <patternFill>
          <bgColor theme="3" tint="0.79998168889431442"/>
        </patternFill>
      </fill>
    </dxf>
    <dxf>
      <font>
        <color auto="1"/>
      </font>
      <fill>
        <patternFill>
          <bgColor theme="3" tint="0.79998168889431442"/>
        </patternFill>
      </fill>
    </dxf>
    <dxf>
      <font>
        <color auto="1"/>
      </font>
      <fill>
        <patternFill>
          <bgColor theme="3" tint="0.79998168889431442"/>
        </patternFill>
      </fill>
    </dxf>
    <dxf>
      <font>
        <color auto="1"/>
      </font>
      <fill>
        <patternFill>
          <bgColor theme="3" tint="0.79998168889431442"/>
        </patternFill>
      </fill>
    </dxf>
    <dxf>
      <font>
        <color auto="1"/>
      </font>
      <fill>
        <patternFill>
          <bgColor theme="3" tint="0.79998168889431442"/>
        </patternFill>
      </fill>
    </dxf>
    <dxf>
      <font>
        <color auto="1"/>
      </font>
      <fill>
        <patternFill>
          <bgColor theme="3" tint="0.79998168889431442"/>
        </patternFill>
      </fill>
    </dxf>
    <dxf>
      <font>
        <color auto="1"/>
      </font>
      <fill>
        <patternFill>
          <bgColor theme="3" tint="0.79998168889431442"/>
        </patternFill>
      </fill>
    </dxf>
    <dxf>
      <font>
        <b/>
        <i val="0"/>
        <color theme="0"/>
      </font>
      <fill>
        <patternFill>
          <bgColor theme="0" tint="-0.499984740745262"/>
        </patternFill>
      </fill>
    </dxf>
    <dxf>
      <font>
        <b/>
        <i val="0"/>
        <color theme="0"/>
      </font>
      <fill>
        <patternFill>
          <bgColor theme="0" tint="-0.499984740745262"/>
        </patternFill>
      </fill>
    </dxf>
    <dxf>
      <font>
        <b val="0"/>
        <i val="0"/>
        <condense val="0"/>
        <extend val="0"/>
        <color indexed="53"/>
      </font>
    </dxf>
    <dxf>
      <font>
        <b val="0"/>
        <i val="0"/>
        <condense val="0"/>
        <extend val="0"/>
        <color indexed="53"/>
      </font>
    </dxf>
    <dxf>
      <font>
        <b val="0"/>
        <i val="0"/>
        <condense val="0"/>
        <extend val="0"/>
        <color indexed="53"/>
      </font>
    </dxf>
    <dxf>
      <font>
        <b val="0"/>
        <i val="0"/>
        <condense val="0"/>
        <extend val="0"/>
        <color indexed="53"/>
      </font>
    </dxf>
    <dxf>
      <font>
        <b val="0"/>
        <i val="0"/>
        <condense val="0"/>
        <extend val="0"/>
        <color indexed="53"/>
      </font>
    </dxf>
    <dxf>
      <font>
        <b val="0"/>
        <i val="0"/>
        <condense val="0"/>
        <extend val="0"/>
        <color indexed="53"/>
      </font>
    </dxf>
    <dxf>
      <font>
        <color auto="1"/>
      </font>
      <fill>
        <patternFill>
          <bgColor theme="3" tint="0.79998168889431442"/>
        </patternFill>
      </fill>
    </dxf>
  </dxfs>
  <tableStyles count="0" defaultTableStyle="TableStyleMedium9" defaultPivotStyle="PivotStyleLight16"/>
  <colors>
    <mruColors>
      <color rgb="FFCCFFCC"/>
      <color rgb="FF68B4F2"/>
      <color rgb="FF66FFCC"/>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33</xdr:col>
      <xdr:colOff>0</xdr:colOff>
      <xdr:row>0</xdr:row>
      <xdr:rowOff>0</xdr:rowOff>
    </xdr:from>
    <xdr:to>
      <xdr:col>34</xdr:col>
      <xdr:colOff>95250</xdr:colOff>
      <xdr:row>0</xdr:row>
      <xdr:rowOff>0</xdr:rowOff>
    </xdr:to>
    <xdr:sp macro="" textlink="">
      <xdr:nvSpPr>
        <xdr:cNvPr id="2" name="Text Box 1">
          <a:extLst>
            <a:ext uri="{FF2B5EF4-FFF2-40B4-BE49-F238E27FC236}">
              <a16:creationId xmlns:a16="http://schemas.microsoft.com/office/drawing/2014/main" id="{00000000-0008-0000-0700-000002000000}"/>
            </a:ext>
          </a:extLst>
        </xdr:cNvPr>
        <xdr:cNvSpPr txBox="1">
          <a:spLocks noChangeArrowheads="1"/>
        </xdr:cNvSpPr>
      </xdr:nvSpPr>
      <xdr:spPr bwMode="auto">
        <a:xfrm>
          <a:off x="10372725" y="0"/>
          <a:ext cx="409575" cy="0"/>
        </a:xfrm>
        <a:prstGeom prst="rect">
          <a:avLst/>
        </a:prstGeom>
        <a:solidFill>
          <a:srgbClr val="FFFFFF"/>
        </a:solidFill>
        <a:ln w="9525">
          <a:solidFill>
            <a:srgbClr val="000000"/>
          </a:solidFill>
          <a:miter lim="800000"/>
          <a:headEnd/>
          <a:tailEnd/>
        </a:ln>
      </xdr:spPr>
    </xdr:sp>
    <xdr:clientData/>
  </xdr:twoCellAnchor>
  <xdr:twoCellAnchor>
    <xdr:from>
      <xdr:col>29</xdr:col>
      <xdr:colOff>171450</xdr:colOff>
      <xdr:row>0</xdr:row>
      <xdr:rowOff>0</xdr:rowOff>
    </xdr:from>
    <xdr:to>
      <xdr:col>34</xdr:col>
      <xdr:colOff>95250</xdr:colOff>
      <xdr:row>0</xdr:row>
      <xdr:rowOff>0</xdr:rowOff>
    </xdr:to>
    <xdr:sp macro="" textlink="">
      <xdr:nvSpPr>
        <xdr:cNvPr id="3" name="Text Box 2">
          <a:extLst>
            <a:ext uri="{FF2B5EF4-FFF2-40B4-BE49-F238E27FC236}">
              <a16:creationId xmlns:a16="http://schemas.microsoft.com/office/drawing/2014/main" id="{00000000-0008-0000-0700-000003000000}"/>
            </a:ext>
          </a:extLst>
        </xdr:cNvPr>
        <xdr:cNvSpPr txBox="1">
          <a:spLocks noChangeArrowheads="1"/>
        </xdr:cNvSpPr>
      </xdr:nvSpPr>
      <xdr:spPr bwMode="auto">
        <a:xfrm>
          <a:off x="9286875" y="0"/>
          <a:ext cx="1495425" cy="0"/>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r>
            <a:rPr lang="es-ES" sz="1000" b="1" i="0" strike="noStrike">
              <a:solidFill>
                <a:srgbClr val="000000"/>
              </a:solidFill>
              <a:latin typeface="Arial"/>
              <a:cs typeface="Arial"/>
            </a:rPr>
            <a:t>0000000000</a:t>
          </a:r>
        </a:p>
      </xdr:txBody>
    </xdr:sp>
    <xdr:clientData/>
  </xdr:twoCellAnchor>
  <xdr:twoCellAnchor>
    <xdr:from>
      <xdr:col>1</xdr:col>
      <xdr:colOff>85725</xdr:colOff>
      <xdr:row>0</xdr:row>
      <xdr:rowOff>0</xdr:rowOff>
    </xdr:from>
    <xdr:to>
      <xdr:col>6</xdr:col>
      <xdr:colOff>161925</xdr:colOff>
      <xdr:row>0</xdr:row>
      <xdr:rowOff>0</xdr:rowOff>
    </xdr:to>
    <xdr:sp macro="" textlink="">
      <xdr:nvSpPr>
        <xdr:cNvPr id="4" name="Line 3">
          <a:extLst>
            <a:ext uri="{FF2B5EF4-FFF2-40B4-BE49-F238E27FC236}">
              <a16:creationId xmlns:a16="http://schemas.microsoft.com/office/drawing/2014/main" id="{00000000-0008-0000-0700-000004000000}"/>
            </a:ext>
          </a:extLst>
        </xdr:cNvPr>
        <xdr:cNvSpPr>
          <a:spLocks noChangeShapeType="1"/>
        </xdr:cNvSpPr>
      </xdr:nvSpPr>
      <xdr:spPr bwMode="auto">
        <a:xfrm>
          <a:off x="400050" y="0"/>
          <a:ext cx="1647825" cy="0"/>
        </a:xfrm>
        <a:prstGeom prst="line">
          <a:avLst/>
        </a:prstGeom>
        <a:noFill/>
        <a:ln w="15875">
          <a:solidFill>
            <a:srgbClr val="000000"/>
          </a:solidFill>
          <a:round/>
          <a:headEnd/>
          <a:tailEnd/>
        </a:ln>
      </xdr:spPr>
    </xdr:sp>
    <xdr:clientData/>
  </xdr:twoCellAnchor>
  <xdr:twoCellAnchor>
    <xdr:from>
      <xdr:col>14</xdr:col>
      <xdr:colOff>85725</xdr:colOff>
      <xdr:row>0</xdr:row>
      <xdr:rowOff>0</xdr:rowOff>
    </xdr:from>
    <xdr:to>
      <xdr:col>19</xdr:col>
      <xdr:colOff>228600</xdr:colOff>
      <xdr:row>0</xdr:row>
      <xdr:rowOff>0</xdr:rowOff>
    </xdr:to>
    <xdr:sp macro="" textlink="">
      <xdr:nvSpPr>
        <xdr:cNvPr id="5" name="Line 4">
          <a:extLst>
            <a:ext uri="{FF2B5EF4-FFF2-40B4-BE49-F238E27FC236}">
              <a16:creationId xmlns:a16="http://schemas.microsoft.com/office/drawing/2014/main" id="{00000000-0008-0000-0700-000005000000}"/>
            </a:ext>
          </a:extLst>
        </xdr:cNvPr>
        <xdr:cNvSpPr>
          <a:spLocks noChangeShapeType="1"/>
        </xdr:cNvSpPr>
      </xdr:nvSpPr>
      <xdr:spPr bwMode="auto">
        <a:xfrm>
          <a:off x="4486275" y="0"/>
          <a:ext cx="1714500" cy="0"/>
        </a:xfrm>
        <a:prstGeom prst="line">
          <a:avLst/>
        </a:prstGeom>
        <a:noFill/>
        <a:ln w="15875">
          <a:solidFill>
            <a:srgbClr val="000000"/>
          </a:solidFill>
          <a:round/>
          <a:headEnd/>
          <a:tailEnd/>
        </a:ln>
      </xdr:spPr>
    </xdr:sp>
    <xdr:clientData/>
  </xdr:twoCellAnchor>
  <xdr:twoCellAnchor>
    <xdr:from>
      <xdr:col>33</xdr:col>
      <xdr:colOff>0</xdr:colOff>
      <xdr:row>0</xdr:row>
      <xdr:rowOff>0</xdr:rowOff>
    </xdr:from>
    <xdr:to>
      <xdr:col>34</xdr:col>
      <xdr:colOff>95250</xdr:colOff>
      <xdr:row>0</xdr:row>
      <xdr:rowOff>0</xdr:rowOff>
    </xdr:to>
    <xdr:sp macro="" textlink="">
      <xdr:nvSpPr>
        <xdr:cNvPr id="6" name="Text Box 5">
          <a:extLst>
            <a:ext uri="{FF2B5EF4-FFF2-40B4-BE49-F238E27FC236}">
              <a16:creationId xmlns:a16="http://schemas.microsoft.com/office/drawing/2014/main" id="{00000000-0008-0000-0700-000006000000}"/>
            </a:ext>
          </a:extLst>
        </xdr:cNvPr>
        <xdr:cNvSpPr txBox="1">
          <a:spLocks noChangeArrowheads="1"/>
        </xdr:cNvSpPr>
      </xdr:nvSpPr>
      <xdr:spPr bwMode="auto">
        <a:xfrm>
          <a:off x="10372725" y="0"/>
          <a:ext cx="409575" cy="0"/>
        </a:xfrm>
        <a:prstGeom prst="rect">
          <a:avLst/>
        </a:prstGeom>
        <a:solidFill>
          <a:srgbClr val="FFFFFF"/>
        </a:solidFill>
        <a:ln w="9525">
          <a:solidFill>
            <a:srgbClr val="000000"/>
          </a:solidFill>
          <a:miter lim="800000"/>
          <a:headEnd/>
          <a:tailEnd/>
        </a:ln>
      </xdr:spPr>
    </xdr:sp>
    <xdr:clientData/>
  </xdr:twoCellAnchor>
  <xdr:twoCellAnchor>
    <xdr:from>
      <xdr:col>30</xdr:col>
      <xdr:colOff>9525</xdr:colOff>
      <xdr:row>0</xdr:row>
      <xdr:rowOff>0</xdr:rowOff>
    </xdr:from>
    <xdr:to>
      <xdr:col>34</xdr:col>
      <xdr:colOff>323850</xdr:colOff>
      <xdr:row>0</xdr:row>
      <xdr:rowOff>0</xdr:rowOff>
    </xdr:to>
    <xdr:sp macro="" textlink="">
      <xdr:nvSpPr>
        <xdr:cNvPr id="7" name="Text Box 6">
          <a:extLst>
            <a:ext uri="{FF2B5EF4-FFF2-40B4-BE49-F238E27FC236}">
              <a16:creationId xmlns:a16="http://schemas.microsoft.com/office/drawing/2014/main" id="{00000000-0008-0000-0700-000007000000}"/>
            </a:ext>
          </a:extLst>
        </xdr:cNvPr>
        <xdr:cNvSpPr txBox="1">
          <a:spLocks noChangeArrowheads="1"/>
        </xdr:cNvSpPr>
      </xdr:nvSpPr>
      <xdr:spPr bwMode="auto">
        <a:xfrm>
          <a:off x="9439275" y="0"/>
          <a:ext cx="1562100" cy="0"/>
        </a:xfrm>
        <a:prstGeom prst="rect">
          <a:avLst/>
        </a:prstGeom>
        <a:solidFill>
          <a:srgbClr val="FFFFFF"/>
        </a:solidFill>
        <a:ln w="9525">
          <a:solidFill>
            <a:srgbClr val="000000"/>
          </a:solidFill>
          <a:miter lim="800000"/>
          <a:headEnd/>
          <a:tailEnd/>
        </a:ln>
      </xdr:spPr>
    </xdr:sp>
    <xdr:clientData/>
  </xdr:twoCellAnchor>
  <xdr:twoCellAnchor>
    <xdr:from>
      <xdr:col>1</xdr:col>
      <xdr:colOff>95250</xdr:colOff>
      <xdr:row>0</xdr:row>
      <xdr:rowOff>0</xdr:rowOff>
    </xdr:from>
    <xdr:to>
      <xdr:col>6</xdr:col>
      <xdr:colOff>171450</xdr:colOff>
      <xdr:row>0</xdr:row>
      <xdr:rowOff>0</xdr:rowOff>
    </xdr:to>
    <xdr:sp macro="" textlink="">
      <xdr:nvSpPr>
        <xdr:cNvPr id="8" name="Line 7">
          <a:extLst>
            <a:ext uri="{FF2B5EF4-FFF2-40B4-BE49-F238E27FC236}">
              <a16:creationId xmlns:a16="http://schemas.microsoft.com/office/drawing/2014/main" id="{00000000-0008-0000-0700-000008000000}"/>
            </a:ext>
          </a:extLst>
        </xdr:cNvPr>
        <xdr:cNvSpPr>
          <a:spLocks noChangeShapeType="1"/>
        </xdr:cNvSpPr>
      </xdr:nvSpPr>
      <xdr:spPr bwMode="auto">
        <a:xfrm>
          <a:off x="409575" y="0"/>
          <a:ext cx="1647825" cy="0"/>
        </a:xfrm>
        <a:prstGeom prst="line">
          <a:avLst/>
        </a:prstGeom>
        <a:noFill/>
        <a:ln w="15875">
          <a:solidFill>
            <a:srgbClr val="000000"/>
          </a:solidFill>
          <a:round/>
          <a:headEnd/>
          <a:tailEnd/>
        </a:ln>
      </xdr:spPr>
    </xdr:sp>
    <xdr:clientData/>
  </xdr:twoCellAnchor>
  <xdr:twoCellAnchor>
    <xdr:from>
      <xdr:col>14</xdr:col>
      <xdr:colOff>209550</xdr:colOff>
      <xdr:row>0</xdr:row>
      <xdr:rowOff>0</xdr:rowOff>
    </xdr:from>
    <xdr:to>
      <xdr:col>20</xdr:col>
      <xdr:colOff>85725</xdr:colOff>
      <xdr:row>0</xdr:row>
      <xdr:rowOff>0</xdr:rowOff>
    </xdr:to>
    <xdr:sp macro="" textlink="">
      <xdr:nvSpPr>
        <xdr:cNvPr id="9" name="Line 8">
          <a:extLst>
            <a:ext uri="{FF2B5EF4-FFF2-40B4-BE49-F238E27FC236}">
              <a16:creationId xmlns:a16="http://schemas.microsoft.com/office/drawing/2014/main" id="{00000000-0008-0000-0700-000009000000}"/>
            </a:ext>
          </a:extLst>
        </xdr:cNvPr>
        <xdr:cNvSpPr>
          <a:spLocks noChangeShapeType="1"/>
        </xdr:cNvSpPr>
      </xdr:nvSpPr>
      <xdr:spPr bwMode="auto">
        <a:xfrm>
          <a:off x="4610100" y="0"/>
          <a:ext cx="1762125" cy="0"/>
        </a:xfrm>
        <a:prstGeom prst="line">
          <a:avLst/>
        </a:prstGeom>
        <a:noFill/>
        <a:ln w="15875">
          <a:solidFill>
            <a:srgbClr val="000000"/>
          </a:solidFill>
          <a:round/>
          <a:headEnd/>
          <a:tailEnd/>
        </a:ln>
      </xdr:spPr>
    </xdr:sp>
    <xdr:clientData/>
  </xdr:twoCellAnchor>
  <xdr:twoCellAnchor>
    <xdr:from>
      <xdr:col>33</xdr:col>
      <xdr:colOff>0</xdr:colOff>
      <xdr:row>0</xdr:row>
      <xdr:rowOff>0</xdr:rowOff>
    </xdr:from>
    <xdr:to>
      <xdr:col>34</xdr:col>
      <xdr:colOff>95250</xdr:colOff>
      <xdr:row>0</xdr:row>
      <xdr:rowOff>0</xdr:rowOff>
    </xdr:to>
    <xdr:sp macro="" textlink="">
      <xdr:nvSpPr>
        <xdr:cNvPr id="10" name="Text Box 9">
          <a:extLst>
            <a:ext uri="{FF2B5EF4-FFF2-40B4-BE49-F238E27FC236}">
              <a16:creationId xmlns:a16="http://schemas.microsoft.com/office/drawing/2014/main" id="{00000000-0008-0000-0700-00000A000000}"/>
            </a:ext>
          </a:extLst>
        </xdr:cNvPr>
        <xdr:cNvSpPr txBox="1">
          <a:spLocks noChangeArrowheads="1"/>
        </xdr:cNvSpPr>
      </xdr:nvSpPr>
      <xdr:spPr bwMode="auto">
        <a:xfrm>
          <a:off x="10372725" y="0"/>
          <a:ext cx="409575" cy="0"/>
        </a:xfrm>
        <a:prstGeom prst="rect">
          <a:avLst/>
        </a:prstGeom>
        <a:solidFill>
          <a:srgbClr val="FFFFFF"/>
        </a:solidFill>
        <a:ln w="9525">
          <a:solidFill>
            <a:srgbClr val="000000"/>
          </a:solidFill>
          <a:miter lim="800000"/>
          <a:headEnd/>
          <a:tailEnd/>
        </a:ln>
      </xdr:spPr>
    </xdr:sp>
    <xdr:clientData/>
  </xdr:twoCellAnchor>
  <xdr:twoCellAnchor>
    <xdr:from>
      <xdr:col>30</xdr:col>
      <xdr:colOff>9525</xdr:colOff>
      <xdr:row>0</xdr:row>
      <xdr:rowOff>0</xdr:rowOff>
    </xdr:from>
    <xdr:to>
      <xdr:col>34</xdr:col>
      <xdr:colOff>323850</xdr:colOff>
      <xdr:row>0</xdr:row>
      <xdr:rowOff>0</xdr:rowOff>
    </xdr:to>
    <xdr:sp macro="" textlink="">
      <xdr:nvSpPr>
        <xdr:cNvPr id="11" name="Text Box 10">
          <a:extLst>
            <a:ext uri="{FF2B5EF4-FFF2-40B4-BE49-F238E27FC236}">
              <a16:creationId xmlns:a16="http://schemas.microsoft.com/office/drawing/2014/main" id="{00000000-0008-0000-0700-00000B000000}"/>
            </a:ext>
          </a:extLst>
        </xdr:cNvPr>
        <xdr:cNvSpPr txBox="1">
          <a:spLocks noChangeArrowheads="1"/>
        </xdr:cNvSpPr>
      </xdr:nvSpPr>
      <xdr:spPr bwMode="auto">
        <a:xfrm>
          <a:off x="9439275" y="0"/>
          <a:ext cx="1562100" cy="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35</xdr:col>
      <xdr:colOff>0</xdr:colOff>
      <xdr:row>0</xdr:row>
      <xdr:rowOff>0</xdr:rowOff>
    </xdr:from>
    <xdr:to>
      <xdr:col>36</xdr:col>
      <xdr:colOff>95250</xdr:colOff>
      <xdr:row>0</xdr:row>
      <xdr:rowOff>0</xdr:rowOff>
    </xdr:to>
    <xdr:sp macro="" textlink="">
      <xdr:nvSpPr>
        <xdr:cNvPr id="2" name="Text Box 1">
          <a:extLst>
            <a:ext uri="{FF2B5EF4-FFF2-40B4-BE49-F238E27FC236}">
              <a16:creationId xmlns:a16="http://schemas.microsoft.com/office/drawing/2014/main" id="{00000000-0008-0000-0600-000002000000}"/>
            </a:ext>
          </a:extLst>
        </xdr:cNvPr>
        <xdr:cNvSpPr txBox="1">
          <a:spLocks noChangeArrowheads="1"/>
        </xdr:cNvSpPr>
      </xdr:nvSpPr>
      <xdr:spPr bwMode="auto">
        <a:xfrm>
          <a:off x="11001375" y="0"/>
          <a:ext cx="409575" cy="0"/>
        </a:xfrm>
        <a:prstGeom prst="rect">
          <a:avLst/>
        </a:prstGeom>
        <a:solidFill>
          <a:srgbClr val="FFFFFF"/>
        </a:solidFill>
        <a:ln w="9525">
          <a:solidFill>
            <a:srgbClr val="000000"/>
          </a:solidFill>
          <a:miter lim="800000"/>
          <a:headEnd/>
          <a:tailEnd/>
        </a:ln>
      </xdr:spPr>
    </xdr:sp>
    <xdr:clientData/>
  </xdr:twoCellAnchor>
  <xdr:twoCellAnchor>
    <xdr:from>
      <xdr:col>32</xdr:col>
      <xdr:colOff>177800</xdr:colOff>
      <xdr:row>0</xdr:row>
      <xdr:rowOff>0</xdr:rowOff>
    </xdr:from>
    <xdr:to>
      <xdr:col>36</xdr:col>
      <xdr:colOff>92115</xdr:colOff>
      <xdr:row>0</xdr:row>
      <xdr:rowOff>0</xdr:rowOff>
    </xdr:to>
    <xdr:sp macro="" textlink="">
      <xdr:nvSpPr>
        <xdr:cNvPr id="3" name="Text Box 2">
          <a:extLst>
            <a:ext uri="{FF2B5EF4-FFF2-40B4-BE49-F238E27FC236}">
              <a16:creationId xmlns:a16="http://schemas.microsoft.com/office/drawing/2014/main" id="{00000000-0008-0000-0600-000003000000}"/>
            </a:ext>
          </a:extLst>
        </xdr:cNvPr>
        <xdr:cNvSpPr txBox="1">
          <a:spLocks noChangeArrowheads="1"/>
        </xdr:cNvSpPr>
      </xdr:nvSpPr>
      <xdr:spPr bwMode="auto">
        <a:xfrm>
          <a:off x="10236200" y="0"/>
          <a:ext cx="1171615"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s-ES" sz="1000" b="1" i="0" strike="noStrike">
              <a:solidFill>
                <a:srgbClr val="000000"/>
              </a:solidFill>
              <a:latin typeface="Arial"/>
              <a:cs typeface="Arial"/>
            </a:rPr>
            <a:t>0000000000</a:t>
          </a:r>
        </a:p>
      </xdr:txBody>
    </xdr:sp>
    <xdr:clientData/>
  </xdr:twoCellAnchor>
  <xdr:twoCellAnchor>
    <xdr:from>
      <xdr:col>1</xdr:col>
      <xdr:colOff>85725</xdr:colOff>
      <xdr:row>0</xdr:row>
      <xdr:rowOff>0</xdr:rowOff>
    </xdr:from>
    <xdr:to>
      <xdr:col>6</xdr:col>
      <xdr:colOff>161925</xdr:colOff>
      <xdr:row>0</xdr:row>
      <xdr:rowOff>0</xdr:rowOff>
    </xdr:to>
    <xdr:sp macro="" textlink="">
      <xdr:nvSpPr>
        <xdr:cNvPr id="4" name="Line 3">
          <a:extLst>
            <a:ext uri="{FF2B5EF4-FFF2-40B4-BE49-F238E27FC236}">
              <a16:creationId xmlns:a16="http://schemas.microsoft.com/office/drawing/2014/main" id="{00000000-0008-0000-0600-000004000000}"/>
            </a:ext>
          </a:extLst>
        </xdr:cNvPr>
        <xdr:cNvSpPr>
          <a:spLocks noChangeShapeType="1"/>
        </xdr:cNvSpPr>
      </xdr:nvSpPr>
      <xdr:spPr bwMode="auto">
        <a:xfrm>
          <a:off x="400050" y="0"/>
          <a:ext cx="1647825" cy="0"/>
        </a:xfrm>
        <a:prstGeom prst="line">
          <a:avLst/>
        </a:prstGeom>
        <a:noFill/>
        <a:ln w="15875">
          <a:solidFill>
            <a:srgbClr val="000000"/>
          </a:solidFill>
          <a:round/>
          <a:headEnd/>
          <a:tailEnd/>
        </a:ln>
      </xdr:spPr>
    </xdr:sp>
    <xdr:clientData/>
  </xdr:twoCellAnchor>
  <xdr:twoCellAnchor>
    <xdr:from>
      <xdr:col>14</xdr:col>
      <xdr:colOff>85725</xdr:colOff>
      <xdr:row>0</xdr:row>
      <xdr:rowOff>0</xdr:rowOff>
    </xdr:from>
    <xdr:to>
      <xdr:col>19</xdr:col>
      <xdr:colOff>228600</xdr:colOff>
      <xdr:row>0</xdr:row>
      <xdr:rowOff>0</xdr:rowOff>
    </xdr:to>
    <xdr:sp macro="" textlink="">
      <xdr:nvSpPr>
        <xdr:cNvPr id="5" name="Line 4">
          <a:extLst>
            <a:ext uri="{FF2B5EF4-FFF2-40B4-BE49-F238E27FC236}">
              <a16:creationId xmlns:a16="http://schemas.microsoft.com/office/drawing/2014/main" id="{00000000-0008-0000-0600-000005000000}"/>
            </a:ext>
          </a:extLst>
        </xdr:cNvPr>
        <xdr:cNvSpPr>
          <a:spLocks noChangeShapeType="1"/>
        </xdr:cNvSpPr>
      </xdr:nvSpPr>
      <xdr:spPr bwMode="auto">
        <a:xfrm>
          <a:off x="4486275" y="0"/>
          <a:ext cx="1714500" cy="0"/>
        </a:xfrm>
        <a:prstGeom prst="line">
          <a:avLst/>
        </a:prstGeom>
        <a:noFill/>
        <a:ln w="15875">
          <a:solidFill>
            <a:srgbClr val="000000"/>
          </a:solidFill>
          <a:round/>
          <a:headEnd/>
          <a:tailEnd/>
        </a:ln>
      </xdr:spPr>
    </xdr:sp>
    <xdr:clientData/>
  </xdr:twoCellAnchor>
  <xdr:twoCellAnchor>
    <xdr:from>
      <xdr:col>35</xdr:col>
      <xdr:colOff>0</xdr:colOff>
      <xdr:row>0</xdr:row>
      <xdr:rowOff>0</xdr:rowOff>
    </xdr:from>
    <xdr:to>
      <xdr:col>36</xdr:col>
      <xdr:colOff>95250</xdr:colOff>
      <xdr:row>0</xdr:row>
      <xdr:rowOff>0</xdr:rowOff>
    </xdr:to>
    <xdr:sp macro="" textlink="">
      <xdr:nvSpPr>
        <xdr:cNvPr id="6" name="Text Box 5">
          <a:extLst>
            <a:ext uri="{FF2B5EF4-FFF2-40B4-BE49-F238E27FC236}">
              <a16:creationId xmlns:a16="http://schemas.microsoft.com/office/drawing/2014/main" id="{00000000-0008-0000-0600-000006000000}"/>
            </a:ext>
          </a:extLst>
        </xdr:cNvPr>
        <xdr:cNvSpPr txBox="1">
          <a:spLocks noChangeArrowheads="1"/>
        </xdr:cNvSpPr>
      </xdr:nvSpPr>
      <xdr:spPr bwMode="auto">
        <a:xfrm>
          <a:off x="11001375" y="0"/>
          <a:ext cx="409575" cy="0"/>
        </a:xfrm>
        <a:prstGeom prst="rect">
          <a:avLst/>
        </a:prstGeom>
        <a:solidFill>
          <a:srgbClr val="FFFFFF"/>
        </a:solidFill>
        <a:ln w="9525">
          <a:solidFill>
            <a:srgbClr val="000000"/>
          </a:solidFill>
          <a:miter lim="800000"/>
          <a:headEnd/>
          <a:tailEnd/>
        </a:ln>
      </xdr:spPr>
    </xdr:sp>
    <xdr:clientData/>
  </xdr:twoCellAnchor>
  <xdr:twoCellAnchor>
    <xdr:from>
      <xdr:col>33</xdr:col>
      <xdr:colOff>9525</xdr:colOff>
      <xdr:row>0</xdr:row>
      <xdr:rowOff>0</xdr:rowOff>
    </xdr:from>
    <xdr:to>
      <xdr:col>36</xdr:col>
      <xdr:colOff>323850</xdr:colOff>
      <xdr:row>0</xdr:row>
      <xdr:rowOff>0</xdr:rowOff>
    </xdr:to>
    <xdr:sp macro="" textlink="">
      <xdr:nvSpPr>
        <xdr:cNvPr id="7" name="Text Box 6">
          <a:extLst>
            <a:ext uri="{FF2B5EF4-FFF2-40B4-BE49-F238E27FC236}">
              <a16:creationId xmlns:a16="http://schemas.microsoft.com/office/drawing/2014/main" id="{00000000-0008-0000-0600-000007000000}"/>
            </a:ext>
          </a:extLst>
        </xdr:cNvPr>
        <xdr:cNvSpPr txBox="1">
          <a:spLocks noChangeArrowheads="1"/>
        </xdr:cNvSpPr>
      </xdr:nvSpPr>
      <xdr:spPr bwMode="auto">
        <a:xfrm>
          <a:off x="10382250" y="0"/>
          <a:ext cx="1247775" cy="0"/>
        </a:xfrm>
        <a:prstGeom prst="rect">
          <a:avLst/>
        </a:prstGeom>
        <a:solidFill>
          <a:srgbClr val="FFFFFF"/>
        </a:solidFill>
        <a:ln w="9525">
          <a:solidFill>
            <a:srgbClr val="000000"/>
          </a:solidFill>
          <a:miter lim="800000"/>
          <a:headEnd/>
          <a:tailEnd/>
        </a:ln>
      </xdr:spPr>
    </xdr:sp>
    <xdr:clientData/>
  </xdr:twoCellAnchor>
  <xdr:twoCellAnchor>
    <xdr:from>
      <xdr:col>1</xdr:col>
      <xdr:colOff>95250</xdr:colOff>
      <xdr:row>0</xdr:row>
      <xdr:rowOff>0</xdr:rowOff>
    </xdr:from>
    <xdr:to>
      <xdr:col>6</xdr:col>
      <xdr:colOff>171450</xdr:colOff>
      <xdr:row>0</xdr:row>
      <xdr:rowOff>0</xdr:rowOff>
    </xdr:to>
    <xdr:sp macro="" textlink="">
      <xdr:nvSpPr>
        <xdr:cNvPr id="8" name="Line 7">
          <a:extLst>
            <a:ext uri="{FF2B5EF4-FFF2-40B4-BE49-F238E27FC236}">
              <a16:creationId xmlns:a16="http://schemas.microsoft.com/office/drawing/2014/main" id="{00000000-0008-0000-0600-000008000000}"/>
            </a:ext>
          </a:extLst>
        </xdr:cNvPr>
        <xdr:cNvSpPr>
          <a:spLocks noChangeShapeType="1"/>
        </xdr:cNvSpPr>
      </xdr:nvSpPr>
      <xdr:spPr bwMode="auto">
        <a:xfrm>
          <a:off x="409575" y="0"/>
          <a:ext cx="1647825" cy="0"/>
        </a:xfrm>
        <a:prstGeom prst="line">
          <a:avLst/>
        </a:prstGeom>
        <a:noFill/>
        <a:ln w="15875">
          <a:solidFill>
            <a:srgbClr val="000000"/>
          </a:solidFill>
          <a:round/>
          <a:headEnd/>
          <a:tailEnd/>
        </a:ln>
      </xdr:spPr>
    </xdr:sp>
    <xdr:clientData/>
  </xdr:twoCellAnchor>
  <xdr:twoCellAnchor>
    <xdr:from>
      <xdr:col>14</xdr:col>
      <xdr:colOff>209550</xdr:colOff>
      <xdr:row>0</xdr:row>
      <xdr:rowOff>0</xdr:rowOff>
    </xdr:from>
    <xdr:to>
      <xdr:col>20</xdr:col>
      <xdr:colOff>85725</xdr:colOff>
      <xdr:row>0</xdr:row>
      <xdr:rowOff>0</xdr:rowOff>
    </xdr:to>
    <xdr:sp macro="" textlink="">
      <xdr:nvSpPr>
        <xdr:cNvPr id="9" name="Line 8">
          <a:extLst>
            <a:ext uri="{FF2B5EF4-FFF2-40B4-BE49-F238E27FC236}">
              <a16:creationId xmlns:a16="http://schemas.microsoft.com/office/drawing/2014/main" id="{00000000-0008-0000-0600-000009000000}"/>
            </a:ext>
          </a:extLst>
        </xdr:cNvPr>
        <xdr:cNvSpPr>
          <a:spLocks noChangeShapeType="1"/>
        </xdr:cNvSpPr>
      </xdr:nvSpPr>
      <xdr:spPr bwMode="auto">
        <a:xfrm>
          <a:off x="4610100" y="0"/>
          <a:ext cx="1762125" cy="0"/>
        </a:xfrm>
        <a:prstGeom prst="line">
          <a:avLst/>
        </a:prstGeom>
        <a:noFill/>
        <a:ln w="1587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6517</xdr:colOff>
      <xdr:row>4</xdr:row>
      <xdr:rowOff>0</xdr:rowOff>
    </xdr:from>
    <xdr:to>
      <xdr:col>13</xdr:col>
      <xdr:colOff>6517</xdr:colOff>
      <xdr:row>4</xdr:row>
      <xdr:rowOff>2507</xdr:rowOff>
    </xdr:to>
    <xdr:sp macro="" textlink="">
      <xdr:nvSpPr>
        <xdr:cNvPr id="2" name="AutoShape 109">
          <a:extLst>
            <a:ext uri="{FF2B5EF4-FFF2-40B4-BE49-F238E27FC236}">
              <a16:creationId xmlns:a16="http://schemas.microsoft.com/office/drawing/2014/main" id="{00000000-0008-0000-0100-000002000000}"/>
            </a:ext>
          </a:extLst>
        </xdr:cNvPr>
        <xdr:cNvSpPr>
          <a:spLocks noChangeArrowheads="1"/>
        </xdr:cNvSpPr>
      </xdr:nvSpPr>
      <xdr:spPr bwMode="auto">
        <a:xfrm>
          <a:off x="11065042" y="120015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6</xdr:col>
      <xdr:colOff>6517</xdr:colOff>
      <xdr:row>4</xdr:row>
      <xdr:rowOff>0</xdr:rowOff>
    </xdr:from>
    <xdr:to>
      <xdr:col>6</xdr:col>
      <xdr:colOff>6517</xdr:colOff>
      <xdr:row>4</xdr:row>
      <xdr:rowOff>2507</xdr:rowOff>
    </xdr:to>
    <xdr:sp macro="" textlink="">
      <xdr:nvSpPr>
        <xdr:cNvPr id="3" name="AutoShape 109">
          <a:extLst>
            <a:ext uri="{FF2B5EF4-FFF2-40B4-BE49-F238E27FC236}">
              <a16:creationId xmlns:a16="http://schemas.microsoft.com/office/drawing/2014/main" id="{00000000-0008-0000-0100-000003000000}"/>
            </a:ext>
          </a:extLst>
        </xdr:cNvPr>
        <xdr:cNvSpPr>
          <a:spLocks noChangeArrowheads="1"/>
        </xdr:cNvSpPr>
      </xdr:nvSpPr>
      <xdr:spPr bwMode="auto">
        <a:xfrm>
          <a:off x="5588167" y="120015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3</xdr:col>
      <xdr:colOff>6517</xdr:colOff>
      <xdr:row>4</xdr:row>
      <xdr:rowOff>0</xdr:rowOff>
    </xdr:from>
    <xdr:to>
      <xdr:col>3</xdr:col>
      <xdr:colOff>6517</xdr:colOff>
      <xdr:row>4</xdr:row>
      <xdr:rowOff>2507</xdr:rowOff>
    </xdr:to>
    <xdr:sp macro="" textlink="">
      <xdr:nvSpPr>
        <xdr:cNvPr id="4" name="AutoShape 109">
          <a:extLst>
            <a:ext uri="{FF2B5EF4-FFF2-40B4-BE49-F238E27FC236}">
              <a16:creationId xmlns:a16="http://schemas.microsoft.com/office/drawing/2014/main" id="{00000000-0008-0000-0100-000004000000}"/>
            </a:ext>
          </a:extLst>
        </xdr:cNvPr>
        <xdr:cNvSpPr>
          <a:spLocks noChangeArrowheads="1"/>
        </xdr:cNvSpPr>
      </xdr:nvSpPr>
      <xdr:spPr bwMode="auto">
        <a:xfrm>
          <a:off x="3930817" y="120015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3</xdr:col>
      <xdr:colOff>6517</xdr:colOff>
      <xdr:row>4</xdr:row>
      <xdr:rowOff>0</xdr:rowOff>
    </xdr:from>
    <xdr:to>
      <xdr:col>3</xdr:col>
      <xdr:colOff>6517</xdr:colOff>
      <xdr:row>4</xdr:row>
      <xdr:rowOff>2507</xdr:rowOff>
    </xdr:to>
    <xdr:sp macro="" textlink="">
      <xdr:nvSpPr>
        <xdr:cNvPr id="5" name="AutoShape 109">
          <a:extLst>
            <a:ext uri="{FF2B5EF4-FFF2-40B4-BE49-F238E27FC236}">
              <a16:creationId xmlns:a16="http://schemas.microsoft.com/office/drawing/2014/main" id="{00000000-0008-0000-0100-000005000000}"/>
            </a:ext>
          </a:extLst>
        </xdr:cNvPr>
        <xdr:cNvSpPr>
          <a:spLocks noChangeArrowheads="1"/>
        </xdr:cNvSpPr>
      </xdr:nvSpPr>
      <xdr:spPr bwMode="auto">
        <a:xfrm>
          <a:off x="3930817" y="120015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3</xdr:col>
      <xdr:colOff>6517</xdr:colOff>
      <xdr:row>4</xdr:row>
      <xdr:rowOff>0</xdr:rowOff>
    </xdr:from>
    <xdr:to>
      <xdr:col>3</xdr:col>
      <xdr:colOff>6517</xdr:colOff>
      <xdr:row>4</xdr:row>
      <xdr:rowOff>2507</xdr:rowOff>
    </xdr:to>
    <xdr:sp macro="" textlink="">
      <xdr:nvSpPr>
        <xdr:cNvPr id="6" name="AutoShape 109">
          <a:extLst>
            <a:ext uri="{FF2B5EF4-FFF2-40B4-BE49-F238E27FC236}">
              <a16:creationId xmlns:a16="http://schemas.microsoft.com/office/drawing/2014/main" id="{00000000-0008-0000-0100-000006000000}"/>
            </a:ext>
          </a:extLst>
        </xdr:cNvPr>
        <xdr:cNvSpPr>
          <a:spLocks noChangeArrowheads="1"/>
        </xdr:cNvSpPr>
      </xdr:nvSpPr>
      <xdr:spPr bwMode="auto">
        <a:xfrm>
          <a:off x="3930817" y="120015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6517</xdr:colOff>
      <xdr:row>4</xdr:row>
      <xdr:rowOff>0</xdr:rowOff>
    </xdr:from>
    <xdr:to>
      <xdr:col>3</xdr:col>
      <xdr:colOff>6517</xdr:colOff>
      <xdr:row>4</xdr:row>
      <xdr:rowOff>2507</xdr:rowOff>
    </xdr:to>
    <xdr:sp macro="" textlink="">
      <xdr:nvSpPr>
        <xdr:cNvPr id="2" name="AutoShape 109">
          <a:extLst>
            <a:ext uri="{FF2B5EF4-FFF2-40B4-BE49-F238E27FC236}">
              <a16:creationId xmlns:a16="http://schemas.microsoft.com/office/drawing/2014/main" id="{00000000-0008-0000-0300-000002000000}"/>
            </a:ext>
          </a:extLst>
        </xdr:cNvPr>
        <xdr:cNvSpPr>
          <a:spLocks noChangeArrowheads="1"/>
        </xdr:cNvSpPr>
      </xdr:nvSpPr>
      <xdr:spPr bwMode="auto">
        <a:xfrm>
          <a:off x="4445167" y="120015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3</xdr:col>
      <xdr:colOff>6517</xdr:colOff>
      <xdr:row>4</xdr:row>
      <xdr:rowOff>0</xdr:rowOff>
    </xdr:from>
    <xdr:to>
      <xdr:col>3</xdr:col>
      <xdr:colOff>6517</xdr:colOff>
      <xdr:row>4</xdr:row>
      <xdr:rowOff>2507</xdr:rowOff>
    </xdr:to>
    <xdr:sp macro="" textlink="">
      <xdr:nvSpPr>
        <xdr:cNvPr id="3" name="AutoShape 109">
          <a:extLst>
            <a:ext uri="{FF2B5EF4-FFF2-40B4-BE49-F238E27FC236}">
              <a16:creationId xmlns:a16="http://schemas.microsoft.com/office/drawing/2014/main" id="{00000000-0008-0000-0300-000003000000}"/>
            </a:ext>
          </a:extLst>
        </xdr:cNvPr>
        <xdr:cNvSpPr>
          <a:spLocks noChangeArrowheads="1"/>
        </xdr:cNvSpPr>
      </xdr:nvSpPr>
      <xdr:spPr bwMode="auto">
        <a:xfrm>
          <a:off x="4445167" y="120015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3</xdr:col>
      <xdr:colOff>6517</xdr:colOff>
      <xdr:row>4</xdr:row>
      <xdr:rowOff>0</xdr:rowOff>
    </xdr:from>
    <xdr:to>
      <xdr:col>3</xdr:col>
      <xdr:colOff>6517</xdr:colOff>
      <xdr:row>4</xdr:row>
      <xdr:rowOff>2507</xdr:rowOff>
    </xdr:to>
    <xdr:sp macro="" textlink="">
      <xdr:nvSpPr>
        <xdr:cNvPr id="4" name="AutoShape 109">
          <a:extLst>
            <a:ext uri="{FF2B5EF4-FFF2-40B4-BE49-F238E27FC236}">
              <a16:creationId xmlns:a16="http://schemas.microsoft.com/office/drawing/2014/main" id="{00000000-0008-0000-0300-000004000000}"/>
            </a:ext>
          </a:extLst>
        </xdr:cNvPr>
        <xdr:cNvSpPr>
          <a:spLocks noChangeArrowheads="1"/>
        </xdr:cNvSpPr>
      </xdr:nvSpPr>
      <xdr:spPr bwMode="auto">
        <a:xfrm>
          <a:off x="4445167" y="120015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26</xdr:col>
      <xdr:colOff>6517</xdr:colOff>
      <xdr:row>3</xdr:row>
      <xdr:rowOff>285750</xdr:rowOff>
    </xdr:from>
    <xdr:to>
      <xdr:col>26</xdr:col>
      <xdr:colOff>6517</xdr:colOff>
      <xdr:row>5</xdr:row>
      <xdr:rowOff>2507</xdr:rowOff>
    </xdr:to>
    <xdr:sp macro="" textlink="">
      <xdr:nvSpPr>
        <xdr:cNvPr id="2" name="AutoShape 109">
          <a:extLst>
            <a:ext uri="{FF2B5EF4-FFF2-40B4-BE49-F238E27FC236}">
              <a16:creationId xmlns:a16="http://schemas.microsoft.com/office/drawing/2014/main" id="{00000000-0008-0000-0200-000002000000}"/>
            </a:ext>
          </a:extLst>
        </xdr:cNvPr>
        <xdr:cNvSpPr>
          <a:spLocks noChangeArrowheads="1"/>
        </xdr:cNvSpPr>
      </xdr:nvSpPr>
      <xdr:spPr bwMode="auto">
        <a:xfrm>
          <a:off x="17561092" y="1190625"/>
          <a:ext cx="0" cy="12032"/>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13</xdr:col>
      <xdr:colOff>6517</xdr:colOff>
      <xdr:row>3</xdr:row>
      <xdr:rowOff>285750</xdr:rowOff>
    </xdr:from>
    <xdr:to>
      <xdr:col>13</xdr:col>
      <xdr:colOff>6517</xdr:colOff>
      <xdr:row>5</xdr:row>
      <xdr:rowOff>2507</xdr:rowOff>
    </xdr:to>
    <xdr:sp macro="" textlink="">
      <xdr:nvSpPr>
        <xdr:cNvPr id="3" name="AutoShape 109">
          <a:extLst>
            <a:ext uri="{FF2B5EF4-FFF2-40B4-BE49-F238E27FC236}">
              <a16:creationId xmlns:a16="http://schemas.microsoft.com/office/drawing/2014/main" id="{00000000-0008-0000-0200-000003000000}"/>
            </a:ext>
          </a:extLst>
        </xdr:cNvPr>
        <xdr:cNvSpPr>
          <a:spLocks noChangeArrowheads="1"/>
        </xdr:cNvSpPr>
      </xdr:nvSpPr>
      <xdr:spPr bwMode="auto">
        <a:xfrm>
          <a:off x="9226717" y="1190625"/>
          <a:ext cx="0" cy="12032"/>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11</xdr:col>
      <xdr:colOff>6517</xdr:colOff>
      <xdr:row>3</xdr:row>
      <xdr:rowOff>285750</xdr:rowOff>
    </xdr:from>
    <xdr:to>
      <xdr:col>11</xdr:col>
      <xdr:colOff>6517</xdr:colOff>
      <xdr:row>5</xdr:row>
      <xdr:rowOff>2507</xdr:rowOff>
    </xdr:to>
    <xdr:sp macro="" textlink="">
      <xdr:nvSpPr>
        <xdr:cNvPr id="4" name="AutoShape 109">
          <a:extLst>
            <a:ext uri="{FF2B5EF4-FFF2-40B4-BE49-F238E27FC236}">
              <a16:creationId xmlns:a16="http://schemas.microsoft.com/office/drawing/2014/main" id="{00000000-0008-0000-0200-000004000000}"/>
            </a:ext>
          </a:extLst>
        </xdr:cNvPr>
        <xdr:cNvSpPr>
          <a:spLocks noChangeArrowheads="1"/>
        </xdr:cNvSpPr>
      </xdr:nvSpPr>
      <xdr:spPr bwMode="auto">
        <a:xfrm>
          <a:off x="7721767" y="1190625"/>
          <a:ext cx="0" cy="12032"/>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11</xdr:col>
      <xdr:colOff>6517</xdr:colOff>
      <xdr:row>3</xdr:row>
      <xdr:rowOff>285750</xdr:rowOff>
    </xdr:from>
    <xdr:to>
      <xdr:col>11</xdr:col>
      <xdr:colOff>6517</xdr:colOff>
      <xdr:row>5</xdr:row>
      <xdr:rowOff>2507</xdr:rowOff>
    </xdr:to>
    <xdr:sp macro="" textlink="">
      <xdr:nvSpPr>
        <xdr:cNvPr id="5" name="AutoShape 109">
          <a:extLst>
            <a:ext uri="{FF2B5EF4-FFF2-40B4-BE49-F238E27FC236}">
              <a16:creationId xmlns:a16="http://schemas.microsoft.com/office/drawing/2014/main" id="{00000000-0008-0000-0200-000005000000}"/>
            </a:ext>
          </a:extLst>
        </xdr:cNvPr>
        <xdr:cNvSpPr>
          <a:spLocks noChangeArrowheads="1"/>
        </xdr:cNvSpPr>
      </xdr:nvSpPr>
      <xdr:spPr bwMode="auto">
        <a:xfrm>
          <a:off x="7721767" y="1190625"/>
          <a:ext cx="0" cy="12032"/>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11</xdr:col>
      <xdr:colOff>6517</xdr:colOff>
      <xdr:row>3</xdr:row>
      <xdr:rowOff>285750</xdr:rowOff>
    </xdr:from>
    <xdr:to>
      <xdr:col>11</xdr:col>
      <xdr:colOff>6517</xdr:colOff>
      <xdr:row>5</xdr:row>
      <xdr:rowOff>2507</xdr:rowOff>
    </xdr:to>
    <xdr:sp macro="" textlink="">
      <xdr:nvSpPr>
        <xdr:cNvPr id="6" name="AutoShape 109">
          <a:extLst>
            <a:ext uri="{FF2B5EF4-FFF2-40B4-BE49-F238E27FC236}">
              <a16:creationId xmlns:a16="http://schemas.microsoft.com/office/drawing/2014/main" id="{00000000-0008-0000-0200-000006000000}"/>
            </a:ext>
          </a:extLst>
        </xdr:cNvPr>
        <xdr:cNvSpPr>
          <a:spLocks noChangeArrowheads="1"/>
        </xdr:cNvSpPr>
      </xdr:nvSpPr>
      <xdr:spPr bwMode="auto">
        <a:xfrm>
          <a:off x="7721767" y="1190625"/>
          <a:ext cx="0" cy="12032"/>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6</xdr:col>
      <xdr:colOff>6517</xdr:colOff>
      <xdr:row>4</xdr:row>
      <xdr:rowOff>0</xdr:rowOff>
    </xdr:from>
    <xdr:to>
      <xdr:col>6</xdr:col>
      <xdr:colOff>6517</xdr:colOff>
      <xdr:row>4</xdr:row>
      <xdr:rowOff>2507</xdr:rowOff>
    </xdr:to>
    <xdr:sp macro="" textlink="">
      <xdr:nvSpPr>
        <xdr:cNvPr id="11" name="AutoShape 109">
          <a:extLst>
            <a:ext uri="{FF2B5EF4-FFF2-40B4-BE49-F238E27FC236}">
              <a16:creationId xmlns:a16="http://schemas.microsoft.com/office/drawing/2014/main" id="{8972F4DC-6241-4623-B91E-02E4E7912CF6}"/>
            </a:ext>
          </a:extLst>
        </xdr:cNvPr>
        <xdr:cNvSpPr>
          <a:spLocks noChangeArrowheads="1"/>
        </xdr:cNvSpPr>
      </xdr:nvSpPr>
      <xdr:spPr bwMode="auto">
        <a:xfrm>
          <a:off x="4210217" y="68580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6</xdr:col>
      <xdr:colOff>6517</xdr:colOff>
      <xdr:row>4</xdr:row>
      <xdr:rowOff>0</xdr:rowOff>
    </xdr:from>
    <xdr:to>
      <xdr:col>6</xdr:col>
      <xdr:colOff>6517</xdr:colOff>
      <xdr:row>4</xdr:row>
      <xdr:rowOff>2507</xdr:rowOff>
    </xdr:to>
    <xdr:sp macro="" textlink="">
      <xdr:nvSpPr>
        <xdr:cNvPr id="12" name="AutoShape 109">
          <a:extLst>
            <a:ext uri="{FF2B5EF4-FFF2-40B4-BE49-F238E27FC236}">
              <a16:creationId xmlns:a16="http://schemas.microsoft.com/office/drawing/2014/main" id="{0A4E84F4-E18E-4E28-95C8-ED8750343D61}"/>
            </a:ext>
          </a:extLst>
        </xdr:cNvPr>
        <xdr:cNvSpPr>
          <a:spLocks noChangeArrowheads="1"/>
        </xdr:cNvSpPr>
      </xdr:nvSpPr>
      <xdr:spPr bwMode="auto">
        <a:xfrm>
          <a:off x="4210217" y="68580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6</xdr:col>
      <xdr:colOff>6517</xdr:colOff>
      <xdr:row>4</xdr:row>
      <xdr:rowOff>0</xdr:rowOff>
    </xdr:from>
    <xdr:to>
      <xdr:col>6</xdr:col>
      <xdr:colOff>6517</xdr:colOff>
      <xdr:row>4</xdr:row>
      <xdr:rowOff>2507</xdr:rowOff>
    </xdr:to>
    <xdr:sp macro="" textlink="">
      <xdr:nvSpPr>
        <xdr:cNvPr id="13" name="AutoShape 109">
          <a:extLst>
            <a:ext uri="{FF2B5EF4-FFF2-40B4-BE49-F238E27FC236}">
              <a16:creationId xmlns:a16="http://schemas.microsoft.com/office/drawing/2014/main" id="{65C7F20C-1A23-4798-A267-07D891E8ABF4}"/>
            </a:ext>
          </a:extLst>
        </xdr:cNvPr>
        <xdr:cNvSpPr>
          <a:spLocks noChangeArrowheads="1"/>
        </xdr:cNvSpPr>
      </xdr:nvSpPr>
      <xdr:spPr bwMode="auto">
        <a:xfrm>
          <a:off x="4210217" y="68580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25</xdr:col>
      <xdr:colOff>6517</xdr:colOff>
      <xdr:row>4</xdr:row>
      <xdr:rowOff>0</xdr:rowOff>
    </xdr:from>
    <xdr:to>
      <xdr:col>25</xdr:col>
      <xdr:colOff>6517</xdr:colOff>
      <xdr:row>4</xdr:row>
      <xdr:rowOff>2507</xdr:rowOff>
    </xdr:to>
    <xdr:sp macro="" textlink="">
      <xdr:nvSpPr>
        <xdr:cNvPr id="2" name="AutoShape 109">
          <a:extLst>
            <a:ext uri="{FF2B5EF4-FFF2-40B4-BE49-F238E27FC236}">
              <a16:creationId xmlns:a16="http://schemas.microsoft.com/office/drawing/2014/main" id="{00000000-0008-0000-0400-000002000000}"/>
            </a:ext>
          </a:extLst>
        </xdr:cNvPr>
        <xdr:cNvSpPr>
          <a:spLocks noChangeArrowheads="1"/>
        </xdr:cNvSpPr>
      </xdr:nvSpPr>
      <xdr:spPr bwMode="auto">
        <a:xfrm>
          <a:off x="28295767" y="120015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20</xdr:col>
      <xdr:colOff>6517</xdr:colOff>
      <xdr:row>4</xdr:row>
      <xdr:rowOff>0</xdr:rowOff>
    </xdr:from>
    <xdr:to>
      <xdr:col>20</xdr:col>
      <xdr:colOff>6517</xdr:colOff>
      <xdr:row>4</xdr:row>
      <xdr:rowOff>2507</xdr:rowOff>
    </xdr:to>
    <xdr:sp macro="" textlink="">
      <xdr:nvSpPr>
        <xdr:cNvPr id="3" name="AutoShape 109">
          <a:extLst>
            <a:ext uri="{FF2B5EF4-FFF2-40B4-BE49-F238E27FC236}">
              <a16:creationId xmlns:a16="http://schemas.microsoft.com/office/drawing/2014/main" id="{00000000-0008-0000-0400-000003000000}"/>
            </a:ext>
          </a:extLst>
        </xdr:cNvPr>
        <xdr:cNvSpPr>
          <a:spLocks noChangeArrowheads="1"/>
        </xdr:cNvSpPr>
      </xdr:nvSpPr>
      <xdr:spPr bwMode="auto">
        <a:xfrm>
          <a:off x="25562092" y="120015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3</xdr:col>
      <xdr:colOff>6517</xdr:colOff>
      <xdr:row>4</xdr:row>
      <xdr:rowOff>0</xdr:rowOff>
    </xdr:from>
    <xdr:to>
      <xdr:col>3</xdr:col>
      <xdr:colOff>6517</xdr:colOff>
      <xdr:row>4</xdr:row>
      <xdr:rowOff>2507</xdr:rowOff>
    </xdr:to>
    <xdr:sp macro="" textlink="">
      <xdr:nvSpPr>
        <xdr:cNvPr id="4" name="AutoShape 109">
          <a:extLst>
            <a:ext uri="{FF2B5EF4-FFF2-40B4-BE49-F238E27FC236}">
              <a16:creationId xmlns:a16="http://schemas.microsoft.com/office/drawing/2014/main" id="{00000000-0008-0000-0400-000004000000}"/>
            </a:ext>
          </a:extLst>
        </xdr:cNvPr>
        <xdr:cNvSpPr>
          <a:spLocks noChangeArrowheads="1"/>
        </xdr:cNvSpPr>
      </xdr:nvSpPr>
      <xdr:spPr bwMode="auto">
        <a:xfrm>
          <a:off x="3425992" y="120015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3</xdr:col>
      <xdr:colOff>6517</xdr:colOff>
      <xdr:row>4</xdr:row>
      <xdr:rowOff>0</xdr:rowOff>
    </xdr:from>
    <xdr:to>
      <xdr:col>3</xdr:col>
      <xdr:colOff>6517</xdr:colOff>
      <xdr:row>4</xdr:row>
      <xdr:rowOff>2507</xdr:rowOff>
    </xdr:to>
    <xdr:sp macro="" textlink="">
      <xdr:nvSpPr>
        <xdr:cNvPr id="5" name="AutoShape 109">
          <a:extLst>
            <a:ext uri="{FF2B5EF4-FFF2-40B4-BE49-F238E27FC236}">
              <a16:creationId xmlns:a16="http://schemas.microsoft.com/office/drawing/2014/main" id="{00000000-0008-0000-0400-000005000000}"/>
            </a:ext>
          </a:extLst>
        </xdr:cNvPr>
        <xdr:cNvSpPr>
          <a:spLocks noChangeArrowheads="1"/>
        </xdr:cNvSpPr>
      </xdr:nvSpPr>
      <xdr:spPr bwMode="auto">
        <a:xfrm>
          <a:off x="3425992" y="120015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3</xdr:col>
      <xdr:colOff>6517</xdr:colOff>
      <xdr:row>4</xdr:row>
      <xdr:rowOff>0</xdr:rowOff>
    </xdr:from>
    <xdr:to>
      <xdr:col>3</xdr:col>
      <xdr:colOff>6517</xdr:colOff>
      <xdr:row>4</xdr:row>
      <xdr:rowOff>2507</xdr:rowOff>
    </xdr:to>
    <xdr:sp macro="" textlink="">
      <xdr:nvSpPr>
        <xdr:cNvPr id="6" name="AutoShape 109">
          <a:extLst>
            <a:ext uri="{FF2B5EF4-FFF2-40B4-BE49-F238E27FC236}">
              <a16:creationId xmlns:a16="http://schemas.microsoft.com/office/drawing/2014/main" id="{00000000-0008-0000-0400-000006000000}"/>
            </a:ext>
          </a:extLst>
        </xdr:cNvPr>
        <xdr:cNvSpPr>
          <a:spLocks noChangeArrowheads="1"/>
        </xdr:cNvSpPr>
      </xdr:nvSpPr>
      <xdr:spPr bwMode="auto">
        <a:xfrm>
          <a:off x="3425992" y="120015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6517</xdr:colOff>
      <xdr:row>4</xdr:row>
      <xdr:rowOff>0</xdr:rowOff>
    </xdr:from>
    <xdr:to>
      <xdr:col>3</xdr:col>
      <xdr:colOff>6517</xdr:colOff>
      <xdr:row>4</xdr:row>
      <xdr:rowOff>2507</xdr:rowOff>
    </xdr:to>
    <xdr:sp macro="" textlink="">
      <xdr:nvSpPr>
        <xdr:cNvPr id="3" name="AutoShape 109">
          <a:extLst>
            <a:ext uri="{FF2B5EF4-FFF2-40B4-BE49-F238E27FC236}">
              <a16:creationId xmlns:a16="http://schemas.microsoft.com/office/drawing/2014/main" id="{E4D9D766-AD78-4E2D-B105-6F7163F0837B}"/>
            </a:ext>
          </a:extLst>
        </xdr:cNvPr>
        <xdr:cNvSpPr>
          <a:spLocks noChangeArrowheads="1"/>
        </xdr:cNvSpPr>
      </xdr:nvSpPr>
      <xdr:spPr bwMode="auto">
        <a:xfrm>
          <a:off x="4749967" y="68580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2</xdr:col>
      <xdr:colOff>6517</xdr:colOff>
      <xdr:row>4</xdr:row>
      <xdr:rowOff>0</xdr:rowOff>
    </xdr:from>
    <xdr:to>
      <xdr:col>2</xdr:col>
      <xdr:colOff>6517</xdr:colOff>
      <xdr:row>4</xdr:row>
      <xdr:rowOff>2507</xdr:rowOff>
    </xdr:to>
    <xdr:sp macro="" textlink="">
      <xdr:nvSpPr>
        <xdr:cNvPr id="4" name="AutoShape 109">
          <a:extLst>
            <a:ext uri="{FF2B5EF4-FFF2-40B4-BE49-F238E27FC236}">
              <a16:creationId xmlns:a16="http://schemas.microsoft.com/office/drawing/2014/main" id="{A1B60DC3-D30E-423E-98F1-654A1B5F36E6}"/>
            </a:ext>
          </a:extLst>
        </xdr:cNvPr>
        <xdr:cNvSpPr>
          <a:spLocks noChangeArrowheads="1"/>
        </xdr:cNvSpPr>
      </xdr:nvSpPr>
      <xdr:spPr bwMode="auto">
        <a:xfrm>
          <a:off x="4203700" y="68580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2</xdr:col>
      <xdr:colOff>6517</xdr:colOff>
      <xdr:row>4</xdr:row>
      <xdr:rowOff>0</xdr:rowOff>
    </xdr:from>
    <xdr:to>
      <xdr:col>2</xdr:col>
      <xdr:colOff>6517</xdr:colOff>
      <xdr:row>4</xdr:row>
      <xdr:rowOff>2507</xdr:rowOff>
    </xdr:to>
    <xdr:sp macro="" textlink="">
      <xdr:nvSpPr>
        <xdr:cNvPr id="5" name="AutoShape 109">
          <a:extLst>
            <a:ext uri="{FF2B5EF4-FFF2-40B4-BE49-F238E27FC236}">
              <a16:creationId xmlns:a16="http://schemas.microsoft.com/office/drawing/2014/main" id="{9E05DA6B-9D4C-4F6E-8F12-EC9FDC48CB27}"/>
            </a:ext>
          </a:extLst>
        </xdr:cNvPr>
        <xdr:cNvSpPr>
          <a:spLocks noChangeArrowheads="1"/>
        </xdr:cNvSpPr>
      </xdr:nvSpPr>
      <xdr:spPr bwMode="auto">
        <a:xfrm>
          <a:off x="4203700" y="68580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2</xdr:col>
      <xdr:colOff>6517</xdr:colOff>
      <xdr:row>4</xdr:row>
      <xdr:rowOff>0</xdr:rowOff>
    </xdr:from>
    <xdr:to>
      <xdr:col>2</xdr:col>
      <xdr:colOff>6517</xdr:colOff>
      <xdr:row>4</xdr:row>
      <xdr:rowOff>2507</xdr:rowOff>
    </xdr:to>
    <xdr:sp macro="" textlink="">
      <xdr:nvSpPr>
        <xdr:cNvPr id="6" name="AutoShape 109">
          <a:extLst>
            <a:ext uri="{FF2B5EF4-FFF2-40B4-BE49-F238E27FC236}">
              <a16:creationId xmlns:a16="http://schemas.microsoft.com/office/drawing/2014/main" id="{5C6932F6-8D37-43DF-9F04-1280464F801F}"/>
            </a:ext>
          </a:extLst>
        </xdr:cNvPr>
        <xdr:cNvSpPr>
          <a:spLocks noChangeArrowheads="1"/>
        </xdr:cNvSpPr>
      </xdr:nvSpPr>
      <xdr:spPr bwMode="auto">
        <a:xfrm>
          <a:off x="4203700" y="685800"/>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twoCellAnchor>
    <xdr:from>
      <xdr:col>19</xdr:col>
      <xdr:colOff>6517</xdr:colOff>
      <xdr:row>4</xdr:row>
      <xdr:rowOff>0</xdr:rowOff>
    </xdr:from>
    <xdr:to>
      <xdr:col>19</xdr:col>
      <xdr:colOff>6517</xdr:colOff>
      <xdr:row>4</xdr:row>
      <xdr:rowOff>2507</xdr:rowOff>
    </xdr:to>
    <xdr:sp macro="" textlink="">
      <xdr:nvSpPr>
        <xdr:cNvPr id="7" name="AutoShape 109">
          <a:extLst>
            <a:ext uri="{FF2B5EF4-FFF2-40B4-BE49-F238E27FC236}">
              <a16:creationId xmlns:a16="http://schemas.microsoft.com/office/drawing/2014/main" id="{9BF386CF-3ACE-4991-A774-2DB1D548AACB}"/>
            </a:ext>
          </a:extLst>
        </xdr:cNvPr>
        <xdr:cNvSpPr>
          <a:spLocks noChangeArrowheads="1"/>
        </xdr:cNvSpPr>
      </xdr:nvSpPr>
      <xdr:spPr bwMode="auto">
        <a:xfrm>
          <a:off x="5362929" y="687294"/>
          <a:ext cx="0" cy="2507"/>
        </a:xfrm>
        <a:prstGeom prst="bevel">
          <a:avLst>
            <a:gd name="adj" fmla="val 12500"/>
          </a:avLst>
        </a:prstGeom>
        <a:noFill/>
        <a:ln w="9525">
          <a:solidFill>
            <a:srgbClr val="000000"/>
          </a:solidFill>
          <a:miter lim="800000"/>
          <a:headEnd/>
          <a:tailEnd/>
        </a:ln>
      </xdr:spPr>
      <xdr:txBody>
        <a:bodyPr vertOverflow="clip" wrap="square" lIns="27432" tIns="22860" rIns="27432" bIns="0" anchor="t" upright="1"/>
        <a:lstStyle/>
        <a:p>
          <a:pPr algn="ctr" rtl="1">
            <a:defRPr sz="1000"/>
          </a:pPr>
          <a:r>
            <a:rPr lang="es-ES" sz="900" b="0" i="0" strike="noStrike">
              <a:solidFill>
                <a:srgbClr val="000000"/>
              </a:solidFill>
              <a:latin typeface="Arial"/>
              <a:cs typeface="Arial"/>
            </a:rPr>
            <a:t>Buscar</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38100</xdr:colOff>
      <xdr:row>0</xdr:row>
      <xdr:rowOff>70970</xdr:rowOff>
    </xdr:from>
    <xdr:to>
      <xdr:col>4</xdr:col>
      <xdr:colOff>1025070</xdr:colOff>
      <xdr:row>6</xdr:row>
      <xdr:rowOff>129159</xdr:rowOff>
    </xdr:to>
    <xdr:pic>
      <xdr:nvPicPr>
        <xdr:cNvPr id="5" name="Imagen 4">
          <a:extLst>
            <a:ext uri="{FF2B5EF4-FFF2-40B4-BE49-F238E27FC236}">
              <a16:creationId xmlns:a16="http://schemas.microsoft.com/office/drawing/2014/main" id="{A6A819F4-9D02-4A56-B8F3-5F4EE8B6F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70970"/>
          <a:ext cx="1748970" cy="116308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 dockstate="right" visibility="0" width="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3CFBCB6-E0AC-4916-9574-BC2131CF7C35}">
  <we:reference id="wa104051163" version="1.2.0.3" store="es-ES" storeType="OMEX"/>
  <we:alternateReferences>
    <we:reference id="WA104051163" version="1.2.0.3" store="WA104051163"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2ECB0B35-389F-4BE9-9F9E-2CD5BFD9EEDE}">
  <we:reference id="wa104380862" version="1.5.0.0" store="es-ES" storeType="OMEX"/>
  <we:alternateReferences>
    <we:reference id="WA104380862" version="1.5.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mailto:acfesvalespinoza@gmail.com" TargetMode="External"/><Relationship Id="rId2" Type="http://schemas.openxmlformats.org/officeDocument/2006/relationships/hyperlink" Target="mailto:miemail@gmail.com" TargetMode="External"/><Relationship Id="rId1" Type="http://schemas.openxmlformats.org/officeDocument/2006/relationships/hyperlink" Target="mailto:miemail@hotmail.com" TargetMode="External"/><Relationship Id="rId5" Type="http://schemas.openxmlformats.org/officeDocument/2006/relationships/printerSettings" Target="../printerSettings/printerSettings6.bin"/><Relationship Id="rId4" Type="http://schemas.openxmlformats.org/officeDocument/2006/relationships/hyperlink" Target="mailto:acfesvalsa@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4">
    <tabColor theme="0" tint="-0.499984740745262"/>
    <pageSetUpPr fitToPage="1"/>
  </sheetPr>
  <dimension ref="A1:BC6"/>
  <sheetViews>
    <sheetView showGridLines="0" zoomScaleNormal="100" workbookViewId="0">
      <pane ySplit="6" topLeftCell="A7" activePane="bottomLeft" state="frozen"/>
      <selection activeCell="A7" sqref="A7"/>
      <selection pane="bottomLeft" activeCell="A7" sqref="A7"/>
    </sheetView>
  </sheetViews>
  <sheetFormatPr baseColWidth="10" defaultColWidth="9.08984375" defaultRowHeight="11.5" x14ac:dyDescent="0.25"/>
  <cols>
    <col min="1" max="1" width="9.36328125" style="506" customWidth="1"/>
    <col min="2" max="2" width="11" style="506" customWidth="1"/>
    <col min="3" max="3" width="11" style="530" customWidth="1"/>
    <col min="4" max="5" width="11" style="506" customWidth="1"/>
    <col min="6" max="6" width="16.36328125" style="506" customWidth="1"/>
    <col min="7" max="7" width="28.453125" style="504" customWidth="1"/>
    <col min="8" max="9" width="9" style="508" customWidth="1"/>
    <col min="10" max="10" width="4.36328125" style="509" bestFit="1" customWidth="1"/>
    <col min="11" max="11" width="15.54296875" style="504" customWidth="1"/>
    <col min="12" max="12" width="20.08984375" style="504" customWidth="1"/>
    <col min="13" max="13" width="23" style="504" customWidth="1"/>
    <col min="14" max="14" width="10.453125" style="504" bestFit="1" customWidth="1"/>
    <col min="15" max="258" width="9.08984375" style="504"/>
    <col min="259" max="259" width="13.90625" style="504" customWidth="1"/>
    <col min="260" max="260" width="80.08984375" style="504" customWidth="1"/>
    <col min="261" max="262" width="12.08984375" style="504" customWidth="1"/>
    <col min="263" max="514" width="9.08984375" style="504"/>
    <col min="515" max="515" width="13.90625" style="504" customWidth="1"/>
    <col min="516" max="516" width="80.08984375" style="504" customWidth="1"/>
    <col min="517" max="518" width="12.08984375" style="504" customWidth="1"/>
    <col min="519" max="770" width="9.08984375" style="504"/>
    <col min="771" max="771" width="13.90625" style="504" customWidth="1"/>
    <col min="772" max="772" width="80.08984375" style="504" customWidth="1"/>
    <col min="773" max="774" width="12.08984375" style="504" customWidth="1"/>
    <col min="775" max="1026" width="9.08984375" style="504"/>
    <col min="1027" max="1027" width="13.90625" style="504" customWidth="1"/>
    <col min="1028" max="1028" width="80.08984375" style="504" customWidth="1"/>
    <col min="1029" max="1030" width="12.08984375" style="504" customWidth="1"/>
    <col min="1031" max="1282" width="9.08984375" style="504"/>
    <col min="1283" max="1283" width="13.90625" style="504" customWidth="1"/>
    <col min="1284" max="1284" width="80.08984375" style="504" customWidth="1"/>
    <col min="1285" max="1286" width="12.08984375" style="504" customWidth="1"/>
    <col min="1287" max="1538" width="9.08984375" style="504"/>
    <col min="1539" max="1539" width="13.90625" style="504" customWidth="1"/>
    <col min="1540" max="1540" width="80.08984375" style="504" customWidth="1"/>
    <col min="1541" max="1542" width="12.08984375" style="504" customWidth="1"/>
    <col min="1543" max="1794" width="9.08984375" style="504"/>
    <col min="1795" max="1795" width="13.90625" style="504" customWidth="1"/>
    <col min="1796" max="1796" width="80.08984375" style="504" customWidth="1"/>
    <col min="1797" max="1798" width="12.08984375" style="504" customWidth="1"/>
    <col min="1799" max="2050" width="9.08984375" style="504"/>
    <col min="2051" max="2051" width="13.90625" style="504" customWidth="1"/>
    <col min="2052" max="2052" width="80.08984375" style="504" customWidth="1"/>
    <col min="2053" max="2054" width="12.08984375" style="504" customWidth="1"/>
    <col min="2055" max="2306" width="9.08984375" style="504"/>
    <col min="2307" max="2307" width="13.90625" style="504" customWidth="1"/>
    <col min="2308" max="2308" width="80.08984375" style="504" customWidth="1"/>
    <col min="2309" max="2310" width="12.08984375" style="504" customWidth="1"/>
    <col min="2311" max="2562" width="9.08984375" style="504"/>
    <col min="2563" max="2563" width="13.90625" style="504" customWidth="1"/>
    <col min="2564" max="2564" width="80.08984375" style="504" customWidth="1"/>
    <col min="2565" max="2566" width="12.08984375" style="504" customWidth="1"/>
    <col min="2567" max="2818" width="9.08984375" style="504"/>
    <col min="2819" max="2819" width="13.90625" style="504" customWidth="1"/>
    <col min="2820" max="2820" width="80.08984375" style="504" customWidth="1"/>
    <col min="2821" max="2822" width="12.08984375" style="504" customWidth="1"/>
    <col min="2823" max="3074" width="9.08984375" style="504"/>
    <col min="3075" max="3075" width="13.90625" style="504" customWidth="1"/>
    <col min="3076" max="3076" width="80.08984375" style="504" customWidth="1"/>
    <col min="3077" max="3078" width="12.08984375" style="504" customWidth="1"/>
    <col min="3079" max="3330" width="9.08984375" style="504"/>
    <col min="3331" max="3331" width="13.90625" style="504" customWidth="1"/>
    <col min="3332" max="3332" width="80.08984375" style="504" customWidth="1"/>
    <col min="3333" max="3334" width="12.08984375" style="504" customWidth="1"/>
    <col min="3335" max="3586" width="9.08984375" style="504"/>
    <col min="3587" max="3587" width="13.90625" style="504" customWidth="1"/>
    <col min="3588" max="3588" width="80.08984375" style="504" customWidth="1"/>
    <col min="3589" max="3590" width="12.08984375" style="504" customWidth="1"/>
    <col min="3591" max="3842" width="9.08984375" style="504"/>
    <col min="3843" max="3843" width="13.90625" style="504" customWidth="1"/>
    <col min="3844" max="3844" width="80.08984375" style="504" customWidth="1"/>
    <col min="3845" max="3846" width="12.08984375" style="504" customWidth="1"/>
    <col min="3847" max="4098" width="9.08984375" style="504"/>
    <col min="4099" max="4099" width="13.90625" style="504" customWidth="1"/>
    <col min="4100" max="4100" width="80.08984375" style="504" customWidth="1"/>
    <col min="4101" max="4102" width="12.08984375" style="504" customWidth="1"/>
    <col min="4103" max="4354" width="9.08984375" style="504"/>
    <col min="4355" max="4355" width="13.90625" style="504" customWidth="1"/>
    <col min="4356" max="4356" width="80.08984375" style="504" customWidth="1"/>
    <col min="4357" max="4358" width="12.08984375" style="504" customWidth="1"/>
    <col min="4359" max="4610" width="9.08984375" style="504"/>
    <col min="4611" max="4611" width="13.90625" style="504" customWidth="1"/>
    <col min="4612" max="4612" width="80.08984375" style="504" customWidth="1"/>
    <col min="4613" max="4614" width="12.08984375" style="504" customWidth="1"/>
    <col min="4615" max="4866" width="9.08984375" style="504"/>
    <col min="4867" max="4867" width="13.90625" style="504" customWidth="1"/>
    <col min="4868" max="4868" width="80.08984375" style="504" customWidth="1"/>
    <col min="4869" max="4870" width="12.08984375" style="504" customWidth="1"/>
    <col min="4871" max="5122" width="9.08984375" style="504"/>
    <col min="5123" max="5123" width="13.90625" style="504" customWidth="1"/>
    <col min="5124" max="5124" width="80.08984375" style="504" customWidth="1"/>
    <col min="5125" max="5126" width="12.08984375" style="504" customWidth="1"/>
    <col min="5127" max="5378" width="9.08984375" style="504"/>
    <col min="5379" max="5379" width="13.90625" style="504" customWidth="1"/>
    <col min="5380" max="5380" width="80.08984375" style="504" customWidth="1"/>
    <col min="5381" max="5382" width="12.08984375" style="504" customWidth="1"/>
    <col min="5383" max="5634" width="9.08984375" style="504"/>
    <col min="5635" max="5635" width="13.90625" style="504" customWidth="1"/>
    <col min="5636" max="5636" width="80.08984375" style="504" customWidth="1"/>
    <col min="5637" max="5638" width="12.08984375" style="504" customWidth="1"/>
    <col min="5639" max="5890" width="9.08984375" style="504"/>
    <col min="5891" max="5891" width="13.90625" style="504" customWidth="1"/>
    <col min="5892" max="5892" width="80.08984375" style="504" customWidth="1"/>
    <col min="5893" max="5894" width="12.08984375" style="504" customWidth="1"/>
    <col min="5895" max="6146" width="9.08984375" style="504"/>
    <col min="6147" max="6147" width="13.90625" style="504" customWidth="1"/>
    <col min="6148" max="6148" width="80.08984375" style="504" customWidth="1"/>
    <col min="6149" max="6150" width="12.08984375" style="504" customWidth="1"/>
    <col min="6151" max="6402" width="9.08984375" style="504"/>
    <col min="6403" max="6403" width="13.90625" style="504" customWidth="1"/>
    <col min="6404" max="6404" width="80.08984375" style="504" customWidth="1"/>
    <col min="6405" max="6406" width="12.08984375" style="504" customWidth="1"/>
    <col min="6407" max="6658" width="9.08984375" style="504"/>
    <col min="6659" max="6659" width="13.90625" style="504" customWidth="1"/>
    <col min="6660" max="6660" width="80.08984375" style="504" customWidth="1"/>
    <col min="6661" max="6662" width="12.08984375" style="504" customWidth="1"/>
    <col min="6663" max="6914" width="9.08984375" style="504"/>
    <col min="6915" max="6915" width="13.90625" style="504" customWidth="1"/>
    <col min="6916" max="6916" width="80.08984375" style="504" customWidth="1"/>
    <col min="6917" max="6918" width="12.08984375" style="504" customWidth="1"/>
    <col min="6919" max="7170" width="9.08984375" style="504"/>
    <col min="7171" max="7171" width="13.90625" style="504" customWidth="1"/>
    <col min="7172" max="7172" width="80.08984375" style="504" customWidth="1"/>
    <col min="7173" max="7174" width="12.08984375" style="504" customWidth="1"/>
    <col min="7175" max="7426" width="9.08984375" style="504"/>
    <col min="7427" max="7427" width="13.90625" style="504" customWidth="1"/>
    <col min="7428" max="7428" width="80.08984375" style="504" customWidth="1"/>
    <col min="7429" max="7430" width="12.08984375" style="504" customWidth="1"/>
    <col min="7431" max="7682" width="9.08984375" style="504"/>
    <col min="7683" max="7683" width="13.90625" style="504" customWidth="1"/>
    <col min="7684" max="7684" width="80.08984375" style="504" customWidth="1"/>
    <col min="7685" max="7686" width="12.08984375" style="504" customWidth="1"/>
    <col min="7687" max="7938" width="9.08984375" style="504"/>
    <col min="7939" max="7939" width="13.90625" style="504" customWidth="1"/>
    <col min="7940" max="7940" width="80.08984375" style="504" customWidth="1"/>
    <col min="7941" max="7942" width="12.08984375" style="504" customWidth="1"/>
    <col min="7943" max="8194" width="9.08984375" style="504"/>
    <col min="8195" max="8195" width="13.90625" style="504" customWidth="1"/>
    <col min="8196" max="8196" width="80.08984375" style="504" customWidth="1"/>
    <col min="8197" max="8198" width="12.08984375" style="504" customWidth="1"/>
    <col min="8199" max="8450" width="9.08984375" style="504"/>
    <col min="8451" max="8451" width="13.90625" style="504" customWidth="1"/>
    <col min="8452" max="8452" width="80.08984375" style="504" customWidth="1"/>
    <col min="8453" max="8454" width="12.08984375" style="504" customWidth="1"/>
    <col min="8455" max="8706" width="9.08984375" style="504"/>
    <col min="8707" max="8707" width="13.90625" style="504" customWidth="1"/>
    <col min="8708" max="8708" width="80.08984375" style="504" customWidth="1"/>
    <col min="8709" max="8710" width="12.08984375" style="504" customWidth="1"/>
    <col min="8711" max="8962" width="9.08984375" style="504"/>
    <col min="8963" max="8963" width="13.90625" style="504" customWidth="1"/>
    <col min="8964" max="8964" width="80.08984375" style="504" customWidth="1"/>
    <col min="8965" max="8966" width="12.08984375" style="504" customWidth="1"/>
    <col min="8967" max="9218" width="9.08984375" style="504"/>
    <col min="9219" max="9219" width="13.90625" style="504" customWidth="1"/>
    <col min="9220" max="9220" width="80.08984375" style="504" customWidth="1"/>
    <col min="9221" max="9222" width="12.08984375" style="504" customWidth="1"/>
    <col min="9223" max="9474" width="9.08984375" style="504"/>
    <col min="9475" max="9475" width="13.90625" style="504" customWidth="1"/>
    <col min="9476" max="9476" width="80.08984375" style="504" customWidth="1"/>
    <col min="9477" max="9478" width="12.08984375" style="504" customWidth="1"/>
    <col min="9479" max="9730" width="9.08984375" style="504"/>
    <col min="9731" max="9731" width="13.90625" style="504" customWidth="1"/>
    <col min="9732" max="9732" width="80.08984375" style="504" customWidth="1"/>
    <col min="9733" max="9734" width="12.08984375" style="504" customWidth="1"/>
    <col min="9735" max="9986" width="9.08984375" style="504"/>
    <col min="9987" max="9987" width="13.90625" style="504" customWidth="1"/>
    <col min="9988" max="9988" width="80.08984375" style="504" customWidth="1"/>
    <col min="9989" max="9990" width="12.08984375" style="504" customWidth="1"/>
    <col min="9991" max="10242" width="9.08984375" style="504"/>
    <col min="10243" max="10243" width="13.90625" style="504" customWidth="1"/>
    <col min="10244" max="10244" width="80.08984375" style="504" customWidth="1"/>
    <col min="10245" max="10246" width="12.08984375" style="504" customWidth="1"/>
    <col min="10247" max="10498" width="9.08984375" style="504"/>
    <col min="10499" max="10499" width="13.90625" style="504" customWidth="1"/>
    <col min="10500" max="10500" width="80.08984375" style="504" customWidth="1"/>
    <col min="10501" max="10502" width="12.08984375" style="504" customWidth="1"/>
    <col min="10503" max="10754" width="9.08984375" style="504"/>
    <col min="10755" max="10755" width="13.90625" style="504" customWidth="1"/>
    <col min="10756" max="10756" width="80.08984375" style="504" customWidth="1"/>
    <col min="10757" max="10758" width="12.08984375" style="504" customWidth="1"/>
    <col min="10759" max="11010" width="9.08984375" style="504"/>
    <col min="11011" max="11011" width="13.90625" style="504" customWidth="1"/>
    <col min="11012" max="11012" width="80.08984375" style="504" customWidth="1"/>
    <col min="11013" max="11014" width="12.08984375" style="504" customWidth="1"/>
    <col min="11015" max="11266" width="9.08984375" style="504"/>
    <col min="11267" max="11267" width="13.90625" style="504" customWidth="1"/>
    <col min="11268" max="11268" width="80.08984375" style="504" customWidth="1"/>
    <col min="11269" max="11270" width="12.08984375" style="504" customWidth="1"/>
    <col min="11271" max="11522" width="9.08984375" style="504"/>
    <col min="11523" max="11523" width="13.90625" style="504" customWidth="1"/>
    <col min="11524" max="11524" width="80.08984375" style="504" customWidth="1"/>
    <col min="11525" max="11526" width="12.08984375" style="504" customWidth="1"/>
    <col min="11527" max="11778" width="9.08984375" style="504"/>
    <col min="11779" max="11779" width="13.90625" style="504" customWidth="1"/>
    <col min="11780" max="11780" width="80.08984375" style="504" customWidth="1"/>
    <col min="11781" max="11782" width="12.08984375" style="504" customWidth="1"/>
    <col min="11783" max="12034" width="9.08984375" style="504"/>
    <col min="12035" max="12035" width="13.90625" style="504" customWidth="1"/>
    <col min="12036" max="12036" width="80.08984375" style="504" customWidth="1"/>
    <col min="12037" max="12038" width="12.08984375" style="504" customWidth="1"/>
    <col min="12039" max="12290" width="9.08984375" style="504"/>
    <col min="12291" max="12291" width="13.90625" style="504" customWidth="1"/>
    <col min="12292" max="12292" width="80.08984375" style="504" customWidth="1"/>
    <col min="12293" max="12294" width="12.08984375" style="504" customWidth="1"/>
    <col min="12295" max="12546" width="9.08984375" style="504"/>
    <col min="12547" max="12547" width="13.90625" style="504" customWidth="1"/>
    <col min="12548" max="12548" width="80.08984375" style="504" customWidth="1"/>
    <col min="12549" max="12550" width="12.08984375" style="504" customWidth="1"/>
    <col min="12551" max="12802" width="9.08984375" style="504"/>
    <col min="12803" max="12803" width="13.90625" style="504" customWidth="1"/>
    <col min="12804" max="12804" width="80.08984375" style="504" customWidth="1"/>
    <col min="12805" max="12806" width="12.08984375" style="504" customWidth="1"/>
    <col min="12807" max="13058" width="9.08984375" style="504"/>
    <col min="13059" max="13059" width="13.90625" style="504" customWidth="1"/>
    <col min="13060" max="13060" width="80.08984375" style="504" customWidth="1"/>
    <col min="13061" max="13062" width="12.08984375" style="504" customWidth="1"/>
    <col min="13063" max="13314" width="9.08984375" style="504"/>
    <col min="13315" max="13315" width="13.90625" style="504" customWidth="1"/>
    <col min="13316" max="13316" width="80.08984375" style="504" customWidth="1"/>
    <col min="13317" max="13318" width="12.08984375" style="504" customWidth="1"/>
    <col min="13319" max="13570" width="9.08984375" style="504"/>
    <col min="13571" max="13571" width="13.90625" style="504" customWidth="1"/>
    <col min="13572" max="13572" width="80.08984375" style="504" customWidth="1"/>
    <col min="13573" max="13574" width="12.08984375" style="504" customWidth="1"/>
    <col min="13575" max="13826" width="9.08984375" style="504"/>
    <col min="13827" max="13827" width="13.90625" style="504" customWidth="1"/>
    <col min="13828" max="13828" width="80.08984375" style="504" customWidth="1"/>
    <col min="13829" max="13830" width="12.08984375" style="504" customWidth="1"/>
    <col min="13831" max="14082" width="9.08984375" style="504"/>
    <col min="14083" max="14083" width="13.90625" style="504" customWidth="1"/>
    <col min="14084" max="14084" width="80.08984375" style="504" customWidth="1"/>
    <col min="14085" max="14086" width="12.08984375" style="504" customWidth="1"/>
    <col min="14087" max="14338" width="9.08984375" style="504"/>
    <col min="14339" max="14339" width="13.90625" style="504" customWidth="1"/>
    <col min="14340" max="14340" width="80.08984375" style="504" customWidth="1"/>
    <col min="14341" max="14342" width="12.08984375" style="504" customWidth="1"/>
    <col min="14343" max="14594" width="9.08984375" style="504"/>
    <col min="14595" max="14595" width="13.90625" style="504" customWidth="1"/>
    <col min="14596" max="14596" width="80.08984375" style="504" customWidth="1"/>
    <col min="14597" max="14598" width="12.08984375" style="504" customWidth="1"/>
    <col min="14599" max="14850" width="9.08984375" style="504"/>
    <col min="14851" max="14851" width="13.90625" style="504" customWidth="1"/>
    <col min="14852" max="14852" width="80.08984375" style="504" customWidth="1"/>
    <col min="14853" max="14854" width="12.08984375" style="504" customWidth="1"/>
    <col min="14855" max="15106" width="9.08984375" style="504"/>
    <col min="15107" max="15107" width="13.90625" style="504" customWidth="1"/>
    <col min="15108" max="15108" width="80.08984375" style="504" customWidth="1"/>
    <col min="15109" max="15110" width="12.08984375" style="504" customWidth="1"/>
    <col min="15111" max="15362" width="9.08984375" style="504"/>
    <col min="15363" max="15363" width="13.90625" style="504" customWidth="1"/>
    <col min="15364" max="15364" width="80.08984375" style="504" customWidth="1"/>
    <col min="15365" max="15366" width="12.08984375" style="504" customWidth="1"/>
    <col min="15367" max="15618" width="9.08984375" style="504"/>
    <col min="15619" max="15619" width="13.90625" style="504" customWidth="1"/>
    <col min="15620" max="15620" width="80.08984375" style="504" customWidth="1"/>
    <col min="15621" max="15622" width="12.08984375" style="504" customWidth="1"/>
    <col min="15623" max="15874" width="9.08984375" style="504"/>
    <col min="15875" max="15875" width="13.90625" style="504" customWidth="1"/>
    <col min="15876" max="15876" width="80.08984375" style="504" customWidth="1"/>
    <col min="15877" max="15878" width="12.08984375" style="504" customWidth="1"/>
    <col min="15879" max="16130" width="9.08984375" style="504"/>
    <col min="16131" max="16131" width="13.90625" style="504" customWidth="1"/>
    <col min="16132" max="16132" width="80.08984375" style="504" customWidth="1"/>
    <col min="16133" max="16134" width="12.08984375" style="504" customWidth="1"/>
    <col min="16135" max="16384" width="9.08984375" style="504"/>
  </cols>
  <sheetData>
    <row r="1" spans="1:55" s="500" customFormat="1" ht="21.65" customHeight="1" thickBot="1" x14ac:dyDescent="0.3">
      <c r="A1" s="512" t="s">
        <v>2131</v>
      </c>
      <c r="B1" s="491"/>
      <c r="C1" s="529"/>
      <c r="D1" s="491"/>
      <c r="E1" s="491"/>
      <c r="F1" s="491"/>
      <c r="G1" s="492"/>
      <c r="H1" s="494"/>
      <c r="I1" s="494"/>
      <c r="J1" s="495"/>
      <c r="K1" s="492"/>
      <c r="L1" s="492"/>
      <c r="M1" s="492"/>
      <c r="N1" s="498"/>
      <c r="O1" s="498"/>
      <c r="P1" s="498"/>
      <c r="Q1" s="498"/>
      <c r="R1" s="498"/>
      <c r="S1" s="498"/>
      <c r="T1" s="498"/>
      <c r="U1" s="498"/>
      <c r="V1" s="498"/>
      <c r="W1" s="498"/>
      <c r="X1" s="498"/>
      <c r="Y1" s="498"/>
      <c r="Z1" s="499"/>
      <c r="AA1" s="499"/>
      <c r="AB1" s="499"/>
      <c r="AC1" s="499"/>
      <c r="AD1" s="499"/>
      <c r="AE1" s="499"/>
      <c r="AF1" s="499"/>
      <c r="AG1" s="499"/>
      <c r="AH1" s="499"/>
      <c r="AI1" s="499"/>
      <c r="AJ1" s="497"/>
      <c r="AK1" s="497"/>
      <c r="AL1" s="499"/>
      <c r="AM1" s="499"/>
      <c r="AN1" s="499"/>
      <c r="AO1" s="499"/>
      <c r="AP1" s="499"/>
      <c r="AQ1" s="498"/>
      <c r="AR1" s="498"/>
      <c r="AS1" s="498"/>
      <c r="AT1" s="491"/>
      <c r="AV1" s="498"/>
      <c r="AW1" s="498"/>
      <c r="AX1" s="498"/>
      <c r="BA1" s="498"/>
      <c r="BB1" s="498"/>
      <c r="BC1" s="498"/>
    </row>
    <row r="2" spans="1:55" s="500" customFormat="1" ht="21.65" hidden="1" customHeight="1" x14ac:dyDescent="0.25">
      <c r="A2" s="491"/>
      <c r="B2" s="491"/>
      <c r="C2" s="529"/>
      <c r="D2" s="491"/>
      <c r="E2" s="491"/>
      <c r="F2" s="491"/>
      <c r="G2" s="492"/>
      <c r="H2" s="494"/>
      <c r="I2" s="494"/>
      <c r="J2" s="495"/>
      <c r="K2" s="492"/>
      <c r="L2" s="492"/>
      <c r="M2" s="492"/>
      <c r="N2" s="498"/>
      <c r="O2" s="498"/>
      <c r="P2" s="498"/>
      <c r="Q2" s="498"/>
      <c r="R2" s="498"/>
      <c r="S2" s="498"/>
      <c r="T2" s="498"/>
      <c r="U2" s="498"/>
      <c r="V2" s="498"/>
      <c r="W2" s="498"/>
      <c r="X2" s="498"/>
      <c r="Y2" s="498"/>
      <c r="Z2" s="499"/>
      <c r="AA2" s="499"/>
      <c r="AB2" s="499"/>
      <c r="AC2" s="499"/>
      <c r="AD2" s="499"/>
      <c r="AE2" s="499"/>
      <c r="AF2" s="499"/>
      <c r="AG2" s="499"/>
      <c r="AH2" s="499"/>
      <c r="AI2" s="499"/>
      <c r="AJ2" s="497"/>
      <c r="AK2" s="497"/>
      <c r="AL2" s="499"/>
      <c r="AM2" s="499"/>
      <c r="AN2" s="499"/>
      <c r="AO2" s="499"/>
      <c r="AP2" s="499"/>
      <c r="AQ2" s="498"/>
      <c r="AR2" s="498"/>
      <c r="AS2" s="498"/>
      <c r="AT2" s="491"/>
      <c r="AV2" s="498"/>
      <c r="AW2" s="498"/>
      <c r="AX2" s="498"/>
      <c r="BA2" s="498"/>
      <c r="BB2" s="498"/>
      <c r="BC2" s="498"/>
    </row>
    <row r="3" spans="1:55" s="500" customFormat="1" ht="21.65" hidden="1" customHeight="1" x14ac:dyDescent="0.25">
      <c r="A3" s="491"/>
      <c r="B3" s="491"/>
      <c r="C3" s="529"/>
      <c r="D3" s="491"/>
      <c r="E3" s="491"/>
      <c r="F3" s="491"/>
      <c r="G3" s="492"/>
      <c r="H3" s="494"/>
      <c r="I3" s="494"/>
      <c r="J3" s="495"/>
      <c r="K3" s="492"/>
      <c r="L3" s="492"/>
      <c r="M3" s="492"/>
      <c r="N3" s="498"/>
      <c r="O3" s="498"/>
      <c r="P3" s="498"/>
      <c r="Q3" s="498"/>
      <c r="R3" s="498"/>
      <c r="S3" s="498"/>
      <c r="T3" s="498"/>
      <c r="U3" s="498"/>
      <c r="V3" s="498"/>
      <c r="W3" s="498"/>
      <c r="X3" s="498"/>
      <c r="Y3" s="498"/>
      <c r="Z3" s="499"/>
      <c r="AA3" s="499"/>
      <c r="AB3" s="499"/>
      <c r="AC3" s="499"/>
      <c r="AD3" s="499"/>
      <c r="AE3" s="499"/>
      <c r="AF3" s="499"/>
      <c r="AG3" s="499"/>
      <c r="AH3" s="499"/>
      <c r="AI3" s="499"/>
      <c r="AJ3" s="497"/>
      <c r="AK3" s="497"/>
      <c r="AL3" s="499"/>
      <c r="AM3" s="499"/>
      <c r="AN3" s="499"/>
      <c r="AO3" s="499"/>
      <c r="AP3" s="499"/>
      <c r="AQ3" s="498"/>
      <c r="AR3" s="498"/>
      <c r="AS3" s="498"/>
      <c r="AT3" s="491"/>
      <c r="AV3" s="498"/>
      <c r="AW3" s="498"/>
      <c r="AX3" s="498"/>
      <c r="BA3" s="498"/>
      <c r="BB3" s="498"/>
      <c r="BC3" s="498"/>
    </row>
    <row r="4" spans="1:55" s="500" customFormat="1" ht="21.65" hidden="1" customHeight="1" x14ac:dyDescent="0.25">
      <c r="A4" s="491"/>
      <c r="B4" s="491"/>
      <c r="C4" s="529"/>
      <c r="D4" s="491"/>
      <c r="E4" s="491"/>
      <c r="F4" s="491"/>
      <c r="G4" s="492"/>
      <c r="H4" s="494"/>
      <c r="I4" s="494"/>
      <c r="J4" s="495"/>
      <c r="K4" s="492"/>
      <c r="L4" s="492"/>
      <c r="M4" s="492"/>
      <c r="N4" s="498"/>
      <c r="O4" s="498"/>
      <c r="P4" s="498"/>
      <c r="Q4" s="498"/>
      <c r="R4" s="498"/>
      <c r="S4" s="498"/>
      <c r="T4" s="498"/>
      <c r="U4" s="498"/>
      <c r="V4" s="498"/>
      <c r="W4" s="498"/>
      <c r="X4" s="498"/>
      <c r="Y4" s="498"/>
      <c r="Z4" s="499"/>
      <c r="AA4" s="499"/>
      <c r="AB4" s="499"/>
      <c r="AC4" s="499"/>
      <c r="AD4" s="499"/>
      <c r="AE4" s="499"/>
      <c r="AF4" s="499"/>
      <c r="AG4" s="499"/>
      <c r="AH4" s="499"/>
      <c r="AI4" s="499"/>
      <c r="AJ4" s="497"/>
      <c r="AK4" s="497"/>
      <c r="AL4" s="499"/>
      <c r="AM4" s="499"/>
      <c r="AN4" s="499"/>
      <c r="AO4" s="499"/>
      <c r="AP4" s="499"/>
      <c r="AQ4" s="498"/>
      <c r="AR4" s="498"/>
      <c r="AS4" s="498"/>
      <c r="AT4" s="491"/>
      <c r="AV4" s="498"/>
      <c r="AW4" s="498"/>
      <c r="AX4" s="498"/>
      <c r="BA4" s="498"/>
      <c r="BB4" s="498"/>
      <c r="BC4" s="498"/>
    </row>
    <row r="5" spans="1:55" s="500" customFormat="1" ht="21.65" hidden="1" customHeight="1" thickBot="1" x14ac:dyDescent="0.3">
      <c r="A5" s="491"/>
      <c r="B5" s="491"/>
      <c r="C5" s="529"/>
      <c r="D5" s="491"/>
      <c r="E5" s="491"/>
      <c r="F5" s="491"/>
      <c r="G5" s="492"/>
      <c r="H5" s="494"/>
      <c r="I5" s="494"/>
      <c r="J5" s="495"/>
      <c r="K5" s="492"/>
      <c r="L5" s="492"/>
      <c r="M5" s="492"/>
      <c r="N5" s="498"/>
      <c r="O5" s="498"/>
      <c r="P5" s="498"/>
      <c r="Q5" s="498"/>
      <c r="R5" s="498"/>
      <c r="S5" s="498"/>
      <c r="T5" s="498"/>
      <c r="U5" s="498"/>
      <c r="V5" s="498"/>
      <c r="W5" s="498"/>
      <c r="X5" s="498"/>
      <c r="Y5" s="498"/>
      <c r="Z5" s="499"/>
      <c r="AA5" s="499"/>
      <c r="AB5" s="499"/>
      <c r="AC5" s="499"/>
      <c r="AD5" s="499"/>
      <c r="AE5" s="499"/>
      <c r="AF5" s="499"/>
      <c r="AG5" s="499"/>
      <c r="AH5" s="499"/>
      <c r="AI5" s="499"/>
      <c r="AJ5" s="497"/>
      <c r="AK5" s="497"/>
      <c r="AL5" s="499"/>
      <c r="AM5" s="499"/>
      <c r="AN5" s="499"/>
      <c r="AO5" s="499"/>
      <c r="AP5" s="499"/>
      <c r="AQ5" s="498"/>
      <c r="AR5" s="498"/>
      <c r="AS5" s="498"/>
      <c r="AT5" s="491"/>
      <c r="AV5" s="498"/>
      <c r="AW5" s="498"/>
      <c r="AX5" s="498"/>
      <c r="BA5" s="498"/>
      <c r="BB5" s="498"/>
      <c r="BC5" s="498"/>
    </row>
    <row r="6" spans="1:55" s="520" customFormat="1" ht="30" customHeight="1" x14ac:dyDescent="0.35">
      <c r="A6" s="521" t="s">
        <v>1819</v>
      </c>
      <c r="B6" s="380" t="s">
        <v>1818</v>
      </c>
      <c r="C6" s="471" t="s">
        <v>1820</v>
      </c>
      <c r="D6" s="521" t="s">
        <v>1796</v>
      </c>
      <c r="E6" s="380" t="s">
        <v>1805</v>
      </c>
      <c r="F6" s="521" t="s">
        <v>1669</v>
      </c>
      <c r="G6" s="519" t="s">
        <v>1821</v>
      </c>
      <c r="H6" s="522" t="s">
        <v>1822</v>
      </c>
      <c r="I6" s="522" t="s">
        <v>1823</v>
      </c>
      <c r="J6" s="523" t="s">
        <v>1844</v>
      </c>
      <c r="K6" s="519" t="s">
        <v>1808</v>
      </c>
      <c r="L6" s="519" t="s">
        <v>1825</v>
      </c>
      <c r="M6" s="519" t="s">
        <v>1824</v>
      </c>
    </row>
  </sheetData>
  <autoFilter ref="A6:M6" xr:uid="{00000000-0009-0000-0000-000000000000}"/>
  <phoneticPr fontId="55" type="noConversion"/>
  <dataValidations count="6">
    <dataValidation type="list" allowBlank="1" showInputMessage="1" showErrorMessage="1" sqref="J1:J5 J7:J1048576" xr:uid="{00000000-0002-0000-0000-000000000000}">
      <formula1>"SI,NO,N/A"</formula1>
    </dataValidation>
    <dataValidation allowBlank="1" showInputMessage="1" showErrorMessage="1" errorTitle="Contribuyentes" error="Tiene que ingresar el código de Identificación (1-2-3)" sqref="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IY65517 SU65517 ACQ65517 AMM65517 AWI65517 BGE65517 BQA65517 BZW65517 CJS65517 CTO65517 DDK65517 DNG65517 DXC65517 EGY65517 EQU65517 FAQ65517 FKM65517 FUI65517 GEE65517 GOA65517 GXW65517 HHS65517 HRO65517 IBK65517 ILG65517 IVC65517 JEY65517 JOU65517 JYQ65517 KIM65517 KSI65517 LCE65517 LMA65517 LVW65517 MFS65517 MPO65517 MZK65517 NJG65517 NTC65517 OCY65517 OMU65517 OWQ65517 PGM65517 PQI65517 QAE65517 QKA65517 QTW65517 RDS65517 RNO65517 RXK65517 SHG65517 SRC65517 TAY65517 TKU65517 TUQ65517 UEM65517 UOI65517 UYE65517 VIA65517 VRW65517 WBS65517 WLO65517 WVK65517 IY131053 SU131053 ACQ131053 AMM131053 AWI131053 BGE131053 BQA131053 BZW131053 CJS131053 CTO131053 DDK131053 DNG131053 DXC131053 EGY131053 EQU131053 FAQ131053 FKM131053 FUI131053 GEE131053 GOA131053 GXW131053 HHS131053 HRO131053 IBK131053 ILG131053 IVC131053 JEY131053 JOU131053 JYQ131053 KIM131053 KSI131053 LCE131053 LMA131053 LVW131053 MFS131053 MPO131053 MZK131053 NJG131053 NTC131053 OCY131053 OMU131053 OWQ131053 PGM131053 PQI131053 QAE131053 QKA131053 QTW131053 RDS131053 RNO131053 RXK131053 SHG131053 SRC131053 TAY131053 TKU131053 TUQ131053 UEM131053 UOI131053 UYE131053 VIA131053 VRW131053 WBS131053 WLO131053 WVK131053 IY196589 SU196589 ACQ196589 AMM196589 AWI196589 BGE196589 BQA196589 BZW196589 CJS196589 CTO196589 DDK196589 DNG196589 DXC196589 EGY196589 EQU196589 FAQ196589 FKM196589 FUI196589 GEE196589 GOA196589 GXW196589 HHS196589 HRO196589 IBK196589 ILG196589 IVC196589 JEY196589 JOU196589 JYQ196589 KIM196589 KSI196589 LCE196589 LMA196589 LVW196589 MFS196589 MPO196589 MZK196589 NJG196589 NTC196589 OCY196589 OMU196589 OWQ196589 PGM196589 PQI196589 QAE196589 QKA196589 QTW196589 RDS196589 RNO196589 RXK196589 SHG196589 SRC196589 TAY196589 TKU196589 TUQ196589 UEM196589 UOI196589 UYE196589 VIA196589 VRW196589 WBS196589 WLO196589 WVK196589 IY262125 SU262125 ACQ262125 AMM262125 AWI262125 BGE262125 BQA262125 BZW262125 CJS262125 CTO262125 DDK262125 DNG262125 DXC262125 EGY262125 EQU262125 FAQ262125 FKM262125 FUI262125 GEE262125 GOA262125 GXW262125 HHS262125 HRO262125 IBK262125 ILG262125 IVC262125 JEY262125 JOU262125 JYQ262125 KIM262125 KSI262125 LCE262125 LMA262125 LVW262125 MFS262125 MPO262125 MZK262125 NJG262125 NTC262125 OCY262125 OMU262125 OWQ262125 PGM262125 PQI262125 QAE262125 QKA262125 QTW262125 RDS262125 RNO262125 RXK262125 SHG262125 SRC262125 TAY262125 TKU262125 TUQ262125 UEM262125 UOI262125 UYE262125 VIA262125 VRW262125 WBS262125 WLO262125 WVK262125 IY327661 SU327661 ACQ327661 AMM327661 AWI327661 BGE327661 BQA327661 BZW327661 CJS327661 CTO327661 DDK327661 DNG327661 DXC327661 EGY327661 EQU327661 FAQ327661 FKM327661 FUI327661 GEE327661 GOA327661 GXW327661 HHS327661 HRO327661 IBK327661 ILG327661 IVC327661 JEY327661 JOU327661 JYQ327661 KIM327661 KSI327661 LCE327661 LMA327661 LVW327661 MFS327661 MPO327661 MZK327661 NJG327661 NTC327661 OCY327661 OMU327661 OWQ327661 PGM327661 PQI327661 QAE327661 QKA327661 QTW327661 RDS327661 RNO327661 RXK327661 SHG327661 SRC327661 TAY327661 TKU327661 TUQ327661 UEM327661 UOI327661 UYE327661 VIA327661 VRW327661 WBS327661 WLO327661 WVK327661 IY393197 SU393197 ACQ393197 AMM393197 AWI393197 BGE393197 BQA393197 BZW393197 CJS393197 CTO393197 DDK393197 DNG393197 DXC393197 EGY393197 EQU393197 FAQ393197 FKM393197 FUI393197 GEE393197 GOA393197 GXW393197 HHS393197 HRO393197 IBK393197 ILG393197 IVC393197 JEY393197 JOU393197 JYQ393197 KIM393197 KSI393197 LCE393197 LMA393197 LVW393197 MFS393197 MPO393197 MZK393197 NJG393197 NTC393197 OCY393197 OMU393197 OWQ393197 PGM393197 PQI393197 QAE393197 QKA393197 QTW393197 RDS393197 RNO393197 RXK393197 SHG393197 SRC393197 TAY393197 TKU393197 TUQ393197 UEM393197 UOI393197 UYE393197 VIA393197 VRW393197 WBS393197 WLO393197 WVK393197 IY458733 SU458733 ACQ458733 AMM458733 AWI458733 BGE458733 BQA458733 BZW458733 CJS458733 CTO458733 DDK458733 DNG458733 DXC458733 EGY458733 EQU458733 FAQ458733 FKM458733 FUI458733 GEE458733 GOA458733 GXW458733 HHS458733 HRO458733 IBK458733 ILG458733 IVC458733 JEY458733 JOU458733 JYQ458733 KIM458733 KSI458733 LCE458733 LMA458733 LVW458733 MFS458733 MPO458733 MZK458733 NJG458733 NTC458733 OCY458733 OMU458733 OWQ458733 PGM458733 PQI458733 QAE458733 QKA458733 QTW458733 RDS458733 RNO458733 RXK458733 SHG458733 SRC458733 TAY458733 TKU458733 TUQ458733 UEM458733 UOI458733 UYE458733 VIA458733 VRW458733 WBS458733 WLO458733 WVK458733 IY524269 SU524269 ACQ524269 AMM524269 AWI524269 BGE524269 BQA524269 BZW524269 CJS524269 CTO524269 DDK524269 DNG524269 DXC524269 EGY524269 EQU524269 FAQ524269 FKM524269 FUI524269 GEE524269 GOA524269 GXW524269 HHS524269 HRO524269 IBK524269 ILG524269 IVC524269 JEY524269 JOU524269 JYQ524269 KIM524269 KSI524269 LCE524269 LMA524269 LVW524269 MFS524269 MPO524269 MZK524269 NJG524269 NTC524269 OCY524269 OMU524269 OWQ524269 PGM524269 PQI524269 QAE524269 QKA524269 QTW524269 RDS524269 RNO524269 RXK524269 SHG524269 SRC524269 TAY524269 TKU524269 TUQ524269 UEM524269 UOI524269 UYE524269 VIA524269 VRW524269 WBS524269 WLO524269 WVK524269 IY589805 SU589805 ACQ589805 AMM589805 AWI589805 BGE589805 BQA589805 BZW589805 CJS589805 CTO589805 DDK589805 DNG589805 DXC589805 EGY589805 EQU589805 FAQ589805 FKM589805 FUI589805 GEE589805 GOA589805 GXW589805 HHS589805 HRO589805 IBK589805 ILG589805 IVC589805 JEY589805 JOU589805 JYQ589805 KIM589805 KSI589805 LCE589805 LMA589805 LVW589805 MFS589805 MPO589805 MZK589805 NJG589805 NTC589805 OCY589805 OMU589805 OWQ589805 PGM589805 PQI589805 QAE589805 QKA589805 QTW589805 RDS589805 RNO589805 RXK589805 SHG589805 SRC589805 TAY589805 TKU589805 TUQ589805 UEM589805 UOI589805 UYE589805 VIA589805 VRW589805 WBS589805 WLO589805 WVK589805 IY655341 SU655341 ACQ655341 AMM655341 AWI655341 BGE655341 BQA655341 BZW655341 CJS655341 CTO655341 DDK655341 DNG655341 DXC655341 EGY655341 EQU655341 FAQ655341 FKM655341 FUI655341 GEE655341 GOA655341 GXW655341 HHS655341 HRO655341 IBK655341 ILG655341 IVC655341 JEY655341 JOU655341 JYQ655341 KIM655341 KSI655341 LCE655341 LMA655341 LVW655341 MFS655341 MPO655341 MZK655341 NJG655341 NTC655341 OCY655341 OMU655341 OWQ655341 PGM655341 PQI655341 QAE655341 QKA655341 QTW655341 RDS655341 RNO655341 RXK655341 SHG655341 SRC655341 TAY655341 TKU655341 TUQ655341 UEM655341 UOI655341 UYE655341 VIA655341 VRW655341 WBS655341 WLO655341 WVK655341 IY720877 SU720877 ACQ720877 AMM720877 AWI720877 BGE720877 BQA720877 BZW720877 CJS720877 CTO720877 DDK720877 DNG720877 DXC720877 EGY720877 EQU720877 FAQ720877 FKM720877 FUI720877 GEE720877 GOA720877 GXW720877 HHS720877 HRO720877 IBK720877 ILG720877 IVC720877 JEY720877 JOU720877 JYQ720877 KIM720877 KSI720877 LCE720877 LMA720877 LVW720877 MFS720877 MPO720877 MZK720877 NJG720877 NTC720877 OCY720877 OMU720877 OWQ720877 PGM720877 PQI720877 QAE720877 QKA720877 QTW720877 RDS720877 RNO720877 RXK720877 SHG720877 SRC720877 TAY720877 TKU720877 TUQ720877 UEM720877 UOI720877 UYE720877 VIA720877 VRW720877 WBS720877 WLO720877 WVK720877 IY786413 SU786413 ACQ786413 AMM786413 AWI786413 BGE786413 BQA786413 BZW786413 CJS786413 CTO786413 DDK786413 DNG786413 DXC786413 EGY786413 EQU786413 FAQ786413 FKM786413 FUI786413 GEE786413 GOA786413 GXW786413 HHS786413 HRO786413 IBK786413 ILG786413 IVC786413 JEY786413 JOU786413 JYQ786413 KIM786413 KSI786413 LCE786413 LMA786413 LVW786413 MFS786413 MPO786413 MZK786413 NJG786413 NTC786413 OCY786413 OMU786413 OWQ786413 PGM786413 PQI786413 QAE786413 QKA786413 QTW786413 RDS786413 RNO786413 RXK786413 SHG786413 SRC786413 TAY786413 TKU786413 TUQ786413 UEM786413 UOI786413 UYE786413 VIA786413 VRW786413 WBS786413 WLO786413 WVK786413 IY851949 SU851949 ACQ851949 AMM851949 AWI851949 BGE851949 BQA851949 BZW851949 CJS851949 CTO851949 DDK851949 DNG851949 DXC851949 EGY851949 EQU851949 FAQ851949 FKM851949 FUI851949 GEE851949 GOA851949 GXW851949 HHS851949 HRO851949 IBK851949 ILG851949 IVC851949 JEY851949 JOU851949 JYQ851949 KIM851949 KSI851949 LCE851949 LMA851949 LVW851949 MFS851949 MPO851949 MZK851949 NJG851949 NTC851949 OCY851949 OMU851949 OWQ851949 PGM851949 PQI851949 QAE851949 QKA851949 QTW851949 RDS851949 RNO851949 RXK851949 SHG851949 SRC851949 TAY851949 TKU851949 TUQ851949 UEM851949 UOI851949 UYE851949 VIA851949 VRW851949 WBS851949 WLO851949 WVK851949 IY917485 SU917485 ACQ917485 AMM917485 AWI917485 BGE917485 BQA917485 BZW917485 CJS917485 CTO917485 DDK917485 DNG917485 DXC917485 EGY917485 EQU917485 FAQ917485 FKM917485 FUI917485 GEE917485 GOA917485 GXW917485 HHS917485 HRO917485 IBK917485 ILG917485 IVC917485 JEY917485 JOU917485 JYQ917485 KIM917485 KSI917485 LCE917485 LMA917485 LVW917485 MFS917485 MPO917485 MZK917485 NJG917485 NTC917485 OCY917485 OMU917485 OWQ917485 PGM917485 PQI917485 QAE917485 QKA917485 QTW917485 RDS917485 RNO917485 RXK917485 SHG917485 SRC917485 TAY917485 TKU917485 TUQ917485 UEM917485 UOI917485 UYE917485 VIA917485 VRW917485 WBS917485 WLO917485 WVK917485 WVK983021 IY983021 SU983021 ACQ983021 AMM983021 AWI983021 BGE983021 BQA983021 BZW983021 CJS983021 CTO983021 DDK983021 DNG983021 DXC983021 EGY983021 EQU983021 FAQ983021 FKM983021 FUI983021 GEE983021 GOA983021 GXW983021 HHS983021 HRO983021 IBK983021 ILG983021 IVC983021 JEY983021 JOU983021 JYQ983021 KIM983021 KSI983021 LCE983021 LMA983021 LVW983021 MFS983021 MPO983021 MZK983021 NJG983021 NTC983021 OCY983021 OMU983021 OWQ983021 PGM983021 PQI983021 QAE983021 QKA983021 QTW983021 RDS983021 RNO983021 RXK983021 SHG983021 SRC983021 TAY983021 TKU983021 TUQ983021 UEM983021 UOI983021 UYE983021 VIA983021 VRW983021 WBS983021 WLO983021 D6 F6 A6 A131053:F131053 A196589:F196589 A262125:F262125 A327661:F327661 A393197:F393197 A458733:F458733 A524269:F524269 A589805:F589805 A655341:F655341 A720877:F720877 A786413:F786413 A851949:F851949 A917485:F917485 A983021:F983021 A65517:F65517" xr:uid="{00000000-0002-0000-0000-000001000000}"/>
    <dataValidation type="textLength" operator="lessThanOrEqual" allowBlank="1" showInputMessage="1" showErrorMessage="1" errorTitle="FactelExcel" error="Debe ingresar un valor correcto para la Descripcion de Productos" sqref="IZ65518:IZ131051 SV65518:SV131051 ACR65518:ACR131051 AMN65518:AMN131051 AWJ65518:AWJ131051 BGF65518:BGF131051 BQB65518:BQB131051 BZX65518:BZX131051 CJT65518:CJT131051 CTP65518:CTP131051 DDL65518:DDL131051 DNH65518:DNH131051 DXD65518:DXD131051 EGZ65518:EGZ131051 EQV65518:EQV131051 FAR65518:FAR131051 FKN65518:FKN131051 FUJ65518:FUJ131051 GEF65518:GEF131051 GOB65518:GOB131051 GXX65518:GXX131051 HHT65518:HHT131051 HRP65518:HRP131051 IBL65518:IBL131051 ILH65518:ILH131051 IVD65518:IVD131051 JEZ65518:JEZ131051 JOV65518:JOV131051 JYR65518:JYR131051 KIN65518:KIN131051 KSJ65518:KSJ131051 LCF65518:LCF131051 LMB65518:LMB131051 LVX65518:LVX131051 MFT65518:MFT131051 MPP65518:MPP131051 MZL65518:MZL131051 NJH65518:NJH131051 NTD65518:NTD131051 OCZ65518:OCZ131051 OMV65518:OMV131051 OWR65518:OWR131051 PGN65518:PGN131051 PQJ65518:PQJ131051 QAF65518:QAF131051 QKB65518:QKB131051 QTX65518:QTX131051 RDT65518:RDT131051 RNP65518:RNP131051 RXL65518:RXL131051 SHH65518:SHH131051 SRD65518:SRD131051 TAZ65518:TAZ131051 TKV65518:TKV131051 TUR65518:TUR131051 UEN65518:UEN131051 UOJ65518:UOJ131051 UYF65518:UYF131051 VIB65518:VIB131051 VRX65518:VRX131051 WBT65518:WBT131051 WLP65518:WLP131051 WVL65518:WVL131051 IZ131054:IZ196587 SV131054:SV196587 ACR131054:ACR196587 AMN131054:AMN196587 AWJ131054:AWJ196587 BGF131054:BGF196587 BQB131054:BQB196587 BZX131054:BZX196587 CJT131054:CJT196587 CTP131054:CTP196587 DDL131054:DDL196587 DNH131054:DNH196587 DXD131054:DXD196587 EGZ131054:EGZ196587 EQV131054:EQV196587 FAR131054:FAR196587 FKN131054:FKN196587 FUJ131054:FUJ196587 GEF131054:GEF196587 GOB131054:GOB196587 GXX131054:GXX196587 HHT131054:HHT196587 HRP131054:HRP196587 IBL131054:IBL196587 ILH131054:ILH196587 IVD131054:IVD196587 JEZ131054:JEZ196587 JOV131054:JOV196587 JYR131054:JYR196587 KIN131054:KIN196587 KSJ131054:KSJ196587 LCF131054:LCF196587 LMB131054:LMB196587 LVX131054:LVX196587 MFT131054:MFT196587 MPP131054:MPP196587 MZL131054:MZL196587 NJH131054:NJH196587 NTD131054:NTD196587 OCZ131054:OCZ196587 OMV131054:OMV196587 OWR131054:OWR196587 PGN131054:PGN196587 PQJ131054:PQJ196587 QAF131054:QAF196587 QKB131054:QKB196587 QTX131054:QTX196587 RDT131054:RDT196587 RNP131054:RNP196587 RXL131054:RXL196587 SHH131054:SHH196587 SRD131054:SRD196587 TAZ131054:TAZ196587 TKV131054:TKV196587 TUR131054:TUR196587 UEN131054:UEN196587 UOJ131054:UOJ196587 UYF131054:UYF196587 VIB131054:VIB196587 VRX131054:VRX196587 WBT131054:WBT196587 WLP131054:WLP196587 WVL131054:WVL196587 IZ196590:IZ262123 SV196590:SV262123 ACR196590:ACR262123 AMN196590:AMN262123 AWJ196590:AWJ262123 BGF196590:BGF262123 BQB196590:BQB262123 BZX196590:BZX262123 CJT196590:CJT262123 CTP196590:CTP262123 DDL196590:DDL262123 DNH196590:DNH262123 DXD196590:DXD262123 EGZ196590:EGZ262123 EQV196590:EQV262123 FAR196590:FAR262123 FKN196590:FKN262123 FUJ196590:FUJ262123 GEF196590:GEF262123 GOB196590:GOB262123 GXX196590:GXX262123 HHT196590:HHT262123 HRP196590:HRP262123 IBL196590:IBL262123 ILH196590:ILH262123 IVD196590:IVD262123 JEZ196590:JEZ262123 JOV196590:JOV262123 JYR196590:JYR262123 KIN196590:KIN262123 KSJ196590:KSJ262123 LCF196590:LCF262123 LMB196590:LMB262123 LVX196590:LVX262123 MFT196590:MFT262123 MPP196590:MPP262123 MZL196590:MZL262123 NJH196590:NJH262123 NTD196590:NTD262123 OCZ196590:OCZ262123 OMV196590:OMV262123 OWR196590:OWR262123 PGN196590:PGN262123 PQJ196590:PQJ262123 QAF196590:QAF262123 QKB196590:QKB262123 QTX196590:QTX262123 RDT196590:RDT262123 RNP196590:RNP262123 RXL196590:RXL262123 SHH196590:SHH262123 SRD196590:SRD262123 TAZ196590:TAZ262123 TKV196590:TKV262123 TUR196590:TUR262123 UEN196590:UEN262123 UOJ196590:UOJ262123 UYF196590:UYF262123 VIB196590:VIB262123 VRX196590:VRX262123 WBT196590:WBT262123 WLP196590:WLP262123 WVL196590:WVL262123 IZ262126:IZ327659 SV262126:SV327659 ACR262126:ACR327659 AMN262126:AMN327659 AWJ262126:AWJ327659 BGF262126:BGF327659 BQB262126:BQB327659 BZX262126:BZX327659 CJT262126:CJT327659 CTP262126:CTP327659 DDL262126:DDL327659 DNH262126:DNH327659 DXD262126:DXD327659 EGZ262126:EGZ327659 EQV262126:EQV327659 FAR262126:FAR327659 FKN262126:FKN327659 FUJ262126:FUJ327659 GEF262126:GEF327659 GOB262126:GOB327659 GXX262126:GXX327659 HHT262126:HHT327659 HRP262126:HRP327659 IBL262126:IBL327659 ILH262126:ILH327659 IVD262126:IVD327659 JEZ262126:JEZ327659 JOV262126:JOV327659 JYR262126:JYR327659 KIN262126:KIN327659 KSJ262126:KSJ327659 LCF262126:LCF327659 LMB262126:LMB327659 LVX262126:LVX327659 MFT262126:MFT327659 MPP262126:MPP327659 MZL262126:MZL327659 NJH262126:NJH327659 NTD262126:NTD327659 OCZ262126:OCZ327659 OMV262126:OMV327659 OWR262126:OWR327659 PGN262126:PGN327659 PQJ262126:PQJ327659 QAF262126:QAF327659 QKB262126:QKB327659 QTX262126:QTX327659 RDT262126:RDT327659 RNP262126:RNP327659 RXL262126:RXL327659 SHH262126:SHH327659 SRD262126:SRD327659 TAZ262126:TAZ327659 TKV262126:TKV327659 TUR262126:TUR327659 UEN262126:UEN327659 UOJ262126:UOJ327659 UYF262126:UYF327659 VIB262126:VIB327659 VRX262126:VRX327659 WBT262126:WBT327659 WLP262126:WLP327659 WVL262126:WVL327659 IZ327662:IZ393195 SV327662:SV393195 ACR327662:ACR393195 AMN327662:AMN393195 AWJ327662:AWJ393195 BGF327662:BGF393195 BQB327662:BQB393195 BZX327662:BZX393195 CJT327662:CJT393195 CTP327662:CTP393195 DDL327662:DDL393195 DNH327662:DNH393195 DXD327662:DXD393195 EGZ327662:EGZ393195 EQV327662:EQV393195 FAR327662:FAR393195 FKN327662:FKN393195 FUJ327662:FUJ393195 GEF327662:GEF393195 GOB327662:GOB393195 GXX327662:GXX393195 HHT327662:HHT393195 HRP327662:HRP393195 IBL327662:IBL393195 ILH327662:ILH393195 IVD327662:IVD393195 JEZ327662:JEZ393195 JOV327662:JOV393195 JYR327662:JYR393195 KIN327662:KIN393195 KSJ327662:KSJ393195 LCF327662:LCF393195 LMB327662:LMB393195 LVX327662:LVX393195 MFT327662:MFT393195 MPP327662:MPP393195 MZL327662:MZL393195 NJH327662:NJH393195 NTD327662:NTD393195 OCZ327662:OCZ393195 OMV327662:OMV393195 OWR327662:OWR393195 PGN327662:PGN393195 PQJ327662:PQJ393195 QAF327662:QAF393195 QKB327662:QKB393195 QTX327662:QTX393195 RDT327662:RDT393195 RNP327662:RNP393195 RXL327662:RXL393195 SHH327662:SHH393195 SRD327662:SRD393195 TAZ327662:TAZ393195 TKV327662:TKV393195 TUR327662:TUR393195 UEN327662:UEN393195 UOJ327662:UOJ393195 UYF327662:UYF393195 VIB327662:VIB393195 VRX327662:VRX393195 WBT327662:WBT393195 WLP327662:WLP393195 WVL327662:WVL393195 IZ393198:IZ458731 SV393198:SV458731 ACR393198:ACR458731 AMN393198:AMN458731 AWJ393198:AWJ458731 BGF393198:BGF458731 BQB393198:BQB458731 BZX393198:BZX458731 CJT393198:CJT458731 CTP393198:CTP458731 DDL393198:DDL458731 DNH393198:DNH458731 DXD393198:DXD458731 EGZ393198:EGZ458731 EQV393198:EQV458731 FAR393198:FAR458731 FKN393198:FKN458731 FUJ393198:FUJ458731 GEF393198:GEF458731 GOB393198:GOB458731 GXX393198:GXX458731 HHT393198:HHT458731 HRP393198:HRP458731 IBL393198:IBL458731 ILH393198:ILH458731 IVD393198:IVD458731 JEZ393198:JEZ458731 JOV393198:JOV458731 JYR393198:JYR458731 KIN393198:KIN458731 KSJ393198:KSJ458731 LCF393198:LCF458731 LMB393198:LMB458731 LVX393198:LVX458731 MFT393198:MFT458731 MPP393198:MPP458731 MZL393198:MZL458731 NJH393198:NJH458731 NTD393198:NTD458731 OCZ393198:OCZ458731 OMV393198:OMV458731 OWR393198:OWR458731 PGN393198:PGN458731 PQJ393198:PQJ458731 QAF393198:QAF458731 QKB393198:QKB458731 QTX393198:QTX458731 RDT393198:RDT458731 RNP393198:RNP458731 RXL393198:RXL458731 SHH393198:SHH458731 SRD393198:SRD458731 TAZ393198:TAZ458731 TKV393198:TKV458731 TUR393198:TUR458731 UEN393198:UEN458731 UOJ393198:UOJ458731 UYF393198:UYF458731 VIB393198:VIB458731 VRX393198:VRX458731 WBT393198:WBT458731 WLP393198:WLP458731 WVL393198:WVL458731 IZ458734:IZ524267 SV458734:SV524267 ACR458734:ACR524267 AMN458734:AMN524267 AWJ458734:AWJ524267 BGF458734:BGF524267 BQB458734:BQB524267 BZX458734:BZX524267 CJT458734:CJT524267 CTP458734:CTP524267 DDL458734:DDL524267 DNH458734:DNH524267 DXD458734:DXD524267 EGZ458734:EGZ524267 EQV458734:EQV524267 FAR458734:FAR524267 FKN458734:FKN524267 FUJ458734:FUJ524267 GEF458734:GEF524267 GOB458734:GOB524267 GXX458734:GXX524267 HHT458734:HHT524267 HRP458734:HRP524267 IBL458734:IBL524267 ILH458734:ILH524267 IVD458734:IVD524267 JEZ458734:JEZ524267 JOV458734:JOV524267 JYR458734:JYR524267 KIN458734:KIN524267 KSJ458734:KSJ524267 LCF458734:LCF524267 LMB458734:LMB524267 LVX458734:LVX524267 MFT458734:MFT524267 MPP458734:MPP524267 MZL458734:MZL524267 NJH458734:NJH524267 NTD458734:NTD524267 OCZ458734:OCZ524267 OMV458734:OMV524267 OWR458734:OWR524267 PGN458734:PGN524267 PQJ458734:PQJ524267 QAF458734:QAF524267 QKB458734:QKB524267 QTX458734:QTX524267 RDT458734:RDT524267 RNP458734:RNP524267 RXL458734:RXL524267 SHH458734:SHH524267 SRD458734:SRD524267 TAZ458734:TAZ524267 TKV458734:TKV524267 TUR458734:TUR524267 UEN458734:UEN524267 UOJ458734:UOJ524267 UYF458734:UYF524267 VIB458734:VIB524267 VRX458734:VRX524267 WBT458734:WBT524267 WLP458734:WLP524267 WVL458734:WVL524267 IZ524270:IZ589803 SV524270:SV589803 ACR524270:ACR589803 AMN524270:AMN589803 AWJ524270:AWJ589803 BGF524270:BGF589803 BQB524270:BQB589803 BZX524270:BZX589803 CJT524270:CJT589803 CTP524270:CTP589803 DDL524270:DDL589803 DNH524270:DNH589803 DXD524270:DXD589803 EGZ524270:EGZ589803 EQV524270:EQV589803 FAR524270:FAR589803 FKN524270:FKN589803 FUJ524270:FUJ589803 GEF524270:GEF589803 GOB524270:GOB589803 GXX524270:GXX589803 HHT524270:HHT589803 HRP524270:HRP589803 IBL524270:IBL589803 ILH524270:ILH589803 IVD524270:IVD589803 JEZ524270:JEZ589803 JOV524270:JOV589803 JYR524270:JYR589803 KIN524270:KIN589803 KSJ524270:KSJ589803 LCF524270:LCF589803 LMB524270:LMB589803 LVX524270:LVX589803 MFT524270:MFT589803 MPP524270:MPP589803 MZL524270:MZL589803 NJH524270:NJH589803 NTD524270:NTD589803 OCZ524270:OCZ589803 OMV524270:OMV589803 OWR524270:OWR589803 PGN524270:PGN589803 PQJ524270:PQJ589803 QAF524270:QAF589803 QKB524270:QKB589803 QTX524270:QTX589803 RDT524270:RDT589803 RNP524270:RNP589803 RXL524270:RXL589803 SHH524270:SHH589803 SRD524270:SRD589803 TAZ524270:TAZ589803 TKV524270:TKV589803 TUR524270:TUR589803 UEN524270:UEN589803 UOJ524270:UOJ589803 UYF524270:UYF589803 VIB524270:VIB589803 VRX524270:VRX589803 WBT524270:WBT589803 WLP524270:WLP589803 WVL524270:WVL589803 IZ589806:IZ655339 SV589806:SV655339 ACR589806:ACR655339 AMN589806:AMN655339 AWJ589806:AWJ655339 BGF589806:BGF655339 BQB589806:BQB655339 BZX589806:BZX655339 CJT589806:CJT655339 CTP589806:CTP655339 DDL589806:DDL655339 DNH589806:DNH655339 DXD589806:DXD655339 EGZ589806:EGZ655339 EQV589806:EQV655339 FAR589806:FAR655339 FKN589806:FKN655339 FUJ589806:FUJ655339 GEF589806:GEF655339 GOB589806:GOB655339 GXX589806:GXX655339 HHT589806:HHT655339 HRP589806:HRP655339 IBL589806:IBL655339 ILH589806:ILH655339 IVD589806:IVD655339 JEZ589806:JEZ655339 JOV589806:JOV655339 JYR589806:JYR655339 KIN589806:KIN655339 KSJ589806:KSJ655339 LCF589806:LCF655339 LMB589806:LMB655339 LVX589806:LVX655339 MFT589806:MFT655339 MPP589806:MPP655339 MZL589806:MZL655339 NJH589806:NJH655339 NTD589806:NTD655339 OCZ589806:OCZ655339 OMV589806:OMV655339 OWR589806:OWR655339 PGN589806:PGN655339 PQJ589806:PQJ655339 QAF589806:QAF655339 QKB589806:QKB655339 QTX589806:QTX655339 RDT589806:RDT655339 RNP589806:RNP655339 RXL589806:RXL655339 SHH589806:SHH655339 SRD589806:SRD655339 TAZ589806:TAZ655339 TKV589806:TKV655339 TUR589806:TUR655339 UEN589806:UEN655339 UOJ589806:UOJ655339 UYF589806:UYF655339 VIB589806:VIB655339 VRX589806:VRX655339 WBT589806:WBT655339 WLP589806:WLP655339 WVL589806:WVL655339 IZ655342:IZ720875 SV655342:SV720875 ACR655342:ACR720875 AMN655342:AMN720875 AWJ655342:AWJ720875 BGF655342:BGF720875 BQB655342:BQB720875 BZX655342:BZX720875 CJT655342:CJT720875 CTP655342:CTP720875 DDL655342:DDL720875 DNH655342:DNH720875 DXD655342:DXD720875 EGZ655342:EGZ720875 EQV655342:EQV720875 FAR655342:FAR720875 FKN655342:FKN720875 FUJ655342:FUJ720875 GEF655342:GEF720875 GOB655342:GOB720875 GXX655342:GXX720875 HHT655342:HHT720875 HRP655342:HRP720875 IBL655342:IBL720875 ILH655342:ILH720875 IVD655342:IVD720875 JEZ655342:JEZ720875 JOV655342:JOV720875 JYR655342:JYR720875 KIN655342:KIN720875 KSJ655342:KSJ720875 LCF655342:LCF720875 LMB655342:LMB720875 LVX655342:LVX720875 MFT655342:MFT720875 MPP655342:MPP720875 MZL655342:MZL720875 NJH655342:NJH720875 NTD655342:NTD720875 OCZ655342:OCZ720875 OMV655342:OMV720875 OWR655342:OWR720875 PGN655342:PGN720875 PQJ655342:PQJ720875 QAF655342:QAF720875 QKB655342:QKB720875 QTX655342:QTX720875 RDT655342:RDT720875 RNP655342:RNP720875 RXL655342:RXL720875 SHH655342:SHH720875 SRD655342:SRD720875 TAZ655342:TAZ720875 TKV655342:TKV720875 TUR655342:TUR720875 UEN655342:UEN720875 UOJ655342:UOJ720875 UYF655342:UYF720875 VIB655342:VIB720875 VRX655342:VRX720875 WBT655342:WBT720875 WLP655342:WLP720875 WVL655342:WVL720875 IZ720878:IZ786411 SV720878:SV786411 ACR720878:ACR786411 AMN720878:AMN786411 AWJ720878:AWJ786411 BGF720878:BGF786411 BQB720878:BQB786411 BZX720878:BZX786411 CJT720878:CJT786411 CTP720878:CTP786411 DDL720878:DDL786411 DNH720878:DNH786411 DXD720878:DXD786411 EGZ720878:EGZ786411 EQV720878:EQV786411 FAR720878:FAR786411 FKN720878:FKN786411 FUJ720878:FUJ786411 GEF720878:GEF786411 GOB720878:GOB786411 GXX720878:GXX786411 HHT720878:HHT786411 HRP720878:HRP786411 IBL720878:IBL786411 ILH720878:ILH786411 IVD720878:IVD786411 JEZ720878:JEZ786411 JOV720878:JOV786411 JYR720878:JYR786411 KIN720878:KIN786411 KSJ720878:KSJ786411 LCF720878:LCF786411 LMB720878:LMB786411 LVX720878:LVX786411 MFT720878:MFT786411 MPP720878:MPP786411 MZL720878:MZL786411 NJH720878:NJH786411 NTD720878:NTD786411 OCZ720878:OCZ786411 OMV720878:OMV786411 OWR720878:OWR786411 PGN720878:PGN786411 PQJ720878:PQJ786411 QAF720878:QAF786411 QKB720878:QKB786411 QTX720878:QTX786411 RDT720878:RDT786411 RNP720878:RNP786411 RXL720878:RXL786411 SHH720878:SHH786411 SRD720878:SRD786411 TAZ720878:TAZ786411 TKV720878:TKV786411 TUR720878:TUR786411 UEN720878:UEN786411 UOJ720878:UOJ786411 UYF720878:UYF786411 VIB720878:VIB786411 VRX720878:VRX786411 WBT720878:WBT786411 WLP720878:WLP786411 WVL720878:WVL786411 IZ786414:IZ851947 SV786414:SV851947 ACR786414:ACR851947 AMN786414:AMN851947 AWJ786414:AWJ851947 BGF786414:BGF851947 BQB786414:BQB851947 BZX786414:BZX851947 CJT786414:CJT851947 CTP786414:CTP851947 DDL786414:DDL851947 DNH786414:DNH851947 DXD786414:DXD851947 EGZ786414:EGZ851947 EQV786414:EQV851947 FAR786414:FAR851947 FKN786414:FKN851947 FUJ786414:FUJ851947 GEF786414:GEF851947 GOB786414:GOB851947 GXX786414:GXX851947 HHT786414:HHT851947 HRP786414:HRP851947 IBL786414:IBL851947 ILH786414:ILH851947 IVD786414:IVD851947 JEZ786414:JEZ851947 JOV786414:JOV851947 JYR786414:JYR851947 KIN786414:KIN851947 KSJ786414:KSJ851947 LCF786414:LCF851947 LMB786414:LMB851947 LVX786414:LVX851947 MFT786414:MFT851947 MPP786414:MPP851947 MZL786414:MZL851947 NJH786414:NJH851947 NTD786414:NTD851947 OCZ786414:OCZ851947 OMV786414:OMV851947 OWR786414:OWR851947 PGN786414:PGN851947 PQJ786414:PQJ851947 QAF786414:QAF851947 QKB786414:QKB851947 QTX786414:QTX851947 RDT786414:RDT851947 RNP786414:RNP851947 RXL786414:RXL851947 SHH786414:SHH851947 SRD786414:SRD851947 TAZ786414:TAZ851947 TKV786414:TKV851947 TUR786414:TUR851947 UEN786414:UEN851947 UOJ786414:UOJ851947 UYF786414:UYF851947 VIB786414:VIB851947 VRX786414:VRX851947 WBT786414:WBT851947 WLP786414:WLP851947 WVL786414:WVL851947 IZ851950:IZ917483 SV851950:SV917483 ACR851950:ACR917483 AMN851950:AMN917483 AWJ851950:AWJ917483 BGF851950:BGF917483 BQB851950:BQB917483 BZX851950:BZX917483 CJT851950:CJT917483 CTP851950:CTP917483 DDL851950:DDL917483 DNH851950:DNH917483 DXD851950:DXD917483 EGZ851950:EGZ917483 EQV851950:EQV917483 FAR851950:FAR917483 FKN851950:FKN917483 FUJ851950:FUJ917483 GEF851950:GEF917483 GOB851950:GOB917483 GXX851950:GXX917483 HHT851950:HHT917483 HRP851950:HRP917483 IBL851950:IBL917483 ILH851950:ILH917483 IVD851950:IVD917483 JEZ851950:JEZ917483 JOV851950:JOV917483 JYR851950:JYR917483 KIN851950:KIN917483 KSJ851950:KSJ917483 LCF851950:LCF917483 LMB851950:LMB917483 LVX851950:LVX917483 MFT851950:MFT917483 MPP851950:MPP917483 MZL851950:MZL917483 NJH851950:NJH917483 NTD851950:NTD917483 OCZ851950:OCZ917483 OMV851950:OMV917483 OWR851950:OWR917483 PGN851950:PGN917483 PQJ851950:PQJ917483 QAF851950:QAF917483 QKB851950:QKB917483 QTX851950:QTX917483 RDT851950:RDT917483 RNP851950:RNP917483 RXL851950:RXL917483 SHH851950:SHH917483 SRD851950:SRD917483 TAZ851950:TAZ917483 TKV851950:TKV917483 TUR851950:TUR917483 UEN851950:UEN917483 UOJ851950:UOJ917483 UYF851950:UYF917483 VIB851950:VIB917483 VRX851950:VRX917483 WBT851950:WBT917483 WLP851950:WLP917483 WVL851950:WVL917483 IZ917486:IZ983019 SV917486:SV983019 ACR917486:ACR983019 AMN917486:AMN983019 AWJ917486:AWJ983019 BGF917486:BGF983019 BQB917486:BQB983019 BZX917486:BZX983019 CJT917486:CJT983019 CTP917486:CTP983019 DDL917486:DDL983019 DNH917486:DNH983019 DXD917486:DXD983019 EGZ917486:EGZ983019 EQV917486:EQV983019 FAR917486:FAR983019 FKN917486:FKN983019 FUJ917486:FUJ983019 GEF917486:GEF983019 GOB917486:GOB983019 GXX917486:GXX983019 HHT917486:HHT983019 HRP917486:HRP983019 IBL917486:IBL983019 ILH917486:ILH983019 IVD917486:IVD983019 JEZ917486:JEZ983019 JOV917486:JOV983019 JYR917486:JYR983019 KIN917486:KIN983019 KSJ917486:KSJ983019 LCF917486:LCF983019 LMB917486:LMB983019 LVX917486:LVX983019 MFT917486:MFT983019 MPP917486:MPP983019 MZL917486:MZL983019 NJH917486:NJH983019 NTD917486:NTD983019 OCZ917486:OCZ983019 OMV917486:OMV983019 OWR917486:OWR983019 PGN917486:PGN983019 PQJ917486:PQJ983019 QAF917486:QAF983019 QKB917486:QKB983019 QTX917486:QTX983019 RDT917486:RDT983019 RNP917486:RNP983019 RXL917486:RXL983019 SHH917486:SHH983019 SRD917486:SRD983019 TAZ917486:TAZ983019 TKV917486:TKV983019 TUR917486:TUR983019 UEN917486:UEN983019 UOJ917486:UOJ983019 UYF917486:UYF983019 VIB917486:VIB983019 VRX917486:VRX983019 WBT917486:WBT983019 WLP917486:WLP983019 WVL917486:WVL983019 WVL983022:WVL1048576 IZ983022:IZ1048576 SV983022:SV1048576 ACR983022:ACR1048576 AMN983022:AMN1048576 AWJ983022:AWJ1048576 BGF983022:BGF1048576 BQB983022:BQB1048576 BZX983022:BZX1048576 CJT983022:CJT1048576 CTP983022:CTP1048576 DDL983022:DDL1048576 DNH983022:DNH1048576 DXD983022:DXD1048576 EGZ983022:EGZ1048576 EQV983022:EQV1048576 FAR983022:FAR1048576 FKN983022:FKN1048576 FUJ983022:FUJ1048576 GEF983022:GEF1048576 GOB983022:GOB1048576 GXX983022:GXX1048576 HHT983022:HHT1048576 HRP983022:HRP1048576 IBL983022:IBL1048576 ILH983022:ILH1048576 IVD983022:IVD1048576 JEZ983022:JEZ1048576 JOV983022:JOV1048576 JYR983022:JYR1048576 KIN983022:KIN1048576 KSJ983022:KSJ1048576 LCF983022:LCF1048576 LMB983022:LMB1048576 LVX983022:LVX1048576 MFT983022:MFT1048576 MPP983022:MPP1048576 MZL983022:MZL1048576 NJH983022:NJH1048576 NTD983022:NTD1048576 OCZ983022:OCZ1048576 OMV983022:OMV1048576 OWR983022:OWR1048576 PGN983022:PGN1048576 PQJ983022:PQJ1048576 QAF983022:QAF1048576 QKB983022:QKB1048576 QTX983022:QTX1048576 RDT983022:RDT1048576 RNP983022:RNP1048576 RXL983022:RXL1048576 SHH983022:SHH1048576 SRD983022:SRD1048576 TAZ983022:TAZ1048576 TKV983022:TKV1048576 TUR983022:TUR1048576 UEN983022:UEN1048576 UOJ983022:UOJ1048576 UYF983022:UYF1048576 VIB983022:VIB1048576 VRX983022:VRX1048576 WBT983022:WBT1048576 WLP983022:WLP1048576 F7:G65515 F983022:G1048576 F917486:G983019 F851950:G917483 F786414:G851947 F720878:G786411 F655342:G720875 F589806:G655339 F524270:G589803 F458734:G524267 F393198:G458731 F327662:G393195 F262126:G327659 F196590:G262123 F131054:G196587 F65518:G131051 K983022:M1048576 K917486:M983019 K851950:M917483 K786414:M851947 K720878:M786411 K655342:M720875 K589806:M655339 K524270:M589803 K458734:M524267 K393198:M458731 K327662:M393195 K262126:M327659 K196590:M262123 K131054:M196587 K65518:M131051 K7:M65515 SV7:SV65515 ACR7:ACR65515 AMN7:AMN65515 AWJ7:AWJ65515 BGF7:BGF65515 BQB7:BQB65515 BZX7:BZX65515 CJT7:CJT65515 CTP7:CTP65515 DDL7:DDL65515 DNH7:DNH65515 DXD7:DXD65515 EGZ7:EGZ65515 EQV7:EQV65515 FAR7:FAR65515 FKN7:FKN65515 FUJ7:FUJ65515 GEF7:GEF65515 GOB7:GOB65515 GXX7:GXX65515 HHT7:HHT65515 HRP7:HRP65515 IBL7:IBL65515 ILH7:ILH65515 IVD7:IVD65515 JEZ7:JEZ65515 JOV7:JOV65515 JYR7:JYR65515 KIN7:KIN65515 KSJ7:KSJ65515 LCF7:LCF65515 LMB7:LMB65515 LVX7:LVX65515 MFT7:MFT65515 MPP7:MPP65515 MZL7:MZL65515 NJH7:NJH65515 NTD7:NTD65515 OCZ7:OCZ65515 OMV7:OMV65515 OWR7:OWR65515 PGN7:PGN65515 PQJ7:PQJ65515 QAF7:QAF65515 QKB7:QKB65515 QTX7:QTX65515 RDT7:RDT65515 RNP7:RNP65515 RXL7:RXL65515 SHH7:SHH65515 SRD7:SRD65515 TAZ7:TAZ65515 TKV7:TKV65515 TUR7:TUR65515 UEN7:UEN65515 UOJ7:UOJ65515 UYF7:UYF65515 VIB7:VIB65515 VRX7:VRX65515 WBT7:WBT65515 WLP7:WLP65515 WVL7:WVL65515 IZ7:IZ65515" xr:uid="{00000000-0002-0000-0000-000002000000}">
      <formula1>300</formula1>
    </dataValidation>
    <dataValidation type="textLength" operator="lessThanOrEqual" allowBlank="1" showInputMessage="1" showErrorMessage="1" errorTitle="FactelExcel" error="Debe ingresar un valor correcto para el Codigo Principal" sqref="IY65518:IY131051 SU65518:SU131051 ACQ65518:ACQ131051 AMM65518:AMM131051 AWI65518:AWI131051 BGE65518:BGE131051 BQA65518:BQA131051 BZW65518:BZW131051 CJS65518:CJS131051 CTO65518:CTO131051 DDK65518:DDK131051 DNG65518:DNG131051 DXC65518:DXC131051 EGY65518:EGY131051 EQU65518:EQU131051 FAQ65518:FAQ131051 FKM65518:FKM131051 FUI65518:FUI131051 GEE65518:GEE131051 GOA65518:GOA131051 GXW65518:GXW131051 HHS65518:HHS131051 HRO65518:HRO131051 IBK65518:IBK131051 ILG65518:ILG131051 IVC65518:IVC131051 JEY65518:JEY131051 JOU65518:JOU131051 JYQ65518:JYQ131051 KIM65518:KIM131051 KSI65518:KSI131051 LCE65518:LCE131051 LMA65518:LMA131051 LVW65518:LVW131051 MFS65518:MFS131051 MPO65518:MPO131051 MZK65518:MZK131051 NJG65518:NJG131051 NTC65518:NTC131051 OCY65518:OCY131051 OMU65518:OMU131051 OWQ65518:OWQ131051 PGM65518:PGM131051 PQI65518:PQI131051 QAE65518:QAE131051 QKA65518:QKA131051 QTW65518:QTW131051 RDS65518:RDS131051 RNO65518:RNO131051 RXK65518:RXK131051 SHG65518:SHG131051 SRC65518:SRC131051 TAY65518:TAY131051 TKU65518:TKU131051 TUQ65518:TUQ131051 UEM65518:UEM131051 UOI65518:UOI131051 UYE65518:UYE131051 VIA65518:VIA131051 VRW65518:VRW131051 WBS65518:WBS131051 WLO65518:WLO131051 WVK65518:WVK131051 IY131054:IY196587 SU131054:SU196587 ACQ131054:ACQ196587 AMM131054:AMM196587 AWI131054:AWI196587 BGE131054:BGE196587 BQA131054:BQA196587 BZW131054:BZW196587 CJS131054:CJS196587 CTO131054:CTO196587 DDK131054:DDK196587 DNG131054:DNG196587 DXC131054:DXC196587 EGY131054:EGY196587 EQU131054:EQU196587 FAQ131054:FAQ196587 FKM131054:FKM196587 FUI131054:FUI196587 GEE131054:GEE196587 GOA131054:GOA196587 GXW131054:GXW196587 HHS131054:HHS196587 HRO131054:HRO196587 IBK131054:IBK196587 ILG131054:ILG196587 IVC131054:IVC196587 JEY131054:JEY196587 JOU131054:JOU196587 JYQ131054:JYQ196587 KIM131054:KIM196587 KSI131054:KSI196587 LCE131054:LCE196587 LMA131054:LMA196587 LVW131054:LVW196587 MFS131054:MFS196587 MPO131054:MPO196587 MZK131054:MZK196587 NJG131054:NJG196587 NTC131054:NTC196587 OCY131054:OCY196587 OMU131054:OMU196587 OWQ131054:OWQ196587 PGM131054:PGM196587 PQI131054:PQI196587 QAE131054:QAE196587 QKA131054:QKA196587 QTW131054:QTW196587 RDS131054:RDS196587 RNO131054:RNO196587 RXK131054:RXK196587 SHG131054:SHG196587 SRC131054:SRC196587 TAY131054:TAY196587 TKU131054:TKU196587 TUQ131054:TUQ196587 UEM131054:UEM196587 UOI131054:UOI196587 UYE131054:UYE196587 VIA131054:VIA196587 VRW131054:VRW196587 WBS131054:WBS196587 WLO131054:WLO196587 WVK131054:WVK196587 IY196590:IY262123 SU196590:SU262123 ACQ196590:ACQ262123 AMM196590:AMM262123 AWI196590:AWI262123 BGE196590:BGE262123 BQA196590:BQA262123 BZW196590:BZW262123 CJS196590:CJS262123 CTO196590:CTO262123 DDK196590:DDK262123 DNG196590:DNG262123 DXC196590:DXC262123 EGY196590:EGY262123 EQU196590:EQU262123 FAQ196590:FAQ262123 FKM196590:FKM262123 FUI196590:FUI262123 GEE196590:GEE262123 GOA196590:GOA262123 GXW196590:GXW262123 HHS196590:HHS262123 HRO196590:HRO262123 IBK196590:IBK262123 ILG196590:ILG262123 IVC196590:IVC262123 JEY196590:JEY262123 JOU196590:JOU262123 JYQ196590:JYQ262123 KIM196590:KIM262123 KSI196590:KSI262123 LCE196590:LCE262123 LMA196590:LMA262123 LVW196590:LVW262123 MFS196590:MFS262123 MPO196590:MPO262123 MZK196590:MZK262123 NJG196590:NJG262123 NTC196590:NTC262123 OCY196590:OCY262123 OMU196590:OMU262123 OWQ196590:OWQ262123 PGM196590:PGM262123 PQI196590:PQI262123 QAE196590:QAE262123 QKA196590:QKA262123 QTW196590:QTW262123 RDS196590:RDS262123 RNO196590:RNO262123 RXK196590:RXK262123 SHG196590:SHG262123 SRC196590:SRC262123 TAY196590:TAY262123 TKU196590:TKU262123 TUQ196590:TUQ262123 UEM196590:UEM262123 UOI196590:UOI262123 UYE196590:UYE262123 VIA196590:VIA262123 VRW196590:VRW262123 WBS196590:WBS262123 WLO196590:WLO262123 WVK196590:WVK262123 IY262126:IY327659 SU262126:SU327659 ACQ262126:ACQ327659 AMM262126:AMM327659 AWI262126:AWI327659 BGE262126:BGE327659 BQA262126:BQA327659 BZW262126:BZW327659 CJS262126:CJS327659 CTO262126:CTO327659 DDK262126:DDK327659 DNG262126:DNG327659 DXC262126:DXC327659 EGY262126:EGY327659 EQU262126:EQU327659 FAQ262126:FAQ327659 FKM262126:FKM327659 FUI262126:FUI327659 GEE262126:GEE327659 GOA262126:GOA327659 GXW262126:GXW327659 HHS262126:HHS327659 HRO262126:HRO327659 IBK262126:IBK327659 ILG262126:ILG327659 IVC262126:IVC327659 JEY262126:JEY327659 JOU262126:JOU327659 JYQ262126:JYQ327659 KIM262126:KIM327659 KSI262126:KSI327659 LCE262126:LCE327659 LMA262126:LMA327659 LVW262126:LVW327659 MFS262126:MFS327659 MPO262126:MPO327659 MZK262126:MZK327659 NJG262126:NJG327659 NTC262126:NTC327659 OCY262126:OCY327659 OMU262126:OMU327659 OWQ262126:OWQ327659 PGM262126:PGM327659 PQI262126:PQI327659 QAE262126:QAE327659 QKA262126:QKA327659 QTW262126:QTW327659 RDS262126:RDS327659 RNO262126:RNO327659 RXK262126:RXK327659 SHG262126:SHG327659 SRC262126:SRC327659 TAY262126:TAY327659 TKU262126:TKU327659 TUQ262126:TUQ327659 UEM262126:UEM327659 UOI262126:UOI327659 UYE262126:UYE327659 VIA262126:VIA327659 VRW262126:VRW327659 WBS262126:WBS327659 WLO262126:WLO327659 WVK262126:WVK327659 IY327662:IY393195 SU327662:SU393195 ACQ327662:ACQ393195 AMM327662:AMM393195 AWI327662:AWI393195 BGE327662:BGE393195 BQA327662:BQA393195 BZW327662:BZW393195 CJS327662:CJS393195 CTO327662:CTO393195 DDK327662:DDK393195 DNG327662:DNG393195 DXC327662:DXC393195 EGY327662:EGY393195 EQU327662:EQU393195 FAQ327662:FAQ393195 FKM327662:FKM393195 FUI327662:FUI393195 GEE327662:GEE393195 GOA327662:GOA393195 GXW327662:GXW393195 HHS327662:HHS393195 HRO327662:HRO393195 IBK327662:IBK393195 ILG327662:ILG393195 IVC327662:IVC393195 JEY327662:JEY393195 JOU327662:JOU393195 JYQ327662:JYQ393195 KIM327662:KIM393195 KSI327662:KSI393195 LCE327662:LCE393195 LMA327662:LMA393195 LVW327662:LVW393195 MFS327662:MFS393195 MPO327662:MPO393195 MZK327662:MZK393195 NJG327662:NJG393195 NTC327662:NTC393195 OCY327662:OCY393195 OMU327662:OMU393195 OWQ327662:OWQ393195 PGM327662:PGM393195 PQI327662:PQI393195 QAE327662:QAE393195 QKA327662:QKA393195 QTW327662:QTW393195 RDS327662:RDS393195 RNO327662:RNO393195 RXK327662:RXK393195 SHG327662:SHG393195 SRC327662:SRC393195 TAY327662:TAY393195 TKU327662:TKU393195 TUQ327662:TUQ393195 UEM327662:UEM393195 UOI327662:UOI393195 UYE327662:UYE393195 VIA327662:VIA393195 VRW327662:VRW393195 WBS327662:WBS393195 WLO327662:WLO393195 WVK327662:WVK393195 IY393198:IY458731 SU393198:SU458731 ACQ393198:ACQ458731 AMM393198:AMM458731 AWI393198:AWI458731 BGE393198:BGE458731 BQA393198:BQA458731 BZW393198:BZW458731 CJS393198:CJS458731 CTO393198:CTO458731 DDK393198:DDK458731 DNG393198:DNG458731 DXC393198:DXC458731 EGY393198:EGY458731 EQU393198:EQU458731 FAQ393198:FAQ458731 FKM393198:FKM458731 FUI393198:FUI458731 GEE393198:GEE458731 GOA393198:GOA458731 GXW393198:GXW458731 HHS393198:HHS458731 HRO393198:HRO458731 IBK393198:IBK458731 ILG393198:ILG458731 IVC393198:IVC458731 JEY393198:JEY458731 JOU393198:JOU458731 JYQ393198:JYQ458731 KIM393198:KIM458731 KSI393198:KSI458731 LCE393198:LCE458731 LMA393198:LMA458731 LVW393198:LVW458731 MFS393198:MFS458731 MPO393198:MPO458731 MZK393198:MZK458731 NJG393198:NJG458731 NTC393198:NTC458731 OCY393198:OCY458731 OMU393198:OMU458731 OWQ393198:OWQ458731 PGM393198:PGM458731 PQI393198:PQI458731 QAE393198:QAE458731 QKA393198:QKA458731 QTW393198:QTW458731 RDS393198:RDS458731 RNO393198:RNO458731 RXK393198:RXK458731 SHG393198:SHG458731 SRC393198:SRC458731 TAY393198:TAY458731 TKU393198:TKU458731 TUQ393198:TUQ458731 UEM393198:UEM458731 UOI393198:UOI458731 UYE393198:UYE458731 VIA393198:VIA458731 VRW393198:VRW458731 WBS393198:WBS458731 WLO393198:WLO458731 WVK393198:WVK458731 IY458734:IY524267 SU458734:SU524267 ACQ458734:ACQ524267 AMM458734:AMM524267 AWI458734:AWI524267 BGE458734:BGE524267 BQA458734:BQA524267 BZW458734:BZW524267 CJS458734:CJS524267 CTO458734:CTO524267 DDK458734:DDK524267 DNG458734:DNG524267 DXC458734:DXC524267 EGY458734:EGY524267 EQU458734:EQU524267 FAQ458734:FAQ524267 FKM458734:FKM524267 FUI458734:FUI524267 GEE458734:GEE524267 GOA458734:GOA524267 GXW458734:GXW524267 HHS458734:HHS524267 HRO458734:HRO524267 IBK458734:IBK524267 ILG458734:ILG524267 IVC458734:IVC524267 JEY458734:JEY524267 JOU458734:JOU524267 JYQ458734:JYQ524267 KIM458734:KIM524267 KSI458734:KSI524267 LCE458734:LCE524267 LMA458734:LMA524267 LVW458734:LVW524267 MFS458734:MFS524267 MPO458734:MPO524267 MZK458734:MZK524267 NJG458734:NJG524267 NTC458734:NTC524267 OCY458734:OCY524267 OMU458734:OMU524267 OWQ458734:OWQ524267 PGM458734:PGM524267 PQI458734:PQI524267 QAE458734:QAE524267 QKA458734:QKA524267 QTW458734:QTW524267 RDS458734:RDS524267 RNO458734:RNO524267 RXK458734:RXK524267 SHG458734:SHG524267 SRC458734:SRC524267 TAY458734:TAY524267 TKU458734:TKU524267 TUQ458734:TUQ524267 UEM458734:UEM524267 UOI458734:UOI524267 UYE458734:UYE524267 VIA458734:VIA524267 VRW458734:VRW524267 WBS458734:WBS524267 WLO458734:WLO524267 WVK458734:WVK524267 IY524270:IY589803 SU524270:SU589803 ACQ524270:ACQ589803 AMM524270:AMM589803 AWI524270:AWI589803 BGE524270:BGE589803 BQA524270:BQA589803 BZW524270:BZW589803 CJS524270:CJS589803 CTO524270:CTO589803 DDK524270:DDK589803 DNG524270:DNG589803 DXC524270:DXC589803 EGY524270:EGY589803 EQU524270:EQU589803 FAQ524270:FAQ589803 FKM524270:FKM589803 FUI524270:FUI589803 GEE524270:GEE589803 GOA524270:GOA589803 GXW524270:GXW589803 HHS524270:HHS589803 HRO524270:HRO589803 IBK524270:IBK589803 ILG524270:ILG589803 IVC524270:IVC589803 JEY524270:JEY589803 JOU524270:JOU589803 JYQ524270:JYQ589803 KIM524270:KIM589803 KSI524270:KSI589803 LCE524270:LCE589803 LMA524270:LMA589803 LVW524270:LVW589803 MFS524270:MFS589803 MPO524270:MPO589803 MZK524270:MZK589803 NJG524270:NJG589803 NTC524270:NTC589803 OCY524270:OCY589803 OMU524270:OMU589803 OWQ524270:OWQ589803 PGM524270:PGM589803 PQI524270:PQI589803 QAE524270:QAE589803 QKA524270:QKA589803 QTW524270:QTW589803 RDS524270:RDS589803 RNO524270:RNO589803 RXK524270:RXK589803 SHG524270:SHG589803 SRC524270:SRC589803 TAY524270:TAY589803 TKU524270:TKU589803 TUQ524270:TUQ589803 UEM524270:UEM589803 UOI524270:UOI589803 UYE524270:UYE589803 VIA524270:VIA589803 VRW524270:VRW589803 WBS524270:WBS589803 WLO524270:WLO589803 WVK524270:WVK589803 IY589806:IY655339 SU589806:SU655339 ACQ589806:ACQ655339 AMM589806:AMM655339 AWI589806:AWI655339 BGE589806:BGE655339 BQA589806:BQA655339 BZW589806:BZW655339 CJS589806:CJS655339 CTO589806:CTO655339 DDK589806:DDK655339 DNG589806:DNG655339 DXC589806:DXC655339 EGY589806:EGY655339 EQU589806:EQU655339 FAQ589806:FAQ655339 FKM589806:FKM655339 FUI589806:FUI655339 GEE589806:GEE655339 GOA589806:GOA655339 GXW589806:GXW655339 HHS589806:HHS655339 HRO589806:HRO655339 IBK589806:IBK655339 ILG589806:ILG655339 IVC589806:IVC655339 JEY589806:JEY655339 JOU589806:JOU655339 JYQ589806:JYQ655339 KIM589806:KIM655339 KSI589806:KSI655339 LCE589806:LCE655339 LMA589806:LMA655339 LVW589806:LVW655339 MFS589806:MFS655339 MPO589806:MPO655339 MZK589806:MZK655339 NJG589806:NJG655339 NTC589806:NTC655339 OCY589806:OCY655339 OMU589806:OMU655339 OWQ589806:OWQ655339 PGM589806:PGM655339 PQI589806:PQI655339 QAE589806:QAE655339 QKA589806:QKA655339 QTW589806:QTW655339 RDS589806:RDS655339 RNO589806:RNO655339 RXK589806:RXK655339 SHG589806:SHG655339 SRC589806:SRC655339 TAY589806:TAY655339 TKU589806:TKU655339 TUQ589806:TUQ655339 UEM589806:UEM655339 UOI589806:UOI655339 UYE589806:UYE655339 VIA589806:VIA655339 VRW589806:VRW655339 WBS589806:WBS655339 WLO589806:WLO655339 WVK589806:WVK655339 IY655342:IY720875 SU655342:SU720875 ACQ655342:ACQ720875 AMM655342:AMM720875 AWI655342:AWI720875 BGE655342:BGE720875 BQA655342:BQA720875 BZW655342:BZW720875 CJS655342:CJS720875 CTO655342:CTO720875 DDK655342:DDK720875 DNG655342:DNG720875 DXC655342:DXC720875 EGY655342:EGY720875 EQU655342:EQU720875 FAQ655342:FAQ720875 FKM655342:FKM720875 FUI655342:FUI720875 GEE655342:GEE720875 GOA655342:GOA720875 GXW655342:GXW720875 HHS655342:HHS720875 HRO655342:HRO720875 IBK655342:IBK720875 ILG655342:ILG720875 IVC655342:IVC720875 JEY655342:JEY720875 JOU655342:JOU720875 JYQ655342:JYQ720875 KIM655342:KIM720875 KSI655342:KSI720875 LCE655342:LCE720875 LMA655342:LMA720875 LVW655342:LVW720875 MFS655342:MFS720875 MPO655342:MPO720875 MZK655342:MZK720875 NJG655342:NJG720875 NTC655342:NTC720875 OCY655342:OCY720875 OMU655342:OMU720875 OWQ655342:OWQ720875 PGM655342:PGM720875 PQI655342:PQI720875 QAE655342:QAE720875 QKA655342:QKA720875 QTW655342:QTW720875 RDS655342:RDS720875 RNO655342:RNO720875 RXK655342:RXK720875 SHG655342:SHG720875 SRC655342:SRC720875 TAY655342:TAY720875 TKU655342:TKU720875 TUQ655342:TUQ720875 UEM655342:UEM720875 UOI655342:UOI720875 UYE655342:UYE720875 VIA655342:VIA720875 VRW655342:VRW720875 WBS655342:WBS720875 WLO655342:WLO720875 WVK655342:WVK720875 IY720878:IY786411 SU720878:SU786411 ACQ720878:ACQ786411 AMM720878:AMM786411 AWI720878:AWI786411 BGE720878:BGE786411 BQA720878:BQA786411 BZW720878:BZW786411 CJS720878:CJS786411 CTO720878:CTO786411 DDK720878:DDK786411 DNG720878:DNG786411 DXC720878:DXC786411 EGY720878:EGY786411 EQU720878:EQU786411 FAQ720878:FAQ786411 FKM720878:FKM786411 FUI720878:FUI786411 GEE720878:GEE786411 GOA720878:GOA786411 GXW720878:GXW786411 HHS720878:HHS786411 HRO720878:HRO786411 IBK720878:IBK786411 ILG720878:ILG786411 IVC720878:IVC786411 JEY720878:JEY786411 JOU720878:JOU786411 JYQ720878:JYQ786411 KIM720878:KIM786411 KSI720878:KSI786411 LCE720878:LCE786411 LMA720878:LMA786411 LVW720878:LVW786411 MFS720878:MFS786411 MPO720878:MPO786411 MZK720878:MZK786411 NJG720878:NJG786411 NTC720878:NTC786411 OCY720878:OCY786411 OMU720878:OMU786411 OWQ720878:OWQ786411 PGM720878:PGM786411 PQI720878:PQI786411 QAE720878:QAE786411 QKA720878:QKA786411 QTW720878:QTW786411 RDS720878:RDS786411 RNO720878:RNO786411 RXK720878:RXK786411 SHG720878:SHG786411 SRC720878:SRC786411 TAY720878:TAY786411 TKU720878:TKU786411 TUQ720878:TUQ786411 UEM720878:UEM786411 UOI720878:UOI786411 UYE720878:UYE786411 VIA720878:VIA786411 VRW720878:VRW786411 WBS720878:WBS786411 WLO720878:WLO786411 WVK720878:WVK786411 IY786414:IY851947 SU786414:SU851947 ACQ786414:ACQ851947 AMM786414:AMM851947 AWI786414:AWI851947 BGE786414:BGE851947 BQA786414:BQA851947 BZW786414:BZW851947 CJS786414:CJS851947 CTO786414:CTO851947 DDK786414:DDK851947 DNG786414:DNG851947 DXC786414:DXC851947 EGY786414:EGY851947 EQU786414:EQU851947 FAQ786414:FAQ851947 FKM786414:FKM851947 FUI786414:FUI851947 GEE786414:GEE851947 GOA786414:GOA851947 GXW786414:GXW851947 HHS786414:HHS851947 HRO786414:HRO851947 IBK786414:IBK851947 ILG786414:ILG851947 IVC786414:IVC851947 JEY786414:JEY851947 JOU786414:JOU851947 JYQ786414:JYQ851947 KIM786414:KIM851947 KSI786414:KSI851947 LCE786414:LCE851947 LMA786414:LMA851947 LVW786414:LVW851947 MFS786414:MFS851947 MPO786414:MPO851947 MZK786414:MZK851947 NJG786414:NJG851947 NTC786414:NTC851947 OCY786414:OCY851947 OMU786414:OMU851947 OWQ786414:OWQ851947 PGM786414:PGM851947 PQI786414:PQI851947 QAE786414:QAE851947 QKA786414:QKA851947 QTW786414:QTW851947 RDS786414:RDS851947 RNO786414:RNO851947 RXK786414:RXK851947 SHG786414:SHG851947 SRC786414:SRC851947 TAY786414:TAY851947 TKU786414:TKU851947 TUQ786414:TUQ851947 UEM786414:UEM851947 UOI786414:UOI851947 UYE786414:UYE851947 VIA786414:VIA851947 VRW786414:VRW851947 WBS786414:WBS851947 WLO786414:WLO851947 WVK786414:WVK851947 IY851950:IY917483 SU851950:SU917483 ACQ851950:ACQ917483 AMM851950:AMM917483 AWI851950:AWI917483 BGE851950:BGE917483 BQA851950:BQA917483 BZW851950:BZW917483 CJS851950:CJS917483 CTO851950:CTO917483 DDK851950:DDK917483 DNG851950:DNG917483 DXC851950:DXC917483 EGY851950:EGY917483 EQU851950:EQU917483 FAQ851950:FAQ917483 FKM851950:FKM917483 FUI851950:FUI917483 GEE851950:GEE917483 GOA851950:GOA917483 GXW851950:GXW917483 HHS851950:HHS917483 HRO851950:HRO917483 IBK851950:IBK917483 ILG851950:ILG917483 IVC851950:IVC917483 JEY851950:JEY917483 JOU851950:JOU917483 JYQ851950:JYQ917483 KIM851950:KIM917483 KSI851950:KSI917483 LCE851950:LCE917483 LMA851950:LMA917483 LVW851950:LVW917483 MFS851950:MFS917483 MPO851950:MPO917483 MZK851950:MZK917483 NJG851950:NJG917483 NTC851950:NTC917483 OCY851950:OCY917483 OMU851950:OMU917483 OWQ851950:OWQ917483 PGM851950:PGM917483 PQI851950:PQI917483 QAE851950:QAE917483 QKA851950:QKA917483 QTW851950:QTW917483 RDS851950:RDS917483 RNO851950:RNO917483 RXK851950:RXK917483 SHG851950:SHG917483 SRC851950:SRC917483 TAY851950:TAY917483 TKU851950:TKU917483 TUQ851950:TUQ917483 UEM851950:UEM917483 UOI851950:UOI917483 UYE851950:UYE917483 VIA851950:VIA917483 VRW851950:VRW917483 WBS851950:WBS917483 WLO851950:WLO917483 WVK851950:WVK917483 IY917486:IY983019 SU917486:SU983019 ACQ917486:ACQ983019 AMM917486:AMM983019 AWI917486:AWI983019 BGE917486:BGE983019 BQA917486:BQA983019 BZW917486:BZW983019 CJS917486:CJS983019 CTO917486:CTO983019 DDK917486:DDK983019 DNG917486:DNG983019 DXC917486:DXC983019 EGY917486:EGY983019 EQU917486:EQU983019 FAQ917486:FAQ983019 FKM917486:FKM983019 FUI917486:FUI983019 GEE917486:GEE983019 GOA917486:GOA983019 GXW917486:GXW983019 HHS917486:HHS983019 HRO917486:HRO983019 IBK917486:IBK983019 ILG917486:ILG983019 IVC917486:IVC983019 JEY917486:JEY983019 JOU917486:JOU983019 JYQ917486:JYQ983019 KIM917486:KIM983019 KSI917486:KSI983019 LCE917486:LCE983019 LMA917486:LMA983019 LVW917486:LVW983019 MFS917486:MFS983019 MPO917486:MPO983019 MZK917486:MZK983019 NJG917486:NJG983019 NTC917486:NTC983019 OCY917486:OCY983019 OMU917486:OMU983019 OWQ917486:OWQ983019 PGM917486:PGM983019 PQI917486:PQI983019 QAE917486:QAE983019 QKA917486:QKA983019 QTW917486:QTW983019 RDS917486:RDS983019 RNO917486:RNO983019 RXK917486:RXK983019 SHG917486:SHG983019 SRC917486:SRC983019 TAY917486:TAY983019 TKU917486:TKU983019 TUQ917486:TUQ983019 UEM917486:UEM983019 UOI917486:UOI983019 UYE917486:UYE983019 VIA917486:VIA983019 VRW917486:VRW983019 WBS917486:WBS983019 WLO917486:WLO983019 WVK917486:WVK983019 WVK983022:WVK1048576 IY983022:IY1048576 SU983022:SU1048576 ACQ983022:ACQ1048576 AMM983022:AMM1048576 AWI983022:AWI1048576 BGE983022:BGE1048576 BQA983022:BQA1048576 BZW983022:BZW1048576 CJS983022:CJS1048576 CTO983022:CTO1048576 DDK983022:DDK1048576 DNG983022:DNG1048576 DXC983022:DXC1048576 EGY983022:EGY1048576 EQU983022:EQU1048576 FAQ983022:FAQ1048576 FKM983022:FKM1048576 FUI983022:FUI1048576 GEE983022:GEE1048576 GOA983022:GOA1048576 GXW983022:GXW1048576 HHS983022:HHS1048576 HRO983022:HRO1048576 IBK983022:IBK1048576 ILG983022:ILG1048576 IVC983022:IVC1048576 JEY983022:JEY1048576 JOU983022:JOU1048576 JYQ983022:JYQ1048576 KIM983022:KIM1048576 KSI983022:KSI1048576 LCE983022:LCE1048576 LMA983022:LMA1048576 LVW983022:LVW1048576 MFS983022:MFS1048576 MPO983022:MPO1048576 MZK983022:MZK1048576 NJG983022:NJG1048576 NTC983022:NTC1048576 OCY983022:OCY1048576 OMU983022:OMU1048576 OWQ983022:OWQ1048576 PGM983022:PGM1048576 PQI983022:PQI1048576 QAE983022:QAE1048576 QKA983022:QKA1048576 QTW983022:QTW1048576 RDS983022:RDS1048576 RNO983022:RNO1048576 RXK983022:RXK1048576 SHG983022:SHG1048576 SRC983022:SRC1048576 TAY983022:TAY1048576 TKU983022:TKU1048576 TUQ983022:TUQ1048576 UEM983022:UEM1048576 UOI983022:UOI1048576 UYE983022:UYE1048576 VIA983022:VIA1048576 VRW983022:VRW1048576 WBS983022:WBS1048576 WLO983022:WLO1048576 A65518:F131051 A131054:F196587 A196590:F262123 A262126:F327659 A327662:F393195 A393198:F458731 A458734:F524267 A524270:F589803 A589806:F655339 A655342:F720875 A720878:F786411 A786414:F851947 A851950:F917483 A917486:F983019 A983022:F1048576 A7:F65515 SU7:SU65515 ACQ7:ACQ65515 AMM7:AMM65515 AWI7:AWI65515 BGE7:BGE65515 BQA7:BQA65515 BZW7:BZW65515 CJS7:CJS65515 CTO7:CTO65515 DDK7:DDK65515 DNG7:DNG65515 DXC7:DXC65515 EGY7:EGY65515 EQU7:EQU65515 FAQ7:FAQ65515 FKM7:FKM65515 FUI7:FUI65515 GEE7:GEE65515 GOA7:GOA65515 GXW7:GXW65515 HHS7:HHS65515 HRO7:HRO65515 IBK7:IBK65515 ILG7:ILG65515 IVC7:IVC65515 JEY7:JEY65515 JOU7:JOU65515 JYQ7:JYQ65515 KIM7:KIM65515 KSI7:KSI65515 LCE7:LCE65515 LMA7:LMA65515 LVW7:LVW65515 MFS7:MFS65515 MPO7:MPO65515 MZK7:MZK65515 NJG7:NJG65515 NTC7:NTC65515 OCY7:OCY65515 OMU7:OMU65515 OWQ7:OWQ65515 PGM7:PGM65515 PQI7:PQI65515 QAE7:QAE65515 QKA7:QKA65515 QTW7:QTW65515 RDS7:RDS65515 RNO7:RNO65515 RXK7:RXK65515 SHG7:SHG65515 SRC7:SRC65515 TAY7:TAY65515 TKU7:TKU65515 TUQ7:TUQ65515 UEM7:UEM65515 UOI7:UOI65515 UYE7:UYE65515 VIA7:VIA65515 VRW7:VRW65515 WBS7:WBS65515 WLO7:WLO65515 WVK7:WVK65515 IY7:IY65515" xr:uid="{00000000-0002-0000-0000-000003000000}">
      <formula1>25</formula1>
    </dataValidation>
    <dataValidation type="list" allowBlank="1" showInputMessage="1" showErrorMessage="1" sqref="WVN983022:WVN983032 JB65518:JB65528 SX65518:SX65528 ACT65518:ACT65528 AMP65518:AMP65528 AWL65518:AWL65528 BGH65518:BGH65528 BQD65518:BQD65528 BZZ65518:BZZ65528 CJV65518:CJV65528 CTR65518:CTR65528 DDN65518:DDN65528 DNJ65518:DNJ65528 DXF65518:DXF65528 EHB65518:EHB65528 EQX65518:EQX65528 FAT65518:FAT65528 FKP65518:FKP65528 FUL65518:FUL65528 GEH65518:GEH65528 GOD65518:GOD65528 GXZ65518:GXZ65528 HHV65518:HHV65528 HRR65518:HRR65528 IBN65518:IBN65528 ILJ65518:ILJ65528 IVF65518:IVF65528 JFB65518:JFB65528 JOX65518:JOX65528 JYT65518:JYT65528 KIP65518:KIP65528 KSL65518:KSL65528 LCH65518:LCH65528 LMD65518:LMD65528 LVZ65518:LVZ65528 MFV65518:MFV65528 MPR65518:MPR65528 MZN65518:MZN65528 NJJ65518:NJJ65528 NTF65518:NTF65528 ODB65518:ODB65528 OMX65518:OMX65528 OWT65518:OWT65528 PGP65518:PGP65528 PQL65518:PQL65528 QAH65518:QAH65528 QKD65518:QKD65528 QTZ65518:QTZ65528 RDV65518:RDV65528 RNR65518:RNR65528 RXN65518:RXN65528 SHJ65518:SHJ65528 SRF65518:SRF65528 TBB65518:TBB65528 TKX65518:TKX65528 TUT65518:TUT65528 UEP65518:UEP65528 UOL65518:UOL65528 UYH65518:UYH65528 VID65518:VID65528 VRZ65518:VRZ65528 WBV65518:WBV65528 WLR65518:WLR65528 WVN65518:WVN65528 JB131054:JB131064 SX131054:SX131064 ACT131054:ACT131064 AMP131054:AMP131064 AWL131054:AWL131064 BGH131054:BGH131064 BQD131054:BQD131064 BZZ131054:BZZ131064 CJV131054:CJV131064 CTR131054:CTR131064 DDN131054:DDN131064 DNJ131054:DNJ131064 DXF131054:DXF131064 EHB131054:EHB131064 EQX131054:EQX131064 FAT131054:FAT131064 FKP131054:FKP131064 FUL131054:FUL131064 GEH131054:GEH131064 GOD131054:GOD131064 GXZ131054:GXZ131064 HHV131054:HHV131064 HRR131054:HRR131064 IBN131054:IBN131064 ILJ131054:ILJ131064 IVF131054:IVF131064 JFB131054:JFB131064 JOX131054:JOX131064 JYT131054:JYT131064 KIP131054:KIP131064 KSL131054:KSL131064 LCH131054:LCH131064 LMD131054:LMD131064 LVZ131054:LVZ131064 MFV131054:MFV131064 MPR131054:MPR131064 MZN131054:MZN131064 NJJ131054:NJJ131064 NTF131054:NTF131064 ODB131054:ODB131064 OMX131054:OMX131064 OWT131054:OWT131064 PGP131054:PGP131064 PQL131054:PQL131064 QAH131054:QAH131064 QKD131054:QKD131064 QTZ131054:QTZ131064 RDV131054:RDV131064 RNR131054:RNR131064 RXN131054:RXN131064 SHJ131054:SHJ131064 SRF131054:SRF131064 TBB131054:TBB131064 TKX131054:TKX131064 TUT131054:TUT131064 UEP131054:UEP131064 UOL131054:UOL131064 UYH131054:UYH131064 VID131054:VID131064 VRZ131054:VRZ131064 WBV131054:WBV131064 WLR131054:WLR131064 WVN131054:WVN131064 JB196590:JB196600 SX196590:SX196600 ACT196590:ACT196600 AMP196590:AMP196600 AWL196590:AWL196600 BGH196590:BGH196600 BQD196590:BQD196600 BZZ196590:BZZ196600 CJV196590:CJV196600 CTR196590:CTR196600 DDN196590:DDN196600 DNJ196590:DNJ196600 DXF196590:DXF196600 EHB196590:EHB196600 EQX196590:EQX196600 FAT196590:FAT196600 FKP196590:FKP196600 FUL196590:FUL196600 GEH196590:GEH196600 GOD196590:GOD196600 GXZ196590:GXZ196600 HHV196590:HHV196600 HRR196590:HRR196600 IBN196590:IBN196600 ILJ196590:ILJ196600 IVF196590:IVF196600 JFB196590:JFB196600 JOX196590:JOX196600 JYT196590:JYT196600 KIP196590:KIP196600 KSL196590:KSL196600 LCH196590:LCH196600 LMD196590:LMD196600 LVZ196590:LVZ196600 MFV196590:MFV196600 MPR196590:MPR196600 MZN196590:MZN196600 NJJ196590:NJJ196600 NTF196590:NTF196600 ODB196590:ODB196600 OMX196590:OMX196600 OWT196590:OWT196600 PGP196590:PGP196600 PQL196590:PQL196600 QAH196590:QAH196600 QKD196590:QKD196600 QTZ196590:QTZ196600 RDV196590:RDV196600 RNR196590:RNR196600 RXN196590:RXN196600 SHJ196590:SHJ196600 SRF196590:SRF196600 TBB196590:TBB196600 TKX196590:TKX196600 TUT196590:TUT196600 UEP196590:UEP196600 UOL196590:UOL196600 UYH196590:UYH196600 VID196590:VID196600 VRZ196590:VRZ196600 WBV196590:WBV196600 WLR196590:WLR196600 WVN196590:WVN196600 JB262126:JB262136 SX262126:SX262136 ACT262126:ACT262136 AMP262126:AMP262136 AWL262126:AWL262136 BGH262126:BGH262136 BQD262126:BQD262136 BZZ262126:BZZ262136 CJV262126:CJV262136 CTR262126:CTR262136 DDN262126:DDN262136 DNJ262126:DNJ262136 DXF262126:DXF262136 EHB262126:EHB262136 EQX262126:EQX262136 FAT262126:FAT262136 FKP262126:FKP262136 FUL262126:FUL262136 GEH262126:GEH262136 GOD262126:GOD262136 GXZ262126:GXZ262136 HHV262126:HHV262136 HRR262126:HRR262136 IBN262126:IBN262136 ILJ262126:ILJ262136 IVF262126:IVF262136 JFB262126:JFB262136 JOX262126:JOX262136 JYT262126:JYT262136 KIP262126:KIP262136 KSL262126:KSL262136 LCH262126:LCH262136 LMD262126:LMD262136 LVZ262126:LVZ262136 MFV262126:MFV262136 MPR262126:MPR262136 MZN262126:MZN262136 NJJ262126:NJJ262136 NTF262126:NTF262136 ODB262126:ODB262136 OMX262126:OMX262136 OWT262126:OWT262136 PGP262126:PGP262136 PQL262126:PQL262136 QAH262126:QAH262136 QKD262126:QKD262136 QTZ262126:QTZ262136 RDV262126:RDV262136 RNR262126:RNR262136 RXN262126:RXN262136 SHJ262126:SHJ262136 SRF262126:SRF262136 TBB262126:TBB262136 TKX262126:TKX262136 TUT262126:TUT262136 UEP262126:UEP262136 UOL262126:UOL262136 UYH262126:UYH262136 VID262126:VID262136 VRZ262126:VRZ262136 WBV262126:WBV262136 WLR262126:WLR262136 WVN262126:WVN262136 JB327662:JB327672 SX327662:SX327672 ACT327662:ACT327672 AMP327662:AMP327672 AWL327662:AWL327672 BGH327662:BGH327672 BQD327662:BQD327672 BZZ327662:BZZ327672 CJV327662:CJV327672 CTR327662:CTR327672 DDN327662:DDN327672 DNJ327662:DNJ327672 DXF327662:DXF327672 EHB327662:EHB327672 EQX327662:EQX327672 FAT327662:FAT327672 FKP327662:FKP327672 FUL327662:FUL327672 GEH327662:GEH327672 GOD327662:GOD327672 GXZ327662:GXZ327672 HHV327662:HHV327672 HRR327662:HRR327672 IBN327662:IBN327672 ILJ327662:ILJ327672 IVF327662:IVF327672 JFB327662:JFB327672 JOX327662:JOX327672 JYT327662:JYT327672 KIP327662:KIP327672 KSL327662:KSL327672 LCH327662:LCH327672 LMD327662:LMD327672 LVZ327662:LVZ327672 MFV327662:MFV327672 MPR327662:MPR327672 MZN327662:MZN327672 NJJ327662:NJJ327672 NTF327662:NTF327672 ODB327662:ODB327672 OMX327662:OMX327672 OWT327662:OWT327672 PGP327662:PGP327672 PQL327662:PQL327672 QAH327662:QAH327672 QKD327662:QKD327672 QTZ327662:QTZ327672 RDV327662:RDV327672 RNR327662:RNR327672 RXN327662:RXN327672 SHJ327662:SHJ327672 SRF327662:SRF327672 TBB327662:TBB327672 TKX327662:TKX327672 TUT327662:TUT327672 UEP327662:UEP327672 UOL327662:UOL327672 UYH327662:UYH327672 VID327662:VID327672 VRZ327662:VRZ327672 WBV327662:WBV327672 WLR327662:WLR327672 WVN327662:WVN327672 JB393198:JB393208 SX393198:SX393208 ACT393198:ACT393208 AMP393198:AMP393208 AWL393198:AWL393208 BGH393198:BGH393208 BQD393198:BQD393208 BZZ393198:BZZ393208 CJV393198:CJV393208 CTR393198:CTR393208 DDN393198:DDN393208 DNJ393198:DNJ393208 DXF393198:DXF393208 EHB393198:EHB393208 EQX393198:EQX393208 FAT393198:FAT393208 FKP393198:FKP393208 FUL393198:FUL393208 GEH393198:GEH393208 GOD393198:GOD393208 GXZ393198:GXZ393208 HHV393198:HHV393208 HRR393198:HRR393208 IBN393198:IBN393208 ILJ393198:ILJ393208 IVF393198:IVF393208 JFB393198:JFB393208 JOX393198:JOX393208 JYT393198:JYT393208 KIP393198:KIP393208 KSL393198:KSL393208 LCH393198:LCH393208 LMD393198:LMD393208 LVZ393198:LVZ393208 MFV393198:MFV393208 MPR393198:MPR393208 MZN393198:MZN393208 NJJ393198:NJJ393208 NTF393198:NTF393208 ODB393198:ODB393208 OMX393198:OMX393208 OWT393198:OWT393208 PGP393198:PGP393208 PQL393198:PQL393208 QAH393198:QAH393208 QKD393198:QKD393208 QTZ393198:QTZ393208 RDV393198:RDV393208 RNR393198:RNR393208 RXN393198:RXN393208 SHJ393198:SHJ393208 SRF393198:SRF393208 TBB393198:TBB393208 TKX393198:TKX393208 TUT393198:TUT393208 UEP393198:UEP393208 UOL393198:UOL393208 UYH393198:UYH393208 VID393198:VID393208 VRZ393198:VRZ393208 WBV393198:WBV393208 WLR393198:WLR393208 WVN393198:WVN393208 JB458734:JB458744 SX458734:SX458744 ACT458734:ACT458744 AMP458734:AMP458744 AWL458734:AWL458744 BGH458734:BGH458744 BQD458734:BQD458744 BZZ458734:BZZ458744 CJV458734:CJV458744 CTR458734:CTR458744 DDN458734:DDN458744 DNJ458734:DNJ458744 DXF458734:DXF458744 EHB458734:EHB458744 EQX458734:EQX458744 FAT458734:FAT458744 FKP458734:FKP458744 FUL458734:FUL458744 GEH458734:GEH458744 GOD458734:GOD458744 GXZ458734:GXZ458744 HHV458734:HHV458744 HRR458734:HRR458744 IBN458734:IBN458744 ILJ458734:ILJ458744 IVF458734:IVF458744 JFB458734:JFB458744 JOX458734:JOX458744 JYT458734:JYT458744 KIP458734:KIP458744 KSL458734:KSL458744 LCH458734:LCH458744 LMD458734:LMD458744 LVZ458734:LVZ458744 MFV458734:MFV458744 MPR458734:MPR458744 MZN458734:MZN458744 NJJ458734:NJJ458744 NTF458734:NTF458744 ODB458734:ODB458744 OMX458734:OMX458744 OWT458734:OWT458744 PGP458734:PGP458744 PQL458734:PQL458744 QAH458734:QAH458744 QKD458734:QKD458744 QTZ458734:QTZ458744 RDV458734:RDV458744 RNR458734:RNR458744 RXN458734:RXN458744 SHJ458734:SHJ458744 SRF458734:SRF458744 TBB458734:TBB458744 TKX458734:TKX458744 TUT458734:TUT458744 UEP458734:UEP458744 UOL458734:UOL458744 UYH458734:UYH458744 VID458734:VID458744 VRZ458734:VRZ458744 WBV458734:WBV458744 WLR458734:WLR458744 WVN458734:WVN458744 JB524270:JB524280 SX524270:SX524280 ACT524270:ACT524280 AMP524270:AMP524280 AWL524270:AWL524280 BGH524270:BGH524280 BQD524270:BQD524280 BZZ524270:BZZ524280 CJV524270:CJV524280 CTR524270:CTR524280 DDN524270:DDN524280 DNJ524270:DNJ524280 DXF524270:DXF524280 EHB524270:EHB524280 EQX524270:EQX524280 FAT524270:FAT524280 FKP524270:FKP524280 FUL524270:FUL524280 GEH524270:GEH524280 GOD524270:GOD524280 GXZ524270:GXZ524280 HHV524270:HHV524280 HRR524270:HRR524280 IBN524270:IBN524280 ILJ524270:ILJ524280 IVF524270:IVF524280 JFB524270:JFB524280 JOX524270:JOX524280 JYT524270:JYT524280 KIP524270:KIP524280 KSL524270:KSL524280 LCH524270:LCH524280 LMD524270:LMD524280 LVZ524270:LVZ524280 MFV524270:MFV524280 MPR524270:MPR524280 MZN524270:MZN524280 NJJ524270:NJJ524280 NTF524270:NTF524280 ODB524270:ODB524280 OMX524270:OMX524280 OWT524270:OWT524280 PGP524270:PGP524280 PQL524270:PQL524280 QAH524270:QAH524280 QKD524270:QKD524280 QTZ524270:QTZ524280 RDV524270:RDV524280 RNR524270:RNR524280 RXN524270:RXN524280 SHJ524270:SHJ524280 SRF524270:SRF524280 TBB524270:TBB524280 TKX524270:TKX524280 TUT524270:TUT524280 UEP524270:UEP524280 UOL524270:UOL524280 UYH524270:UYH524280 VID524270:VID524280 VRZ524270:VRZ524280 WBV524270:WBV524280 WLR524270:WLR524280 WVN524270:WVN524280 JB589806:JB589816 SX589806:SX589816 ACT589806:ACT589816 AMP589806:AMP589816 AWL589806:AWL589816 BGH589806:BGH589816 BQD589806:BQD589816 BZZ589806:BZZ589816 CJV589806:CJV589816 CTR589806:CTR589816 DDN589806:DDN589816 DNJ589806:DNJ589816 DXF589806:DXF589816 EHB589806:EHB589816 EQX589806:EQX589816 FAT589806:FAT589816 FKP589806:FKP589816 FUL589806:FUL589816 GEH589806:GEH589816 GOD589806:GOD589816 GXZ589806:GXZ589816 HHV589806:HHV589816 HRR589806:HRR589816 IBN589806:IBN589816 ILJ589806:ILJ589816 IVF589806:IVF589816 JFB589806:JFB589816 JOX589806:JOX589816 JYT589806:JYT589816 KIP589806:KIP589816 KSL589806:KSL589816 LCH589806:LCH589816 LMD589806:LMD589816 LVZ589806:LVZ589816 MFV589806:MFV589816 MPR589806:MPR589816 MZN589806:MZN589816 NJJ589806:NJJ589816 NTF589806:NTF589816 ODB589806:ODB589816 OMX589806:OMX589816 OWT589806:OWT589816 PGP589806:PGP589816 PQL589806:PQL589816 QAH589806:QAH589816 QKD589806:QKD589816 QTZ589806:QTZ589816 RDV589806:RDV589816 RNR589806:RNR589816 RXN589806:RXN589816 SHJ589806:SHJ589816 SRF589806:SRF589816 TBB589806:TBB589816 TKX589806:TKX589816 TUT589806:TUT589816 UEP589806:UEP589816 UOL589806:UOL589816 UYH589806:UYH589816 VID589806:VID589816 VRZ589806:VRZ589816 WBV589806:WBV589816 WLR589806:WLR589816 WVN589806:WVN589816 JB655342:JB655352 SX655342:SX655352 ACT655342:ACT655352 AMP655342:AMP655352 AWL655342:AWL655352 BGH655342:BGH655352 BQD655342:BQD655352 BZZ655342:BZZ655352 CJV655342:CJV655352 CTR655342:CTR655352 DDN655342:DDN655352 DNJ655342:DNJ655352 DXF655342:DXF655352 EHB655342:EHB655352 EQX655342:EQX655352 FAT655342:FAT655352 FKP655342:FKP655352 FUL655342:FUL655352 GEH655342:GEH655352 GOD655342:GOD655352 GXZ655342:GXZ655352 HHV655342:HHV655352 HRR655342:HRR655352 IBN655342:IBN655352 ILJ655342:ILJ655352 IVF655342:IVF655352 JFB655342:JFB655352 JOX655342:JOX655352 JYT655342:JYT655352 KIP655342:KIP655352 KSL655342:KSL655352 LCH655342:LCH655352 LMD655342:LMD655352 LVZ655342:LVZ655352 MFV655342:MFV655352 MPR655342:MPR655352 MZN655342:MZN655352 NJJ655342:NJJ655352 NTF655342:NTF655352 ODB655342:ODB655352 OMX655342:OMX655352 OWT655342:OWT655352 PGP655342:PGP655352 PQL655342:PQL655352 QAH655342:QAH655352 QKD655342:QKD655352 QTZ655342:QTZ655352 RDV655342:RDV655352 RNR655342:RNR655352 RXN655342:RXN655352 SHJ655342:SHJ655352 SRF655342:SRF655352 TBB655342:TBB655352 TKX655342:TKX655352 TUT655342:TUT655352 UEP655342:UEP655352 UOL655342:UOL655352 UYH655342:UYH655352 VID655342:VID655352 VRZ655342:VRZ655352 WBV655342:WBV655352 WLR655342:WLR655352 WVN655342:WVN655352 JB720878:JB720888 SX720878:SX720888 ACT720878:ACT720888 AMP720878:AMP720888 AWL720878:AWL720888 BGH720878:BGH720888 BQD720878:BQD720888 BZZ720878:BZZ720888 CJV720878:CJV720888 CTR720878:CTR720888 DDN720878:DDN720888 DNJ720878:DNJ720888 DXF720878:DXF720888 EHB720878:EHB720888 EQX720878:EQX720888 FAT720878:FAT720888 FKP720878:FKP720888 FUL720878:FUL720888 GEH720878:GEH720888 GOD720878:GOD720888 GXZ720878:GXZ720888 HHV720878:HHV720888 HRR720878:HRR720888 IBN720878:IBN720888 ILJ720878:ILJ720888 IVF720878:IVF720888 JFB720878:JFB720888 JOX720878:JOX720888 JYT720878:JYT720888 KIP720878:KIP720888 KSL720878:KSL720888 LCH720878:LCH720888 LMD720878:LMD720888 LVZ720878:LVZ720888 MFV720878:MFV720888 MPR720878:MPR720888 MZN720878:MZN720888 NJJ720878:NJJ720888 NTF720878:NTF720888 ODB720878:ODB720888 OMX720878:OMX720888 OWT720878:OWT720888 PGP720878:PGP720888 PQL720878:PQL720888 QAH720878:QAH720888 QKD720878:QKD720888 QTZ720878:QTZ720888 RDV720878:RDV720888 RNR720878:RNR720888 RXN720878:RXN720888 SHJ720878:SHJ720888 SRF720878:SRF720888 TBB720878:TBB720888 TKX720878:TKX720888 TUT720878:TUT720888 UEP720878:UEP720888 UOL720878:UOL720888 UYH720878:UYH720888 VID720878:VID720888 VRZ720878:VRZ720888 WBV720878:WBV720888 WLR720878:WLR720888 WVN720878:WVN720888 JB786414:JB786424 SX786414:SX786424 ACT786414:ACT786424 AMP786414:AMP786424 AWL786414:AWL786424 BGH786414:BGH786424 BQD786414:BQD786424 BZZ786414:BZZ786424 CJV786414:CJV786424 CTR786414:CTR786424 DDN786414:DDN786424 DNJ786414:DNJ786424 DXF786414:DXF786424 EHB786414:EHB786424 EQX786414:EQX786424 FAT786414:FAT786424 FKP786414:FKP786424 FUL786414:FUL786424 GEH786414:GEH786424 GOD786414:GOD786424 GXZ786414:GXZ786424 HHV786414:HHV786424 HRR786414:HRR786424 IBN786414:IBN786424 ILJ786414:ILJ786424 IVF786414:IVF786424 JFB786414:JFB786424 JOX786414:JOX786424 JYT786414:JYT786424 KIP786414:KIP786424 KSL786414:KSL786424 LCH786414:LCH786424 LMD786414:LMD786424 LVZ786414:LVZ786424 MFV786414:MFV786424 MPR786414:MPR786424 MZN786414:MZN786424 NJJ786414:NJJ786424 NTF786414:NTF786424 ODB786414:ODB786424 OMX786414:OMX786424 OWT786414:OWT786424 PGP786414:PGP786424 PQL786414:PQL786424 QAH786414:QAH786424 QKD786414:QKD786424 QTZ786414:QTZ786424 RDV786414:RDV786424 RNR786414:RNR786424 RXN786414:RXN786424 SHJ786414:SHJ786424 SRF786414:SRF786424 TBB786414:TBB786424 TKX786414:TKX786424 TUT786414:TUT786424 UEP786414:UEP786424 UOL786414:UOL786424 UYH786414:UYH786424 VID786414:VID786424 VRZ786414:VRZ786424 WBV786414:WBV786424 WLR786414:WLR786424 WVN786414:WVN786424 JB851950:JB851960 SX851950:SX851960 ACT851950:ACT851960 AMP851950:AMP851960 AWL851950:AWL851960 BGH851950:BGH851960 BQD851950:BQD851960 BZZ851950:BZZ851960 CJV851950:CJV851960 CTR851950:CTR851960 DDN851950:DDN851960 DNJ851950:DNJ851960 DXF851950:DXF851960 EHB851950:EHB851960 EQX851950:EQX851960 FAT851950:FAT851960 FKP851950:FKP851960 FUL851950:FUL851960 GEH851950:GEH851960 GOD851950:GOD851960 GXZ851950:GXZ851960 HHV851950:HHV851960 HRR851950:HRR851960 IBN851950:IBN851960 ILJ851950:ILJ851960 IVF851950:IVF851960 JFB851950:JFB851960 JOX851950:JOX851960 JYT851950:JYT851960 KIP851950:KIP851960 KSL851950:KSL851960 LCH851950:LCH851960 LMD851950:LMD851960 LVZ851950:LVZ851960 MFV851950:MFV851960 MPR851950:MPR851960 MZN851950:MZN851960 NJJ851950:NJJ851960 NTF851950:NTF851960 ODB851950:ODB851960 OMX851950:OMX851960 OWT851950:OWT851960 PGP851950:PGP851960 PQL851950:PQL851960 QAH851950:QAH851960 QKD851950:QKD851960 QTZ851950:QTZ851960 RDV851950:RDV851960 RNR851950:RNR851960 RXN851950:RXN851960 SHJ851950:SHJ851960 SRF851950:SRF851960 TBB851950:TBB851960 TKX851950:TKX851960 TUT851950:TUT851960 UEP851950:UEP851960 UOL851950:UOL851960 UYH851950:UYH851960 VID851950:VID851960 VRZ851950:VRZ851960 WBV851950:WBV851960 WLR851950:WLR851960 WVN851950:WVN851960 JB917486:JB917496 SX917486:SX917496 ACT917486:ACT917496 AMP917486:AMP917496 AWL917486:AWL917496 BGH917486:BGH917496 BQD917486:BQD917496 BZZ917486:BZZ917496 CJV917486:CJV917496 CTR917486:CTR917496 DDN917486:DDN917496 DNJ917486:DNJ917496 DXF917486:DXF917496 EHB917486:EHB917496 EQX917486:EQX917496 FAT917486:FAT917496 FKP917486:FKP917496 FUL917486:FUL917496 GEH917486:GEH917496 GOD917486:GOD917496 GXZ917486:GXZ917496 HHV917486:HHV917496 HRR917486:HRR917496 IBN917486:IBN917496 ILJ917486:ILJ917496 IVF917486:IVF917496 JFB917486:JFB917496 JOX917486:JOX917496 JYT917486:JYT917496 KIP917486:KIP917496 KSL917486:KSL917496 LCH917486:LCH917496 LMD917486:LMD917496 LVZ917486:LVZ917496 MFV917486:MFV917496 MPR917486:MPR917496 MZN917486:MZN917496 NJJ917486:NJJ917496 NTF917486:NTF917496 ODB917486:ODB917496 OMX917486:OMX917496 OWT917486:OWT917496 PGP917486:PGP917496 PQL917486:PQL917496 QAH917486:QAH917496 QKD917486:QKD917496 QTZ917486:QTZ917496 RDV917486:RDV917496 RNR917486:RNR917496 RXN917486:RXN917496 SHJ917486:SHJ917496 SRF917486:SRF917496 TBB917486:TBB917496 TKX917486:TKX917496 TUT917486:TUT917496 UEP917486:UEP917496 UOL917486:UOL917496 UYH917486:UYH917496 VID917486:VID917496 VRZ917486:VRZ917496 WBV917486:WBV917496 WLR917486:WLR917496 WVN917486:WVN917496 JB983022:JB983032 SX983022:SX983032 ACT983022:ACT983032 AMP983022:AMP983032 AWL983022:AWL983032 BGH983022:BGH983032 BQD983022:BQD983032 BZZ983022:BZZ983032 CJV983022:CJV983032 CTR983022:CTR983032 DDN983022:DDN983032 DNJ983022:DNJ983032 DXF983022:DXF983032 EHB983022:EHB983032 EQX983022:EQX983032 FAT983022:FAT983032 FKP983022:FKP983032 FUL983022:FUL983032 GEH983022:GEH983032 GOD983022:GOD983032 GXZ983022:GXZ983032 HHV983022:HHV983032 HRR983022:HRR983032 IBN983022:IBN983032 ILJ983022:ILJ983032 IVF983022:IVF983032 JFB983022:JFB983032 JOX983022:JOX983032 JYT983022:JYT983032 KIP983022:KIP983032 KSL983022:KSL983032 LCH983022:LCH983032 LMD983022:LMD983032 LVZ983022:LVZ983032 MFV983022:MFV983032 MPR983022:MPR983032 MZN983022:MZN983032 NJJ983022:NJJ983032 NTF983022:NTF983032 ODB983022:ODB983032 OMX983022:OMX983032 OWT983022:OWT983032 PGP983022:PGP983032 PQL983022:PQL983032 QAH983022:QAH983032 QKD983022:QKD983032 QTZ983022:QTZ983032 RDV983022:RDV983032 RNR983022:RNR983032 RXN983022:RXN983032 SHJ983022:SHJ983032 SRF983022:SRF983032 TBB983022:TBB983032 TKX983022:TKX983032 TUT983022:TUT983032 UEP983022:UEP983032 UOL983022:UOL983032 UYH983022:UYH983032 VID983022:VID983032 VRZ983022:VRZ983032 WBV983022:WBV983032 WLR983022:WLR983032" xr:uid="{00000000-0002-0000-0000-000004000000}">
      <formula1>"0% IVA,12% IVA,No Objeto IVA,EXENTO"</formula1>
    </dataValidation>
    <dataValidation type="list" allowBlank="1" showInputMessage="1" showErrorMessage="1" sqref="JB65529:JB131051 SX65529:SX131051 ACT65529:ACT131051 AMP65529:AMP131051 AWL65529:AWL131051 BGH65529:BGH131051 BQD65529:BQD131051 BZZ65529:BZZ131051 CJV65529:CJV131051 CTR65529:CTR131051 DDN65529:DDN131051 DNJ65529:DNJ131051 DXF65529:DXF131051 EHB65529:EHB131051 EQX65529:EQX131051 FAT65529:FAT131051 FKP65529:FKP131051 FUL65529:FUL131051 GEH65529:GEH131051 GOD65529:GOD131051 GXZ65529:GXZ131051 HHV65529:HHV131051 HRR65529:HRR131051 IBN65529:IBN131051 ILJ65529:ILJ131051 IVF65529:IVF131051 JFB65529:JFB131051 JOX65529:JOX131051 JYT65529:JYT131051 KIP65529:KIP131051 KSL65529:KSL131051 LCH65529:LCH131051 LMD65529:LMD131051 LVZ65529:LVZ131051 MFV65529:MFV131051 MPR65529:MPR131051 MZN65529:MZN131051 NJJ65529:NJJ131051 NTF65529:NTF131051 ODB65529:ODB131051 OMX65529:OMX131051 OWT65529:OWT131051 PGP65529:PGP131051 PQL65529:PQL131051 QAH65529:QAH131051 QKD65529:QKD131051 QTZ65529:QTZ131051 RDV65529:RDV131051 RNR65529:RNR131051 RXN65529:RXN131051 SHJ65529:SHJ131051 SRF65529:SRF131051 TBB65529:TBB131051 TKX65529:TKX131051 TUT65529:TUT131051 UEP65529:UEP131051 UOL65529:UOL131051 UYH65529:UYH131051 VID65529:VID131051 VRZ65529:VRZ131051 WBV65529:WBV131051 WLR65529:WLR131051 WVN65529:WVN131051 JB131065:JB196587 SX131065:SX196587 ACT131065:ACT196587 AMP131065:AMP196587 AWL131065:AWL196587 BGH131065:BGH196587 BQD131065:BQD196587 BZZ131065:BZZ196587 CJV131065:CJV196587 CTR131065:CTR196587 DDN131065:DDN196587 DNJ131065:DNJ196587 DXF131065:DXF196587 EHB131065:EHB196587 EQX131065:EQX196587 FAT131065:FAT196587 FKP131065:FKP196587 FUL131065:FUL196587 GEH131065:GEH196587 GOD131065:GOD196587 GXZ131065:GXZ196587 HHV131065:HHV196587 HRR131065:HRR196587 IBN131065:IBN196587 ILJ131065:ILJ196587 IVF131065:IVF196587 JFB131065:JFB196587 JOX131065:JOX196587 JYT131065:JYT196587 KIP131065:KIP196587 KSL131065:KSL196587 LCH131065:LCH196587 LMD131065:LMD196587 LVZ131065:LVZ196587 MFV131065:MFV196587 MPR131065:MPR196587 MZN131065:MZN196587 NJJ131065:NJJ196587 NTF131065:NTF196587 ODB131065:ODB196587 OMX131065:OMX196587 OWT131065:OWT196587 PGP131065:PGP196587 PQL131065:PQL196587 QAH131065:QAH196587 QKD131065:QKD196587 QTZ131065:QTZ196587 RDV131065:RDV196587 RNR131065:RNR196587 RXN131065:RXN196587 SHJ131065:SHJ196587 SRF131065:SRF196587 TBB131065:TBB196587 TKX131065:TKX196587 TUT131065:TUT196587 UEP131065:UEP196587 UOL131065:UOL196587 UYH131065:UYH196587 VID131065:VID196587 VRZ131065:VRZ196587 WBV131065:WBV196587 WLR131065:WLR196587 WVN131065:WVN196587 JB196601:JB262123 SX196601:SX262123 ACT196601:ACT262123 AMP196601:AMP262123 AWL196601:AWL262123 BGH196601:BGH262123 BQD196601:BQD262123 BZZ196601:BZZ262123 CJV196601:CJV262123 CTR196601:CTR262123 DDN196601:DDN262123 DNJ196601:DNJ262123 DXF196601:DXF262123 EHB196601:EHB262123 EQX196601:EQX262123 FAT196601:FAT262123 FKP196601:FKP262123 FUL196601:FUL262123 GEH196601:GEH262123 GOD196601:GOD262123 GXZ196601:GXZ262123 HHV196601:HHV262123 HRR196601:HRR262123 IBN196601:IBN262123 ILJ196601:ILJ262123 IVF196601:IVF262123 JFB196601:JFB262123 JOX196601:JOX262123 JYT196601:JYT262123 KIP196601:KIP262123 KSL196601:KSL262123 LCH196601:LCH262123 LMD196601:LMD262123 LVZ196601:LVZ262123 MFV196601:MFV262123 MPR196601:MPR262123 MZN196601:MZN262123 NJJ196601:NJJ262123 NTF196601:NTF262123 ODB196601:ODB262123 OMX196601:OMX262123 OWT196601:OWT262123 PGP196601:PGP262123 PQL196601:PQL262123 QAH196601:QAH262123 QKD196601:QKD262123 QTZ196601:QTZ262123 RDV196601:RDV262123 RNR196601:RNR262123 RXN196601:RXN262123 SHJ196601:SHJ262123 SRF196601:SRF262123 TBB196601:TBB262123 TKX196601:TKX262123 TUT196601:TUT262123 UEP196601:UEP262123 UOL196601:UOL262123 UYH196601:UYH262123 VID196601:VID262123 VRZ196601:VRZ262123 WBV196601:WBV262123 WLR196601:WLR262123 WVN196601:WVN262123 JB262137:JB327659 SX262137:SX327659 ACT262137:ACT327659 AMP262137:AMP327659 AWL262137:AWL327659 BGH262137:BGH327659 BQD262137:BQD327659 BZZ262137:BZZ327659 CJV262137:CJV327659 CTR262137:CTR327659 DDN262137:DDN327659 DNJ262137:DNJ327659 DXF262137:DXF327659 EHB262137:EHB327659 EQX262137:EQX327659 FAT262137:FAT327659 FKP262137:FKP327659 FUL262137:FUL327659 GEH262137:GEH327659 GOD262137:GOD327659 GXZ262137:GXZ327659 HHV262137:HHV327659 HRR262137:HRR327659 IBN262137:IBN327659 ILJ262137:ILJ327659 IVF262137:IVF327659 JFB262137:JFB327659 JOX262137:JOX327659 JYT262137:JYT327659 KIP262137:KIP327659 KSL262137:KSL327659 LCH262137:LCH327659 LMD262137:LMD327659 LVZ262137:LVZ327659 MFV262137:MFV327659 MPR262137:MPR327659 MZN262137:MZN327659 NJJ262137:NJJ327659 NTF262137:NTF327659 ODB262137:ODB327659 OMX262137:OMX327659 OWT262137:OWT327659 PGP262137:PGP327659 PQL262137:PQL327659 QAH262137:QAH327659 QKD262137:QKD327659 QTZ262137:QTZ327659 RDV262137:RDV327659 RNR262137:RNR327659 RXN262137:RXN327659 SHJ262137:SHJ327659 SRF262137:SRF327659 TBB262137:TBB327659 TKX262137:TKX327659 TUT262137:TUT327659 UEP262137:UEP327659 UOL262137:UOL327659 UYH262137:UYH327659 VID262137:VID327659 VRZ262137:VRZ327659 WBV262137:WBV327659 WLR262137:WLR327659 WVN262137:WVN327659 JB327673:JB393195 SX327673:SX393195 ACT327673:ACT393195 AMP327673:AMP393195 AWL327673:AWL393195 BGH327673:BGH393195 BQD327673:BQD393195 BZZ327673:BZZ393195 CJV327673:CJV393195 CTR327673:CTR393195 DDN327673:DDN393195 DNJ327673:DNJ393195 DXF327673:DXF393195 EHB327673:EHB393195 EQX327673:EQX393195 FAT327673:FAT393195 FKP327673:FKP393195 FUL327673:FUL393195 GEH327673:GEH393195 GOD327673:GOD393195 GXZ327673:GXZ393195 HHV327673:HHV393195 HRR327673:HRR393195 IBN327673:IBN393195 ILJ327673:ILJ393195 IVF327673:IVF393195 JFB327673:JFB393195 JOX327673:JOX393195 JYT327673:JYT393195 KIP327673:KIP393195 KSL327673:KSL393195 LCH327673:LCH393195 LMD327673:LMD393195 LVZ327673:LVZ393195 MFV327673:MFV393195 MPR327673:MPR393195 MZN327673:MZN393195 NJJ327673:NJJ393195 NTF327673:NTF393195 ODB327673:ODB393195 OMX327673:OMX393195 OWT327673:OWT393195 PGP327673:PGP393195 PQL327673:PQL393195 QAH327673:QAH393195 QKD327673:QKD393195 QTZ327673:QTZ393195 RDV327673:RDV393195 RNR327673:RNR393195 RXN327673:RXN393195 SHJ327673:SHJ393195 SRF327673:SRF393195 TBB327673:TBB393195 TKX327673:TKX393195 TUT327673:TUT393195 UEP327673:UEP393195 UOL327673:UOL393195 UYH327673:UYH393195 VID327673:VID393195 VRZ327673:VRZ393195 WBV327673:WBV393195 WLR327673:WLR393195 WVN327673:WVN393195 JB393209:JB458731 SX393209:SX458731 ACT393209:ACT458731 AMP393209:AMP458731 AWL393209:AWL458731 BGH393209:BGH458731 BQD393209:BQD458731 BZZ393209:BZZ458731 CJV393209:CJV458731 CTR393209:CTR458731 DDN393209:DDN458731 DNJ393209:DNJ458731 DXF393209:DXF458731 EHB393209:EHB458731 EQX393209:EQX458731 FAT393209:FAT458731 FKP393209:FKP458731 FUL393209:FUL458731 GEH393209:GEH458731 GOD393209:GOD458731 GXZ393209:GXZ458731 HHV393209:HHV458731 HRR393209:HRR458731 IBN393209:IBN458731 ILJ393209:ILJ458731 IVF393209:IVF458731 JFB393209:JFB458731 JOX393209:JOX458731 JYT393209:JYT458731 KIP393209:KIP458731 KSL393209:KSL458731 LCH393209:LCH458731 LMD393209:LMD458731 LVZ393209:LVZ458731 MFV393209:MFV458731 MPR393209:MPR458731 MZN393209:MZN458731 NJJ393209:NJJ458731 NTF393209:NTF458731 ODB393209:ODB458731 OMX393209:OMX458731 OWT393209:OWT458731 PGP393209:PGP458731 PQL393209:PQL458731 QAH393209:QAH458731 QKD393209:QKD458731 QTZ393209:QTZ458731 RDV393209:RDV458731 RNR393209:RNR458731 RXN393209:RXN458731 SHJ393209:SHJ458731 SRF393209:SRF458731 TBB393209:TBB458731 TKX393209:TKX458731 TUT393209:TUT458731 UEP393209:UEP458731 UOL393209:UOL458731 UYH393209:UYH458731 VID393209:VID458731 VRZ393209:VRZ458731 WBV393209:WBV458731 WLR393209:WLR458731 WVN393209:WVN458731 JB458745:JB524267 SX458745:SX524267 ACT458745:ACT524267 AMP458745:AMP524267 AWL458745:AWL524267 BGH458745:BGH524267 BQD458745:BQD524267 BZZ458745:BZZ524267 CJV458745:CJV524267 CTR458745:CTR524267 DDN458745:DDN524267 DNJ458745:DNJ524267 DXF458745:DXF524267 EHB458745:EHB524267 EQX458745:EQX524267 FAT458745:FAT524267 FKP458745:FKP524267 FUL458745:FUL524267 GEH458745:GEH524267 GOD458745:GOD524267 GXZ458745:GXZ524267 HHV458745:HHV524267 HRR458745:HRR524267 IBN458745:IBN524267 ILJ458745:ILJ524267 IVF458745:IVF524267 JFB458745:JFB524267 JOX458745:JOX524267 JYT458745:JYT524267 KIP458745:KIP524267 KSL458745:KSL524267 LCH458745:LCH524267 LMD458745:LMD524267 LVZ458745:LVZ524267 MFV458745:MFV524267 MPR458745:MPR524267 MZN458745:MZN524267 NJJ458745:NJJ524267 NTF458745:NTF524267 ODB458745:ODB524267 OMX458745:OMX524267 OWT458745:OWT524267 PGP458745:PGP524267 PQL458745:PQL524267 QAH458745:QAH524267 QKD458745:QKD524267 QTZ458745:QTZ524267 RDV458745:RDV524267 RNR458745:RNR524267 RXN458745:RXN524267 SHJ458745:SHJ524267 SRF458745:SRF524267 TBB458745:TBB524267 TKX458745:TKX524267 TUT458745:TUT524267 UEP458745:UEP524267 UOL458745:UOL524267 UYH458745:UYH524267 VID458745:VID524267 VRZ458745:VRZ524267 WBV458745:WBV524267 WLR458745:WLR524267 WVN458745:WVN524267 JB524281:JB589803 SX524281:SX589803 ACT524281:ACT589803 AMP524281:AMP589803 AWL524281:AWL589803 BGH524281:BGH589803 BQD524281:BQD589803 BZZ524281:BZZ589803 CJV524281:CJV589803 CTR524281:CTR589803 DDN524281:DDN589803 DNJ524281:DNJ589803 DXF524281:DXF589803 EHB524281:EHB589803 EQX524281:EQX589803 FAT524281:FAT589803 FKP524281:FKP589803 FUL524281:FUL589803 GEH524281:GEH589803 GOD524281:GOD589803 GXZ524281:GXZ589803 HHV524281:HHV589803 HRR524281:HRR589803 IBN524281:IBN589803 ILJ524281:ILJ589803 IVF524281:IVF589803 JFB524281:JFB589803 JOX524281:JOX589803 JYT524281:JYT589803 KIP524281:KIP589803 KSL524281:KSL589803 LCH524281:LCH589803 LMD524281:LMD589803 LVZ524281:LVZ589803 MFV524281:MFV589803 MPR524281:MPR589803 MZN524281:MZN589803 NJJ524281:NJJ589803 NTF524281:NTF589803 ODB524281:ODB589803 OMX524281:OMX589803 OWT524281:OWT589803 PGP524281:PGP589803 PQL524281:PQL589803 QAH524281:QAH589803 QKD524281:QKD589803 QTZ524281:QTZ589803 RDV524281:RDV589803 RNR524281:RNR589803 RXN524281:RXN589803 SHJ524281:SHJ589803 SRF524281:SRF589803 TBB524281:TBB589803 TKX524281:TKX589803 TUT524281:TUT589803 UEP524281:UEP589803 UOL524281:UOL589803 UYH524281:UYH589803 VID524281:VID589803 VRZ524281:VRZ589803 WBV524281:WBV589803 WLR524281:WLR589803 WVN524281:WVN589803 JB589817:JB655339 SX589817:SX655339 ACT589817:ACT655339 AMP589817:AMP655339 AWL589817:AWL655339 BGH589817:BGH655339 BQD589817:BQD655339 BZZ589817:BZZ655339 CJV589817:CJV655339 CTR589817:CTR655339 DDN589817:DDN655339 DNJ589817:DNJ655339 DXF589817:DXF655339 EHB589817:EHB655339 EQX589817:EQX655339 FAT589817:FAT655339 FKP589817:FKP655339 FUL589817:FUL655339 GEH589817:GEH655339 GOD589817:GOD655339 GXZ589817:GXZ655339 HHV589817:HHV655339 HRR589817:HRR655339 IBN589817:IBN655339 ILJ589817:ILJ655339 IVF589817:IVF655339 JFB589817:JFB655339 JOX589817:JOX655339 JYT589817:JYT655339 KIP589817:KIP655339 KSL589817:KSL655339 LCH589817:LCH655339 LMD589817:LMD655339 LVZ589817:LVZ655339 MFV589817:MFV655339 MPR589817:MPR655339 MZN589817:MZN655339 NJJ589817:NJJ655339 NTF589817:NTF655339 ODB589817:ODB655339 OMX589817:OMX655339 OWT589817:OWT655339 PGP589817:PGP655339 PQL589817:PQL655339 QAH589817:QAH655339 QKD589817:QKD655339 QTZ589817:QTZ655339 RDV589817:RDV655339 RNR589817:RNR655339 RXN589817:RXN655339 SHJ589817:SHJ655339 SRF589817:SRF655339 TBB589817:TBB655339 TKX589817:TKX655339 TUT589817:TUT655339 UEP589817:UEP655339 UOL589817:UOL655339 UYH589817:UYH655339 VID589817:VID655339 VRZ589817:VRZ655339 WBV589817:WBV655339 WLR589817:WLR655339 WVN589817:WVN655339 JB655353:JB720875 SX655353:SX720875 ACT655353:ACT720875 AMP655353:AMP720875 AWL655353:AWL720875 BGH655353:BGH720875 BQD655353:BQD720875 BZZ655353:BZZ720875 CJV655353:CJV720875 CTR655353:CTR720875 DDN655353:DDN720875 DNJ655353:DNJ720875 DXF655353:DXF720875 EHB655353:EHB720875 EQX655353:EQX720875 FAT655353:FAT720875 FKP655353:FKP720875 FUL655353:FUL720875 GEH655353:GEH720875 GOD655353:GOD720875 GXZ655353:GXZ720875 HHV655353:HHV720875 HRR655353:HRR720875 IBN655353:IBN720875 ILJ655353:ILJ720875 IVF655353:IVF720875 JFB655353:JFB720875 JOX655353:JOX720875 JYT655353:JYT720875 KIP655353:KIP720875 KSL655353:KSL720875 LCH655353:LCH720875 LMD655353:LMD720875 LVZ655353:LVZ720875 MFV655353:MFV720875 MPR655353:MPR720875 MZN655353:MZN720875 NJJ655353:NJJ720875 NTF655353:NTF720875 ODB655353:ODB720875 OMX655353:OMX720875 OWT655353:OWT720875 PGP655353:PGP720875 PQL655353:PQL720875 QAH655353:QAH720875 QKD655353:QKD720875 QTZ655353:QTZ720875 RDV655353:RDV720875 RNR655353:RNR720875 RXN655353:RXN720875 SHJ655353:SHJ720875 SRF655353:SRF720875 TBB655353:TBB720875 TKX655353:TKX720875 TUT655353:TUT720875 UEP655353:UEP720875 UOL655353:UOL720875 UYH655353:UYH720875 VID655353:VID720875 VRZ655353:VRZ720875 WBV655353:WBV720875 WLR655353:WLR720875 WVN655353:WVN720875 JB720889:JB786411 SX720889:SX786411 ACT720889:ACT786411 AMP720889:AMP786411 AWL720889:AWL786411 BGH720889:BGH786411 BQD720889:BQD786411 BZZ720889:BZZ786411 CJV720889:CJV786411 CTR720889:CTR786411 DDN720889:DDN786411 DNJ720889:DNJ786411 DXF720889:DXF786411 EHB720889:EHB786411 EQX720889:EQX786411 FAT720889:FAT786411 FKP720889:FKP786411 FUL720889:FUL786411 GEH720889:GEH786411 GOD720889:GOD786411 GXZ720889:GXZ786411 HHV720889:HHV786411 HRR720889:HRR786411 IBN720889:IBN786411 ILJ720889:ILJ786411 IVF720889:IVF786411 JFB720889:JFB786411 JOX720889:JOX786411 JYT720889:JYT786411 KIP720889:KIP786411 KSL720889:KSL786411 LCH720889:LCH786411 LMD720889:LMD786411 LVZ720889:LVZ786411 MFV720889:MFV786411 MPR720889:MPR786411 MZN720889:MZN786411 NJJ720889:NJJ786411 NTF720889:NTF786411 ODB720889:ODB786411 OMX720889:OMX786411 OWT720889:OWT786411 PGP720889:PGP786411 PQL720889:PQL786411 QAH720889:QAH786411 QKD720889:QKD786411 QTZ720889:QTZ786411 RDV720889:RDV786411 RNR720889:RNR786411 RXN720889:RXN786411 SHJ720889:SHJ786411 SRF720889:SRF786411 TBB720889:TBB786411 TKX720889:TKX786411 TUT720889:TUT786411 UEP720889:UEP786411 UOL720889:UOL786411 UYH720889:UYH786411 VID720889:VID786411 VRZ720889:VRZ786411 WBV720889:WBV786411 WLR720889:WLR786411 WVN720889:WVN786411 JB786425:JB851947 SX786425:SX851947 ACT786425:ACT851947 AMP786425:AMP851947 AWL786425:AWL851947 BGH786425:BGH851947 BQD786425:BQD851947 BZZ786425:BZZ851947 CJV786425:CJV851947 CTR786425:CTR851947 DDN786425:DDN851947 DNJ786425:DNJ851947 DXF786425:DXF851947 EHB786425:EHB851947 EQX786425:EQX851947 FAT786425:FAT851947 FKP786425:FKP851947 FUL786425:FUL851947 GEH786425:GEH851947 GOD786425:GOD851947 GXZ786425:GXZ851947 HHV786425:HHV851947 HRR786425:HRR851947 IBN786425:IBN851947 ILJ786425:ILJ851947 IVF786425:IVF851947 JFB786425:JFB851947 JOX786425:JOX851947 JYT786425:JYT851947 KIP786425:KIP851947 KSL786425:KSL851947 LCH786425:LCH851947 LMD786425:LMD851947 LVZ786425:LVZ851947 MFV786425:MFV851947 MPR786425:MPR851947 MZN786425:MZN851947 NJJ786425:NJJ851947 NTF786425:NTF851947 ODB786425:ODB851947 OMX786425:OMX851947 OWT786425:OWT851947 PGP786425:PGP851947 PQL786425:PQL851947 QAH786425:QAH851947 QKD786425:QKD851947 QTZ786425:QTZ851947 RDV786425:RDV851947 RNR786425:RNR851947 RXN786425:RXN851947 SHJ786425:SHJ851947 SRF786425:SRF851947 TBB786425:TBB851947 TKX786425:TKX851947 TUT786425:TUT851947 UEP786425:UEP851947 UOL786425:UOL851947 UYH786425:UYH851947 VID786425:VID851947 VRZ786425:VRZ851947 WBV786425:WBV851947 WLR786425:WLR851947 WVN786425:WVN851947 JB851961:JB917483 SX851961:SX917483 ACT851961:ACT917483 AMP851961:AMP917483 AWL851961:AWL917483 BGH851961:BGH917483 BQD851961:BQD917483 BZZ851961:BZZ917483 CJV851961:CJV917483 CTR851961:CTR917483 DDN851961:DDN917483 DNJ851961:DNJ917483 DXF851961:DXF917483 EHB851961:EHB917483 EQX851961:EQX917483 FAT851961:FAT917483 FKP851961:FKP917483 FUL851961:FUL917483 GEH851961:GEH917483 GOD851961:GOD917483 GXZ851961:GXZ917483 HHV851961:HHV917483 HRR851961:HRR917483 IBN851961:IBN917483 ILJ851961:ILJ917483 IVF851961:IVF917483 JFB851961:JFB917483 JOX851961:JOX917483 JYT851961:JYT917483 KIP851961:KIP917483 KSL851961:KSL917483 LCH851961:LCH917483 LMD851961:LMD917483 LVZ851961:LVZ917483 MFV851961:MFV917483 MPR851961:MPR917483 MZN851961:MZN917483 NJJ851961:NJJ917483 NTF851961:NTF917483 ODB851961:ODB917483 OMX851961:OMX917483 OWT851961:OWT917483 PGP851961:PGP917483 PQL851961:PQL917483 QAH851961:QAH917483 QKD851961:QKD917483 QTZ851961:QTZ917483 RDV851961:RDV917483 RNR851961:RNR917483 RXN851961:RXN917483 SHJ851961:SHJ917483 SRF851961:SRF917483 TBB851961:TBB917483 TKX851961:TKX917483 TUT851961:TUT917483 UEP851961:UEP917483 UOL851961:UOL917483 UYH851961:UYH917483 VID851961:VID917483 VRZ851961:VRZ917483 WBV851961:WBV917483 WLR851961:WLR917483 WVN851961:WVN917483 JB917497:JB983019 SX917497:SX983019 ACT917497:ACT983019 AMP917497:AMP983019 AWL917497:AWL983019 BGH917497:BGH983019 BQD917497:BQD983019 BZZ917497:BZZ983019 CJV917497:CJV983019 CTR917497:CTR983019 DDN917497:DDN983019 DNJ917497:DNJ983019 DXF917497:DXF983019 EHB917497:EHB983019 EQX917497:EQX983019 FAT917497:FAT983019 FKP917497:FKP983019 FUL917497:FUL983019 GEH917497:GEH983019 GOD917497:GOD983019 GXZ917497:GXZ983019 HHV917497:HHV983019 HRR917497:HRR983019 IBN917497:IBN983019 ILJ917497:ILJ983019 IVF917497:IVF983019 JFB917497:JFB983019 JOX917497:JOX983019 JYT917497:JYT983019 KIP917497:KIP983019 KSL917497:KSL983019 LCH917497:LCH983019 LMD917497:LMD983019 LVZ917497:LVZ983019 MFV917497:MFV983019 MPR917497:MPR983019 MZN917497:MZN983019 NJJ917497:NJJ983019 NTF917497:NTF983019 ODB917497:ODB983019 OMX917497:OMX983019 OWT917497:OWT983019 PGP917497:PGP983019 PQL917497:PQL983019 QAH917497:QAH983019 QKD917497:QKD983019 QTZ917497:QTZ983019 RDV917497:RDV983019 RNR917497:RNR983019 RXN917497:RXN983019 SHJ917497:SHJ983019 SRF917497:SRF983019 TBB917497:TBB983019 TKX917497:TKX983019 TUT917497:TUT983019 UEP917497:UEP983019 UOL917497:UOL983019 UYH917497:UYH983019 VID917497:VID983019 VRZ917497:VRZ983019 WBV917497:WBV983019 WLR917497:WLR983019 WVN917497:WVN983019 WVN983033:WVN1048576 JB983033:JB1048576 SX983033:SX1048576 ACT983033:ACT1048576 AMP983033:AMP1048576 AWL983033:AWL1048576 BGH983033:BGH1048576 BQD983033:BQD1048576 BZZ983033:BZZ1048576 CJV983033:CJV1048576 CTR983033:CTR1048576 DDN983033:DDN1048576 DNJ983033:DNJ1048576 DXF983033:DXF1048576 EHB983033:EHB1048576 EQX983033:EQX1048576 FAT983033:FAT1048576 FKP983033:FKP1048576 FUL983033:FUL1048576 GEH983033:GEH1048576 GOD983033:GOD1048576 GXZ983033:GXZ1048576 HHV983033:HHV1048576 HRR983033:HRR1048576 IBN983033:IBN1048576 ILJ983033:ILJ1048576 IVF983033:IVF1048576 JFB983033:JFB1048576 JOX983033:JOX1048576 JYT983033:JYT1048576 KIP983033:KIP1048576 KSL983033:KSL1048576 LCH983033:LCH1048576 LMD983033:LMD1048576 LVZ983033:LVZ1048576 MFV983033:MFV1048576 MPR983033:MPR1048576 MZN983033:MZN1048576 NJJ983033:NJJ1048576 NTF983033:NTF1048576 ODB983033:ODB1048576 OMX983033:OMX1048576 OWT983033:OWT1048576 PGP983033:PGP1048576 PQL983033:PQL1048576 QAH983033:QAH1048576 QKD983033:QKD1048576 QTZ983033:QTZ1048576 RDV983033:RDV1048576 RNR983033:RNR1048576 RXN983033:RXN1048576 SHJ983033:SHJ1048576 SRF983033:SRF1048576 TBB983033:TBB1048576 TKX983033:TKX1048576 TUT983033:TUT1048576 UEP983033:UEP1048576 UOL983033:UOL1048576 UYH983033:UYH1048576 VID983033:VID1048576 VRZ983033:VRZ1048576 WBV983033:WBV1048576 WLR983033:WLR1048576 JB7:JB65515 SX7:SX65515 WVN7:WVN65515 WLR7:WLR65515 WBV7:WBV65515 VRZ7:VRZ65515 VID7:VID65515 UYH7:UYH65515 UOL7:UOL65515 UEP7:UEP65515 TUT7:TUT65515 TKX7:TKX65515 TBB7:TBB65515 SRF7:SRF65515 SHJ7:SHJ65515 RXN7:RXN65515 RNR7:RNR65515 RDV7:RDV65515 QTZ7:QTZ65515 QKD7:QKD65515 QAH7:QAH65515 PQL7:PQL65515 PGP7:PGP65515 OWT7:OWT65515 OMX7:OMX65515 ODB7:ODB65515 NTF7:NTF65515 NJJ7:NJJ65515 MZN7:MZN65515 MPR7:MPR65515 MFV7:MFV65515 LVZ7:LVZ65515 LMD7:LMD65515 LCH7:LCH65515 KSL7:KSL65515 KIP7:KIP65515 JYT7:JYT65515 JOX7:JOX65515 JFB7:JFB65515 IVF7:IVF65515 ILJ7:ILJ65515 IBN7:IBN65515 HRR7:HRR65515 HHV7:HHV65515 GXZ7:GXZ65515 GOD7:GOD65515 GEH7:GEH65515 FUL7:FUL65515 FKP7:FKP65515 FAT7:FAT65515 EQX7:EQX65515 EHB7:EHB65515 DXF7:DXF65515 DNJ7:DNJ65515 DDN7:DDN65515 CTR7:CTR65515 CJV7:CJV65515 BZZ7:BZZ65515 BQD7:BQD65515 BGH7:BGH65515 AWL7:AWL65515 AMP7:AMP65515 ACT7:ACT65515" xr:uid="{00000000-0002-0000-0000-000005000000}">
      <formula1>"0-Iva 0%,2-Iva 12%,6-No Objeto Impto."</formula1>
    </dataValidation>
  </dataValidations>
  <pageMargins left="0.75" right="0.75" top="0.39370078740157483" bottom="0.39370078740157483" header="0" footer="0"/>
  <pageSetup paperSize="9" scale="5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3">
    <tabColor theme="0" tint="-0.499984740745262"/>
  </sheetPr>
  <dimension ref="A1:O6"/>
  <sheetViews>
    <sheetView showGridLines="0" zoomScaleNormal="100" workbookViewId="0">
      <pane ySplit="6" topLeftCell="A7" activePane="bottomLeft" state="frozen"/>
      <selection activeCell="A7" sqref="A7"/>
      <selection pane="bottomLeft" activeCell="A7" sqref="A7"/>
    </sheetView>
  </sheetViews>
  <sheetFormatPr baseColWidth="10" defaultColWidth="10.90625" defaultRowHeight="14.5" x14ac:dyDescent="0.35"/>
  <cols>
    <col min="1" max="2" width="10.6328125" style="478" customWidth="1"/>
    <col min="3" max="3" width="10.6328125" style="480" customWidth="1"/>
    <col min="4" max="4" width="10.6328125" style="478" customWidth="1"/>
    <col min="5" max="5" width="11.08984375" style="478" customWidth="1"/>
    <col min="6" max="6" width="9.54296875" style="478" customWidth="1"/>
    <col min="7" max="7" width="42.08984375" style="484" customWidth="1"/>
    <col min="8" max="8" width="10.90625" style="481" customWidth="1"/>
    <col min="9" max="9" width="19.54296875" style="478" customWidth="1"/>
    <col min="10" max="10" width="21.36328125" style="478" customWidth="1"/>
    <col min="11" max="11" width="13.54296875" style="478" customWidth="1"/>
    <col min="12" max="12" width="11.08984375" style="478" customWidth="1"/>
    <col min="13" max="13" width="13.453125" style="478" customWidth="1"/>
    <col min="14" max="14" width="14.90625" style="478" customWidth="1"/>
    <col min="15" max="15" width="16.08984375" style="478" customWidth="1"/>
    <col min="16" max="16384" width="10.90625" style="1"/>
  </cols>
  <sheetData>
    <row r="1" spans="1:15" s="477" customFormat="1" ht="21.65" customHeight="1" thickBot="1" x14ac:dyDescent="0.4">
      <c r="A1" s="490" t="s">
        <v>2130</v>
      </c>
      <c r="B1" s="474"/>
      <c r="C1" s="473"/>
      <c r="D1" s="474"/>
      <c r="E1" s="474"/>
      <c r="F1" s="474"/>
      <c r="G1" s="489"/>
      <c r="H1" s="488"/>
      <c r="I1" s="474"/>
      <c r="J1" s="474"/>
      <c r="K1" s="475"/>
      <c r="L1" s="474"/>
      <c r="M1" s="475"/>
      <c r="N1" s="475"/>
      <c r="O1" s="475"/>
    </row>
    <row r="2" spans="1:15" s="477" customFormat="1" ht="21.65" hidden="1" customHeight="1" x14ac:dyDescent="0.35">
      <c r="A2" s="490"/>
      <c r="B2" s="474"/>
      <c r="C2" s="473"/>
      <c r="D2" s="474"/>
      <c r="E2" s="474"/>
      <c r="F2" s="474"/>
      <c r="G2" s="489"/>
      <c r="H2" s="488"/>
      <c r="I2" s="474"/>
      <c r="J2" s="474"/>
      <c r="K2" s="475"/>
      <c r="L2" s="474"/>
      <c r="M2" s="475"/>
      <c r="N2" s="475"/>
      <c r="O2" s="475"/>
    </row>
    <row r="3" spans="1:15" s="477" customFormat="1" ht="21.65" hidden="1" customHeight="1" x14ac:dyDescent="0.35">
      <c r="A3" s="490"/>
      <c r="B3" s="474"/>
      <c r="C3" s="473"/>
      <c r="D3" s="474"/>
      <c r="E3" s="474"/>
      <c r="F3" s="474"/>
      <c r="G3" s="489"/>
      <c r="H3" s="488"/>
      <c r="I3" s="474"/>
      <c r="J3" s="474"/>
      <c r="K3" s="475"/>
      <c r="L3" s="474"/>
      <c r="M3" s="475"/>
      <c r="N3" s="475"/>
      <c r="O3" s="475"/>
    </row>
    <row r="4" spans="1:15" s="477" customFormat="1" ht="21.65" hidden="1" customHeight="1" x14ac:dyDescent="0.35">
      <c r="A4" s="490"/>
      <c r="B4" s="474"/>
      <c r="C4" s="473"/>
      <c r="D4" s="474"/>
      <c r="E4" s="474"/>
      <c r="F4" s="474"/>
      <c r="G4" s="489"/>
      <c r="H4" s="488"/>
      <c r="I4" s="474"/>
      <c r="J4" s="474"/>
      <c r="K4" s="475"/>
      <c r="L4" s="474"/>
      <c r="M4" s="475"/>
      <c r="N4" s="475"/>
      <c r="O4" s="475"/>
    </row>
    <row r="5" spans="1:15" s="477" customFormat="1" ht="21.65" hidden="1" customHeight="1" thickBot="1" x14ac:dyDescent="0.4">
      <c r="A5" s="490"/>
      <c r="B5" s="474"/>
      <c r="C5" s="473"/>
      <c r="D5" s="474"/>
      <c r="E5" s="474"/>
      <c r="F5" s="474"/>
      <c r="G5" s="489"/>
      <c r="H5" s="488"/>
      <c r="I5" s="474"/>
      <c r="J5" s="474"/>
      <c r="K5" s="475"/>
      <c r="L5" s="474"/>
      <c r="M5" s="475"/>
      <c r="N5" s="475"/>
      <c r="O5" s="475"/>
    </row>
    <row r="6" spans="1:15" s="486" customFormat="1" ht="23" x14ac:dyDescent="0.35">
      <c r="A6" s="380" t="s">
        <v>1806</v>
      </c>
      <c r="B6" s="380" t="s">
        <v>1805</v>
      </c>
      <c r="C6" s="471" t="s">
        <v>1759</v>
      </c>
      <c r="D6" s="380" t="s">
        <v>1804</v>
      </c>
      <c r="E6" s="380" t="s">
        <v>1796</v>
      </c>
      <c r="F6" s="380" t="s">
        <v>1557</v>
      </c>
      <c r="G6" s="485" t="s">
        <v>1795</v>
      </c>
      <c r="H6" s="347" t="s">
        <v>1807</v>
      </c>
      <c r="I6" s="380" t="s">
        <v>1797</v>
      </c>
      <c r="J6" s="380" t="s">
        <v>1799</v>
      </c>
      <c r="K6" s="380" t="s">
        <v>1808</v>
      </c>
      <c r="L6" s="380" t="s">
        <v>1798</v>
      </c>
      <c r="M6" s="380" t="s">
        <v>1793</v>
      </c>
      <c r="N6" s="380" t="s">
        <v>681</v>
      </c>
      <c r="O6" s="380" t="s">
        <v>1800</v>
      </c>
    </row>
  </sheetData>
  <autoFilter ref="A6:Q6" xr:uid="{00000000-0009-0000-0000-000001000000}"/>
  <phoneticPr fontId="55" type="noConversion"/>
  <dataValidations count="3">
    <dataValidation type="list" allowBlank="1" showInputMessage="1" showErrorMessage="1" sqref="E7:E1048576" xr:uid="{00000000-0002-0000-0100-000000000000}">
      <formula1>"ABONO,RETENCION,AJUSTE"</formula1>
    </dataValidation>
    <dataValidation type="list" allowBlank="1" showInputMessage="1" showErrorMessage="1" sqref="F7:F1048576" xr:uid="{00000000-0002-0000-0100-000001000000}">
      <formula1>"Entrada,Salida"</formula1>
    </dataValidation>
    <dataValidation type="list" allowBlank="1" showInputMessage="1" showErrorMessage="1" sqref="G7:H1048576" xr:uid="{00000000-0002-0000-0100-000002000000}">
      <formula1>pagos</formula1>
    </dataValidation>
  </dataValidation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1">
    <tabColor theme="0" tint="-0.499984740745262"/>
  </sheetPr>
  <dimension ref="A1:AI6"/>
  <sheetViews>
    <sheetView showGridLines="0" zoomScale="85" zoomScaleNormal="85" workbookViewId="0">
      <pane ySplit="6" topLeftCell="A7" activePane="bottomLeft" state="frozen"/>
      <selection activeCell="D6" sqref="D6"/>
      <selection pane="bottomLeft" activeCell="A7" sqref="A7"/>
    </sheetView>
  </sheetViews>
  <sheetFormatPr baseColWidth="10" defaultColWidth="10.90625" defaultRowHeight="14.5" outlineLevelCol="1" x14ac:dyDescent="0.35"/>
  <cols>
    <col min="1" max="1" width="10.6328125" style="478" customWidth="1"/>
    <col min="2" max="2" width="6.54296875" style="479" customWidth="1"/>
    <col min="3" max="3" width="10.6328125" style="478" customWidth="1"/>
    <col min="4" max="4" width="10.6328125" style="480" customWidth="1"/>
    <col min="5" max="5" width="10.08984375" style="478" customWidth="1"/>
    <col min="6" max="7" width="11.08984375" style="478" customWidth="1"/>
    <col min="8" max="8" width="29.453125" style="478" customWidth="1"/>
    <col min="9" max="9" width="13.54296875" style="478" hidden="1" customWidth="1" outlineLevel="1"/>
    <col min="10" max="10" width="10.36328125" style="481" customWidth="1" collapsed="1"/>
    <col min="11" max="11" width="10.36328125" style="481" customWidth="1"/>
    <col min="12" max="12" width="10.36328125" style="481" hidden="1" customWidth="1" outlineLevel="1"/>
    <col min="13" max="13" width="10.90625" style="481" customWidth="1" collapsed="1"/>
    <col min="14" max="14" width="11.453125" style="479" customWidth="1"/>
    <col min="15" max="15" width="9.453125" style="481" customWidth="1"/>
    <col min="16" max="16" width="9.54296875" style="481" customWidth="1"/>
    <col min="17" max="17" width="7.54296875" style="482" customWidth="1"/>
    <col min="18" max="18" width="24.54296875" style="484" hidden="1" customWidth="1" outlineLevel="1"/>
    <col min="19" max="19" width="7.08984375" style="481" hidden="1" customWidth="1" outlineLevel="1"/>
    <col min="20" max="20" width="10.90625" style="481" hidden="1" customWidth="1" outlineLevel="1"/>
    <col min="21" max="21" width="9.54296875" style="481" hidden="1" customWidth="1" outlineLevel="1"/>
    <col min="22" max="22" width="7.54296875" style="482" hidden="1" customWidth="1" outlineLevel="1"/>
    <col min="23" max="23" width="7.54296875" style="482" customWidth="1" collapsed="1"/>
    <col min="24" max="24" width="24.54296875" style="484" hidden="1" customWidth="1" outlineLevel="1"/>
    <col min="25" max="25" width="7.08984375" style="481" hidden="1" customWidth="1" outlineLevel="1"/>
    <col min="26" max="26" width="9.453125" style="481" hidden="1" customWidth="1" outlineLevel="1"/>
    <col min="27" max="27" width="9.54296875" style="481" hidden="1" customWidth="1" outlineLevel="1"/>
    <col min="28" max="28" width="9.54296875" style="481" customWidth="1" collapsed="1"/>
    <col min="29" max="29" width="10.54296875" style="481" customWidth="1"/>
    <col min="30" max="30" width="13.54296875" style="478" customWidth="1" outlineLevel="1"/>
    <col min="31" max="31" width="13.453125" style="478" customWidth="1" outlineLevel="1"/>
    <col min="32" max="32" width="14.90625" style="478" customWidth="1" outlineLevel="1"/>
    <col min="33" max="33" width="16.08984375" style="478" customWidth="1" outlineLevel="1"/>
    <col min="34" max="34" width="14.54296875" style="479" customWidth="1" outlineLevel="1"/>
    <col min="35" max="35" width="6.90625" style="911" customWidth="1"/>
    <col min="36" max="16384" width="10.90625" style="1"/>
  </cols>
  <sheetData>
    <row r="1" spans="1:35" s="477" customFormat="1" ht="21.65" customHeight="1" x14ac:dyDescent="0.35">
      <c r="A1" s="490" t="s">
        <v>1559</v>
      </c>
      <c r="B1" s="472"/>
      <c r="C1" s="474"/>
      <c r="D1" s="473"/>
      <c r="E1" s="474"/>
      <c r="F1" s="474"/>
      <c r="G1" s="474"/>
      <c r="H1" s="475"/>
      <c r="I1" s="475"/>
      <c r="J1" s="487"/>
      <c r="K1" s="487"/>
      <c r="L1" s="487"/>
      <c r="M1" s="488"/>
      <c r="N1" s="475"/>
      <c r="O1" s="487"/>
      <c r="P1" s="487"/>
      <c r="Q1" s="476"/>
      <c r="R1" s="489"/>
      <c r="S1" s="487"/>
      <c r="T1" s="487"/>
      <c r="U1" s="487"/>
      <c r="V1" s="476"/>
      <c r="W1" s="476"/>
      <c r="X1" s="489"/>
      <c r="Y1" s="487"/>
      <c r="Z1" s="487"/>
      <c r="AA1" s="487"/>
      <c r="AB1" s="487"/>
      <c r="AC1" s="487"/>
      <c r="AD1" s="475"/>
      <c r="AE1" s="475"/>
      <c r="AF1" s="475"/>
      <c r="AG1" s="475"/>
      <c r="AH1" s="475"/>
      <c r="AI1" s="910"/>
    </row>
    <row r="2" spans="1:35" s="477" customFormat="1" ht="21.65" hidden="1" customHeight="1" x14ac:dyDescent="0.35">
      <c r="A2" s="490"/>
      <c r="B2" s="472"/>
      <c r="C2" s="474"/>
      <c r="D2" s="473"/>
      <c r="E2" s="474"/>
      <c r="F2" s="474"/>
      <c r="G2" s="474"/>
      <c r="H2" s="475"/>
      <c r="I2" s="475"/>
      <c r="J2" s="487"/>
      <c r="K2" s="487"/>
      <c r="L2" s="487"/>
      <c r="M2" s="488"/>
      <c r="N2" s="475"/>
      <c r="O2" s="487"/>
      <c r="P2" s="487"/>
      <c r="Q2" s="476"/>
      <c r="R2" s="489"/>
      <c r="S2" s="487"/>
      <c r="T2" s="487"/>
      <c r="U2" s="487"/>
      <c r="V2" s="476"/>
      <c r="W2" s="476"/>
      <c r="X2" s="489"/>
      <c r="Y2" s="487"/>
      <c r="Z2" s="487"/>
      <c r="AA2" s="487"/>
      <c r="AB2" s="487"/>
      <c r="AC2" s="487"/>
      <c r="AD2" s="475"/>
      <c r="AE2" s="475"/>
      <c r="AF2" s="475"/>
      <c r="AG2" s="475"/>
      <c r="AH2" s="475"/>
      <c r="AI2" s="910"/>
    </row>
    <row r="3" spans="1:35" s="477" customFormat="1" ht="21.65" hidden="1" customHeight="1" x14ac:dyDescent="0.35">
      <c r="A3" s="490"/>
      <c r="B3" s="472"/>
      <c r="C3" s="474"/>
      <c r="D3" s="473"/>
      <c r="E3" s="474"/>
      <c r="F3" s="474"/>
      <c r="G3" s="474"/>
      <c r="H3" s="475"/>
      <c r="I3" s="475"/>
      <c r="J3" s="487"/>
      <c r="K3" s="487"/>
      <c r="L3" s="487"/>
      <c r="M3" s="488"/>
      <c r="N3" s="475"/>
      <c r="O3" s="487"/>
      <c r="P3" s="487"/>
      <c r="Q3" s="476"/>
      <c r="R3" s="489"/>
      <c r="S3" s="487"/>
      <c r="T3" s="487"/>
      <c r="U3" s="487"/>
      <c r="V3" s="476"/>
      <c r="W3" s="476"/>
      <c r="X3" s="489"/>
      <c r="Y3" s="487"/>
      <c r="Z3" s="487"/>
      <c r="AA3" s="487"/>
      <c r="AB3" s="487"/>
      <c r="AC3" s="487"/>
      <c r="AD3" s="475"/>
      <c r="AE3" s="475"/>
      <c r="AF3" s="475"/>
      <c r="AG3" s="475"/>
      <c r="AH3" s="475"/>
      <c r="AI3" s="910"/>
    </row>
    <row r="4" spans="1:35" s="477" customFormat="1" ht="21.65" hidden="1" customHeight="1" x14ac:dyDescent="0.35">
      <c r="A4" s="490"/>
      <c r="B4" s="472"/>
      <c r="C4" s="474"/>
      <c r="D4" s="473"/>
      <c r="E4" s="474"/>
      <c r="F4" s="474"/>
      <c r="G4" s="474"/>
      <c r="H4" s="475"/>
      <c r="I4" s="475"/>
      <c r="J4" s="487"/>
      <c r="K4" s="487"/>
      <c r="L4" s="487"/>
      <c r="M4" s="488"/>
      <c r="N4" s="475"/>
      <c r="O4" s="487"/>
      <c r="P4" s="487"/>
      <c r="Q4" s="476"/>
      <c r="R4" s="489"/>
      <c r="S4" s="487"/>
      <c r="T4" s="487"/>
      <c r="U4" s="487"/>
      <c r="V4" s="476"/>
      <c r="W4" s="476"/>
      <c r="X4" s="489"/>
      <c r="Y4" s="487"/>
      <c r="Z4" s="487"/>
      <c r="AA4" s="487"/>
      <c r="AB4" s="487"/>
      <c r="AC4" s="487"/>
      <c r="AD4" s="475"/>
      <c r="AE4" s="475"/>
      <c r="AF4" s="475"/>
      <c r="AG4" s="475"/>
      <c r="AH4" s="475"/>
      <c r="AI4" s="910"/>
    </row>
    <row r="5" spans="1:35" s="477" customFormat="1" ht="21.65" hidden="1" customHeight="1" thickBot="1" x14ac:dyDescent="0.4">
      <c r="A5" s="490"/>
      <c r="B5" s="472"/>
      <c r="C5" s="474"/>
      <c r="D5" s="473"/>
      <c r="E5" s="474"/>
      <c r="F5" s="474"/>
      <c r="G5" s="474"/>
      <c r="H5" s="475"/>
      <c r="I5" s="475"/>
      <c r="J5" s="487"/>
      <c r="K5" s="487"/>
      <c r="L5" s="487"/>
      <c r="M5" s="488"/>
      <c r="N5" s="475"/>
      <c r="O5" s="487"/>
      <c r="P5" s="487"/>
      <c r="Q5" s="476"/>
      <c r="R5" s="489"/>
      <c r="S5" s="487"/>
      <c r="T5" s="487"/>
      <c r="U5" s="487"/>
      <c r="V5" s="476"/>
      <c r="W5" s="476"/>
      <c r="X5" s="489"/>
      <c r="Y5" s="487"/>
      <c r="Z5" s="487"/>
      <c r="AA5" s="487"/>
      <c r="AB5" s="487"/>
      <c r="AC5" s="487"/>
      <c r="AD5" s="475"/>
      <c r="AE5" s="475"/>
      <c r="AF5" s="475"/>
      <c r="AG5" s="475"/>
      <c r="AH5" s="475"/>
      <c r="AI5" s="910"/>
    </row>
    <row r="6" spans="1:35" s="486" customFormat="1" ht="34.5" x14ac:dyDescent="0.35">
      <c r="A6" s="772" t="s">
        <v>1558</v>
      </c>
      <c r="B6" s="772" t="s">
        <v>1557</v>
      </c>
      <c r="C6" s="772" t="s">
        <v>1804</v>
      </c>
      <c r="D6" s="773" t="s">
        <v>1759</v>
      </c>
      <c r="E6" s="772" t="s">
        <v>1766</v>
      </c>
      <c r="F6" s="772" t="s">
        <v>1555</v>
      </c>
      <c r="G6" s="772" t="s">
        <v>1765</v>
      </c>
      <c r="H6" s="772" t="s">
        <v>0</v>
      </c>
      <c r="I6" s="772" t="s">
        <v>1531</v>
      </c>
      <c r="J6" s="544" t="s">
        <v>1032</v>
      </c>
      <c r="K6" s="544" t="s">
        <v>1554</v>
      </c>
      <c r="L6" s="544" t="s">
        <v>1756</v>
      </c>
      <c r="M6" s="544" t="s">
        <v>1552</v>
      </c>
      <c r="N6" s="772" t="s">
        <v>1553</v>
      </c>
      <c r="O6" s="544" t="s">
        <v>1784</v>
      </c>
      <c r="P6" s="544" t="s">
        <v>1550</v>
      </c>
      <c r="Q6" s="772" t="s">
        <v>1760</v>
      </c>
      <c r="R6" s="774" t="s">
        <v>1528</v>
      </c>
      <c r="S6" s="544" t="s">
        <v>1527</v>
      </c>
      <c r="T6" s="544" t="s">
        <v>1549</v>
      </c>
      <c r="U6" s="544" t="s">
        <v>1548</v>
      </c>
      <c r="V6" s="772" t="s">
        <v>1785</v>
      </c>
      <c r="W6" s="772" t="s">
        <v>1547</v>
      </c>
      <c r="X6" s="774" t="s">
        <v>1526</v>
      </c>
      <c r="Y6" s="544" t="s">
        <v>1525</v>
      </c>
      <c r="Z6" s="544" t="s">
        <v>1546</v>
      </c>
      <c r="AA6" s="544" t="s">
        <v>1545</v>
      </c>
      <c r="AB6" s="544" t="s">
        <v>1298</v>
      </c>
      <c r="AC6" s="544" t="s">
        <v>1544</v>
      </c>
      <c r="AD6" s="772" t="s">
        <v>1758</v>
      </c>
      <c r="AE6" s="772" t="s">
        <v>1793</v>
      </c>
      <c r="AF6" s="772" t="s">
        <v>681</v>
      </c>
      <c r="AG6" s="772" t="s">
        <v>1794</v>
      </c>
      <c r="AH6" s="772" t="s">
        <v>2159</v>
      </c>
      <c r="AI6" s="772" t="s">
        <v>2277</v>
      </c>
    </row>
  </sheetData>
  <autoFilter ref="A6:AI6" xr:uid="{00000000-0009-0000-0000-000002000000}"/>
  <phoneticPr fontId="55" type="noConversion"/>
  <dataValidations count="5">
    <dataValidation type="list" allowBlank="1" showInputMessage="1" showErrorMessage="1" sqref="X7:X1048576" xr:uid="{00000000-0002-0000-0200-000000000000}">
      <formula1>tbIBPs2</formula1>
    </dataValidation>
    <dataValidation type="list" allowBlank="1" showInputMessage="1" showErrorMessage="1" sqref="V7:W1048576 Q7:Q1048576" xr:uid="{00000000-0002-0000-0200-000001000000}">
      <formula1>"SI,NO"</formula1>
    </dataValidation>
    <dataValidation type="list" allowBlank="1" showInputMessage="1" showErrorMessage="1" sqref="R7:R1048576" xr:uid="{00000000-0002-0000-0200-000002000000}">
      <formula1>tbICEs2</formula1>
    </dataValidation>
    <dataValidation type="list" allowBlank="1" showInputMessage="1" showErrorMessage="1" sqref="N7:N1048576" xr:uid="{00000000-0002-0000-0200-000003000000}">
      <formula1>"0%,GRAVABLE,No Objeto IVA,EXENTO"</formula1>
    </dataValidation>
    <dataValidation type="list" allowBlank="1" showInputMessage="1" showErrorMessage="1" sqref="B7:B1048576" xr:uid="{00000000-0002-0000-0200-000004000000}">
      <formula1>CodTransDET</formula1>
    </dataValidation>
  </dataValidation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8">
    <tabColor theme="0" tint="-0.499984740745262"/>
    <pageSetUpPr fitToPage="1"/>
  </sheetPr>
  <dimension ref="A1:N7"/>
  <sheetViews>
    <sheetView showGridLines="0" zoomScaleNormal="100" workbookViewId="0">
      <pane ySplit="6" topLeftCell="A7" activePane="bottomLeft" state="frozen"/>
      <selection activeCell="D6" sqref="D6"/>
      <selection pane="bottomLeft" activeCell="A7" sqref="A7"/>
    </sheetView>
  </sheetViews>
  <sheetFormatPr baseColWidth="10" defaultColWidth="9.08984375" defaultRowHeight="11.5" outlineLevelCol="1" x14ac:dyDescent="0.25"/>
  <cols>
    <col min="1" max="1" width="9.6328125" style="904" customWidth="1"/>
    <col min="2" max="3" width="11" style="904" customWidth="1"/>
    <col min="4" max="4" width="40.08984375" style="507" customWidth="1"/>
    <col min="5" max="5" width="20.453125" style="904" customWidth="1" outlineLevel="1"/>
    <col min="6" max="6" width="11" style="507" customWidth="1"/>
    <col min="7" max="7" width="10.453125" style="508" customWidth="1"/>
    <col min="8" max="8" width="10.453125" style="508" customWidth="1" outlineLevel="1"/>
    <col min="9" max="9" width="12.08984375" style="509" customWidth="1"/>
    <col min="10" max="10" width="9.08984375" style="510" customWidth="1"/>
    <col min="11" max="12" width="23.54296875" style="511" customWidth="1" outlineLevel="1"/>
    <col min="13" max="13" width="35.36328125" style="504" customWidth="1" outlineLevel="1"/>
    <col min="14" max="14" width="10.453125" style="504" bestFit="1" customWidth="1"/>
    <col min="15" max="16384" width="9.08984375" style="504"/>
  </cols>
  <sheetData>
    <row r="1" spans="1:14" s="500" customFormat="1" ht="21.65" customHeight="1" thickBot="1" x14ac:dyDescent="0.3">
      <c r="A1" s="490" t="s">
        <v>1534</v>
      </c>
      <c r="B1" s="656"/>
      <c r="C1" s="656"/>
      <c r="D1" s="493"/>
      <c r="F1" s="493"/>
      <c r="G1" s="494"/>
      <c r="H1" s="494"/>
      <c r="I1" s="495"/>
      <c r="J1" s="496"/>
      <c r="K1" s="495"/>
      <c r="L1" s="495"/>
      <c r="M1" s="492"/>
      <c r="N1" s="498"/>
    </row>
    <row r="2" spans="1:14" s="500" customFormat="1" ht="21.65" hidden="1" customHeight="1" x14ac:dyDescent="0.25">
      <c r="A2" s="656"/>
      <c r="B2" s="656"/>
      <c r="C2" s="656"/>
      <c r="D2" s="493"/>
      <c r="F2" s="493"/>
      <c r="G2" s="494"/>
      <c r="H2" s="494"/>
      <c r="I2" s="495"/>
      <c r="J2" s="496"/>
      <c r="K2" s="495"/>
      <c r="L2" s="495"/>
      <c r="M2" s="492"/>
      <c r="N2" s="498"/>
    </row>
    <row r="3" spans="1:14" s="500" customFormat="1" ht="21.65" hidden="1" customHeight="1" x14ac:dyDescent="0.25">
      <c r="A3" s="656"/>
      <c r="B3" s="656"/>
      <c r="C3" s="656"/>
      <c r="D3" s="493"/>
      <c r="F3" s="493"/>
      <c r="G3" s="494"/>
      <c r="H3" s="494"/>
      <c r="I3" s="495"/>
      <c r="J3" s="496"/>
      <c r="K3" s="495"/>
      <c r="L3" s="495"/>
      <c r="M3" s="492"/>
      <c r="N3" s="498"/>
    </row>
    <row r="4" spans="1:14" s="500" customFormat="1" ht="21.65" hidden="1" customHeight="1" x14ac:dyDescent="0.25">
      <c r="A4" s="656"/>
      <c r="B4" s="656"/>
      <c r="C4" s="656"/>
      <c r="D4" s="493"/>
      <c r="F4" s="493"/>
      <c r="G4" s="494"/>
      <c r="H4" s="494"/>
      <c r="I4" s="495"/>
      <c r="J4" s="496"/>
      <c r="K4" s="495"/>
      <c r="L4" s="495"/>
      <c r="M4" s="492"/>
      <c r="N4" s="498"/>
    </row>
    <row r="5" spans="1:14" s="500" customFormat="1" ht="21.65" hidden="1" customHeight="1" thickBot="1" x14ac:dyDescent="0.3">
      <c r="A5" s="656"/>
      <c r="B5" s="656"/>
      <c r="C5" s="656"/>
      <c r="D5" s="493"/>
      <c r="F5" s="493"/>
      <c r="G5" s="494"/>
      <c r="H5" s="494"/>
      <c r="I5" s="495"/>
      <c r="J5" s="496"/>
      <c r="K5" s="495"/>
      <c r="L5" s="495"/>
      <c r="M5" s="492"/>
      <c r="N5" s="498"/>
    </row>
    <row r="6" spans="1:14" s="520" customFormat="1" ht="30" customHeight="1" x14ac:dyDescent="0.35">
      <c r="A6" s="772" t="s">
        <v>2129</v>
      </c>
      <c r="B6" s="521" t="s">
        <v>1533</v>
      </c>
      <c r="C6" s="521" t="s">
        <v>1532</v>
      </c>
      <c r="D6" s="521" t="s">
        <v>0</v>
      </c>
      <c r="E6" s="914" t="s">
        <v>1670</v>
      </c>
      <c r="F6" s="521" t="s">
        <v>1531</v>
      </c>
      <c r="G6" s="522" t="s">
        <v>1530</v>
      </c>
      <c r="H6" s="522" t="s">
        <v>1767</v>
      </c>
      <c r="I6" s="519" t="s">
        <v>1529</v>
      </c>
      <c r="J6" s="348" t="s">
        <v>1551</v>
      </c>
      <c r="K6" s="521" t="s">
        <v>1528</v>
      </c>
      <c r="L6" s="521" t="s">
        <v>1526</v>
      </c>
      <c r="M6" s="519" t="s">
        <v>1757</v>
      </c>
    </row>
    <row r="7" spans="1:14" x14ac:dyDescent="0.25">
      <c r="A7" s="905" t="s">
        <v>2293</v>
      </c>
      <c r="B7" s="905" t="s">
        <v>2294</v>
      </c>
      <c r="C7" s="905"/>
      <c r="D7" s="502" t="s">
        <v>1851</v>
      </c>
      <c r="E7" s="906" t="s">
        <v>2133</v>
      </c>
      <c r="F7" s="502"/>
      <c r="G7" s="912">
        <v>500</v>
      </c>
      <c r="H7" s="912">
        <v>0</v>
      </c>
      <c r="I7" s="913" t="s">
        <v>2291</v>
      </c>
      <c r="J7" s="907">
        <v>0</v>
      </c>
      <c r="K7" s="503"/>
      <c r="L7" s="503"/>
      <c r="M7" s="501"/>
    </row>
  </sheetData>
  <autoFilter ref="A6:N17" xr:uid="{00000000-0009-0000-0000-000003000000}"/>
  <phoneticPr fontId="55" type="noConversion"/>
  <dataValidations count="7">
    <dataValidation type="textLength" operator="lessThanOrEqual" allowBlank="1" showInputMessage="1" showErrorMessage="1" errorTitle="FactelExcel" error="Debe ingresar un valor correcto para el Codigo Principal" sqref="A983017:C1048576 A917481:C983014 A851945:C917478 A786409:C851942 A720873:C786406 A655337:C720870 A589801:C655334 A524265:C589798 A458729:C524262 A393193:C458726 A327657:C393190 A262121:C327654 A196585:C262118 A131049:C196582 A65513:C131046 A7:C65510" xr:uid="{00000000-0002-0000-0300-000000000000}">
      <formula1>25</formula1>
    </dataValidation>
    <dataValidation type="textLength" operator="lessThanOrEqual" allowBlank="1" showInputMessage="1" showErrorMessage="1" errorTitle="FactelExcel" error="Debe ingresar un valor correcto para la Descripcion de Productos" sqref="F131049:F196582 F196585:F262118 F262121:F327654 F327657:F393190 F393193:F458726 F458729:F524262 F524265:F589798 F589801:F655334 F655337:F720870 F720873:F786406 F786409:F851942 F851945:F917478 F917481:F983014 F983017:F1048576 J65513:J131046 J131049:J196582 J196585:J262118 J262121:J327654 J327657:J393190 J393193:J458726 J458729:J524262 J524265:J589798 J589801:J655334 J655337:J720870 J720873:J786406 J786409:J851942 J851945:J917478 J917481:J983014 J983017:J1048576 M917481:M983014 M851945:M917478 M786409:M851942 M720873:M786406 M655337:M720870 M589801:M655334 M524265:M589798 M458729:M524262 M393193:M458726 M327657:M393190 M262121:M327654 M196585:M262118 M131049:M196582 M65513:M131046 M983017:M1048576 D983017:D1048576 D917481:D983014 D851945:D917478 D786409:D851942 D720873:D786406 D655337:D720870 D589801:D655334 D524265:D589798 D458729:D524262 D393193:D458726 D327657:D393190 D262121:D327654 D196585:D262118 D131049:D196582 D65513:D131046 F65513:F131046 D7:D65510 J7:J65510 M7:M65510 F7:F65510" xr:uid="{00000000-0002-0000-0300-000001000000}">
      <formula1>300</formula1>
    </dataValidation>
    <dataValidation allowBlank="1" showInputMessage="1" showErrorMessage="1" errorTitle="Contribuyentes" error="Tiene que ingresar el código de Identificación (1-2-3)" sqref="A524264:C524264 A65512:C65512 E6 A983016:C983016 A458728:C458728 A917480:C917480 A196584:C196584 A851944:C851944 A393192:C393192 A786408:C786408 B6:C6 A720872:C720872 A327656:C327656 A655336:C655336 A131048:C131048 A589800:C589800 A262120:C262120" xr:uid="{00000000-0002-0000-0300-000002000000}"/>
    <dataValidation type="list" allowBlank="1" showInputMessage="1" showErrorMessage="1" sqref="I7:I1048576" xr:uid="{00000000-0002-0000-0300-000003000000}">
      <formula1>"0%,GRAVABLE,No Objeto IVA,EXENTO"</formula1>
    </dataValidation>
    <dataValidation type="list" allowBlank="1" showInputMessage="1" showErrorMessage="1" sqref="K7:K1048576" xr:uid="{00000000-0002-0000-0300-000004000000}">
      <formula1>tbICEs2</formula1>
    </dataValidation>
    <dataValidation type="list" operator="lessThanOrEqual" allowBlank="1" showInputMessage="1" errorTitle="FactelExcel" error="Debe ingresar un valor correcto para la Descripcion de Productos" sqref="L7:L1048576" xr:uid="{00000000-0002-0000-0300-000005000000}">
      <formula1>tbIBPs2</formula1>
    </dataValidation>
    <dataValidation type="list" allowBlank="1" showInputMessage="1" showErrorMessage="1" sqref="E7:E1048576" xr:uid="{00000000-0002-0000-0300-000006000000}">
      <formula1>"GENERAL,CONSTRUCCION-REBAJA,TURISMO-REBAJA"</formula1>
    </dataValidation>
  </dataValidations>
  <pageMargins left="0.75" right="0.75" top="0.39370078740157483" bottom="0.39370078740157483" header="0" footer="0"/>
  <pageSetup paperSize="9" scale="5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9">
    <tabColor theme="0" tint="-0.499984740745262"/>
    <pageSetUpPr fitToPage="1"/>
  </sheetPr>
  <dimension ref="A1:M7"/>
  <sheetViews>
    <sheetView showGridLines="0" zoomScaleNormal="100" workbookViewId="0">
      <pane ySplit="6" topLeftCell="A7" activePane="bottomLeft" state="frozen"/>
      <selection activeCell="A7" sqref="A7"/>
      <selection pane="bottomLeft" activeCell="A7" sqref="A7"/>
    </sheetView>
  </sheetViews>
  <sheetFormatPr baseColWidth="10" defaultColWidth="9.08984375" defaultRowHeight="11.5" outlineLevelCol="1" x14ac:dyDescent="0.25"/>
  <cols>
    <col min="1" max="1" width="10.6328125" style="507" customWidth="1"/>
    <col min="2" max="2" width="15.90625" style="507" customWidth="1"/>
    <col min="3" max="3" width="16.6328125" style="513" customWidth="1"/>
    <col min="4" max="4" width="35.36328125" style="507" customWidth="1"/>
    <col min="5" max="5" width="43.90625" style="507" customWidth="1"/>
    <col min="6" max="6" width="16.36328125" style="504" customWidth="1"/>
    <col min="7" max="7" width="12.08984375" style="505" customWidth="1"/>
    <col min="8" max="8" width="10.90625" style="507" customWidth="1"/>
    <col min="9" max="9" width="23.6328125" style="507" customWidth="1"/>
    <col min="10" max="10" width="10.90625" style="507" hidden="1" customWidth="1" outlineLevel="1"/>
    <col min="11" max="11" width="14.6328125" style="511" hidden="1" customWidth="1" outlineLevel="1"/>
    <col min="12" max="12" width="10.90625" style="507" hidden="1" customWidth="1" outlineLevel="1"/>
    <col min="13" max="13" width="9.08984375" style="504" collapsed="1"/>
    <col min="14" max="16384" width="9.08984375" style="504"/>
  </cols>
  <sheetData>
    <row r="1" spans="1:13" s="518" customFormat="1" ht="21.65" customHeight="1" thickBot="1" x14ac:dyDescent="0.45">
      <c r="A1" s="466" t="s">
        <v>1542</v>
      </c>
      <c r="B1" s="657"/>
      <c r="C1" s="466"/>
      <c r="D1" s="514"/>
      <c r="E1" s="514"/>
      <c r="F1" s="515"/>
      <c r="G1" s="516"/>
      <c r="H1" s="517"/>
      <c r="I1" s="517"/>
      <c r="J1" s="517"/>
      <c r="K1" s="658"/>
      <c r="L1" s="517"/>
      <c r="M1" s="516"/>
    </row>
    <row r="2" spans="1:13" s="500" customFormat="1" ht="21.65" hidden="1" customHeight="1" x14ac:dyDescent="0.25">
      <c r="A2" s="491"/>
      <c r="B2" s="656"/>
      <c r="C2" s="491"/>
      <c r="D2" s="493"/>
      <c r="E2" s="493"/>
      <c r="F2" s="494"/>
      <c r="G2" s="497"/>
      <c r="H2" s="495"/>
      <c r="I2" s="495"/>
      <c r="J2" s="495"/>
      <c r="K2" s="659"/>
      <c r="L2" s="495"/>
      <c r="M2" s="497"/>
    </row>
    <row r="3" spans="1:13" s="500" customFormat="1" ht="21.65" hidden="1" customHeight="1" x14ac:dyDescent="0.25">
      <c r="A3" s="491"/>
      <c r="B3" s="656"/>
      <c r="C3" s="491"/>
      <c r="D3" s="493"/>
      <c r="E3" s="493"/>
      <c r="F3" s="494"/>
      <c r="G3" s="497"/>
      <c r="H3" s="495"/>
      <c r="I3" s="495"/>
      <c r="J3" s="495"/>
      <c r="K3" s="659"/>
      <c r="L3" s="495"/>
      <c r="M3" s="497"/>
    </row>
    <row r="4" spans="1:13" s="500" customFormat="1" ht="21.65" hidden="1" customHeight="1" x14ac:dyDescent="0.25">
      <c r="A4" s="491"/>
      <c r="B4" s="656"/>
      <c r="C4" s="491"/>
      <c r="D4" s="493"/>
      <c r="E4" s="493"/>
      <c r="F4" s="494"/>
      <c r="G4" s="497"/>
      <c r="H4" s="495"/>
      <c r="I4" s="495"/>
      <c r="J4" s="495"/>
      <c r="K4" s="659"/>
      <c r="L4" s="495"/>
      <c r="M4" s="497"/>
    </row>
    <row r="5" spans="1:13" s="500" customFormat="1" ht="21.65" hidden="1" customHeight="1" thickBot="1" x14ac:dyDescent="0.3">
      <c r="A5" s="491"/>
      <c r="B5" s="656"/>
      <c r="C5" s="491"/>
      <c r="D5" s="493"/>
      <c r="E5" s="493"/>
      <c r="F5" s="494"/>
      <c r="G5" s="497"/>
      <c r="H5" s="495"/>
      <c r="I5" s="495"/>
      <c r="J5" s="495"/>
      <c r="K5" s="659"/>
      <c r="L5" s="495"/>
      <c r="M5" s="497"/>
    </row>
    <row r="6" spans="1:13" s="520" customFormat="1" ht="30" customHeight="1" x14ac:dyDescent="0.35">
      <c r="A6" s="521" t="s">
        <v>1761</v>
      </c>
      <c r="B6" s="521" t="s">
        <v>679</v>
      </c>
      <c r="C6" s="519" t="s">
        <v>1541</v>
      </c>
      <c r="D6" s="521" t="s">
        <v>1540</v>
      </c>
      <c r="E6" s="521" t="s">
        <v>1539</v>
      </c>
      <c r="F6" s="519" t="s">
        <v>682</v>
      </c>
      <c r="G6" s="519" t="s">
        <v>683</v>
      </c>
      <c r="H6" s="521" t="s">
        <v>1538</v>
      </c>
      <c r="I6" s="521" t="s">
        <v>1537</v>
      </c>
      <c r="J6" s="521" t="s">
        <v>1786</v>
      </c>
      <c r="K6" s="521" t="s">
        <v>1536</v>
      </c>
      <c r="L6" s="521" t="s">
        <v>1669</v>
      </c>
    </row>
    <row r="7" spans="1:13" ht="14.5" x14ac:dyDescent="0.35">
      <c r="A7" s="502" t="s">
        <v>2128</v>
      </c>
      <c r="B7" s="502" t="s">
        <v>1787</v>
      </c>
      <c r="C7" s="434" t="s">
        <v>1788</v>
      </c>
      <c r="D7" s="502" t="s">
        <v>1535</v>
      </c>
      <c r="E7" s="502" t="s">
        <v>1579</v>
      </c>
      <c r="F7" s="501" t="s">
        <v>1789</v>
      </c>
      <c r="G7" s="528" t="s">
        <v>744</v>
      </c>
      <c r="H7" s="502" t="s">
        <v>1579</v>
      </c>
      <c r="I7" s="660" t="s">
        <v>1579</v>
      </c>
      <c r="J7" s="908"/>
      <c r="K7" s="909" t="s">
        <v>1754</v>
      </c>
      <c r="L7" s="908"/>
    </row>
  </sheetData>
  <autoFilter ref="A6:M19" xr:uid="{00000000-0009-0000-0000-000004000000}"/>
  <phoneticPr fontId="55" type="noConversion"/>
  <conditionalFormatting sqref="C7">
    <cfRule type="expression" dxfId="17" priority="1">
      <formula>ROW()=RowVEN</formula>
    </cfRule>
  </conditionalFormatting>
  <dataValidations count="6">
    <dataValidation type="textLength" operator="lessThanOrEqual" allowBlank="1" showInputMessage="1" showErrorMessage="1" errorTitle="FactelExcel" error="Debe ingresar un valor correcto para esta celda" sqref="D7:E7" xr:uid="{00000000-0002-0000-0400-000000000000}">
      <formula1>300</formula1>
    </dataValidation>
    <dataValidation type="textLength" operator="lessThanOrEqual" allowBlank="1" showInputMessage="1" showErrorMessage="1" errorTitle="FactelExcel" error="Debe ingresar un valor correcto para el Numero de Identificacion" sqref="B7 A7" xr:uid="{00000000-0002-0000-0400-000001000000}">
      <formula1>20</formula1>
    </dataValidation>
    <dataValidation type="list" operator="lessThanOrEqual" allowBlank="1" showInputMessage="1" showErrorMessage="1" errorTitle="FactelExcel" error="Debe ingresar un valor correcto para esta celda" sqref="F7:F1048576" xr:uid="{00000000-0002-0000-0400-000002000000}">
      <formula1>"01-Persona Natural,02-Sociedad"</formula1>
    </dataValidation>
    <dataValidation type="list" operator="lessThanOrEqual" allowBlank="1" showInputMessage="1" showErrorMessage="1" errorTitle="FactelExcel" error="Debe ingresar un valor correcto para esta celda" sqref="G7:G1048576" xr:uid="{00000000-0002-0000-0400-000003000000}">
      <formula1>"SI,NO"</formula1>
    </dataValidation>
    <dataValidation type="list" allowBlank="1" showInputMessage="1" showErrorMessage="1" sqref="K7:K1048576" xr:uid="{00000000-0002-0000-0400-000004000000}">
      <formula1>"AMBOS,CLIENTE,PROVEEDOR"</formula1>
    </dataValidation>
    <dataValidation type="list" allowBlank="1" showInputMessage="1" showErrorMessage="1" sqref="C7:C1048576" xr:uid="{00000000-0002-0000-0400-000005000000}">
      <formula1>"R-Ruc,C-Cédula,F-Consumidor Final,P-Pasaporte,E-ID Exterior,M-Placa/RAMV/CPN"</formula1>
    </dataValidation>
  </dataValidations>
  <pageMargins left="0.75" right="0.75" top="0.39370078740157483" bottom="0.39370078740157483" header="0" footer="0"/>
  <pageSetup paperSize="9" scale="59" orientation="landscape"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1"/>
  <dimension ref="A1:U1173"/>
  <sheetViews>
    <sheetView showGridLines="0" showRowColHeaders="0" topLeftCell="A972" zoomScaleNormal="100" workbookViewId="0">
      <selection activeCell="D1171" sqref="D1171"/>
    </sheetView>
  </sheetViews>
  <sheetFormatPr baseColWidth="10" defaultColWidth="10.90625" defaultRowHeight="14.5" outlineLevelRow="1" x14ac:dyDescent="0.35"/>
  <cols>
    <col min="1" max="1" width="1.54296875" style="1" customWidth="1"/>
    <col min="2" max="2" width="1.08984375" style="1" customWidth="1"/>
    <col min="3" max="3" width="31.453125" style="1" customWidth="1"/>
    <col min="4" max="4" width="18.54296875" style="1" customWidth="1"/>
    <col min="5" max="9" width="16" style="1" customWidth="1"/>
    <col min="10" max="10" width="16.54296875" style="1" customWidth="1"/>
    <col min="11" max="11" width="6.08984375" style="2" hidden="1" customWidth="1"/>
    <col min="12" max="12" width="3.36328125" style="1" customWidth="1"/>
    <col min="13" max="13" width="1.54296875" style="1" customWidth="1"/>
    <col min="14" max="14" width="13" style="1" customWidth="1"/>
    <col min="15" max="15" width="13.08984375" style="1" customWidth="1"/>
    <col min="16" max="16" width="11.08984375" style="1" bestFit="1" customWidth="1"/>
    <col min="17" max="17" width="10.90625" style="1"/>
    <col min="18" max="18" width="4" style="1" customWidth="1"/>
    <col min="19" max="19" width="10.90625" style="779"/>
    <col min="20" max="16384" width="10.90625" style="1"/>
  </cols>
  <sheetData>
    <row r="1" spans="2:21" ht="3.65" customHeight="1" thickBot="1" x14ac:dyDescent="0.4">
      <c r="B1" s="2"/>
    </row>
    <row r="2" spans="2:21" ht="30.9" customHeight="1" thickBot="1" x14ac:dyDescent="0.4">
      <c r="B2" s="524"/>
      <c r="C2" s="525" t="s">
        <v>1583</v>
      </c>
      <c r="D2" s="525"/>
      <c r="E2" s="525"/>
      <c r="F2" s="525"/>
      <c r="G2" s="525"/>
      <c r="H2" s="525"/>
      <c r="I2" s="525"/>
      <c r="J2" s="525"/>
      <c r="K2" s="527"/>
      <c r="L2" s="526"/>
      <c r="N2" s="950" t="s">
        <v>2188</v>
      </c>
      <c r="O2" s="951"/>
      <c r="P2" s="951"/>
      <c r="Q2" s="952"/>
      <c r="S2" s="950" t="s">
        <v>2189</v>
      </c>
      <c r="T2" s="951"/>
      <c r="U2" s="952"/>
    </row>
    <row r="3" spans="2:21" s="467" customFormat="1" ht="10.5" customHeight="1" thickTop="1" thickBot="1" x14ac:dyDescent="0.4">
      <c r="B3" s="767"/>
      <c r="C3" s="753"/>
      <c r="D3" s="662"/>
      <c r="E3" s="662"/>
      <c r="F3" s="662"/>
      <c r="G3" s="687"/>
      <c r="H3" s="687"/>
      <c r="I3" s="687"/>
      <c r="J3" s="689"/>
      <c r="K3" s="690"/>
      <c r="L3" s="691"/>
      <c r="N3" s="953" t="s">
        <v>2431</v>
      </c>
      <c r="O3" s="954"/>
      <c r="P3" s="954"/>
      <c r="Q3" s="955"/>
      <c r="S3" s="953" t="s">
        <v>2431</v>
      </c>
      <c r="T3" s="954"/>
      <c r="U3" s="955"/>
    </row>
    <row r="4" spans="2:21" s="467" customFormat="1" ht="15" customHeight="1" thickTop="1" thickBot="1" x14ac:dyDescent="0.4">
      <c r="B4" s="759" t="s">
        <v>1607</v>
      </c>
      <c r="C4" s="677" t="s">
        <v>1</v>
      </c>
      <c r="D4" s="663" t="s">
        <v>2439</v>
      </c>
      <c r="E4" s="663"/>
      <c r="F4" s="663"/>
      <c r="G4" s="684" t="s">
        <v>2</v>
      </c>
      <c r="H4" s="684"/>
      <c r="I4" s="684"/>
      <c r="J4" s="677"/>
      <c r="K4" s="692" t="s">
        <v>1811</v>
      </c>
      <c r="L4" s="693"/>
      <c r="N4" s="694" t="s">
        <v>1979</v>
      </c>
      <c r="O4" s="694" t="s">
        <v>1980</v>
      </c>
      <c r="P4" s="694" t="s">
        <v>2132</v>
      </c>
      <c r="Q4" s="694" t="s">
        <v>1981</v>
      </c>
      <c r="S4" s="694" t="s">
        <v>1979</v>
      </c>
      <c r="T4" s="694" t="s">
        <v>1980</v>
      </c>
      <c r="U4" s="694" t="s">
        <v>2190</v>
      </c>
    </row>
    <row r="5" spans="2:21" s="467" customFormat="1" ht="15" customHeight="1" thickTop="1" x14ac:dyDescent="0.35">
      <c r="B5" s="759" t="s">
        <v>1602</v>
      </c>
      <c r="C5" s="677" t="s">
        <v>3</v>
      </c>
      <c r="D5" s="663" t="s">
        <v>2454</v>
      </c>
      <c r="E5" s="663"/>
      <c r="F5" s="663"/>
      <c r="G5" s="684" t="s">
        <v>2</v>
      </c>
      <c r="H5" s="684"/>
      <c r="I5" s="684"/>
      <c r="J5" s="677"/>
      <c r="K5" s="692" t="s">
        <v>1811</v>
      </c>
      <c r="L5" s="693"/>
      <c r="N5" s="559">
        <v>0</v>
      </c>
      <c r="O5" s="560">
        <v>20000</v>
      </c>
      <c r="P5" s="560">
        <v>0</v>
      </c>
      <c r="Q5" s="561">
        <v>0</v>
      </c>
      <c r="S5" s="789">
        <v>0</v>
      </c>
      <c r="T5" s="790">
        <v>2500</v>
      </c>
      <c r="U5" s="791">
        <v>0</v>
      </c>
    </row>
    <row r="6" spans="2:21" s="467" customFormat="1" ht="15" customHeight="1" x14ac:dyDescent="0.35">
      <c r="B6" s="759" t="s">
        <v>1603</v>
      </c>
      <c r="C6" s="677" t="s">
        <v>4</v>
      </c>
      <c r="D6" s="663" t="s">
        <v>2454</v>
      </c>
      <c r="E6" s="663"/>
      <c r="F6" s="663"/>
      <c r="G6" s="684" t="s">
        <v>2</v>
      </c>
      <c r="H6" s="684"/>
      <c r="I6" s="684"/>
      <c r="J6" s="677"/>
      <c r="K6" s="692" t="s">
        <v>1811</v>
      </c>
      <c r="L6" s="693"/>
      <c r="N6" s="562">
        <f>O5+0.01</f>
        <v>20000.009999999998</v>
      </c>
      <c r="O6" s="563">
        <v>50000</v>
      </c>
      <c r="P6" s="563">
        <v>60</v>
      </c>
      <c r="Q6" s="564">
        <v>0.01</v>
      </c>
      <c r="S6" s="562">
        <f>T5+0.01</f>
        <v>2500.0100000000002</v>
      </c>
      <c r="T6" s="563">
        <v>5000</v>
      </c>
      <c r="U6" s="792">
        <v>5</v>
      </c>
    </row>
    <row r="7" spans="2:21" s="467" customFormat="1" ht="15" customHeight="1" x14ac:dyDescent="0.35">
      <c r="B7" s="759" t="s">
        <v>1604</v>
      </c>
      <c r="C7" s="677" t="s">
        <v>5</v>
      </c>
      <c r="D7" s="663" t="s">
        <v>2439</v>
      </c>
      <c r="E7" s="663"/>
      <c r="F7" s="663"/>
      <c r="G7" s="684" t="s">
        <v>2</v>
      </c>
      <c r="H7" s="684"/>
      <c r="I7" s="684"/>
      <c r="J7" s="677"/>
      <c r="K7" s="692" t="s">
        <v>1811</v>
      </c>
      <c r="L7" s="693"/>
      <c r="N7" s="562">
        <f t="shared" ref="N7:N10" si="0">O6+0.01</f>
        <v>50000.01</v>
      </c>
      <c r="O7" s="563">
        <f>+O6+25000</f>
        <v>75000</v>
      </c>
      <c r="P7" s="563">
        <v>360</v>
      </c>
      <c r="Q7" s="564">
        <v>1.2500000000000001E-2</v>
      </c>
      <c r="S7" s="562">
        <f t="shared" ref="S7:S9" si="1">T6+0.01</f>
        <v>5000.01</v>
      </c>
      <c r="T7" s="563">
        <v>10000</v>
      </c>
      <c r="U7" s="792">
        <v>15</v>
      </c>
    </row>
    <row r="8" spans="2:21" s="467" customFormat="1" ht="15" customHeight="1" x14ac:dyDescent="0.35">
      <c r="B8" s="759" t="s">
        <v>1605</v>
      </c>
      <c r="C8" s="677" t="s">
        <v>6</v>
      </c>
      <c r="D8" s="663" t="s">
        <v>2433</v>
      </c>
      <c r="E8" s="663"/>
      <c r="F8" s="663"/>
      <c r="G8" s="684" t="s">
        <v>2</v>
      </c>
      <c r="H8" s="684"/>
      <c r="I8" s="684"/>
      <c r="J8" s="677"/>
      <c r="K8" s="692" t="s">
        <v>1811</v>
      </c>
      <c r="L8" s="693"/>
      <c r="N8" s="562">
        <f t="shared" si="0"/>
        <v>75000.009999999995</v>
      </c>
      <c r="O8" s="563">
        <f t="shared" ref="O8" si="2">+O7+25000</f>
        <v>100000</v>
      </c>
      <c r="P8" s="563">
        <v>672.5</v>
      </c>
      <c r="Q8" s="564">
        <v>1.4999999999999999E-2</v>
      </c>
      <c r="S8" s="562">
        <f t="shared" si="1"/>
        <v>10000.01</v>
      </c>
      <c r="T8" s="563">
        <v>15000</v>
      </c>
      <c r="U8" s="792">
        <v>35</v>
      </c>
    </row>
    <row r="9" spans="2:21" s="467" customFormat="1" ht="15" customHeight="1" x14ac:dyDescent="0.35">
      <c r="B9" s="759" t="s">
        <v>1606</v>
      </c>
      <c r="C9" s="677" t="s">
        <v>7</v>
      </c>
      <c r="D9" s="663" t="s">
        <v>2432</v>
      </c>
      <c r="E9" s="663"/>
      <c r="F9" s="663"/>
      <c r="G9" s="684" t="s">
        <v>2</v>
      </c>
      <c r="H9" s="684"/>
      <c r="I9" s="684"/>
      <c r="J9" s="677"/>
      <c r="K9" s="692" t="s">
        <v>1811</v>
      </c>
      <c r="L9" s="693"/>
      <c r="N9" s="562">
        <f t="shared" si="0"/>
        <v>100000.01</v>
      </c>
      <c r="O9" s="563">
        <v>200000</v>
      </c>
      <c r="P9" s="563">
        <v>1047.5</v>
      </c>
      <c r="Q9" s="564">
        <v>1.7500000000000002E-2</v>
      </c>
      <c r="S9" s="562">
        <f t="shared" si="1"/>
        <v>15000.01</v>
      </c>
      <c r="T9" s="563">
        <v>20000</v>
      </c>
      <c r="U9" s="792">
        <v>60</v>
      </c>
    </row>
    <row r="10" spans="2:21" s="467" customFormat="1" ht="15" customHeight="1" x14ac:dyDescent="0.35">
      <c r="B10" s="759" t="s">
        <v>1608</v>
      </c>
      <c r="C10" s="677" t="s">
        <v>1089</v>
      </c>
      <c r="D10" s="663" t="s">
        <v>8</v>
      </c>
      <c r="E10" s="663"/>
      <c r="F10" s="663"/>
      <c r="G10" s="684" t="s">
        <v>1094</v>
      </c>
      <c r="H10" s="684"/>
      <c r="I10" s="684"/>
      <c r="J10" s="677"/>
      <c r="K10" s="692" t="s">
        <v>1811</v>
      </c>
      <c r="L10" s="693"/>
      <c r="N10" s="562">
        <f t="shared" si="0"/>
        <v>200000.01</v>
      </c>
      <c r="O10" s="563">
        <v>300000</v>
      </c>
      <c r="P10" s="563">
        <v>2797.52</v>
      </c>
      <c r="Q10" s="564">
        <v>0.02</v>
      </c>
      <c r="S10" s="780"/>
    </row>
    <row r="11" spans="2:21" s="467" customFormat="1" ht="15" customHeight="1" x14ac:dyDescent="0.35">
      <c r="B11" s="759" t="s">
        <v>1609</v>
      </c>
      <c r="C11" s="677" t="s">
        <v>1090</v>
      </c>
      <c r="D11" s="663"/>
      <c r="E11" s="663"/>
      <c r="F11" s="663"/>
      <c r="G11" s="684" t="s">
        <v>1095</v>
      </c>
      <c r="H11" s="684"/>
      <c r="I11" s="684"/>
      <c r="J11" s="677"/>
      <c r="K11" s="692" t="s">
        <v>1911</v>
      </c>
      <c r="L11" s="693"/>
      <c r="S11" s="780"/>
    </row>
    <row r="12" spans="2:21" s="467" customFormat="1" ht="15" customHeight="1" x14ac:dyDescent="0.35">
      <c r="B12" s="759" t="s">
        <v>1610</v>
      </c>
      <c r="C12" s="677" t="s">
        <v>1091</v>
      </c>
      <c r="D12" s="663"/>
      <c r="E12" s="663"/>
      <c r="F12" s="663"/>
      <c r="G12" s="684" t="s">
        <v>1096</v>
      </c>
      <c r="H12" s="684"/>
      <c r="I12" s="684"/>
      <c r="J12" s="677"/>
      <c r="K12" s="692" t="s">
        <v>1911</v>
      </c>
      <c r="L12" s="693"/>
      <c r="S12" s="780"/>
    </row>
    <row r="13" spans="2:21" s="467" customFormat="1" ht="15" hidden="1" customHeight="1" outlineLevel="1" x14ac:dyDescent="0.35">
      <c r="B13" s="759" t="s">
        <v>1611</v>
      </c>
      <c r="C13" s="677" t="s">
        <v>1092</v>
      </c>
      <c r="D13" s="663"/>
      <c r="E13" s="663"/>
      <c r="F13" s="663"/>
      <c r="G13" s="684" t="s">
        <v>1097</v>
      </c>
      <c r="H13" s="684"/>
      <c r="I13" s="684"/>
      <c r="J13" s="677"/>
      <c r="K13" s="692" t="s">
        <v>1911</v>
      </c>
      <c r="L13" s="693"/>
      <c r="S13" s="780"/>
    </row>
    <row r="14" spans="2:21" s="467" customFormat="1" ht="15" hidden="1" customHeight="1" outlineLevel="1" x14ac:dyDescent="0.35">
      <c r="B14" s="759" t="s">
        <v>1612</v>
      </c>
      <c r="C14" s="677" t="s">
        <v>1093</v>
      </c>
      <c r="D14" s="663"/>
      <c r="E14" s="663"/>
      <c r="F14" s="663"/>
      <c r="G14" s="684" t="s">
        <v>1098</v>
      </c>
      <c r="H14" s="684"/>
      <c r="I14" s="684"/>
      <c r="J14" s="677"/>
      <c r="K14" s="692" t="s">
        <v>1911</v>
      </c>
      <c r="L14" s="693"/>
      <c r="S14" s="780"/>
    </row>
    <row r="15" spans="2:21" s="467" customFormat="1" ht="15" hidden="1" customHeight="1" outlineLevel="1" x14ac:dyDescent="0.35">
      <c r="B15" s="759" t="s">
        <v>1613</v>
      </c>
      <c r="C15" s="677" t="s">
        <v>1170</v>
      </c>
      <c r="D15" s="663"/>
      <c r="E15" s="663"/>
      <c r="F15" s="663"/>
      <c r="G15" s="684" t="s">
        <v>1175</v>
      </c>
      <c r="H15" s="684"/>
      <c r="I15" s="684"/>
      <c r="J15" s="677"/>
      <c r="K15" s="692" t="s">
        <v>1911</v>
      </c>
      <c r="L15" s="693"/>
      <c r="S15" s="780"/>
    </row>
    <row r="16" spans="2:21" s="467" customFormat="1" ht="15" hidden="1" customHeight="1" outlineLevel="1" x14ac:dyDescent="0.35">
      <c r="B16" s="759" t="s">
        <v>1614</v>
      </c>
      <c r="C16" s="677" t="s">
        <v>1171</v>
      </c>
      <c r="D16" s="663"/>
      <c r="E16" s="663"/>
      <c r="F16" s="663"/>
      <c r="G16" s="684" t="s">
        <v>1176</v>
      </c>
      <c r="H16" s="684"/>
      <c r="I16" s="684"/>
      <c r="J16" s="677"/>
      <c r="K16" s="692" t="s">
        <v>1911</v>
      </c>
      <c r="L16" s="693"/>
      <c r="S16" s="780"/>
    </row>
    <row r="17" spans="2:19" s="467" customFormat="1" ht="15" hidden="1" customHeight="1" outlineLevel="1" x14ac:dyDescent="0.35">
      <c r="B17" s="759" t="s">
        <v>1615</v>
      </c>
      <c r="C17" s="677" t="s">
        <v>1172</v>
      </c>
      <c r="D17" s="663"/>
      <c r="E17" s="663"/>
      <c r="F17" s="663"/>
      <c r="G17" s="684" t="s">
        <v>1177</v>
      </c>
      <c r="H17" s="684"/>
      <c r="I17" s="684"/>
      <c r="J17" s="677"/>
      <c r="K17" s="692" t="s">
        <v>1911</v>
      </c>
      <c r="L17" s="693"/>
      <c r="S17" s="780"/>
    </row>
    <row r="18" spans="2:19" s="467" customFormat="1" ht="15" hidden="1" customHeight="1" outlineLevel="1" x14ac:dyDescent="0.35">
      <c r="B18" s="759" t="s">
        <v>1616</v>
      </c>
      <c r="C18" s="677" t="s">
        <v>1173</v>
      </c>
      <c r="D18" s="663"/>
      <c r="E18" s="663"/>
      <c r="F18" s="663"/>
      <c r="G18" s="684" t="s">
        <v>1178</v>
      </c>
      <c r="H18" s="684"/>
      <c r="I18" s="684"/>
      <c r="J18" s="677"/>
      <c r="K18" s="692" t="s">
        <v>1911</v>
      </c>
      <c r="L18" s="693"/>
      <c r="S18" s="780"/>
    </row>
    <row r="19" spans="2:19" s="467" customFormat="1" ht="15" hidden="1" customHeight="1" outlineLevel="1" x14ac:dyDescent="0.35">
      <c r="B19" s="759" t="s">
        <v>1617</v>
      </c>
      <c r="C19" s="677" t="s">
        <v>1174</v>
      </c>
      <c r="D19" s="663"/>
      <c r="E19" s="663"/>
      <c r="F19" s="663"/>
      <c r="G19" s="684" t="s">
        <v>1179</v>
      </c>
      <c r="H19" s="684"/>
      <c r="I19" s="684"/>
      <c r="J19" s="677"/>
      <c r="K19" s="692" t="s">
        <v>1911</v>
      </c>
      <c r="L19" s="693"/>
      <c r="S19" s="780"/>
    </row>
    <row r="20" spans="2:19" s="467" customFormat="1" ht="15" customHeight="1" collapsed="1" x14ac:dyDescent="0.35">
      <c r="B20" s="759" t="s">
        <v>1618</v>
      </c>
      <c r="C20" s="677" t="s">
        <v>1280</v>
      </c>
      <c r="D20" s="667">
        <v>2026</v>
      </c>
      <c r="E20" s="667"/>
      <c r="F20" s="667"/>
      <c r="G20" s="685" t="s">
        <v>2</v>
      </c>
      <c r="H20" s="685"/>
      <c r="I20" s="685"/>
      <c r="J20" s="677"/>
      <c r="K20" s="692" t="s">
        <v>1811</v>
      </c>
      <c r="L20" s="693"/>
      <c r="S20" s="780"/>
    </row>
    <row r="21" spans="2:19" s="467" customFormat="1" ht="15" customHeight="1" x14ac:dyDescent="0.35">
      <c r="B21" s="759" t="s">
        <v>2093</v>
      </c>
      <c r="C21" s="677" t="s">
        <v>2094</v>
      </c>
      <c r="D21" s="667" t="s">
        <v>2095</v>
      </c>
      <c r="E21" s="663"/>
      <c r="F21" s="663"/>
      <c r="G21" s="685" t="s">
        <v>2</v>
      </c>
      <c r="H21" s="684"/>
      <c r="I21" s="684"/>
      <c r="J21" s="677"/>
      <c r="K21" s="692" t="s">
        <v>1811</v>
      </c>
      <c r="L21" s="693"/>
      <c r="S21" s="780"/>
    </row>
    <row r="22" spans="2:19" s="467" customFormat="1" ht="6" customHeight="1" x14ac:dyDescent="0.35">
      <c r="B22" s="759"/>
      <c r="C22" s="677"/>
      <c r="D22" s="663"/>
      <c r="E22" s="663"/>
      <c r="F22" s="663"/>
      <c r="G22" s="684"/>
      <c r="H22" s="684"/>
      <c r="I22" s="684"/>
      <c r="J22" s="677"/>
      <c r="K22" s="692"/>
      <c r="L22" s="693"/>
      <c r="S22" s="780"/>
    </row>
    <row r="23" spans="2:19" x14ac:dyDescent="0.35">
      <c r="B23" s="672"/>
      <c r="C23" s="754" t="s">
        <v>1586</v>
      </c>
      <c r="D23" s="673"/>
      <c r="E23" s="673"/>
      <c r="F23" s="673"/>
      <c r="G23" s="686"/>
      <c r="H23" s="673"/>
      <c r="I23" s="673"/>
      <c r="J23" s="673"/>
      <c r="K23" s="703"/>
      <c r="L23" s="675"/>
    </row>
    <row r="24" spans="2:19" s="467" customFormat="1" ht="15" customHeight="1" x14ac:dyDescent="0.35">
      <c r="B24" s="759" t="s">
        <v>1623</v>
      </c>
      <c r="C24" s="677" t="s">
        <v>1585</v>
      </c>
      <c r="D24" s="669" t="s">
        <v>2160</v>
      </c>
      <c r="E24" s="669"/>
      <c r="F24" s="669"/>
      <c r="G24" s="682" t="s">
        <v>9</v>
      </c>
      <c r="H24" s="682"/>
      <c r="I24" s="682"/>
      <c r="J24" s="685"/>
      <c r="K24" s="692" t="s">
        <v>1811</v>
      </c>
      <c r="L24" s="695"/>
      <c r="M24" s="1"/>
      <c r="N24" s="1"/>
      <c r="O24" s="1"/>
      <c r="P24" s="1"/>
      <c r="Q24" s="1"/>
      <c r="R24" s="1"/>
      <c r="S24" s="780"/>
    </row>
    <row r="25" spans="2:19" s="467" customFormat="1" ht="15" customHeight="1" x14ac:dyDescent="0.35">
      <c r="B25" s="759" t="s">
        <v>1624</v>
      </c>
      <c r="C25" s="677" t="s">
        <v>1584</v>
      </c>
      <c r="D25" s="926" t="s">
        <v>2434</v>
      </c>
      <c r="E25" s="663"/>
      <c r="F25" s="663"/>
      <c r="G25" s="684" t="s">
        <v>10</v>
      </c>
      <c r="H25" s="684"/>
      <c r="I25" s="684"/>
      <c r="J25" s="685"/>
      <c r="K25" s="692" t="s">
        <v>1811</v>
      </c>
      <c r="L25" s="695"/>
      <c r="M25" s="1"/>
      <c r="N25" s="1"/>
      <c r="O25" s="1"/>
      <c r="P25" s="1"/>
      <c r="Q25" s="1"/>
      <c r="R25" s="1"/>
      <c r="S25" s="780"/>
    </row>
    <row r="26" spans="2:19" s="467" customFormat="1" ht="15" customHeight="1" x14ac:dyDescent="0.35">
      <c r="B26" s="759" t="s">
        <v>1625</v>
      </c>
      <c r="C26" s="677" t="s">
        <v>1587</v>
      </c>
      <c r="D26" s="663" t="s">
        <v>2435</v>
      </c>
      <c r="E26" s="663"/>
      <c r="F26" s="663"/>
      <c r="G26" s="684" t="s">
        <v>1620</v>
      </c>
      <c r="H26" s="684"/>
      <c r="I26" s="684"/>
      <c r="J26" s="685"/>
      <c r="K26" s="692" t="s">
        <v>1811</v>
      </c>
      <c r="L26" s="695"/>
      <c r="M26" s="1"/>
      <c r="N26" s="1"/>
      <c r="O26" s="1"/>
      <c r="P26" s="1"/>
      <c r="Q26" s="1"/>
      <c r="R26" s="1"/>
      <c r="S26" s="780"/>
    </row>
    <row r="27" spans="2:19" s="467" customFormat="1" ht="15" hidden="1" customHeight="1" outlineLevel="1" x14ac:dyDescent="0.35">
      <c r="B27" s="759" t="s">
        <v>1989</v>
      </c>
      <c r="C27" s="677" t="s">
        <v>1991</v>
      </c>
      <c r="D27" s="663"/>
      <c r="E27" s="663"/>
      <c r="F27" s="663"/>
      <c r="G27" s="684" t="s">
        <v>1996</v>
      </c>
      <c r="H27" s="684"/>
      <c r="I27" s="684"/>
      <c r="J27" s="685"/>
      <c r="K27" s="692" t="s">
        <v>1911</v>
      </c>
      <c r="L27" s="695"/>
      <c r="M27" s="1"/>
      <c r="N27" s="1"/>
      <c r="O27" s="1"/>
      <c r="P27" s="1"/>
      <c r="Q27" s="1"/>
      <c r="R27" s="1"/>
      <c r="S27" s="780"/>
    </row>
    <row r="28" spans="2:19" s="467" customFormat="1" ht="15" hidden="1" customHeight="1" outlineLevel="1" x14ac:dyDescent="0.35">
      <c r="B28" s="759" t="s">
        <v>1990</v>
      </c>
      <c r="C28" s="677" t="s">
        <v>1992</v>
      </c>
      <c r="D28" s="663"/>
      <c r="E28" s="663"/>
      <c r="F28" s="663"/>
      <c r="G28" s="684" t="s">
        <v>1995</v>
      </c>
      <c r="H28" s="684"/>
      <c r="I28" s="684"/>
      <c r="J28" s="685"/>
      <c r="K28" s="692" t="s">
        <v>1911</v>
      </c>
      <c r="L28" s="695"/>
      <c r="M28" s="1"/>
      <c r="N28" s="1"/>
      <c r="O28" s="1"/>
      <c r="P28" s="1"/>
      <c r="Q28" s="1"/>
      <c r="R28" s="1"/>
      <c r="S28" s="780"/>
    </row>
    <row r="29" spans="2:19" s="467" customFormat="1" ht="15" hidden="1" customHeight="1" outlineLevel="1" x14ac:dyDescent="0.35">
      <c r="B29" s="759" t="s">
        <v>1988</v>
      </c>
      <c r="C29" s="677" t="s">
        <v>1993</v>
      </c>
      <c r="D29" s="663"/>
      <c r="E29" s="663"/>
      <c r="F29" s="663"/>
      <c r="G29" s="684" t="s">
        <v>1994</v>
      </c>
      <c r="H29" s="684"/>
      <c r="I29" s="684"/>
      <c r="J29" s="685"/>
      <c r="K29" s="692" t="s">
        <v>1911</v>
      </c>
      <c r="L29" s="695"/>
      <c r="M29" s="1"/>
      <c r="N29" s="1"/>
      <c r="O29" s="1"/>
      <c r="P29" s="1"/>
      <c r="Q29" s="1"/>
      <c r="R29" s="1"/>
      <c r="S29" s="780"/>
    </row>
    <row r="30" spans="2:19" s="467" customFormat="1" ht="14.4" customHeight="1" collapsed="1" thickBot="1" x14ac:dyDescent="0.4">
      <c r="B30" s="763"/>
      <c r="C30" s="688"/>
      <c r="D30" s="670"/>
      <c r="E30" s="670"/>
      <c r="F30" s="670"/>
      <c r="G30" s="688"/>
      <c r="H30" s="688"/>
      <c r="I30" s="688"/>
      <c r="J30" s="696"/>
      <c r="K30" s="697"/>
      <c r="L30" s="698"/>
      <c r="M30" s="1"/>
      <c r="N30" s="1"/>
      <c r="O30" s="1"/>
      <c r="P30" s="1"/>
      <c r="Q30" s="1"/>
      <c r="R30" s="1"/>
      <c r="S30" s="780"/>
    </row>
    <row r="31" spans="2:19" s="467" customFormat="1" ht="15" customHeight="1" thickBot="1" x14ac:dyDescent="0.4">
      <c r="K31" s="468"/>
      <c r="S31" s="780"/>
    </row>
    <row r="32" spans="2:19" ht="23" thickBot="1" x14ac:dyDescent="0.4">
      <c r="B32" s="524"/>
      <c r="C32" s="525" t="s">
        <v>1588</v>
      </c>
      <c r="D32" s="525"/>
      <c r="E32" s="525"/>
      <c r="F32" s="525"/>
      <c r="G32" s="525"/>
      <c r="H32" s="525"/>
      <c r="I32" s="525"/>
      <c r="J32" s="525"/>
      <c r="K32" s="527"/>
      <c r="L32" s="526"/>
    </row>
    <row r="33" spans="2:19" s="467" customFormat="1" ht="6" customHeight="1" thickTop="1" x14ac:dyDescent="0.35">
      <c r="B33" s="759"/>
      <c r="C33" s="677"/>
      <c r="D33" s="667"/>
      <c r="E33" s="667"/>
      <c r="F33" s="667"/>
      <c r="G33" s="685"/>
      <c r="H33" s="685"/>
      <c r="I33" s="685"/>
      <c r="J33" s="685"/>
      <c r="K33" s="692"/>
      <c r="L33" s="695"/>
      <c r="S33" s="780"/>
    </row>
    <row r="34" spans="2:19" x14ac:dyDescent="0.35">
      <c r="B34" s="672"/>
      <c r="C34" s="754" t="s">
        <v>1589</v>
      </c>
      <c r="D34" s="673"/>
      <c r="E34" s="673"/>
      <c r="F34" s="673"/>
      <c r="G34" s="673"/>
      <c r="H34" s="673"/>
      <c r="I34" s="673"/>
      <c r="J34" s="673"/>
      <c r="K34" s="703"/>
      <c r="L34" s="675"/>
    </row>
    <row r="35" spans="2:19" s="467" customFormat="1" ht="15" customHeight="1" outlineLevel="1" x14ac:dyDescent="0.35">
      <c r="B35" s="759" t="s">
        <v>1626</v>
      </c>
      <c r="C35" s="677" t="s">
        <v>1570</v>
      </c>
      <c r="D35" s="669" t="s">
        <v>2454</v>
      </c>
      <c r="E35" s="669"/>
      <c r="F35" s="669"/>
      <c r="G35" s="682" t="s">
        <v>2</v>
      </c>
      <c r="H35" s="682"/>
      <c r="I35" s="682"/>
      <c r="J35" s="682"/>
      <c r="K35" s="704" t="s">
        <v>1911</v>
      </c>
      <c r="L35" s="699"/>
      <c r="S35" s="780"/>
    </row>
    <row r="36" spans="2:19" s="467" customFormat="1" ht="15" customHeight="1" outlineLevel="1" x14ac:dyDescent="0.35">
      <c r="B36" s="759" t="s">
        <v>1627</v>
      </c>
      <c r="C36" s="677" t="s">
        <v>1571</v>
      </c>
      <c r="D36" s="669" t="s">
        <v>2455</v>
      </c>
      <c r="E36" s="669"/>
      <c r="F36" s="669"/>
      <c r="G36" s="682" t="s">
        <v>2</v>
      </c>
      <c r="H36" s="682"/>
      <c r="I36" s="682"/>
      <c r="J36" s="682"/>
      <c r="K36" s="704" t="s">
        <v>1911</v>
      </c>
      <c r="L36" s="699"/>
      <c r="S36" s="780"/>
    </row>
    <row r="37" spans="2:19" s="467" customFormat="1" ht="15" customHeight="1" outlineLevel="1" x14ac:dyDescent="0.35">
      <c r="B37" s="759" t="s">
        <v>1628</v>
      </c>
      <c r="C37" s="677" t="s">
        <v>1572</v>
      </c>
      <c r="D37" s="669" t="s">
        <v>2456</v>
      </c>
      <c r="E37" s="669"/>
      <c r="F37" s="669"/>
      <c r="G37" s="682" t="s">
        <v>2</v>
      </c>
      <c r="H37" s="682"/>
      <c r="I37" s="682"/>
      <c r="J37" s="682"/>
      <c r="K37" s="704" t="s">
        <v>1911</v>
      </c>
      <c r="L37" s="699"/>
      <c r="S37" s="780"/>
    </row>
    <row r="38" spans="2:19" s="467" customFormat="1" ht="15" customHeight="1" outlineLevel="1" x14ac:dyDescent="0.35">
      <c r="B38" s="759" t="s">
        <v>1629</v>
      </c>
      <c r="C38" s="677" t="s">
        <v>1581</v>
      </c>
      <c r="D38" s="927" t="s">
        <v>2436</v>
      </c>
      <c r="E38" s="669"/>
      <c r="F38" s="669"/>
      <c r="G38" s="682" t="s">
        <v>2</v>
      </c>
      <c r="H38" s="682"/>
      <c r="I38" s="682"/>
      <c r="J38" s="682"/>
      <c r="K38" s="704" t="s">
        <v>1911</v>
      </c>
      <c r="L38" s="699"/>
      <c r="S38" s="780"/>
    </row>
    <row r="39" spans="2:19" s="467" customFormat="1" ht="15" customHeight="1" outlineLevel="1" x14ac:dyDescent="0.35">
      <c r="B39" s="759" t="s">
        <v>1876</v>
      </c>
      <c r="C39" s="677" t="s">
        <v>1875</v>
      </c>
      <c r="D39" s="669" t="s">
        <v>2133</v>
      </c>
      <c r="E39" s="669"/>
      <c r="F39" s="669"/>
      <c r="G39" s="682" t="s">
        <v>2</v>
      </c>
      <c r="H39" s="682"/>
      <c r="I39" s="682"/>
      <c r="J39" s="682"/>
      <c r="K39" s="704" t="s">
        <v>1911</v>
      </c>
      <c r="L39" s="699"/>
      <c r="S39" s="780"/>
    </row>
    <row r="40" spans="2:19" s="467" customFormat="1" ht="15" customHeight="1" outlineLevel="1" x14ac:dyDescent="0.35">
      <c r="B40" s="759" t="s">
        <v>1631</v>
      </c>
      <c r="C40" s="677" t="s">
        <v>1573</v>
      </c>
      <c r="D40" s="669"/>
      <c r="E40" s="669"/>
      <c r="F40" s="669"/>
      <c r="G40" s="682" t="s">
        <v>2</v>
      </c>
      <c r="H40" s="682"/>
      <c r="I40" s="682"/>
      <c r="J40" s="682"/>
      <c r="K40" s="704" t="s">
        <v>1911</v>
      </c>
      <c r="L40" s="699"/>
      <c r="S40" s="780"/>
    </row>
    <row r="41" spans="2:19" s="467" customFormat="1" ht="15" customHeight="1" outlineLevel="1" x14ac:dyDescent="0.35">
      <c r="B41" s="759" t="s">
        <v>1632</v>
      </c>
      <c r="C41" s="677" t="s">
        <v>1575</v>
      </c>
      <c r="D41" s="669"/>
      <c r="E41" s="669"/>
      <c r="F41" s="669"/>
      <c r="G41" s="682" t="s">
        <v>2</v>
      </c>
      <c r="H41" s="682"/>
      <c r="I41" s="682"/>
      <c r="J41" s="682"/>
      <c r="K41" s="704" t="s">
        <v>1911</v>
      </c>
      <c r="L41" s="699"/>
      <c r="S41" s="780"/>
    </row>
    <row r="42" spans="2:19" s="467" customFormat="1" ht="15" customHeight="1" outlineLevel="1" x14ac:dyDescent="0.35">
      <c r="B42" s="759" t="s">
        <v>1630</v>
      </c>
      <c r="C42" s="677" t="s">
        <v>1574</v>
      </c>
      <c r="D42" s="669" t="s">
        <v>1524</v>
      </c>
      <c r="E42" s="669"/>
      <c r="F42" s="669"/>
      <c r="G42" s="682" t="s">
        <v>2</v>
      </c>
      <c r="H42" s="682"/>
      <c r="I42" s="682"/>
      <c r="J42" s="682"/>
      <c r="K42" s="704" t="s">
        <v>1911</v>
      </c>
      <c r="L42" s="699"/>
      <c r="S42" s="780"/>
    </row>
    <row r="43" spans="2:19" s="467" customFormat="1" ht="15" customHeight="1" outlineLevel="1" x14ac:dyDescent="0.35">
      <c r="B43" s="759" t="s">
        <v>1633</v>
      </c>
      <c r="C43" s="677" t="s">
        <v>1599</v>
      </c>
      <c r="D43" s="669" t="s">
        <v>744</v>
      </c>
      <c r="E43" s="669"/>
      <c r="F43" s="669"/>
      <c r="G43" s="682" t="s">
        <v>2</v>
      </c>
      <c r="H43" s="682"/>
      <c r="I43" s="682"/>
      <c r="J43" s="682"/>
      <c r="K43" s="704" t="s">
        <v>1911</v>
      </c>
      <c r="L43" s="699"/>
      <c r="S43" s="780"/>
    </row>
    <row r="44" spans="2:19" s="467" customFormat="1" ht="15" customHeight="1" outlineLevel="1" x14ac:dyDescent="0.35">
      <c r="B44" s="759" t="s">
        <v>1634</v>
      </c>
      <c r="C44" s="677" t="s">
        <v>1600</v>
      </c>
      <c r="D44" s="676" t="s">
        <v>1402</v>
      </c>
      <c r="E44" s="676"/>
      <c r="F44" s="676"/>
      <c r="G44" s="700" t="s">
        <v>2</v>
      </c>
      <c r="H44" s="700"/>
      <c r="I44" s="700"/>
      <c r="J44" s="700"/>
      <c r="K44" s="704" t="s">
        <v>1911</v>
      </c>
      <c r="L44" s="701"/>
      <c r="S44" s="780"/>
    </row>
    <row r="45" spans="2:19" s="467" customFormat="1" ht="15" customHeight="1" outlineLevel="1" x14ac:dyDescent="0.35">
      <c r="B45" s="759" t="s">
        <v>1658</v>
      </c>
      <c r="C45" s="677" t="s">
        <v>1659</v>
      </c>
      <c r="D45" s="676" t="s">
        <v>619</v>
      </c>
      <c r="E45" s="676"/>
      <c r="F45" s="676"/>
      <c r="G45" s="700" t="s">
        <v>2</v>
      </c>
      <c r="H45" s="700"/>
      <c r="I45" s="700"/>
      <c r="J45" s="700"/>
      <c r="K45" s="704" t="s">
        <v>1911</v>
      </c>
      <c r="L45" s="701"/>
      <c r="S45" s="780"/>
    </row>
    <row r="46" spans="2:19" s="467" customFormat="1" ht="15" customHeight="1" outlineLevel="1" x14ac:dyDescent="0.35">
      <c r="B46" s="759" t="s">
        <v>1635</v>
      </c>
      <c r="C46" s="677" t="s">
        <v>1601</v>
      </c>
      <c r="D46" s="669" t="s">
        <v>2437</v>
      </c>
      <c r="E46" s="669"/>
      <c r="F46" s="669"/>
      <c r="G46" s="682" t="s">
        <v>2</v>
      </c>
      <c r="H46" s="682"/>
      <c r="I46" s="682"/>
      <c r="J46" s="682"/>
      <c r="K46" s="704" t="s">
        <v>1911</v>
      </c>
      <c r="L46" s="699"/>
      <c r="S46" s="780"/>
    </row>
    <row r="47" spans="2:19" s="467" customFormat="1" ht="6" customHeight="1" outlineLevel="1" x14ac:dyDescent="0.35">
      <c r="B47" s="759"/>
      <c r="C47" s="677"/>
      <c r="D47" s="676"/>
      <c r="E47" s="676"/>
      <c r="F47" s="676"/>
      <c r="G47" s="700"/>
      <c r="H47" s="700"/>
      <c r="I47" s="700"/>
      <c r="J47" s="700"/>
      <c r="K47" s="704"/>
      <c r="L47" s="701"/>
      <c r="S47" s="780"/>
    </row>
    <row r="48" spans="2:19" x14ac:dyDescent="0.35">
      <c r="B48" s="672"/>
      <c r="C48" s="754" t="s">
        <v>2134</v>
      </c>
      <c r="D48" s="673"/>
      <c r="E48" s="673"/>
      <c r="F48" s="673"/>
      <c r="G48" s="673"/>
      <c r="H48" s="673"/>
      <c r="I48" s="673"/>
      <c r="J48" s="673"/>
      <c r="K48" s="703"/>
      <c r="L48" s="675"/>
    </row>
    <row r="49" spans="1:19" s="467" customFormat="1" ht="15" customHeight="1" outlineLevel="1" x14ac:dyDescent="0.35">
      <c r="B49" s="759" t="s">
        <v>1940</v>
      </c>
      <c r="C49" s="677" t="s">
        <v>1938</v>
      </c>
      <c r="D49" s="678" t="s">
        <v>2087</v>
      </c>
      <c r="E49" s="678" t="s">
        <v>2088</v>
      </c>
      <c r="F49" s="678" t="s">
        <v>2089</v>
      </c>
      <c r="G49" s="678" t="s">
        <v>2090</v>
      </c>
      <c r="H49" s="678" t="s">
        <v>2091</v>
      </c>
      <c r="I49" s="678" t="s">
        <v>2092</v>
      </c>
      <c r="J49" s="678"/>
      <c r="K49" s="692" t="s">
        <v>1911</v>
      </c>
      <c r="L49" s="679"/>
      <c r="S49" s="780"/>
    </row>
    <row r="50" spans="1:19" s="467" customFormat="1" ht="15" customHeight="1" outlineLevel="1" x14ac:dyDescent="0.35">
      <c r="A50" s="467" t="s">
        <v>1937</v>
      </c>
      <c r="B50" s="759" t="s">
        <v>1939</v>
      </c>
      <c r="C50" s="677" t="s">
        <v>1936</v>
      </c>
      <c r="D50" s="678" t="s">
        <v>1941</v>
      </c>
      <c r="E50" s="678" t="s">
        <v>1942</v>
      </c>
      <c r="F50" s="678" t="s">
        <v>1943</v>
      </c>
      <c r="G50" s="678" t="s">
        <v>1944</v>
      </c>
      <c r="H50" s="678" t="s">
        <v>1945</v>
      </c>
      <c r="I50" s="678" t="s">
        <v>1946</v>
      </c>
      <c r="J50" s="678"/>
      <c r="K50" s="692" t="s">
        <v>1911</v>
      </c>
      <c r="L50" s="679"/>
      <c r="S50" s="780"/>
    </row>
    <row r="51" spans="1:19" s="467" customFormat="1" ht="15" customHeight="1" outlineLevel="1" x14ac:dyDescent="0.35">
      <c r="B51" s="766"/>
      <c r="C51" s="664" t="s">
        <v>1679</v>
      </c>
      <c r="D51" s="665" t="s">
        <v>1671</v>
      </c>
      <c r="E51" s="665" t="s">
        <v>1672</v>
      </c>
      <c r="F51" s="665" t="s">
        <v>1673</v>
      </c>
      <c r="G51" s="665" t="s">
        <v>1674</v>
      </c>
      <c r="H51" s="665" t="s">
        <v>1675</v>
      </c>
      <c r="I51" s="665" t="s">
        <v>1676</v>
      </c>
      <c r="J51" s="668" t="s">
        <v>1681</v>
      </c>
      <c r="K51" s="668"/>
      <c r="L51" s="680"/>
      <c r="S51" s="780"/>
    </row>
    <row r="52" spans="1:19" s="467" customFormat="1" ht="15" customHeight="1" outlineLevel="1" x14ac:dyDescent="0.35">
      <c r="B52" s="759" t="s">
        <v>1678</v>
      </c>
      <c r="C52" s="677" t="s">
        <v>2156</v>
      </c>
      <c r="D52" s="678">
        <v>1</v>
      </c>
      <c r="E52" s="678">
        <v>1</v>
      </c>
      <c r="F52" s="678">
        <v>1</v>
      </c>
      <c r="G52" s="678">
        <v>1</v>
      </c>
      <c r="H52" s="678">
        <v>1</v>
      </c>
      <c r="I52" s="678">
        <v>1</v>
      </c>
      <c r="J52" s="752" t="s">
        <v>2157</v>
      </c>
      <c r="K52" s="692" t="s">
        <v>1911</v>
      </c>
      <c r="L52" s="679"/>
      <c r="S52" s="780"/>
    </row>
    <row r="53" spans="1:19" s="467" customFormat="1" ht="15" customHeight="1" outlineLevel="1" x14ac:dyDescent="0.35">
      <c r="B53" s="759" t="s">
        <v>1636</v>
      </c>
      <c r="C53" s="677"/>
      <c r="D53" s="678">
        <v>1</v>
      </c>
      <c r="E53" s="678">
        <v>1</v>
      </c>
      <c r="F53" s="678">
        <v>1</v>
      </c>
      <c r="G53" s="678">
        <v>1</v>
      </c>
      <c r="H53" s="678">
        <v>1</v>
      </c>
      <c r="I53" s="678">
        <v>1</v>
      </c>
      <c r="J53" s="752"/>
      <c r="K53" s="692" t="s">
        <v>1911</v>
      </c>
      <c r="L53" s="679"/>
      <c r="S53" s="780"/>
    </row>
    <row r="54" spans="1:19" s="467" customFormat="1" ht="15" customHeight="1" outlineLevel="1" x14ac:dyDescent="0.35">
      <c r="B54" s="759" t="s">
        <v>1677</v>
      </c>
      <c r="C54" s="677"/>
      <c r="D54" s="678">
        <v>1</v>
      </c>
      <c r="E54" s="678">
        <v>1</v>
      </c>
      <c r="F54" s="678">
        <v>1</v>
      </c>
      <c r="G54" s="678">
        <v>1</v>
      </c>
      <c r="H54" s="678">
        <v>1</v>
      </c>
      <c r="I54" s="678">
        <v>1</v>
      </c>
      <c r="J54" s="752"/>
      <c r="K54" s="692" t="s">
        <v>1911</v>
      </c>
      <c r="L54" s="679"/>
      <c r="S54" s="780"/>
    </row>
    <row r="55" spans="1:19" s="467" customFormat="1" ht="15" customHeight="1" outlineLevel="1" x14ac:dyDescent="0.35">
      <c r="B55" s="759" t="s">
        <v>1637</v>
      </c>
      <c r="C55" s="677"/>
      <c r="D55" s="678">
        <v>1</v>
      </c>
      <c r="E55" s="678">
        <v>1</v>
      </c>
      <c r="F55" s="678">
        <v>1</v>
      </c>
      <c r="G55" s="678">
        <v>1</v>
      </c>
      <c r="H55" s="678">
        <v>1</v>
      </c>
      <c r="I55" s="678">
        <v>1</v>
      </c>
      <c r="J55" s="752"/>
      <c r="K55" s="692" t="s">
        <v>1911</v>
      </c>
      <c r="L55" s="679"/>
      <c r="S55" s="780"/>
    </row>
    <row r="56" spans="1:19" s="467" customFormat="1" ht="15" customHeight="1" outlineLevel="1" x14ac:dyDescent="0.35">
      <c r="B56" s="759" t="s">
        <v>1638</v>
      </c>
      <c r="C56" s="677"/>
      <c r="D56" s="678">
        <v>1</v>
      </c>
      <c r="E56" s="678">
        <v>1</v>
      </c>
      <c r="F56" s="678">
        <v>1</v>
      </c>
      <c r="G56" s="678">
        <v>1</v>
      </c>
      <c r="H56" s="678">
        <v>1</v>
      </c>
      <c r="I56" s="678">
        <v>1</v>
      </c>
      <c r="J56" s="752"/>
      <c r="K56" s="692" t="s">
        <v>1911</v>
      </c>
      <c r="L56" s="679"/>
      <c r="S56" s="780"/>
    </row>
    <row r="57" spans="1:19" s="467" customFormat="1" ht="15" customHeight="1" outlineLevel="1" x14ac:dyDescent="0.35">
      <c r="B57" s="759" t="s">
        <v>1639</v>
      </c>
      <c r="C57" s="677"/>
      <c r="D57" s="678">
        <v>1</v>
      </c>
      <c r="E57" s="678">
        <v>1</v>
      </c>
      <c r="F57" s="678">
        <v>1</v>
      </c>
      <c r="G57" s="678">
        <v>1</v>
      </c>
      <c r="H57" s="678">
        <v>1</v>
      </c>
      <c r="I57" s="678">
        <v>1</v>
      </c>
      <c r="J57" s="752"/>
      <c r="K57" s="692" t="s">
        <v>1911</v>
      </c>
      <c r="L57" s="679"/>
      <c r="S57" s="780"/>
    </row>
    <row r="58" spans="1:19" s="467" customFormat="1" ht="15" customHeight="1" outlineLevel="1" x14ac:dyDescent="0.35">
      <c r="B58" s="759" t="s">
        <v>2135</v>
      </c>
      <c r="C58" s="677"/>
      <c r="D58" s="678">
        <v>1</v>
      </c>
      <c r="E58" s="678">
        <v>1</v>
      </c>
      <c r="F58" s="678">
        <v>1</v>
      </c>
      <c r="G58" s="678">
        <v>1</v>
      </c>
      <c r="H58" s="678">
        <v>1</v>
      </c>
      <c r="I58" s="678">
        <v>1</v>
      </c>
      <c r="J58" s="752"/>
      <c r="K58" s="692" t="s">
        <v>1911</v>
      </c>
      <c r="L58" s="679"/>
      <c r="S58" s="780"/>
    </row>
    <row r="59" spans="1:19" s="467" customFormat="1" ht="15" customHeight="1" outlineLevel="1" x14ac:dyDescent="0.35">
      <c r="B59" s="759" t="s">
        <v>2136</v>
      </c>
      <c r="C59" s="677"/>
      <c r="D59" s="678">
        <v>1</v>
      </c>
      <c r="E59" s="678">
        <v>1</v>
      </c>
      <c r="F59" s="678">
        <v>1</v>
      </c>
      <c r="G59" s="678">
        <v>1</v>
      </c>
      <c r="H59" s="678">
        <v>1</v>
      </c>
      <c r="I59" s="678">
        <v>1</v>
      </c>
      <c r="J59" s="752"/>
      <c r="K59" s="692" t="s">
        <v>1911</v>
      </c>
      <c r="L59" s="679"/>
      <c r="S59" s="780"/>
    </row>
    <row r="60" spans="1:19" s="467" customFormat="1" ht="15" customHeight="1" outlineLevel="1" x14ac:dyDescent="0.35">
      <c r="B60" s="759" t="s">
        <v>2137</v>
      </c>
      <c r="C60" s="677"/>
      <c r="D60" s="678">
        <v>1</v>
      </c>
      <c r="E60" s="678">
        <v>1</v>
      </c>
      <c r="F60" s="678">
        <v>1</v>
      </c>
      <c r="G60" s="678">
        <v>1</v>
      </c>
      <c r="H60" s="678">
        <v>1</v>
      </c>
      <c r="I60" s="678">
        <v>1</v>
      </c>
      <c r="J60" s="752"/>
      <c r="K60" s="692" t="s">
        <v>1911</v>
      </c>
      <c r="L60" s="679"/>
      <c r="S60" s="780"/>
    </row>
    <row r="61" spans="1:19" s="467" customFormat="1" ht="15" customHeight="1" outlineLevel="1" x14ac:dyDescent="0.35">
      <c r="B61" s="759" t="s">
        <v>2138</v>
      </c>
      <c r="C61" s="677"/>
      <c r="D61" s="678">
        <v>1</v>
      </c>
      <c r="E61" s="678">
        <v>1</v>
      </c>
      <c r="F61" s="678">
        <v>1</v>
      </c>
      <c r="G61" s="678">
        <v>1</v>
      </c>
      <c r="H61" s="678">
        <v>1</v>
      </c>
      <c r="I61" s="678">
        <v>1</v>
      </c>
      <c r="J61" s="752"/>
      <c r="K61" s="692" t="s">
        <v>1911</v>
      </c>
      <c r="L61" s="679"/>
      <c r="S61" s="780"/>
    </row>
    <row r="62" spans="1:19" s="467" customFormat="1" ht="6" customHeight="1" outlineLevel="1" x14ac:dyDescent="0.35">
      <c r="B62" s="759"/>
      <c r="C62" s="677"/>
      <c r="D62" s="681"/>
      <c r="E62" s="681"/>
      <c r="F62" s="681"/>
      <c r="G62" s="681"/>
      <c r="H62" s="681"/>
      <c r="I62" s="681"/>
      <c r="J62" s="705"/>
      <c r="K62" s="704"/>
      <c r="L62" s="683"/>
      <c r="S62" s="780"/>
    </row>
    <row r="63" spans="1:19" x14ac:dyDescent="0.35">
      <c r="B63" s="672"/>
      <c r="C63" s="754" t="s">
        <v>2143</v>
      </c>
      <c r="D63" s="673"/>
      <c r="E63" s="673"/>
      <c r="F63" s="673"/>
      <c r="G63" s="673"/>
      <c r="H63" s="673"/>
      <c r="I63" s="673"/>
      <c r="J63" s="673"/>
      <c r="K63" s="703"/>
      <c r="L63" s="675"/>
    </row>
    <row r="64" spans="1:19" s="467" customFormat="1" ht="15" customHeight="1" outlineLevel="1" x14ac:dyDescent="0.35">
      <c r="B64" s="759" t="s">
        <v>1900</v>
      </c>
      <c r="C64" s="677" t="s">
        <v>1597</v>
      </c>
      <c r="D64" s="669" t="s">
        <v>1524</v>
      </c>
      <c r="E64" s="682"/>
      <c r="F64" s="682"/>
      <c r="G64" s="682" t="s">
        <v>1622</v>
      </c>
      <c r="H64" s="682"/>
      <c r="I64" s="682"/>
      <c r="J64" s="682"/>
      <c r="K64" s="692" t="s">
        <v>1911</v>
      </c>
      <c r="L64" s="699"/>
      <c r="S64" s="780"/>
    </row>
    <row r="65" spans="2:19" s="467" customFormat="1" ht="15" customHeight="1" outlineLevel="1" x14ac:dyDescent="0.35">
      <c r="B65" s="759" t="s">
        <v>1904</v>
      </c>
      <c r="C65" s="677" t="s">
        <v>1905</v>
      </c>
      <c r="D65" s="669" t="s">
        <v>1906</v>
      </c>
      <c r="E65" s="682"/>
      <c r="F65" s="682"/>
      <c r="G65" s="682" t="s">
        <v>1622</v>
      </c>
      <c r="H65" s="682"/>
      <c r="I65" s="682"/>
      <c r="J65" s="682"/>
      <c r="K65" s="692" t="s">
        <v>1911</v>
      </c>
      <c r="L65" s="699"/>
      <c r="S65" s="780"/>
    </row>
    <row r="66" spans="2:19" s="467" customFormat="1" ht="15" customHeight="1" outlineLevel="1" x14ac:dyDescent="0.35">
      <c r="B66" s="759" t="s">
        <v>1901</v>
      </c>
      <c r="C66" s="677" t="s">
        <v>1598</v>
      </c>
      <c r="D66" s="669" t="s">
        <v>1524</v>
      </c>
      <c r="E66" s="682"/>
      <c r="F66" s="682"/>
      <c r="G66" s="682" t="s">
        <v>1622</v>
      </c>
      <c r="H66" s="682"/>
      <c r="I66" s="682"/>
      <c r="J66" s="682"/>
      <c r="K66" s="692" t="s">
        <v>1911</v>
      </c>
      <c r="L66" s="699"/>
      <c r="S66" s="780"/>
    </row>
    <row r="67" spans="2:19" s="467" customFormat="1" ht="15" customHeight="1" outlineLevel="1" x14ac:dyDescent="0.35">
      <c r="B67" s="759" t="s">
        <v>1902</v>
      </c>
      <c r="C67" s="677" t="s">
        <v>1580</v>
      </c>
      <c r="D67" s="706" t="s">
        <v>2142</v>
      </c>
      <c r="E67" s="682"/>
      <c r="F67" s="682"/>
      <c r="G67" s="682" t="s">
        <v>2</v>
      </c>
      <c r="H67" s="682"/>
      <c r="I67" s="682"/>
      <c r="J67" s="682"/>
      <c r="K67" s="692" t="s">
        <v>1911</v>
      </c>
      <c r="L67" s="699"/>
      <c r="S67" s="780"/>
    </row>
    <row r="68" spans="2:19" s="467" customFormat="1" ht="15" customHeight="1" outlineLevel="1" x14ac:dyDescent="0.35">
      <c r="B68" s="759" t="s">
        <v>1887</v>
      </c>
      <c r="C68" s="677" t="s">
        <v>1889</v>
      </c>
      <c r="D68" s="669" t="s">
        <v>1903</v>
      </c>
      <c r="E68" s="682"/>
      <c r="F68" s="682"/>
      <c r="G68" s="682" t="s">
        <v>2139</v>
      </c>
      <c r="H68" s="682"/>
      <c r="I68" s="682"/>
      <c r="J68" s="682"/>
      <c r="K68" s="692" t="s">
        <v>1911</v>
      </c>
      <c r="L68" s="699"/>
      <c r="S68" s="780"/>
    </row>
    <row r="69" spans="2:19" s="467" customFormat="1" ht="15" customHeight="1" outlineLevel="1" x14ac:dyDescent="0.35">
      <c r="B69" s="759" t="s">
        <v>1888</v>
      </c>
      <c r="C69" s="677" t="s">
        <v>1890</v>
      </c>
      <c r="D69" s="669" t="s">
        <v>2158</v>
      </c>
      <c r="E69" s="682"/>
      <c r="F69" s="682"/>
      <c r="G69" s="682" t="s">
        <v>2</v>
      </c>
      <c r="H69" s="682"/>
      <c r="I69" s="682"/>
      <c r="J69" s="682"/>
      <c r="K69" s="692" t="s">
        <v>1911</v>
      </c>
      <c r="L69" s="699"/>
      <c r="S69" s="780"/>
    </row>
    <row r="70" spans="2:19" s="467" customFormat="1" ht="15" customHeight="1" outlineLevel="1" x14ac:dyDescent="0.35">
      <c r="B70" s="759" t="s">
        <v>1891</v>
      </c>
      <c r="C70" s="677" t="s">
        <v>1892</v>
      </c>
      <c r="D70" s="707" t="s">
        <v>2140</v>
      </c>
      <c r="E70" s="682"/>
      <c r="F70" s="682"/>
      <c r="G70" s="682" t="s">
        <v>2</v>
      </c>
      <c r="H70" s="682"/>
      <c r="I70" s="682"/>
      <c r="J70" s="682"/>
      <c r="K70" s="692" t="s">
        <v>1911</v>
      </c>
      <c r="L70" s="699"/>
      <c r="S70" s="780"/>
    </row>
    <row r="71" spans="2:19" s="467" customFormat="1" ht="15" customHeight="1" outlineLevel="1" x14ac:dyDescent="0.35">
      <c r="B71" s="759" t="s">
        <v>1895</v>
      </c>
      <c r="C71" s="677" t="s">
        <v>1893</v>
      </c>
      <c r="D71" s="669" t="s">
        <v>2141</v>
      </c>
      <c r="E71" s="682"/>
      <c r="F71" s="682"/>
      <c r="G71" s="682" t="s">
        <v>2</v>
      </c>
      <c r="H71" s="682"/>
      <c r="I71" s="682"/>
      <c r="J71" s="682"/>
      <c r="K71" s="692" t="s">
        <v>1911</v>
      </c>
      <c r="L71" s="699"/>
      <c r="S71" s="780"/>
    </row>
    <row r="72" spans="2:19" s="467" customFormat="1" ht="15" customHeight="1" outlineLevel="1" x14ac:dyDescent="0.35">
      <c r="B72" s="759" t="s">
        <v>1894</v>
      </c>
      <c r="C72" s="677" t="s">
        <v>1899</v>
      </c>
      <c r="D72" s="669" t="s">
        <v>1524</v>
      </c>
      <c r="E72" s="682"/>
      <c r="F72" s="682"/>
      <c r="G72" s="682" t="s">
        <v>2</v>
      </c>
      <c r="H72" s="682"/>
      <c r="I72" s="682"/>
      <c r="J72" s="682"/>
      <c r="K72" s="692" t="s">
        <v>1911</v>
      </c>
      <c r="L72" s="699"/>
      <c r="S72" s="780"/>
    </row>
    <row r="73" spans="2:19" s="467" customFormat="1" ht="15" customHeight="1" outlineLevel="1" x14ac:dyDescent="0.35">
      <c r="B73" s="759" t="s">
        <v>1896</v>
      </c>
      <c r="C73" s="677" t="s">
        <v>1897</v>
      </c>
      <c r="D73" s="682"/>
      <c r="E73" s="682"/>
      <c r="F73" s="682"/>
      <c r="G73" s="669" t="s">
        <v>9</v>
      </c>
      <c r="H73" s="682"/>
      <c r="I73" s="682"/>
      <c r="J73" s="682"/>
      <c r="K73" s="692" t="s">
        <v>1911</v>
      </c>
      <c r="L73" s="699"/>
      <c r="S73" s="780"/>
    </row>
    <row r="74" spans="2:19" s="467" customFormat="1" ht="227.4" customHeight="1" outlineLevel="1" x14ac:dyDescent="0.35">
      <c r="B74" s="765" t="s">
        <v>1898</v>
      </c>
      <c r="C74" s="956" t="s">
        <v>1907</v>
      </c>
      <c r="D74" s="956"/>
      <c r="E74" s="956"/>
      <c r="F74" s="956"/>
      <c r="G74" s="956"/>
      <c r="H74" s="956"/>
      <c r="I74" s="956"/>
      <c r="J74" s="702"/>
      <c r="K74" s="692" t="s">
        <v>1911</v>
      </c>
      <c r="L74" s="699"/>
      <c r="S74" s="780"/>
    </row>
    <row r="75" spans="2:19" x14ac:dyDescent="0.35">
      <c r="B75" s="672"/>
      <c r="C75" s="754" t="s">
        <v>2144</v>
      </c>
      <c r="D75" s="673"/>
      <c r="E75" s="673"/>
      <c r="F75" s="673"/>
      <c r="G75" s="673"/>
      <c r="H75" s="673"/>
      <c r="I75" s="673"/>
      <c r="J75" s="673"/>
      <c r="K75" s="703"/>
      <c r="L75" s="675"/>
    </row>
    <row r="76" spans="2:19" s="467" customFormat="1" ht="15" customHeight="1" outlineLevel="1" x14ac:dyDescent="0.35">
      <c r="B76" s="759" t="s">
        <v>1647</v>
      </c>
      <c r="C76" s="677" t="s">
        <v>1576</v>
      </c>
      <c r="D76" s="669" t="s">
        <v>1809</v>
      </c>
      <c r="E76" s="669"/>
      <c r="F76" s="669"/>
      <c r="G76" s="682" t="s">
        <v>1622</v>
      </c>
      <c r="H76" s="682"/>
      <c r="I76" s="682"/>
      <c r="J76" s="682"/>
      <c r="K76" s="692" t="s">
        <v>1911</v>
      </c>
      <c r="L76" s="699"/>
      <c r="S76" s="780"/>
    </row>
    <row r="77" spans="2:19" s="467" customFormat="1" ht="15" customHeight="1" outlineLevel="1" x14ac:dyDescent="0.35">
      <c r="B77" s="759" t="s">
        <v>1646</v>
      </c>
      <c r="C77" s="677" t="s">
        <v>1577</v>
      </c>
      <c r="D77" s="669" t="s">
        <v>1809</v>
      </c>
      <c r="E77" s="669"/>
      <c r="F77" s="669"/>
      <c r="G77" s="682" t="s">
        <v>1622</v>
      </c>
      <c r="H77" s="682"/>
      <c r="I77" s="682"/>
      <c r="J77" s="682"/>
      <c r="K77" s="692" t="s">
        <v>1911</v>
      </c>
      <c r="L77" s="699"/>
      <c r="S77" s="780"/>
    </row>
    <row r="78" spans="2:19" s="467" customFormat="1" ht="15" customHeight="1" outlineLevel="1" x14ac:dyDescent="0.35">
      <c r="B78" s="759" t="s">
        <v>2084</v>
      </c>
      <c r="C78" s="677" t="s">
        <v>2081</v>
      </c>
      <c r="D78" s="669" t="s">
        <v>2085</v>
      </c>
      <c r="E78" s="669"/>
      <c r="F78" s="669"/>
      <c r="G78" s="682" t="s">
        <v>1622</v>
      </c>
      <c r="H78" s="682"/>
      <c r="I78" s="682"/>
      <c r="J78" s="682"/>
      <c r="K78" s="692" t="s">
        <v>1911</v>
      </c>
      <c r="L78" s="699"/>
      <c r="S78" s="780"/>
    </row>
    <row r="79" spans="2:19" s="467" customFormat="1" ht="15" customHeight="1" outlineLevel="1" x14ac:dyDescent="0.35">
      <c r="B79" s="759" t="s">
        <v>2083</v>
      </c>
      <c r="C79" s="677" t="s">
        <v>2082</v>
      </c>
      <c r="D79" s="669" t="s">
        <v>744</v>
      </c>
      <c r="E79" s="669"/>
      <c r="F79" s="669"/>
      <c r="G79" s="682" t="s">
        <v>1622</v>
      </c>
      <c r="H79" s="682"/>
      <c r="I79" s="682"/>
      <c r="J79" s="682"/>
      <c r="K79" s="692" t="s">
        <v>1911</v>
      </c>
      <c r="L79" s="699"/>
      <c r="S79" s="780"/>
    </row>
    <row r="80" spans="2:19" s="467" customFormat="1" ht="15" customHeight="1" outlineLevel="1" x14ac:dyDescent="0.35">
      <c r="B80" s="759" t="s">
        <v>1752</v>
      </c>
      <c r="C80" s="677" t="s">
        <v>1751</v>
      </c>
      <c r="D80" s="669" t="s">
        <v>744</v>
      </c>
      <c r="E80" s="669"/>
      <c r="F80" s="669"/>
      <c r="G80" s="682" t="s">
        <v>1622</v>
      </c>
      <c r="H80" s="682"/>
      <c r="I80" s="682"/>
      <c r="J80" s="682"/>
      <c r="K80" s="692" t="s">
        <v>1911</v>
      </c>
      <c r="L80" s="699"/>
      <c r="S80" s="780"/>
    </row>
    <row r="81" spans="2:19" s="467" customFormat="1" ht="15" customHeight="1" outlineLevel="1" x14ac:dyDescent="0.35">
      <c r="B81" s="759" t="s">
        <v>2000</v>
      </c>
      <c r="C81" s="677" t="s">
        <v>1997</v>
      </c>
      <c r="D81" s="669" t="s">
        <v>1524</v>
      </c>
      <c r="E81" s="669"/>
      <c r="F81" s="669"/>
      <c r="G81" s="682" t="s">
        <v>1622</v>
      </c>
      <c r="H81" s="682"/>
      <c r="I81" s="682"/>
      <c r="J81" s="682"/>
      <c r="K81" s="692" t="s">
        <v>1911</v>
      </c>
      <c r="L81" s="699"/>
      <c r="S81" s="780"/>
    </row>
    <row r="82" spans="2:19" s="467" customFormat="1" ht="15" customHeight="1" outlineLevel="1" x14ac:dyDescent="0.35">
      <c r="B82" s="759" t="s">
        <v>1999</v>
      </c>
      <c r="C82" s="677" t="s">
        <v>1998</v>
      </c>
      <c r="D82" s="669" t="s">
        <v>1524</v>
      </c>
      <c r="E82" s="669"/>
      <c r="F82" s="669"/>
      <c r="G82" s="682" t="s">
        <v>1622</v>
      </c>
      <c r="H82" s="682"/>
      <c r="I82" s="682"/>
      <c r="J82" s="682"/>
      <c r="K82" s="692" t="s">
        <v>1911</v>
      </c>
      <c r="L82" s="699"/>
      <c r="S82" s="780"/>
    </row>
    <row r="83" spans="2:19" s="467" customFormat="1" ht="15" customHeight="1" outlineLevel="1" x14ac:dyDescent="0.35">
      <c r="B83" s="759" t="s">
        <v>1648</v>
      </c>
      <c r="C83" s="677" t="s">
        <v>1578</v>
      </c>
      <c r="D83" s="663" t="s">
        <v>76</v>
      </c>
      <c r="E83" s="663"/>
      <c r="F83" s="663"/>
      <c r="G83" s="684" t="s">
        <v>1622</v>
      </c>
      <c r="H83" s="684"/>
      <c r="I83" s="684"/>
      <c r="J83" s="684"/>
      <c r="K83" s="692" t="s">
        <v>1911</v>
      </c>
      <c r="L83" s="708"/>
      <c r="S83" s="780"/>
    </row>
    <row r="84" spans="2:19" s="467" customFormat="1" ht="15" customHeight="1" outlineLevel="1" x14ac:dyDescent="0.35">
      <c r="B84" s="759" t="s">
        <v>1649</v>
      </c>
      <c r="C84" s="677" t="s">
        <v>1582</v>
      </c>
      <c r="D84" s="663" t="s">
        <v>76</v>
      </c>
      <c r="E84" s="663"/>
      <c r="F84" s="663"/>
      <c r="G84" s="684" t="s">
        <v>1622</v>
      </c>
      <c r="H84" s="684"/>
      <c r="I84" s="684"/>
      <c r="J84" s="684"/>
      <c r="K84" s="692" t="s">
        <v>1911</v>
      </c>
      <c r="L84" s="708"/>
      <c r="S84" s="780"/>
    </row>
    <row r="85" spans="2:19" s="467" customFormat="1" ht="6" customHeight="1" outlineLevel="1" x14ac:dyDescent="0.35">
      <c r="B85" s="759"/>
      <c r="C85" s="677"/>
      <c r="D85" s="664"/>
      <c r="E85" s="664"/>
      <c r="F85" s="664"/>
      <c r="G85" s="677"/>
      <c r="H85" s="677"/>
      <c r="I85" s="677"/>
      <c r="J85" s="677"/>
      <c r="K85" s="692" t="s">
        <v>1911</v>
      </c>
      <c r="L85" s="693"/>
      <c r="S85" s="780"/>
    </row>
    <row r="86" spans="2:19" x14ac:dyDescent="0.35">
      <c r="B86" s="672"/>
      <c r="C86" s="754" t="s">
        <v>1593</v>
      </c>
      <c r="D86" s="673"/>
      <c r="E86" s="673"/>
      <c r="F86" s="673"/>
      <c r="G86" s="673"/>
      <c r="H86" s="673"/>
      <c r="I86" s="673"/>
      <c r="J86" s="673"/>
      <c r="K86" s="674"/>
      <c r="L86" s="675"/>
    </row>
    <row r="87" spans="2:19" s="467" customFormat="1" ht="15" customHeight="1" outlineLevel="1" x14ac:dyDescent="0.35">
      <c r="B87" s="759" t="s">
        <v>1641</v>
      </c>
      <c r="C87" s="677" t="s">
        <v>1591</v>
      </c>
      <c r="D87" s="669" t="s">
        <v>2152</v>
      </c>
      <c r="E87" s="669"/>
      <c r="F87" s="669"/>
      <c r="G87" s="682" t="s">
        <v>1621</v>
      </c>
      <c r="H87" s="682"/>
      <c r="I87" s="682"/>
      <c r="J87" s="682"/>
      <c r="K87" s="692" t="s">
        <v>1911</v>
      </c>
      <c r="L87" s="699"/>
      <c r="N87" s="1"/>
      <c r="O87" s="1"/>
      <c r="P87" s="1"/>
      <c r="Q87" s="1"/>
      <c r="R87" s="1"/>
      <c r="S87" s="780"/>
    </row>
    <row r="88" spans="2:19" s="467" customFormat="1" ht="15" customHeight="1" outlineLevel="1" x14ac:dyDescent="0.35">
      <c r="B88" s="759" t="s">
        <v>1640</v>
      </c>
      <c r="C88" s="677" t="s">
        <v>1590</v>
      </c>
      <c r="D88" s="669" t="s">
        <v>2153</v>
      </c>
      <c r="E88" s="669"/>
      <c r="F88" s="669"/>
      <c r="G88" s="682" t="s">
        <v>2</v>
      </c>
      <c r="H88" s="682"/>
      <c r="I88" s="682"/>
      <c r="J88" s="682"/>
      <c r="K88" s="692" t="s">
        <v>1911</v>
      </c>
      <c r="L88" s="699"/>
      <c r="N88" s="1"/>
      <c r="O88" s="1"/>
      <c r="P88" s="1"/>
      <c r="Q88" s="1"/>
      <c r="R88" s="1"/>
      <c r="S88" s="780"/>
    </row>
    <row r="89" spans="2:19" s="467" customFormat="1" ht="6" customHeight="1" outlineLevel="1" x14ac:dyDescent="0.35">
      <c r="B89" s="759"/>
      <c r="C89" s="677"/>
      <c r="D89" s="664"/>
      <c r="E89" s="664"/>
      <c r="F89" s="664"/>
      <c r="G89" s="677"/>
      <c r="H89" s="677"/>
      <c r="I89" s="677"/>
      <c r="J89" s="677"/>
      <c r="K89" s="692" t="s">
        <v>1911</v>
      </c>
      <c r="L89" s="693"/>
      <c r="N89" s="1"/>
      <c r="O89" s="1"/>
      <c r="P89" s="1"/>
      <c r="Q89" s="1"/>
      <c r="R89" s="1"/>
      <c r="S89" s="780"/>
    </row>
    <row r="90" spans="2:19" x14ac:dyDescent="0.35">
      <c r="B90" s="672"/>
      <c r="C90" s="754" t="s">
        <v>1592</v>
      </c>
      <c r="D90" s="673"/>
      <c r="E90" s="673"/>
      <c r="F90" s="673"/>
      <c r="G90" s="673"/>
      <c r="H90" s="673"/>
      <c r="I90" s="673"/>
      <c r="J90" s="673"/>
      <c r="K90" s="674"/>
      <c r="L90" s="675"/>
    </row>
    <row r="91" spans="2:19" s="467" customFormat="1" ht="15" customHeight="1" outlineLevel="1" x14ac:dyDescent="0.35">
      <c r="B91" s="759" t="s">
        <v>1642</v>
      </c>
      <c r="C91" s="677" t="s">
        <v>1886</v>
      </c>
      <c r="D91" s="669" t="s">
        <v>1935</v>
      </c>
      <c r="E91" s="669"/>
      <c r="F91" s="669"/>
      <c r="G91" s="682" t="s">
        <v>1621</v>
      </c>
      <c r="H91" s="682"/>
      <c r="I91" s="682"/>
      <c r="J91" s="682"/>
      <c r="K91" s="692" t="s">
        <v>1911</v>
      </c>
      <c r="L91" s="699"/>
      <c r="N91" s="1"/>
      <c r="O91" s="1"/>
      <c r="P91" s="1"/>
      <c r="Q91" s="1"/>
      <c r="R91" s="1"/>
      <c r="S91" s="780"/>
    </row>
    <row r="92" spans="2:19" s="467" customFormat="1" ht="15" customHeight="1" outlineLevel="1" x14ac:dyDescent="0.35">
      <c r="B92" s="759" t="s">
        <v>1644</v>
      </c>
      <c r="C92" s="677" t="s">
        <v>1594</v>
      </c>
      <c r="D92" s="669" t="s">
        <v>744</v>
      </c>
      <c r="E92" s="669"/>
      <c r="F92" s="669"/>
      <c r="G92" s="682" t="s">
        <v>1622</v>
      </c>
      <c r="H92" s="682"/>
      <c r="I92" s="682"/>
      <c r="J92" s="682"/>
      <c r="K92" s="692" t="s">
        <v>1911</v>
      </c>
      <c r="L92" s="699"/>
      <c r="N92" s="1"/>
      <c r="O92" s="1"/>
      <c r="P92" s="1"/>
      <c r="Q92" s="1"/>
      <c r="R92" s="1"/>
      <c r="S92" s="780"/>
    </row>
    <row r="93" spans="2:19" s="467" customFormat="1" ht="15" customHeight="1" outlineLevel="1" x14ac:dyDescent="0.35">
      <c r="B93" s="759" t="s">
        <v>1643</v>
      </c>
      <c r="C93" s="677" t="s">
        <v>1595</v>
      </c>
      <c r="D93" s="669" t="s">
        <v>744</v>
      </c>
      <c r="E93" s="669"/>
      <c r="F93" s="669"/>
      <c r="G93" s="682" t="s">
        <v>1622</v>
      </c>
      <c r="H93" s="682"/>
      <c r="I93" s="682"/>
      <c r="J93" s="682"/>
      <c r="K93" s="692" t="s">
        <v>1911</v>
      </c>
      <c r="L93" s="699"/>
      <c r="N93" s="1"/>
      <c r="O93" s="1"/>
      <c r="P93" s="1"/>
      <c r="Q93" s="1"/>
      <c r="R93" s="1"/>
      <c r="S93" s="780"/>
    </row>
    <row r="94" spans="2:19" s="467" customFormat="1" ht="15" customHeight="1" outlineLevel="1" x14ac:dyDescent="0.35">
      <c r="B94" s="759" t="s">
        <v>1645</v>
      </c>
      <c r="C94" s="677" t="s">
        <v>1596</v>
      </c>
      <c r="D94" s="669" t="s">
        <v>744</v>
      </c>
      <c r="E94" s="669"/>
      <c r="F94" s="669"/>
      <c r="G94" s="682" t="s">
        <v>1622</v>
      </c>
      <c r="H94" s="682"/>
      <c r="I94" s="682"/>
      <c r="J94" s="682"/>
      <c r="K94" s="692" t="s">
        <v>1911</v>
      </c>
      <c r="L94" s="699"/>
      <c r="S94" s="780"/>
    </row>
    <row r="95" spans="2:19" s="467" customFormat="1" ht="14.4" customHeight="1" thickBot="1" x14ac:dyDescent="0.4">
      <c r="B95" s="763"/>
      <c r="C95" s="688"/>
      <c r="D95" s="670"/>
      <c r="E95" s="670"/>
      <c r="F95" s="670"/>
      <c r="G95" s="688"/>
      <c r="H95" s="688"/>
      <c r="I95" s="688"/>
      <c r="J95" s="688"/>
      <c r="K95" s="709"/>
      <c r="L95" s="710"/>
      <c r="S95" s="780"/>
    </row>
    <row r="96" spans="2:19" s="467" customFormat="1" ht="15" customHeight="1" thickBot="1" x14ac:dyDescent="0.4">
      <c r="K96" s="468"/>
      <c r="S96" s="780"/>
    </row>
    <row r="97" spans="2:19" ht="23" thickBot="1" x14ac:dyDescent="0.4">
      <c r="B97" s="524"/>
      <c r="C97" s="525" t="s">
        <v>2148</v>
      </c>
      <c r="D97" s="525"/>
      <c r="E97" s="525"/>
      <c r="F97" s="525"/>
      <c r="G97" s="525"/>
      <c r="H97" s="525"/>
      <c r="I97" s="525"/>
      <c r="J97" s="525"/>
      <c r="K97" s="527"/>
      <c r="L97" s="526"/>
    </row>
    <row r="98" spans="2:19" s="467" customFormat="1" ht="6" customHeight="1" outlineLevel="1" thickTop="1" x14ac:dyDescent="0.35">
      <c r="B98" s="764"/>
      <c r="C98" s="755"/>
      <c r="D98" s="716"/>
      <c r="E98" s="716"/>
      <c r="F98" s="716"/>
      <c r="G98" s="716"/>
      <c r="H98" s="716"/>
      <c r="I98" s="716"/>
      <c r="J98" s="716"/>
      <c r="K98" s="531"/>
      <c r="L98" s="717"/>
      <c r="S98" s="780"/>
    </row>
    <row r="99" spans="2:19" s="392" customFormat="1" outlineLevel="1" x14ac:dyDescent="0.35">
      <c r="B99" s="672"/>
      <c r="C99" s="754" t="s">
        <v>1801</v>
      </c>
      <c r="D99" s="673"/>
      <c r="E99" s="673"/>
      <c r="F99" s="673"/>
      <c r="G99" s="673"/>
      <c r="H99" s="673"/>
      <c r="I99" s="673"/>
      <c r="J99" s="673"/>
      <c r="K99" s="674"/>
      <c r="L99" s="675"/>
      <c r="S99" s="781"/>
    </row>
    <row r="100" spans="2:19" s="467" customFormat="1" ht="15" customHeight="1" outlineLevel="1" x14ac:dyDescent="0.35">
      <c r="B100" s="759" t="s">
        <v>1656</v>
      </c>
      <c r="C100" s="677" t="s">
        <v>2145</v>
      </c>
      <c r="D100" s="665" t="s">
        <v>2281</v>
      </c>
      <c r="E100" s="678"/>
      <c r="F100" s="685"/>
      <c r="G100" s="685"/>
      <c r="H100" s="685"/>
      <c r="I100" s="685"/>
      <c r="J100" s="685"/>
      <c r="K100" s="692" t="s">
        <v>1911</v>
      </c>
      <c r="L100" s="695"/>
      <c r="S100" s="780"/>
    </row>
    <row r="101" spans="2:19" s="718" customFormat="1" ht="24" customHeight="1" outlineLevel="1" x14ac:dyDescent="0.35">
      <c r="B101" s="712"/>
      <c r="C101" s="756" t="s">
        <v>1877</v>
      </c>
      <c r="D101" s="713" t="s">
        <v>1790</v>
      </c>
      <c r="E101" s="713" t="s">
        <v>1923</v>
      </c>
      <c r="F101" s="661"/>
      <c r="G101" s="661"/>
      <c r="H101" s="661"/>
      <c r="I101" s="661"/>
      <c r="J101" s="661"/>
      <c r="K101" s="715"/>
      <c r="L101" s="714"/>
      <c r="S101" s="782"/>
    </row>
    <row r="102" spans="2:19" s="467" customFormat="1" ht="15" customHeight="1" outlineLevel="1" x14ac:dyDescent="0.35">
      <c r="B102" s="759" t="s">
        <v>1650</v>
      </c>
      <c r="C102" s="677" t="s">
        <v>1837</v>
      </c>
      <c r="D102" s="665">
        <v>1</v>
      </c>
      <c r="E102" s="665" t="s">
        <v>1924</v>
      </c>
      <c r="F102" s="685"/>
      <c r="G102" s="685"/>
      <c r="H102" s="685"/>
      <c r="I102" s="685"/>
      <c r="J102" s="685"/>
      <c r="K102" s="692" t="s">
        <v>1911</v>
      </c>
      <c r="L102" s="695"/>
      <c r="S102" s="780"/>
    </row>
    <row r="103" spans="2:19" s="467" customFormat="1" ht="15" customHeight="1" outlineLevel="1" x14ac:dyDescent="0.35">
      <c r="B103" s="759" t="s">
        <v>1651</v>
      </c>
      <c r="C103" s="677" t="s">
        <v>1836</v>
      </c>
      <c r="D103" s="665">
        <v>1</v>
      </c>
      <c r="E103" s="665" t="s">
        <v>1925</v>
      </c>
      <c r="F103" s="685"/>
      <c r="G103" s="685"/>
      <c r="H103" s="685"/>
      <c r="I103" s="685"/>
      <c r="J103" s="685"/>
      <c r="K103" s="692" t="s">
        <v>1911</v>
      </c>
      <c r="L103" s="695"/>
      <c r="S103" s="780"/>
    </row>
    <row r="104" spans="2:19" s="467" customFormat="1" ht="15" customHeight="1" outlineLevel="1" x14ac:dyDescent="0.35">
      <c r="B104" s="759" t="s">
        <v>1652</v>
      </c>
      <c r="C104" s="677" t="s">
        <v>1835</v>
      </c>
      <c r="D104" s="665">
        <v>1</v>
      </c>
      <c r="E104" s="665" t="s">
        <v>1926</v>
      </c>
      <c r="F104" s="685"/>
      <c r="G104" s="685"/>
      <c r="H104" s="685"/>
      <c r="I104" s="685"/>
      <c r="J104" s="685"/>
      <c r="K104" s="692" t="s">
        <v>1911</v>
      </c>
      <c r="L104" s="695"/>
      <c r="S104" s="780"/>
    </row>
    <row r="105" spans="2:19" s="467" customFormat="1" ht="15" customHeight="1" outlineLevel="1" x14ac:dyDescent="0.35">
      <c r="B105" s="759" t="s">
        <v>1653</v>
      </c>
      <c r="C105" s="677" t="s">
        <v>1834</v>
      </c>
      <c r="D105" s="665">
        <v>1</v>
      </c>
      <c r="E105" s="665" t="s">
        <v>1927</v>
      </c>
      <c r="F105" s="685"/>
      <c r="G105" s="685"/>
      <c r="H105" s="685"/>
      <c r="I105" s="685"/>
      <c r="J105" s="685"/>
      <c r="K105" s="692" t="s">
        <v>1911</v>
      </c>
      <c r="L105" s="695"/>
      <c r="S105" s="780"/>
    </row>
    <row r="106" spans="2:19" s="467" customFormat="1" ht="15" customHeight="1" outlineLevel="1" x14ac:dyDescent="0.35">
      <c r="B106" s="759" t="s">
        <v>1654</v>
      </c>
      <c r="C106" s="677" t="s">
        <v>1833</v>
      </c>
      <c r="D106" s="665">
        <v>1</v>
      </c>
      <c r="E106" s="665" t="s">
        <v>1928</v>
      </c>
      <c r="F106" s="685"/>
      <c r="G106" s="685"/>
      <c r="H106" s="685"/>
      <c r="I106" s="685"/>
      <c r="J106" s="685"/>
      <c r="K106" s="692" t="s">
        <v>1911</v>
      </c>
      <c r="L106" s="695"/>
      <c r="S106" s="780"/>
    </row>
    <row r="107" spans="2:19" s="467" customFormat="1" ht="15" customHeight="1" outlineLevel="1" x14ac:dyDescent="0.35">
      <c r="B107" s="759" t="s">
        <v>1655</v>
      </c>
      <c r="C107" s="677" t="s">
        <v>1832</v>
      </c>
      <c r="D107" s="665">
        <v>1</v>
      </c>
      <c r="E107" s="665" t="s">
        <v>1929</v>
      </c>
      <c r="F107" s="685"/>
      <c r="G107" s="685"/>
      <c r="H107" s="685"/>
      <c r="I107" s="685"/>
      <c r="J107" s="685"/>
      <c r="K107" s="692" t="s">
        <v>1911</v>
      </c>
      <c r="L107" s="695"/>
      <c r="S107" s="780"/>
    </row>
    <row r="108" spans="2:19" s="467" customFormat="1" ht="15" customHeight="1" outlineLevel="1" x14ac:dyDescent="0.35">
      <c r="B108" s="759" t="s">
        <v>2186</v>
      </c>
      <c r="C108" s="677" t="s">
        <v>2184</v>
      </c>
      <c r="D108" s="665">
        <v>1</v>
      </c>
      <c r="E108" s="665" t="s">
        <v>2185</v>
      </c>
      <c r="F108" s="685"/>
      <c r="G108" s="685"/>
      <c r="H108" s="685"/>
      <c r="I108" s="685"/>
      <c r="J108" s="685"/>
      <c r="K108" s="692" t="s">
        <v>1911</v>
      </c>
      <c r="L108" s="695"/>
      <c r="S108" s="780"/>
    </row>
    <row r="109" spans="2:19" s="467" customFormat="1" ht="15" customHeight="1" outlineLevel="1" x14ac:dyDescent="0.35">
      <c r="B109" s="759" t="s">
        <v>1826</v>
      </c>
      <c r="C109" s="677" t="s">
        <v>1829</v>
      </c>
      <c r="D109" s="665">
        <v>1</v>
      </c>
      <c r="E109" s="665" t="s">
        <v>1930</v>
      </c>
      <c r="F109" s="685"/>
      <c r="G109" s="685"/>
      <c r="H109" s="685"/>
      <c r="I109" s="685"/>
      <c r="J109" s="685"/>
      <c r="K109" s="692" t="s">
        <v>1911</v>
      </c>
      <c r="L109" s="695"/>
      <c r="S109" s="780"/>
    </row>
    <row r="110" spans="2:19" s="467" customFormat="1" ht="15" customHeight="1" outlineLevel="1" x14ac:dyDescent="0.35">
      <c r="B110" s="759" t="s">
        <v>1838</v>
      </c>
      <c r="C110" s="677" t="s">
        <v>1839</v>
      </c>
      <c r="D110" s="665">
        <v>1</v>
      </c>
      <c r="E110" s="665" t="s">
        <v>1931</v>
      </c>
      <c r="F110" s="685"/>
      <c r="G110" s="685"/>
      <c r="H110" s="685"/>
      <c r="I110" s="685"/>
      <c r="J110" s="685"/>
      <c r="K110" s="692" t="s">
        <v>1911</v>
      </c>
      <c r="L110" s="695"/>
      <c r="S110" s="780"/>
    </row>
    <row r="111" spans="2:19" s="467" customFormat="1" ht="15" customHeight="1" outlineLevel="1" x14ac:dyDescent="0.35">
      <c r="B111" s="759" t="s">
        <v>1791</v>
      </c>
      <c r="C111" s="677" t="s">
        <v>1830</v>
      </c>
      <c r="D111" s="665">
        <v>1</v>
      </c>
      <c r="E111" s="665" t="s">
        <v>1932</v>
      </c>
      <c r="F111" s="685"/>
      <c r="G111" s="685"/>
      <c r="H111" s="685"/>
      <c r="I111" s="685"/>
      <c r="J111" s="685"/>
      <c r="K111" s="692" t="s">
        <v>1911</v>
      </c>
      <c r="L111" s="695"/>
      <c r="S111" s="780"/>
    </row>
    <row r="112" spans="2:19" s="467" customFormat="1" ht="15" customHeight="1" outlineLevel="1" x14ac:dyDescent="0.35">
      <c r="B112" s="759" t="s">
        <v>1792</v>
      </c>
      <c r="C112" s="677" t="s">
        <v>1831</v>
      </c>
      <c r="D112" s="665">
        <v>2</v>
      </c>
      <c r="E112" s="665" t="s">
        <v>2002</v>
      </c>
      <c r="F112" s="685"/>
      <c r="G112" s="685"/>
      <c r="H112" s="685"/>
      <c r="I112" s="685"/>
      <c r="J112" s="685"/>
      <c r="K112" s="692" t="s">
        <v>1911</v>
      </c>
      <c r="L112" s="695"/>
      <c r="S112" s="780"/>
    </row>
    <row r="113" spans="2:19" s="467" customFormat="1" ht="15" customHeight="1" outlineLevel="1" x14ac:dyDescent="0.35">
      <c r="B113" s="759" t="s">
        <v>1949</v>
      </c>
      <c r="C113" s="677" t="s">
        <v>1950</v>
      </c>
      <c r="D113" s="665">
        <v>2</v>
      </c>
      <c r="E113" s="665" t="s">
        <v>2001</v>
      </c>
      <c r="F113" s="685"/>
      <c r="G113" s="685"/>
      <c r="H113" s="685"/>
      <c r="I113" s="685"/>
      <c r="J113" s="685"/>
      <c r="K113" s="692" t="s">
        <v>1911</v>
      </c>
      <c r="L113" s="695"/>
      <c r="S113" s="780"/>
    </row>
    <row r="114" spans="2:19" s="467" customFormat="1" ht="15" customHeight="1" outlineLevel="1" x14ac:dyDescent="0.35">
      <c r="B114" s="759"/>
      <c r="C114" s="677"/>
      <c r="D114" s="678"/>
      <c r="E114" s="678"/>
      <c r="F114" s="685"/>
      <c r="G114" s="685"/>
      <c r="H114" s="685"/>
      <c r="I114" s="685"/>
      <c r="J114" s="685"/>
      <c r="K114" s="692" t="s">
        <v>1911</v>
      </c>
      <c r="L114" s="695"/>
      <c r="S114" s="780"/>
    </row>
    <row r="115" spans="2:19" s="392" customFormat="1" outlineLevel="1" x14ac:dyDescent="0.35">
      <c r="B115" s="672"/>
      <c r="C115" s="754" t="s">
        <v>1843</v>
      </c>
      <c r="D115" s="673"/>
      <c r="E115" s="673"/>
      <c r="F115" s="673"/>
      <c r="G115" s="673"/>
      <c r="H115" s="673"/>
      <c r="I115" s="673"/>
      <c r="J115" s="673"/>
      <c r="K115" s="715"/>
      <c r="L115" s="675"/>
      <c r="S115" s="781"/>
    </row>
    <row r="116" spans="2:19" s="467" customFormat="1" ht="15" customHeight="1" outlineLevel="1" x14ac:dyDescent="0.35">
      <c r="B116" s="759" t="s">
        <v>1802</v>
      </c>
      <c r="C116" s="677" t="s">
        <v>1841</v>
      </c>
      <c r="D116" s="665">
        <v>1</v>
      </c>
      <c r="E116" s="665" t="s">
        <v>1947</v>
      </c>
      <c r="F116" s="685"/>
      <c r="G116" s="685"/>
      <c r="H116" s="685"/>
      <c r="I116" s="685"/>
      <c r="J116" s="685"/>
      <c r="K116" s="692" t="s">
        <v>1911</v>
      </c>
      <c r="L116" s="695"/>
      <c r="S116" s="780"/>
    </row>
    <row r="117" spans="2:19" s="467" customFormat="1" ht="15" customHeight="1" outlineLevel="1" x14ac:dyDescent="0.35">
      <c r="B117" s="759" t="s">
        <v>1803</v>
      </c>
      <c r="C117" s="677" t="s">
        <v>1840</v>
      </c>
      <c r="D117" s="665">
        <v>1</v>
      </c>
      <c r="E117" s="665" t="s">
        <v>1948</v>
      </c>
      <c r="F117" s="685"/>
      <c r="G117" s="685"/>
      <c r="H117" s="685"/>
      <c r="I117" s="685"/>
      <c r="J117" s="685"/>
      <c r="K117" s="692" t="s">
        <v>1911</v>
      </c>
      <c r="L117" s="695"/>
      <c r="S117" s="780"/>
    </row>
    <row r="118" spans="2:19" s="467" customFormat="1" ht="15" customHeight="1" outlineLevel="1" x14ac:dyDescent="0.35">
      <c r="B118" s="759"/>
      <c r="C118" s="677"/>
      <c r="D118" s="678"/>
      <c r="E118" s="678"/>
      <c r="F118" s="685"/>
      <c r="G118" s="685"/>
      <c r="H118" s="685"/>
      <c r="I118" s="685"/>
      <c r="J118" s="685"/>
      <c r="K118" s="692" t="s">
        <v>1911</v>
      </c>
      <c r="L118" s="695"/>
      <c r="S118" s="780"/>
    </row>
    <row r="119" spans="2:19" s="392" customFormat="1" outlineLevel="1" x14ac:dyDescent="0.35">
      <c r="B119" s="672"/>
      <c r="C119" s="754" t="s">
        <v>1842</v>
      </c>
      <c r="D119" s="673"/>
      <c r="E119" s="673"/>
      <c r="F119" s="673"/>
      <c r="G119" s="673"/>
      <c r="H119" s="673"/>
      <c r="I119" s="673"/>
      <c r="J119" s="673"/>
      <c r="K119" s="715"/>
      <c r="L119" s="675"/>
      <c r="S119" s="781"/>
    </row>
    <row r="120" spans="2:19" s="467" customFormat="1" ht="15" customHeight="1" outlineLevel="1" x14ac:dyDescent="0.35">
      <c r="B120" s="759" t="s">
        <v>1827</v>
      </c>
      <c r="C120" s="677" t="s">
        <v>1828</v>
      </c>
      <c r="D120" s="665">
        <v>1</v>
      </c>
      <c r="E120" s="665" t="s">
        <v>1933</v>
      </c>
      <c r="F120" s="685"/>
      <c r="G120" s="685"/>
      <c r="H120" s="685"/>
      <c r="I120" s="685"/>
      <c r="J120" s="685"/>
      <c r="K120" s="692" t="s">
        <v>1911</v>
      </c>
      <c r="L120" s="695"/>
      <c r="S120" s="780"/>
    </row>
    <row r="121" spans="2:19" s="467" customFormat="1" ht="14.15" customHeight="1" outlineLevel="1" thickBot="1" x14ac:dyDescent="0.4">
      <c r="B121" s="763"/>
      <c r="C121" s="688"/>
      <c r="D121" s="688"/>
      <c r="E121" s="688"/>
      <c r="F121" s="688"/>
      <c r="G121" s="688"/>
      <c r="H121" s="688"/>
      <c r="I121" s="688"/>
      <c r="J121" s="688"/>
      <c r="K121" s="697"/>
      <c r="L121" s="710"/>
      <c r="S121" s="780"/>
    </row>
    <row r="122" spans="2:19" ht="15" thickBot="1" x14ac:dyDescent="0.4">
      <c r="B122" s="2"/>
    </row>
    <row r="123" spans="2:19" ht="23" thickBot="1" x14ac:dyDescent="0.4">
      <c r="B123" s="524"/>
      <c r="C123" s="525" t="s">
        <v>1762</v>
      </c>
      <c r="D123" s="525"/>
      <c r="E123" s="525"/>
      <c r="F123" s="525"/>
      <c r="G123" s="525"/>
      <c r="H123" s="525"/>
      <c r="I123" s="525"/>
      <c r="J123" s="525"/>
      <c r="K123" s="527"/>
      <c r="L123" s="526"/>
    </row>
    <row r="124" spans="2:19" s="2" customFormat="1" ht="15.5" outlineLevel="1" thickTop="1" thickBot="1" x14ac:dyDescent="0.4">
      <c r="B124" s="721"/>
      <c r="C124" s="719" t="s">
        <v>0</v>
      </c>
      <c r="D124" s="719" t="s">
        <v>1033</v>
      </c>
      <c r="E124" s="719" t="s">
        <v>1782</v>
      </c>
      <c r="F124" s="719" t="s">
        <v>2224</v>
      </c>
      <c r="G124" s="719"/>
      <c r="H124" s="719"/>
      <c r="I124" s="719"/>
      <c r="J124" s="719"/>
      <c r="K124" s="719"/>
      <c r="L124" s="720"/>
      <c r="M124" s="385"/>
      <c r="S124" s="783"/>
    </row>
    <row r="125" spans="2:19" s="467" customFormat="1" ht="15" customHeight="1" outlineLevel="1" thickTop="1" x14ac:dyDescent="0.35">
      <c r="B125" s="759" t="s">
        <v>2149</v>
      </c>
      <c r="C125" s="677" t="s">
        <v>1763</v>
      </c>
      <c r="D125" s="665">
        <v>0</v>
      </c>
      <c r="E125" s="722">
        <v>0</v>
      </c>
      <c r="F125" s="669"/>
      <c r="G125" s="682"/>
      <c r="H125" s="682"/>
      <c r="I125" s="682"/>
      <c r="J125" s="682"/>
      <c r="K125" s="692"/>
      <c r="L125" s="699"/>
      <c r="N125" s="1"/>
      <c r="O125" s="1"/>
      <c r="P125" s="1"/>
      <c r="Q125" s="1"/>
      <c r="R125" s="1"/>
      <c r="S125" s="780"/>
    </row>
    <row r="126" spans="2:19" s="467" customFormat="1" ht="15" customHeight="1" outlineLevel="1" x14ac:dyDescent="0.35">
      <c r="B126" s="759" t="s">
        <v>2149</v>
      </c>
      <c r="C126" s="677" t="s">
        <v>1755</v>
      </c>
      <c r="D126" s="665">
        <v>6</v>
      </c>
      <c r="E126" s="722">
        <v>0</v>
      </c>
      <c r="F126" s="669"/>
      <c r="G126" s="682"/>
      <c r="H126" s="682"/>
      <c r="I126" s="682"/>
      <c r="J126" s="682"/>
      <c r="K126" s="692"/>
      <c r="L126" s="699"/>
      <c r="N126" s="1"/>
      <c r="O126" s="1"/>
      <c r="P126" s="1"/>
      <c r="Q126" s="1"/>
      <c r="R126" s="1"/>
      <c r="S126" s="780"/>
    </row>
    <row r="127" spans="2:19" s="467" customFormat="1" ht="15" customHeight="1" outlineLevel="1" x14ac:dyDescent="0.35">
      <c r="B127" s="759" t="s">
        <v>2149</v>
      </c>
      <c r="C127" s="677" t="s">
        <v>1543</v>
      </c>
      <c r="D127" s="665">
        <v>7</v>
      </c>
      <c r="E127" s="722">
        <v>0</v>
      </c>
      <c r="F127" s="669"/>
      <c r="G127" s="682"/>
      <c r="H127" s="682"/>
      <c r="I127" s="682"/>
      <c r="J127" s="682"/>
      <c r="K127" s="692"/>
      <c r="L127" s="699"/>
      <c r="N127" s="1"/>
      <c r="O127" s="1"/>
      <c r="P127" s="1"/>
      <c r="Q127" s="1"/>
      <c r="R127" s="1"/>
      <c r="S127" s="780"/>
    </row>
    <row r="128" spans="2:19" s="467" customFormat="1" ht="15" customHeight="1" outlineLevel="1" x14ac:dyDescent="0.35">
      <c r="B128" s="759" t="s">
        <v>2149</v>
      </c>
      <c r="C128" s="677" t="s">
        <v>1764</v>
      </c>
      <c r="D128" s="665">
        <v>2</v>
      </c>
      <c r="E128" s="722">
        <v>12</v>
      </c>
      <c r="F128" s="669" t="s">
        <v>2270</v>
      </c>
      <c r="G128" s="682"/>
      <c r="H128" s="682"/>
      <c r="I128" s="682"/>
      <c r="J128" s="682"/>
      <c r="K128" s="692"/>
      <c r="L128" s="699"/>
      <c r="N128" s="1"/>
      <c r="O128" s="1"/>
      <c r="P128" s="1"/>
      <c r="Q128" s="1"/>
      <c r="R128" s="1"/>
      <c r="S128" s="780"/>
    </row>
    <row r="129" spans="1:19" s="467" customFormat="1" ht="15" customHeight="1" outlineLevel="1" x14ac:dyDescent="0.35">
      <c r="B129" s="759" t="s">
        <v>2149</v>
      </c>
      <c r="C129" s="677" t="s">
        <v>1912</v>
      </c>
      <c r="D129" s="665">
        <v>3</v>
      </c>
      <c r="E129" s="722">
        <v>14</v>
      </c>
      <c r="F129" s="669" t="s">
        <v>2270</v>
      </c>
      <c r="G129" s="682"/>
      <c r="H129" s="682"/>
      <c r="I129" s="682"/>
      <c r="J129" s="682"/>
      <c r="K129" s="692"/>
      <c r="L129" s="699"/>
      <c r="N129" s="1"/>
      <c r="O129" s="1"/>
      <c r="P129" s="1"/>
      <c r="Q129" s="1"/>
      <c r="R129" s="1"/>
      <c r="S129" s="780"/>
    </row>
    <row r="130" spans="1:19" s="467" customFormat="1" ht="15" customHeight="1" outlineLevel="1" x14ac:dyDescent="0.35">
      <c r="B130" s="759" t="s">
        <v>2149</v>
      </c>
      <c r="C130" s="700" t="s">
        <v>2197</v>
      </c>
      <c r="D130" s="665">
        <v>4</v>
      </c>
      <c r="E130" s="722">
        <v>15</v>
      </c>
      <c r="F130" s="669" t="s">
        <v>2269</v>
      </c>
      <c r="G130" s="851" t="s">
        <v>2272</v>
      </c>
      <c r="H130" s="682"/>
      <c r="I130" s="682"/>
      <c r="J130" s="682"/>
      <c r="K130" s="692"/>
      <c r="L130" s="699"/>
      <c r="N130" s="1"/>
      <c r="O130" s="1"/>
      <c r="P130" s="1"/>
      <c r="Q130" s="1"/>
      <c r="R130" s="1"/>
      <c r="S130" s="780"/>
    </row>
    <row r="131" spans="1:19" s="467" customFormat="1" ht="15" customHeight="1" outlineLevel="1" x14ac:dyDescent="0.35">
      <c r="B131" s="759" t="s">
        <v>2149</v>
      </c>
      <c r="C131" s="700" t="s">
        <v>2198</v>
      </c>
      <c r="D131" s="665">
        <v>5</v>
      </c>
      <c r="E131" s="722">
        <v>5</v>
      </c>
      <c r="F131" s="669" t="s">
        <v>2274</v>
      </c>
      <c r="G131" s="682" t="s">
        <v>2275</v>
      </c>
      <c r="H131" s="682"/>
      <c r="I131" s="682"/>
      <c r="J131" s="682"/>
      <c r="K131" s="692"/>
      <c r="L131" s="699"/>
      <c r="N131" s="1"/>
      <c r="O131" s="1"/>
      <c r="P131" s="1"/>
      <c r="Q131" s="1"/>
      <c r="R131" s="1"/>
      <c r="S131" s="780"/>
    </row>
    <row r="132" spans="1:19" s="467" customFormat="1" ht="15" customHeight="1" outlineLevel="1" x14ac:dyDescent="0.35">
      <c r="B132" s="759" t="s">
        <v>2149</v>
      </c>
      <c r="C132" s="677" t="s">
        <v>1885</v>
      </c>
      <c r="D132" s="665">
        <v>8</v>
      </c>
      <c r="E132" s="722">
        <v>8</v>
      </c>
      <c r="F132" s="669" t="s">
        <v>2271</v>
      </c>
      <c r="G132" s="851" t="s">
        <v>2273</v>
      </c>
      <c r="H132" s="682"/>
      <c r="I132" s="682"/>
      <c r="J132" s="682"/>
      <c r="K132" s="692"/>
      <c r="L132" s="699"/>
      <c r="N132" s="1"/>
      <c r="O132" s="1"/>
      <c r="P132" s="1"/>
      <c r="Q132" s="1"/>
      <c r="R132" s="1"/>
      <c r="S132" s="780"/>
    </row>
    <row r="133" spans="1:19" s="467" customFormat="1" ht="15" customHeight="1" outlineLevel="1" x14ac:dyDescent="0.35">
      <c r="B133" s="759" t="s">
        <v>2149</v>
      </c>
      <c r="C133" s="682" t="s">
        <v>2199</v>
      </c>
      <c r="D133" s="665">
        <v>10</v>
      </c>
      <c r="E133" s="722">
        <v>13</v>
      </c>
      <c r="F133" s="669" t="s">
        <v>2270</v>
      </c>
      <c r="G133" s="682"/>
      <c r="H133" s="682"/>
      <c r="I133" s="682"/>
      <c r="J133" s="682"/>
      <c r="K133" s="692"/>
      <c r="L133" s="699"/>
      <c r="N133" s="1"/>
      <c r="O133" s="1"/>
      <c r="P133" s="1"/>
      <c r="Q133" s="1"/>
      <c r="R133" s="1"/>
      <c r="S133" s="780"/>
    </row>
    <row r="134" spans="1:19" s="467" customFormat="1" ht="15" customHeight="1" outlineLevel="1" thickBot="1" x14ac:dyDescent="0.4">
      <c r="B134" s="763"/>
      <c r="C134" s="688"/>
      <c r="D134" s="671"/>
      <c r="E134" s="723"/>
      <c r="F134" s="724"/>
      <c r="G134" s="725"/>
      <c r="H134" s="725"/>
      <c r="I134" s="725"/>
      <c r="J134" s="725"/>
      <c r="K134" s="697"/>
      <c r="L134" s="726"/>
      <c r="N134" s="1"/>
      <c r="O134" s="1"/>
      <c r="P134" s="1"/>
      <c r="Q134" s="1"/>
      <c r="R134" s="1"/>
      <c r="S134" s="780"/>
    </row>
    <row r="135" spans="1:19" ht="15" thickBot="1" x14ac:dyDescent="0.4">
      <c r="B135" s="2"/>
    </row>
    <row r="136" spans="1:19" ht="23" thickBot="1" x14ac:dyDescent="0.4">
      <c r="B136" s="524"/>
      <c r="C136" s="525" t="s">
        <v>1657</v>
      </c>
      <c r="D136" s="525"/>
      <c r="E136" s="525"/>
      <c r="F136" s="525"/>
      <c r="G136" s="525"/>
      <c r="H136" s="525"/>
      <c r="I136" s="525"/>
      <c r="J136" s="525"/>
      <c r="K136" s="527"/>
      <c r="L136" s="526"/>
    </row>
    <row r="137" spans="1:19" s="2" customFormat="1" ht="15.5" outlineLevel="1" thickTop="1" thickBot="1" x14ac:dyDescent="0.4">
      <c r="B137" s="721"/>
      <c r="C137" s="719" t="s">
        <v>0</v>
      </c>
      <c r="D137" s="719"/>
      <c r="E137" s="719"/>
      <c r="F137" s="719"/>
      <c r="G137" s="719"/>
      <c r="H137" s="719"/>
      <c r="I137" s="719"/>
      <c r="J137" s="719"/>
      <c r="K137" s="719"/>
      <c r="L137" s="720"/>
      <c r="M137" s="385"/>
      <c r="S137" s="783"/>
    </row>
    <row r="138" spans="1:19" ht="15" outlineLevel="1" thickTop="1" x14ac:dyDescent="0.35">
      <c r="A138" s="483"/>
      <c r="B138" s="762" t="s">
        <v>2150</v>
      </c>
      <c r="C138" s="757" t="s">
        <v>1241</v>
      </c>
      <c r="D138" s="664"/>
      <c r="E138" s="664"/>
      <c r="F138" s="664"/>
      <c r="G138" s="664"/>
      <c r="H138" s="664"/>
      <c r="I138" s="664"/>
      <c r="J138" s="664"/>
      <c r="K138" s="664"/>
      <c r="L138" s="666"/>
    </row>
    <row r="139" spans="1:19" outlineLevel="1" x14ac:dyDescent="0.35">
      <c r="A139" s="483"/>
      <c r="B139" s="762" t="s">
        <v>2150</v>
      </c>
      <c r="C139" s="664" t="s">
        <v>2191</v>
      </c>
      <c r="D139" s="664"/>
      <c r="E139" s="664"/>
      <c r="F139" s="664"/>
      <c r="G139" s="664"/>
      <c r="H139" s="664"/>
      <c r="I139" s="664"/>
      <c r="J139" s="664"/>
      <c r="K139" s="664"/>
      <c r="L139" s="666"/>
    </row>
    <row r="140" spans="1:19" outlineLevel="1" x14ac:dyDescent="0.35">
      <c r="A140" s="483"/>
      <c r="B140" s="762" t="s">
        <v>2150</v>
      </c>
      <c r="C140" s="664" t="s">
        <v>1484</v>
      </c>
      <c r="D140" s="664"/>
      <c r="E140" s="664"/>
      <c r="F140" s="664"/>
      <c r="G140" s="664"/>
      <c r="H140" s="664"/>
      <c r="I140" s="664"/>
      <c r="J140" s="664"/>
      <c r="K140" s="664"/>
      <c r="L140" s="666"/>
    </row>
    <row r="141" spans="1:19" outlineLevel="1" x14ac:dyDescent="0.35">
      <c r="A141" s="483"/>
      <c r="B141" s="762" t="s">
        <v>2150</v>
      </c>
      <c r="C141" s="664" t="s">
        <v>1242</v>
      </c>
      <c r="D141" s="664"/>
      <c r="E141" s="664"/>
      <c r="F141" s="664"/>
      <c r="G141" s="664"/>
      <c r="H141" s="664"/>
      <c r="I141" s="664"/>
      <c r="J141" s="664"/>
      <c r="K141" s="664"/>
      <c r="L141" s="666"/>
    </row>
    <row r="142" spans="1:19" outlineLevel="1" x14ac:dyDescent="0.35">
      <c r="A142" s="483"/>
      <c r="B142" s="762" t="s">
        <v>2150</v>
      </c>
      <c r="C142" s="664" t="s">
        <v>1243</v>
      </c>
      <c r="D142" s="664"/>
      <c r="E142" s="664"/>
      <c r="F142" s="664"/>
      <c r="G142" s="664"/>
      <c r="H142" s="664"/>
      <c r="I142" s="664"/>
      <c r="J142" s="664"/>
      <c r="K142" s="664"/>
      <c r="L142" s="666"/>
    </row>
    <row r="143" spans="1:19" outlineLevel="1" x14ac:dyDescent="0.35">
      <c r="A143" s="483"/>
      <c r="B143" s="762" t="s">
        <v>2150</v>
      </c>
      <c r="C143" s="664" t="s">
        <v>1245</v>
      </c>
      <c r="D143" s="664"/>
      <c r="E143" s="664"/>
      <c r="F143" s="664"/>
      <c r="G143" s="664"/>
      <c r="H143" s="664"/>
      <c r="I143" s="664"/>
      <c r="J143" s="664"/>
      <c r="K143" s="664"/>
      <c r="L143" s="666"/>
    </row>
    <row r="144" spans="1:19" outlineLevel="1" x14ac:dyDescent="0.35">
      <c r="A144" s="483"/>
      <c r="B144" s="762" t="s">
        <v>2150</v>
      </c>
      <c r="C144" s="664" t="s">
        <v>1246</v>
      </c>
      <c r="D144" s="664"/>
      <c r="E144" s="664"/>
      <c r="F144" s="664"/>
      <c r="G144" s="664"/>
      <c r="H144" s="664"/>
      <c r="I144" s="664"/>
      <c r="J144" s="664"/>
      <c r="K144" s="664"/>
      <c r="L144" s="666"/>
    </row>
    <row r="145" spans="1:19" outlineLevel="1" x14ac:dyDescent="0.35">
      <c r="A145" s="483"/>
      <c r="B145" s="762" t="s">
        <v>2150</v>
      </c>
      <c r="C145" s="664" t="s">
        <v>1247</v>
      </c>
      <c r="D145" s="664"/>
      <c r="E145" s="664"/>
      <c r="F145" s="664"/>
      <c r="G145" s="664"/>
      <c r="H145" s="664"/>
      <c r="I145" s="664"/>
      <c r="J145" s="664"/>
      <c r="K145" s="664"/>
      <c r="L145" s="666"/>
    </row>
    <row r="146" spans="1:19" outlineLevel="1" x14ac:dyDescent="0.35">
      <c r="A146" s="483"/>
      <c r="B146" s="762" t="s">
        <v>2150</v>
      </c>
      <c r="C146" s="664" t="s">
        <v>1248</v>
      </c>
      <c r="D146" s="664"/>
      <c r="E146" s="664"/>
      <c r="F146" s="664"/>
      <c r="G146" s="664"/>
      <c r="H146" s="664"/>
      <c r="I146" s="664"/>
      <c r="J146" s="664"/>
      <c r="K146" s="664"/>
      <c r="L146" s="666"/>
    </row>
    <row r="147" spans="1:19" outlineLevel="1" x14ac:dyDescent="0.35">
      <c r="A147" s="483"/>
      <c r="B147" s="762" t="s">
        <v>2150</v>
      </c>
      <c r="C147" s="664" t="s">
        <v>1249</v>
      </c>
      <c r="D147" s="664"/>
      <c r="E147" s="664"/>
      <c r="F147" s="664"/>
      <c r="G147" s="664"/>
      <c r="H147" s="664"/>
      <c r="I147" s="664"/>
      <c r="J147" s="664"/>
      <c r="K147" s="664"/>
      <c r="L147" s="666"/>
    </row>
    <row r="148" spans="1:19" outlineLevel="1" x14ac:dyDescent="0.35">
      <c r="A148" s="483"/>
      <c r="B148" s="762" t="s">
        <v>2150</v>
      </c>
      <c r="C148" s="664" t="s">
        <v>1250</v>
      </c>
      <c r="D148" s="664"/>
      <c r="E148" s="664"/>
      <c r="F148" s="664"/>
      <c r="G148" s="664"/>
      <c r="H148" s="664"/>
      <c r="I148" s="664"/>
      <c r="J148" s="664"/>
      <c r="K148" s="664"/>
      <c r="L148" s="666"/>
    </row>
    <row r="149" spans="1:19" outlineLevel="1" x14ac:dyDescent="0.35">
      <c r="A149" s="483"/>
      <c r="B149" s="762" t="s">
        <v>2150</v>
      </c>
      <c r="C149" s="664" t="s">
        <v>1252</v>
      </c>
      <c r="D149" s="664"/>
      <c r="E149" s="664"/>
      <c r="F149" s="664"/>
      <c r="G149" s="664"/>
      <c r="H149" s="664"/>
      <c r="I149" s="664"/>
      <c r="J149" s="664"/>
      <c r="K149" s="664"/>
      <c r="L149" s="666"/>
    </row>
    <row r="150" spans="1:19" outlineLevel="1" x14ac:dyDescent="0.35">
      <c r="A150" s="483"/>
      <c r="B150" s="762" t="s">
        <v>2150</v>
      </c>
      <c r="C150" s="664" t="s">
        <v>1253</v>
      </c>
      <c r="D150" s="664"/>
      <c r="E150" s="664"/>
      <c r="F150" s="664"/>
      <c r="G150" s="664"/>
      <c r="H150" s="664"/>
      <c r="I150" s="664"/>
      <c r="J150" s="664"/>
      <c r="K150" s="664"/>
      <c r="L150" s="666"/>
    </row>
    <row r="151" spans="1:19" ht="15" outlineLevel="1" thickBot="1" x14ac:dyDescent="0.4">
      <c r="A151" s="483"/>
      <c r="B151" s="761"/>
      <c r="C151" s="670"/>
      <c r="D151" s="670"/>
      <c r="E151" s="670"/>
      <c r="F151" s="670"/>
      <c r="G151" s="670"/>
      <c r="H151" s="670"/>
      <c r="I151" s="670"/>
      <c r="J151" s="670"/>
      <c r="K151" s="670"/>
      <c r="L151" s="711"/>
    </row>
    <row r="152" spans="1:19" ht="15" thickBot="1" x14ac:dyDescent="0.4">
      <c r="B152" s="2"/>
      <c r="K152" s="1"/>
    </row>
    <row r="153" spans="1:19" ht="23" thickBot="1" x14ac:dyDescent="0.4">
      <c r="B153" s="524"/>
      <c r="C153" s="525" t="s">
        <v>11</v>
      </c>
      <c r="D153" s="525"/>
      <c r="E153" s="525"/>
      <c r="F153" s="525"/>
      <c r="G153" s="525"/>
      <c r="H153" s="525"/>
      <c r="I153" s="525"/>
      <c r="J153" s="525"/>
      <c r="K153" s="527"/>
      <c r="L153" s="526"/>
    </row>
    <row r="154" spans="1:19" s="2" customFormat="1" ht="15.5" outlineLevel="1" thickTop="1" thickBot="1" x14ac:dyDescent="0.4">
      <c r="B154" s="721"/>
      <c r="C154" s="719" t="s">
        <v>0</v>
      </c>
      <c r="D154" s="719"/>
      <c r="E154" s="719"/>
      <c r="F154" s="719"/>
      <c r="G154" s="719"/>
      <c r="H154" s="719"/>
      <c r="I154" s="719"/>
      <c r="J154" s="719"/>
      <c r="K154" s="719"/>
      <c r="L154" s="720"/>
      <c r="M154" s="385"/>
      <c r="S154" s="783"/>
    </row>
    <row r="155" spans="1:19" ht="15" outlineLevel="1" thickTop="1" x14ac:dyDescent="0.35">
      <c r="A155" s="483"/>
      <c r="B155" s="762" t="s">
        <v>2151</v>
      </c>
      <c r="C155" s="757" t="s">
        <v>1031</v>
      </c>
      <c r="D155" s="664"/>
      <c r="E155" s="664"/>
      <c r="F155" s="664"/>
      <c r="G155" s="664"/>
      <c r="H155" s="664"/>
      <c r="I155" s="664"/>
      <c r="J155" s="664"/>
      <c r="K155" s="664"/>
      <c r="L155" s="666"/>
    </row>
    <row r="156" spans="1:19" outlineLevel="1" x14ac:dyDescent="0.35">
      <c r="A156" s="483"/>
      <c r="B156" s="762" t="s">
        <v>2151</v>
      </c>
      <c r="C156" s="664" t="s">
        <v>12</v>
      </c>
      <c r="D156" s="664"/>
      <c r="E156" s="664"/>
      <c r="F156" s="664"/>
      <c r="G156" s="664"/>
      <c r="H156" s="664"/>
      <c r="I156" s="664"/>
      <c r="J156" s="664"/>
      <c r="K156" s="664"/>
      <c r="L156" s="666"/>
    </row>
    <row r="157" spans="1:19" outlineLevel="1" x14ac:dyDescent="0.35">
      <c r="A157" s="483"/>
      <c r="B157" s="762" t="s">
        <v>2151</v>
      </c>
      <c r="C157" s="664" t="s">
        <v>13</v>
      </c>
      <c r="D157" s="664"/>
      <c r="E157" s="664"/>
      <c r="F157" s="664"/>
      <c r="G157" s="664"/>
      <c r="H157" s="664"/>
      <c r="I157" s="664"/>
      <c r="J157" s="664"/>
      <c r="K157" s="664"/>
      <c r="L157" s="666"/>
    </row>
    <row r="158" spans="1:19" outlineLevel="1" x14ac:dyDescent="0.35">
      <c r="A158" s="483"/>
      <c r="B158" s="762" t="s">
        <v>2151</v>
      </c>
      <c r="C158" s="664" t="s">
        <v>14</v>
      </c>
      <c r="D158" s="664"/>
      <c r="E158" s="664"/>
      <c r="F158" s="664"/>
      <c r="G158" s="664"/>
      <c r="H158" s="664"/>
      <c r="I158" s="664"/>
      <c r="J158" s="664"/>
      <c r="K158" s="664"/>
      <c r="L158" s="666"/>
    </row>
    <row r="159" spans="1:19" outlineLevel="1" x14ac:dyDescent="0.35">
      <c r="A159" s="483"/>
      <c r="B159" s="762" t="s">
        <v>2151</v>
      </c>
      <c r="C159" s="664" t="s">
        <v>15</v>
      </c>
      <c r="D159" s="664"/>
      <c r="E159" s="664"/>
      <c r="F159" s="664"/>
      <c r="G159" s="664"/>
      <c r="H159" s="664"/>
      <c r="I159" s="664"/>
      <c r="J159" s="664"/>
      <c r="K159" s="664"/>
      <c r="L159" s="666"/>
    </row>
    <row r="160" spans="1:19" outlineLevel="1" x14ac:dyDescent="0.35">
      <c r="A160" s="483"/>
      <c r="B160" s="762" t="s">
        <v>2151</v>
      </c>
      <c r="C160" s="664" t="s">
        <v>16</v>
      </c>
      <c r="D160" s="664"/>
      <c r="E160" s="664"/>
      <c r="F160" s="664"/>
      <c r="G160" s="664"/>
      <c r="H160" s="664"/>
      <c r="I160" s="664"/>
      <c r="J160" s="664"/>
      <c r="K160" s="664"/>
      <c r="L160" s="666"/>
    </row>
    <row r="161" spans="1:19" outlineLevel="1" x14ac:dyDescent="0.35">
      <c r="A161" s="483"/>
      <c r="B161" s="762" t="s">
        <v>2151</v>
      </c>
      <c r="C161" s="664" t="s">
        <v>17</v>
      </c>
      <c r="D161" s="664"/>
      <c r="E161" s="664"/>
      <c r="F161" s="664"/>
      <c r="G161" s="664"/>
      <c r="H161" s="664"/>
      <c r="I161" s="664"/>
      <c r="J161" s="664"/>
      <c r="K161" s="664"/>
      <c r="L161" s="666"/>
    </row>
    <row r="162" spans="1:19" ht="15" outlineLevel="1" thickBot="1" x14ac:dyDescent="0.4">
      <c r="A162" s="483"/>
      <c r="B162" s="761"/>
      <c r="C162" s="670"/>
      <c r="D162" s="670"/>
      <c r="E162" s="670"/>
      <c r="F162" s="670"/>
      <c r="G162" s="670"/>
      <c r="H162" s="670"/>
      <c r="I162" s="670"/>
      <c r="J162" s="670"/>
      <c r="K162" s="670"/>
      <c r="L162" s="711"/>
    </row>
    <row r="163" spans="1:19" ht="15" thickBot="1" x14ac:dyDescent="0.4">
      <c r="B163" s="2"/>
    </row>
    <row r="164" spans="1:19" ht="23" thickBot="1" x14ac:dyDescent="0.4">
      <c r="B164" s="524"/>
      <c r="C164" s="525" t="s">
        <v>18</v>
      </c>
      <c r="D164" s="525"/>
      <c r="E164" s="525"/>
      <c r="F164" s="525"/>
      <c r="G164" s="525"/>
      <c r="H164" s="525"/>
      <c r="I164" s="525"/>
      <c r="J164" s="525"/>
      <c r="K164" s="527"/>
      <c r="L164" s="526"/>
    </row>
    <row r="165" spans="1:19" s="2" customFormat="1" ht="15.5" outlineLevel="1" thickTop="1" thickBot="1" x14ac:dyDescent="0.4">
      <c r="B165" s="721"/>
      <c r="C165" s="719" t="s">
        <v>0</v>
      </c>
      <c r="D165" s="719"/>
      <c r="E165" s="719"/>
      <c r="F165" s="719"/>
      <c r="G165" s="719"/>
      <c r="H165" s="719"/>
      <c r="I165" s="719"/>
      <c r="J165" s="719"/>
      <c r="K165" s="719"/>
      <c r="L165" s="720"/>
      <c r="M165" s="385"/>
      <c r="S165" s="783"/>
    </row>
    <row r="166" spans="1:19" ht="15" outlineLevel="1" thickTop="1" x14ac:dyDescent="0.35">
      <c r="A166" s="483"/>
      <c r="B166" s="762" t="s">
        <v>1913</v>
      </c>
      <c r="C166" s="757" t="s">
        <v>1479</v>
      </c>
      <c r="D166" s="664"/>
      <c r="E166" s="664"/>
      <c r="F166" s="664"/>
      <c r="G166" s="664"/>
      <c r="H166" s="664"/>
      <c r="I166" s="664"/>
      <c r="J166" s="664"/>
      <c r="K166" s="664"/>
      <c r="L166" s="666"/>
    </row>
    <row r="167" spans="1:19" outlineLevel="1" x14ac:dyDescent="0.35">
      <c r="A167" s="483"/>
      <c r="B167" s="762" t="s">
        <v>1913</v>
      </c>
      <c r="C167" s="664" t="s">
        <v>12</v>
      </c>
      <c r="D167" s="664"/>
      <c r="E167" s="664"/>
      <c r="F167" s="664"/>
      <c r="G167" s="664"/>
      <c r="H167" s="664"/>
      <c r="I167" s="664"/>
      <c r="J167" s="664"/>
      <c r="K167" s="664"/>
      <c r="L167" s="666"/>
    </row>
    <row r="168" spans="1:19" outlineLevel="1" x14ac:dyDescent="0.35">
      <c r="A168" s="483"/>
      <c r="B168" s="762" t="s">
        <v>1913</v>
      </c>
      <c r="C168" s="664" t="s">
        <v>13</v>
      </c>
      <c r="D168" s="664"/>
      <c r="E168" s="664"/>
      <c r="F168" s="664"/>
      <c r="G168" s="664"/>
      <c r="H168" s="664"/>
      <c r="I168" s="664"/>
      <c r="J168" s="664"/>
      <c r="K168" s="664"/>
      <c r="L168" s="666"/>
    </row>
    <row r="169" spans="1:19" outlineLevel="1" x14ac:dyDescent="0.35">
      <c r="A169" s="483"/>
      <c r="B169" s="762" t="s">
        <v>1913</v>
      </c>
      <c r="C169" s="664" t="s">
        <v>19</v>
      </c>
      <c r="D169" s="664"/>
      <c r="E169" s="664"/>
      <c r="F169" s="664"/>
      <c r="G169" s="664"/>
      <c r="H169" s="664"/>
      <c r="I169" s="664"/>
      <c r="J169" s="664"/>
      <c r="K169" s="664"/>
      <c r="L169" s="666"/>
    </row>
    <row r="170" spans="1:19" outlineLevel="1" x14ac:dyDescent="0.35">
      <c r="A170" s="483"/>
      <c r="B170" s="762" t="s">
        <v>1913</v>
      </c>
      <c r="C170" s="664" t="s">
        <v>36</v>
      </c>
      <c r="D170" s="664"/>
      <c r="E170" s="664"/>
      <c r="F170" s="664"/>
      <c r="G170" s="664"/>
      <c r="H170" s="664"/>
      <c r="I170" s="664"/>
      <c r="J170" s="664"/>
      <c r="K170" s="664"/>
      <c r="L170" s="666"/>
    </row>
    <row r="171" spans="1:19" outlineLevel="1" x14ac:dyDescent="0.35">
      <c r="A171" s="483"/>
      <c r="B171" s="762" t="s">
        <v>1913</v>
      </c>
      <c r="C171" s="664" t="s">
        <v>1480</v>
      </c>
      <c r="D171" s="664"/>
      <c r="E171" s="664"/>
      <c r="F171" s="664"/>
      <c r="G171" s="664"/>
      <c r="H171" s="664"/>
      <c r="I171" s="664"/>
      <c r="J171" s="664"/>
      <c r="K171" s="664"/>
      <c r="L171" s="666"/>
    </row>
    <row r="172" spans="1:19" outlineLevel="1" x14ac:dyDescent="0.35">
      <c r="A172" s="483"/>
      <c r="B172" s="762" t="s">
        <v>1913</v>
      </c>
      <c r="C172" s="664" t="s">
        <v>1481</v>
      </c>
      <c r="D172" s="664"/>
      <c r="E172" s="664"/>
      <c r="F172" s="664"/>
      <c r="G172" s="664"/>
      <c r="H172" s="664"/>
      <c r="I172" s="664"/>
      <c r="J172" s="664"/>
      <c r="K172" s="664"/>
      <c r="L172" s="666"/>
    </row>
    <row r="173" spans="1:19" outlineLevel="1" x14ac:dyDescent="0.35">
      <c r="A173" s="483"/>
      <c r="B173" s="762" t="s">
        <v>1913</v>
      </c>
      <c r="C173" s="664" t="s">
        <v>15</v>
      </c>
      <c r="D173" s="664"/>
      <c r="E173" s="664"/>
      <c r="F173" s="664"/>
      <c r="G173" s="664"/>
      <c r="H173" s="664"/>
      <c r="I173" s="664"/>
      <c r="J173" s="664"/>
      <c r="K173" s="664"/>
      <c r="L173" s="666"/>
    </row>
    <row r="174" spans="1:19" outlineLevel="1" x14ac:dyDescent="0.35">
      <c r="A174" s="483"/>
      <c r="B174" s="762" t="s">
        <v>1913</v>
      </c>
      <c r="C174" s="664" t="s">
        <v>20</v>
      </c>
      <c r="D174" s="664"/>
      <c r="E174" s="664"/>
      <c r="F174" s="664"/>
      <c r="G174" s="664"/>
      <c r="H174" s="664"/>
      <c r="I174" s="664"/>
      <c r="J174" s="664"/>
      <c r="K174" s="664"/>
      <c r="L174" s="666"/>
    </row>
    <row r="175" spans="1:19" outlineLevel="1" x14ac:dyDescent="0.35">
      <c r="A175" s="483"/>
      <c r="B175" s="762" t="s">
        <v>1913</v>
      </c>
      <c r="C175" s="664" t="s">
        <v>16</v>
      </c>
      <c r="D175" s="664"/>
      <c r="E175" s="664"/>
      <c r="F175" s="664"/>
      <c r="G175" s="664"/>
      <c r="H175" s="664"/>
      <c r="I175" s="664"/>
      <c r="J175" s="664"/>
      <c r="K175" s="664"/>
      <c r="L175" s="666"/>
    </row>
    <row r="176" spans="1:19" outlineLevel="1" x14ac:dyDescent="0.35">
      <c r="A176" s="483"/>
      <c r="B176" s="762" t="s">
        <v>1913</v>
      </c>
      <c r="C176" s="664" t="s">
        <v>17</v>
      </c>
      <c r="D176" s="664"/>
      <c r="E176" s="664"/>
      <c r="F176" s="664"/>
      <c r="G176" s="664"/>
      <c r="H176" s="664"/>
      <c r="I176" s="664"/>
      <c r="J176" s="664"/>
      <c r="K176" s="664"/>
      <c r="L176" s="666"/>
    </row>
    <row r="177" spans="1:19" outlineLevel="1" x14ac:dyDescent="0.35">
      <c r="A177" s="483"/>
      <c r="B177" s="762" t="s">
        <v>1913</v>
      </c>
      <c r="C177" s="664" t="s">
        <v>21</v>
      </c>
      <c r="D177" s="664"/>
      <c r="E177" s="664"/>
      <c r="F177" s="664"/>
      <c r="G177" s="664"/>
      <c r="H177" s="664"/>
      <c r="I177" s="664"/>
      <c r="J177" s="664"/>
      <c r="K177" s="664"/>
      <c r="L177" s="666"/>
    </row>
    <row r="178" spans="1:19" outlineLevel="1" x14ac:dyDescent="0.35">
      <c r="A178" s="483"/>
      <c r="B178" s="762" t="s">
        <v>1913</v>
      </c>
      <c r="C178" s="664" t="s">
        <v>22</v>
      </c>
      <c r="D178" s="664"/>
      <c r="E178" s="664"/>
      <c r="F178" s="664"/>
      <c r="G178" s="664"/>
      <c r="H178" s="664"/>
      <c r="I178" s="664"/>
      <c r="J178" s="664"/>
      <c r="K178" s="664"/>
      <c r="L178" s="666"/>
    </row>
    <row r="179" spans="1:19" outlineLevel="1" x14ac:dyDescent="0.35">
      <c r="A179" s="483"/>
      <c r="B179" s="762" t="s">
        <v>1913</v>
      </c>
      <c r="C179" s="664" t="s">
        <v>23</v>
      </c>
      <c r="D179" s="664"/>
      <c r="E179" s="664"/>
      <c r="F179" s="664"/>
      <c r="G179" s="664"/>
      <c r="H179" s="664"/>
      <c r="I179" s="664"/>
      <c r="J179" s="664"/>
      <c r="K179" s="664"/>
      <c r="L179" s="666"/>
    </row>
    <row r="180" spans="1:19" outlineLevel="1" x14ac:dyDescent="0.35">
      <c r="A180" s="483"/>
      <c r="B180" s="762" t="s">
        <v>1913</v>
      </c>
      <c r="C180" s="664" t="s">
        <v>24</v>
      </c>
      <c r="D180" s="664"/>
      <c r="E180" s="664"/>
      <c r="F180" s="664"/>
      <c r="G180" s="664"/>
      <c r="H180" s="664"/>
      <c r="I180" s="664"/>
      <c r="J180" s="664"/>
      <c r="K180" s="664"/>
      <c r="L180" s="666"/>
    </row>
    <row r="181" spans="1:19" outlineLevel="1" x14ac:dyDescent="0.35">
      <c r="A181" s="483"/>
      <c r="B181" s="762" t="s">
        <v>1913</v>
      </c>
      <c r="C181" s="664" t="s">
        <v>1070</v>
      </c>
      <c r="D181" s="664"/>
      <c r="E181" s="664"/>
      <c r="F181" s="664"/>
      <c r="G181" s="664"/>
      <c r="H181" s="664"/>
      <c r="I181" s="664"/>
      <c r="J181" s="664"/>
      <c r="K181" s="664"/>
      <c r="L181" s="666"/>
    </row>
    <row r="182" spans="1:19" outlineLevel="1" x14ac:dyDescent="0.35">
      <c r="A182" s="483"/>
      <c r="B182" s="762" t="s">
        <v>1913</v>
      </c>
      <c r="C182" s="664" t="s">
        <v>1071</v>
      </c>
      <c r="D182" s="664"/>
      <c r="E182" s="664"/>
      <c r="F182" s="664"/>
      <c r="G182" s="664"/>
      <c r="H182" s="664"/>
      <c r="I182" s="664"/>
      <c r="J182" s="664"/>
      <c r="K182" s="664"/>
      <c r="L182" s="666"/>
    </row>
    <row r="183" spans="1:19" outlineLevel="1" x14ac:dyDescent="0.35">
      <c r="A183" s="483"/>
      <c r="B183" s="762" t="s">
        <v>1913</v>
      </c>
      <c r="C183" s="664" t="s">
        <v>1073</v>
      </c>
      <c r="D183" s="664"/>
      <c r="E183" s="664"/>
      <c r="F183" s="664"/>
      <c r="G183" s="664"/>
      <c r="H183" s="664"/>
      <c r="I183" s="664"/>
      <c r="J183" s="664"/>
      <c r="K183" s="664"/>
      <c r="L183" s="666"/>
    </row>
    <row r="184" spans="1:19" outlineLevel="1" x14ac:dyDescent="0.35">
      <c r="A184" s="483"/>
      <c r="B184" s="762" t="s">
        <v>1913</v>
      </c>
      <c r="C184" s="664" t="s">
        <v>1072</v>
      </c>
      <c r="D184" s="664"/>
      <c r="E184" s="664"/>
      <c r="F184" s="664"/>
      <c r="G184" s="664"/>
      <c r="H184" s="664"/>
      <c r="I184" s="664"/>
      <c r="J184" s="664"/>
      <c r="K184" s="664"/>
      <c r="L184" s="666"/>
    </row>
    <row r="185" spans="1:19" outlineLevel="1" x14ac:dyDescent="0.35">
      <c r="A185" s="483"/>
      <c r="B185" s="762" t="s">
        <v>1913</v>
      </c>
      <c r="C185" s="664" t="s">
        <v>1417</v>
      </c>
      <c r="D185" s="664"/>
      <c r="E185" s="664"/>
      <c r="F185" s="664"/>
      <c r="G185" s="664"/>
      <c r="H185" s="664"/>
      <c r="I185" s="664"/>
      <c r="J185" s="664"/>
      <c r="K185" s="664"/>
      <c r="L185" s="666"/>
    </row>
    <row r="186" spans="1:19" ht="15" outlineLevel="1" thickBot="1" x14ac:dyDescent="0.4">
      <c r="A186" s="483"/>
      <c r="B186" s="761"/>
      <c r="C186" s="670"/>
      <c r="D186" s="670"/>
      <c r="E186" s="670"/>
      <c r="F186" s="670"/>
      <c r="G186" s="670"/>
      <c r="H186" s="670"/>
      <c r="I186" s="670"/>
      <c r="J186" s="670"/>
      <c r="K186" s="670"/>
      <c r="L186" s="711"/>
    </row>
    <row r="187" spans="1:19" ht="15" thickBot="1" x14ac:dyDescent="0.4">
      <c r="B187" s="2"/>
    </row>
    <row r="188" spans="1:19" ht="23" thickBot="1" x14ac:dyDescent="0.4">
      <c r="B188" s="524"/>
      <c r="C188" s="525" t="s">
        <v>25</v>
      </c>
      <c r="D188" s="525"/>
      <c r="E188" s="525"/>
      <c r="F188" s="525"/>
      <c r="G188" s="525"/>
      <c r="H188" s="525"/>
      <c r="I188" s="525"/>
      <c r="J188" s="525"/>
      <c r="K188" s="527"/>
      <c r="L188" s="526"/>
    </row>
    <row r="189" spans="1:19" s="2" customFormat="1" ht="15.5" outlineLevel="1" thickTop="1" thickBot="1" x14ac:dyDescent="0.4">
      <c r="B189" s="721"/>
      <c r="C189" s="719" t="s">
        <v>0</v>
      </c>
      <c r="D189" s="719"/>
      <c r="E189" s="719"/>
      <c r="F189" s="719"/>
      <c r="G189" s="719"/>
      <c r="H189" s="719"/>
      <c r="I189" s="719"/>
      <c r="J189" s="719"/>
      <c r="K189" s="719"/>
      <c r="L189" s="720"/>
      <c r="M189" s="385"/>
      <c r="S189" s="783"/>
    </row>
    <row r="190" spans="1:19" ht="15" outlineLevel="1" thickTop="1" x14ac:dyDescent="0.35">
      <c r="A190" s="483"/>
      <c r="B190" s="762" t="s">
        <v>1908</v>
      </c>
      <c r="C190" s="757" t="s">
        <v>1031</v>
      </c>
      <c r="D190" s="664"/>
      <c r="E190" s="664"/>
      <c r="F190" s="664"/>
      <c r="G190" s="664"/>
      <c r="H190" s="664"/>
      <c r="I190" s="664"/>
      <c r="J190" s="664"/>
      <c r="K190" s="664"/>
      <c r="L190" s="666"/>
    </row>
    <row r="191" spans="1:19" outlineLevel="1" x14ac:dyDescent="0.35">
      <c r="A191" s="483"/>
      <c r="B191" s="762" t="s">
        <v>1908</v>
      </c>
      <c r="C191" s="664" t="s">
        <v>1036</v>
      </c>
      <c r="D191" s="664"/>
      <c r="E191" s="664"/>
      <c r="F191" s="664"/>
      <c r="G191" s="664"/>
      <c r="H191" s="664"/>
      <c r="I191" s="664"/>
      <c r="J191" s="664"/>
      <c r="K191" s="664"/>
      <c r="L191" s="666"/>
    </row>
    <row r="192" spans="1:19" outlineLevel="1" x14ac:dyDescent="0.35">
      <c r="A192" s="483"/>
      <c r="B192" s="762" t="s">
        <v>1908</v>
      </c>
      <c r="C192" s="664" t="s">
        <v>1035</v>
      </c>
      <c r="D192" s="664"/>
      <c r="E192" s="664"/>
      <c r="F192" s="664"/>
      <c r="G192" s="664"/>
      <c r="H192" s="664"/>
      <c r="I192" s="664"/>
      <c r="J192" s="664"/>
      <c r="K192" s="664"/>
      <c r="L192" s="666"/>
    </row>
    <row r="193" spans="1:12" outlineLevel="1" x14ac:dyDescent="0.35">
      <c r="A193" s="483"/>
      <c r="B193" s="762" t="s">
        <v>1908</v>
      </c>
      <c r="C193" s="664" t="s">
        <v>12</v>
      </c>
      <c r="D193" s="664"/>
      <c r="E193" s="664"/>
      <c r="F193" s="664"/>
      <c r="G193" s="664"/>
      <c r="H193" s="664"/>
      <c r="I193" s="664"/>
      <c r="J193" s="664"/>
      <c r="K193" s="664"/>
      <c r="L193" s="666"/>
    </row>
    <row r="194" spans="1:12" outlineLevel="1" x14ac:dyDescent="0.35">
      <c r="A194" s="483"/>
      <c r="B194" s="762" t="s">
        <v>1908</v>
      </c>
      <c r="C194" s="664" t="s">
        <v>13</v>
      </c>
      <c r="D194" s="664"/>
      <c r="E194" s="664"/>
      <c r="F194" s="664"/>
      <c r="G194" s="664"/>
      <c r="H194" s="664"/>
      <c r="I194" s="664"/>
      <c r="J194" s="664"/>
      <c r="K194" s="664"/>
      <c r="L194" s="666"/>
    </row>
    <row r="195" spans="1:12" outlineLevel="1" x14ac:dyDescent="0.35">
      <c r="A195" s="483"/>
      <c r="B195" s="762" t="s">
        <v>1908</v>
      </c>
      <c r="C195" s="664" t="s">
        <v>26</v>
      </c>
      <c r="D195" s="664"/>
      <c r="E195" s="664"/>
      <c r="F195" s="664"/>
      <c r="G195" s="664"/>
      <c r="H195" s="664"/>
      <c r="I195" s="664"/>
      <c r="J195" s="664"/>
      <c r="K195" s="664"/>
      <c r="L195" s="666"/>
    </row>
    <row r="196" spans="1:12" outlineLevel="1" x14ac:dyDescent="0.35">
      <c r="A196" s="483"/>
      <c r="B196" s="762" t="s">
        <v>1908</v>
      </c>
      <c r="C196" s="664" t="s">
        <v>27</v>
      </c>
      <c r="D196" s="664"/>
      <c r="E196" s="664"/>
      <c r="F196" s="664"/>
      <c r="G196" s="664"/>
      <c r="H196" s="664"/>
      <c r="I196" s="664"/>
      <c r="J196" s="664"/>
      <c r="K196" s="664"/>
      <c r="L196" s="666"/>
    </row>
    <row r="197" spans="1:12" outlineLevel="1" x14ac:dyDescent="0.35">
      <c r="A197" s="483"/>
      <c r="B197" s="762" t="s">
        <v>1908</v>
      </c>
      <c r="C197" s="664" t="s">
        <v>28</v>
      </c>
      <c r="D197" s="664"/>
      <c r="E197" s="664"/>
      <c r="F197" s="664"/>
      <c r="G197" s="664"/>
      <c r="H197" s="664"/>
      <c r="I197" s="664"/>
      <c r="J197" s="664"/>
      <c r="K197" s="664"/>
      <c r="L197" s="666"/>
    </row>
    <row r="198" spans="1:12" outlineLevel="1" x14ac:dyDescent="0.35">
      <c r="A198" s="483"/>
      <c r="B198" s="762" t="s">
        <v>1908</v>
      </c>
      <c r="C198" s="664" t="s">
        <v>29</v>
      </c>
      <c r="D198" s="664"/>
      <c r="E198" s="664"/>
      <c r="F198" s="664"/>
      <c r="G198" s="664"/>
      <c r="H198" s="664"/>
      <c r="I198" s="664"/>
      <c r="J198" s="664"/>
      <c r="K198" s="664"/>
      <c r="L198" s="666"/>
    </row>
    <row r="199" spans="1:12" outlineLevel="1" x14ac:dyDescent="0.35">
      <c r="A199" s="483"/>
      <c r="B199" s="762" t="s">
        <v>1908</v>
      </c>
      <c r="C199" s="664" t="s">
        <v>30</v>
      </c>
      <c r="D199" s="664"/>
      <c r="E199" s="664"/>
      <c r="F199" s="664"/>
      <c r="G199" s="664"/>
      <c r="H199" s="664"/>
      <c r="I199" s="664"/>
      <c r="J199" s="664"/>
      <c r="K199" s="664"/>
      <c r="L199" s="666"/>
    </row>
    <row r="200" spans="1:12" outlineLevel="1" x14ac:dyDescent="0.35">
      <c r="A200" s="483"/>
      <c r="B200" s="762" t="s">
        <v>1908</v>
      </c>
      <c r="C200" s="664" t="s">
        <v>31</v>
      </c>
      <c r="D200" s="664"/>
      <c r="E200" s="664"/>
      <c r="F200" s="664"/>
      <c r="G200" s="664"/>
      <c r="H200" s="664"/>
      <c r="I200" s="664"/>
      <c r="J200" s="664"/>
      <c r="K200" s="664"/>
      <c r="L200" s="666"/>
    </row>
    <row r="201" spans="1:12" outlineLevel="1" x14ac:dyDescent="0.35">
      <c r="A201" s="483"/>
      <c r="B201" s="762" t="s">
        <v>1908</v>
      </c>
      <c r="C201" s="664" t="s">
        <v>1154</v>
      </c>
      <c r="D201" s="664"/>
      <c r="E201" s="664"/>
      <c r="F201" s="664"/>
      <c r="G201" s="664"/>
      <c r="H201" s="664"/>
      <c r="I201" s="664"/>
      <c r="J201" s="664"/>
      <c r="K201" s="664"/>
      <c r="L201" s="666"/>
    </row>
    <row r="202" spans="1:12" outlineLevel="1" x14ac:dyDescent="0.35">
      <c r="A202" s="483"/>
      <c r="B202" s="762" t="s">
        <v>1908</v>
      </c>
      <c r="C202" s="664" t="s">
        <v>1155</v>
      </c>
      <c r="D202" s="664"/>
      <c r="E202" s="664"/>
      <c r="F202" s="664"/>
      <c r="G202" s="664"/>
      <c r="H202" s="664"/>
      <c r="I202" s="664"/>
      <c r="J202" s="664"/>
      <c r="K202" s="664"/>
      <c r="L202" s="666"/>
    </row>
    <row r="203" spans="1:12" outlineLevel="1" x14ac:dyDescent="0.35">
      <c r="A203" s="483"/>
      <c r="B203" s="762" t="s">
        <v>1908</v>
      </c>
      <c r="C203" s="664" t="s">
        <v>32</v>
      </c>
      <c r="D203" s="664"/>
      <c r="E203" s="664"/>
      <c r="F203" s="664"/>
      <c r="G203" s="664"/>
      <c r="H203" s="664"/>
      <c r="I203" s="664"/>
      <c r="J203" s="664"/>
      <c r="K203" s="664"/>
      <c r="L203" s="666"/>
    </row>
    <row r="204" spans="1:12" outlineLevel="1" x14ac:dyDescent="0.35">
      <c r="A204" s="483"/>
      <c r="B204" s="762" t="s">
        <v>1908</v>
      </c>
      <c r="C204" s="664" t="s">
        <v>14</v>
      </c>
      <c r="D204" s="664"/>
      <c r="E204" s="664"/>
      <c r="F204" s="664"/>
      <c r="G204" s="664"/>
      <c r="H204" s="664"/>
      <c r="I204" s="664"/>
      <c r="J204" s="664"/>
      <c r="K204" s="664"/>
      <c r="L204" s="666"/>
    </row>
    <row r="205" spans="1:12" outlineLevel="1" x14ac:dyDescent="0.35">
      <c r="A205" s="483"/>
      <c r="B205" s="762" t="s">
        <v>1908</v>
      </c>
      <c r="C205" s="664" t="s">
        <v>33</v>
      </c>
      <c r="D205" s="664"/>
      <c r="E205" s="664"/>
      <c r="F205" s="664"/>
      <c r="G205" s="664"/>
      <c r="H205" s="664"/>
      <c r="I205" s="664"/>
      <c r="J205" s="664"/>
      <c r="K205" s="664"/>
      <c r="L205" s="666"/>
    </row>
    <row r="206" spans="1:12" outlineLevel="1" x14ac:dyDescent="0.35">
      <c r="A206" s="483"/>
      <c r="B206" s="762" t="s">
        <v>1908</v>
      </c>
      <c r="C206" s="664" t="s">
        <v>34</v>
      </c>
      <c r="D206" s="664"/>
      <c r="E206" s="664"/>
      <c r="F206" s="664"/>
      <c r="G206" s="664"/>
      <c r="H206" s="664"/>
      <c r="I206" s="664"/>
      <c r="J206" s="664"/>
      <c r="K206" s="664"/>
      <c r="L206" s="666"/>
    </row>
    <row r="207" spans="1:12" outlineLevel="1" x14ac:dyDescent="0.35">
      <c r="A207" s="483"/>
      <c r="B207" s="762" t="s">
        <v>1908</v>
      </c>
      <c r="C207" s="664" t="s">
        <v>35</v>
      </c>
      <c r="D207" s="664"/>
      <c r="E207" s="664"/>
      <c r="F207" s="664"/>
      <c r="G207" s="664"/>
      <c r="H207" s="664"/>
      <c r="I207" s="664"/>
      <c r="J207" s="664"/>
      <c r="K207" s="664"/>
      <c r="L207" s="666"/>
    </row>
    <row r="208" spans="1:12" outlineLevel="1" x14ac:dyDescent="0.35">
      <c r="A208" s="483"/>
      <c r="B208" s="762" t="s">
        <v>1908</v>
      </c>
      <c r="C208" s="664" t="s">
        <v>15</v>
      </c>
      <c r="D208" s="664"/>
      <c r="E208" s="664"/>
      <c r="F208" s="664"/>
      <c r="G208" s="664"/>
      <c r="H208" s="664"/>
      <c r="I208" s="664"/>
      <c r="J208" s="664"/>
      <c r="K208" s="664"/>
      <c r="L208" s="666"/>
    </row>
    <row r="209" spans="1:19" outlineLevel="1" x14ac:dyDescent="0.35">
      <c r="A209" s="483"/>
      <c r="B209" s="762" t="s">
        <v>1908</v>
      </c>
      <c r="C209" s="664" t="s">
        <v>2279</v>
      </c>
      <c r="D209" s="664"/>
      <c r="E209" s="664"/>
      <c r="F209" s="664"/>
      <c r="G209" s="664"/>
      <c r="H209" s="664"/>
      <c r="I209" s="664"/>
      <c r="J209" s="664"/>
      <c r="K209" s="664"/>
      <c r="L209" s="666"/>
    </row>
    <row r="210" spans="1:19" outlineLevel="1" x14ac:dyDescent="0.35">
      <c r="A210" s="483"/>
      <c r="B210" s="762" t="s">
        <v>1908</v>
      </c>
      <c r="C210" s="664" t="s">
        <v>37</v>
      </c>
      <c r="D210" s="664"/>
      <c r="E210" s="664"/>
      <c r="F210" s="664"/>
      <c r="G210" s="664"/>
      <c r="H210" s="664"/>
      <c r="I210" s="664"/>
      <c r="J210" s="664"/>
      <c r="K210" s="664"/>
      <c r="L210" s="666"/>
    </row>
    <row r="211" spans="1:19" outlineLevel="1" x14ac:dyDescent="0.35">
      <c r="A211" s="483"/>
      <c r="B211" s="762" t="s">
        <v>1908</v>
      </c>
      <c r="C211" s="664" t="s">
        <v>38</v>
      </c>
      <c r="D211" s="664"/>
      <c r="E211" s="664"/>
      <c r="F211" s="664"/>
      <c r="G211" s="664"/>
      <c r="H211" s="664"/>
      <c r="I211" s="664"/>
      <c r="J211" s="664"/>
      <c r="K211" s="664"/>
      <c r="L211" s="666"/>
    </row>
    <row r="212" spans="1:19" outlineLevel="1" x14ac:dyDescent="0.35">
      <c r="A212" s="483"/>
      <c r="B212" s="762" t="s">
        <v>1908</v>
      </c>
      <c r="C212" s="664" t="s">
        <v>16</v>
      </c>
      <c r="D212" s="664"/>
      <c r="E212" s="664"/>
      <c r="F212" s="664"/>
      <c r="G212" s="664"/>
      <c r="H212" s="664"/>
      <c r="I212" s="664"/>
      <c r="J212" s="664"/>
      <c r="K212" s="664"/>
      <c r="L212" s="666"/>
    </row>
    <row r="213" spans="1:19" outlineLevel="1" x14ac:dyDescent="0.35">
      <c r="A213" s="483"/>
      <c r="B213" s="762" t="s">
        <v>1908</v>
      </c>
      <c r="C213" s="664" t="s">
        <v>17</v>
      </c>
      <c r="D213" s="664"/>
      <c r="E213" s="664"/>
      <c r="F213" s="664"/>
      <c r="G213" s="664"/>
      <c r="H213" s="664"/>
      <c r="I213" s="664"/>
      <c r="J213" s="664"/>
      <c r="K213" s="664"/>
      <c r="L213" s="666"/>
    </row>
    <row r="214" spans="1:19" outlineLevel="1" x14ac:dyDescent="0.35">
      <c r="A214" s="483"/>
      <c r="B214" s="762" t="s">
        <v>1908</v>
      </c>
      <c r="C214" s="664" t="s">
        <v>39</v>
      </c>
      <c r="D214" s="664"/>
      <c r="E214" s="664"/>
      <c r="F214" s="664"/>
      <c r="G214" s="664"/>
      <c r="H214" s="664"/>
      <c r="I214" s="664"/>
      <c r="J214" s="664"/>
      <c r="K214" s="664"/>
      <c r="L214" s="666"/>
    </row>
    <row r="215" spans="1:19" outlineLevel="1" x14ac:dyDescent="0.35">
      <c r="A215" s="483"/>
      <c r="B215" s="762" t="s">
        <v>1908</v>
      </c>
      <c r="C215" s="664" t="s">
        <v>40</v>
      </c>
      <c r="D215" s="664"/>
      <c r="E215" s="664"/>
      <c r="F215" s="664"/>
      <c r="G215" s="664"/>
      <c r="H215" s="664"/>
      <c r="I215" s="664"/>
      <c r="J215" s="664"/>
      <c r="K215" s="664"/>
      <c r="L215" s="666"/>
    </row>
    <row r="216" spans="1:19" outlineLevel="1" x14ac:dyDescent="0.35">
      <c r="A216" s="483"/>
      <c r="B216" s="762" t="s">
        <v>1908</v>
      </c>
      <c r="C216" s="664" t="s">
        <v>1069</v>
      </c>
      <c r="D216" s="664"/>
      <c r="E216" s="664"/>
      <c r="F216" s="664"/>
      <c r="G216" s="664"/>
      <c r="H216" s="664"/>
      <c r="I216" s="664"/>
      <c r="J216" s="664"/>
      <c r="K216" s="664"/>
      <c r="L216" s="666"/>
    </row>
    <row r="217" spans="1:19" outlineLevel="1" x14ac:dyDescent="0.35">
      <c r="A217" s="483"/>
      <c r="B217" s="762" t="s">
        <v>1908</v>
      </c>
      <c r="C217" s="664" t="s">
        <v>1416</v>
      </c>
      <c r="D217" s="664"/>
      <c r="E217" s="664"/>
      <c r="F217" s="664"/>
      <c r="G217" s="664"/>
      <c r="H217" s="664"/>
      <c r="I217" s="664"/>
      <c r="J217" s="664"/>
      <c r="K217" s="664"/>
      <c r="L217" s="666"/>
    </row>
    <row r="218" spans="1:19" ht="15" outlineLevel="1" thickBot="1" x14ac:dyDescent="0.4">
      <c r="A218" s="483"/>
      <c r="B218" s="761"/>
      <c r="C218" s="670"/>
      <c r="D218" s="670"/>
      <c r="E218" s="670"/>
      <c r="F218" s="670"/>
      <c r="G218" s="670"/>
      <c r="H218" s="670"/>
      <c r="I218" s="670"/>
      <c r="J218" s="670"/>
      <c r="K218" s="670"/>
      <c r="L218" s="711"/>
    </row>
    <row r="219" spans="1:19" ht="15" thickBot="1" x14ac:dyDescent="0.4">
      <c r="B219" s="2"/>
    </row>
    <row r="220" spans="1:19" ht="23" thickBot="1" x14ac:dyDescent="0.4">
      <c r="B220" s="524"/>
      <c r="C220" s="525" t="s">
        <v>41</v>
      </c>
      <c r="D220" s="525"/>
      <c r="E220" s="525"/>
      <c r="F220" s="525"/>
      <c r="G220" s="525"/>
      <c r="H220" s="525"/>
      <c r="I220" s="525"/>
      <c r="J220" s="525"/>
      <c r="K220" s="527"/>
      <c r="L220" s="526"/>
    </row>
    <row r="221" spans="1:19" s="2" customFormat="1" ht="15.5" outlineLevel="1" thickTop="1" thickBot="1" x14ac:dyDescent="0.4">
      <c r="B221" s="721"/>
      <c r="C221" s="719" t="s">
        <v>0</v>
      </c>
      <c r="D221" s="719"/>
      <c r="E221" s="719"/>
      <c r="F221" s="719"/>
      <c r="G221" s="719"/>
      <c r="H221" s="719"/>
      <c r="I221" s="719"/>
      <c r="J221" s="719"/>
      <c r="K221" s="719"/>
      <c r="L221" s="720"/>
      <c r="M221" s="385"/>
      <c r="S221" s="783"/>
    </row>
    <row r="222" spans="1:19" ht="15" outlineLevel="1" thickTop="1" x14ac:dyDescent="0.35">
      <c r="A222" s="483"/>
      <c r="B222" s="762" t="s">
        <v>1909</v>
      </c>
      <c r="C222" s="757" t="s">
        <v>42</v>
      </c>
      <c r="D222" s="664"/>
      <c r="E222" s="664"/>
      <c r="F222" s="664"/>
      <c r="G222" s="664"/>
      <c r="H222" s="664"/>
      <c r="I222" s="664"/>
      <c r="J222" s="664"/>
      <c r="K222" s="664"/>
      <c r="L222" s="666"/>
    </row>
    <row r="223" spans="1:19" outlineLevel="1" x14ac:dyDescent="0.35">
      <c r="A223" s="483"/>
      <c r="B223" s="762" t="s">
        <v>1909</v>
      </c>
      <c r="C223" s="664" t="s">
        <v>43</v>
      </c>
      <c r="D223" s="664"/>
      <c r="E223" s="664"/>
      <c r="F223" s="664"/>
      <c r="G223" s="664"/>
      <c r="H223" s="664"/>
      <c r="I223" s="664"/>
      <c r="J223" s="664"/>
      <c r="K223" s="664"/>
      <c r="L223" s="666"/>
    </row>
    <row r="224" spans="1:19" outlineLevel="1" x14ac:dyDescent="0.35">
      <c r="A224" s="483"/>
      <c r="B224" s="762" t="s">
        <v>1909</v>
      </c>
      <c r="C224" s="664" t="s">
        <v>44</v>
      </c>
      <c r="D224" s="664"/>
      <c r="E224" s="664"/>
      <c r="F224" s="664"/>
      <c r="G224" s="664"/>
      <c r="H224" s="664"/>
      <c r="I224" s="664"/>
      <c r="J224" s="664"/>
      <c r="K224" s="664"/>
      <c r="L224" s="666"/>
    </row>
    <row r="225" spans="1:12" outlineLevel="1" x14ac:dyDescent="0.35">
      <c r="A225" s="483"/>
      <c r="B225" s="762" t="s">
        <v>1909</v>
      </c>
      <c r="C225" s="664" t="s">
        <v>45</v>
      </c>
      <c r="D225" s="664"/>
      <c r="E225" s="664"/>
      <c r="F225" s="664"/>
      <c r="G225" s="664"/>
      <c r="H225" s="664"/>
      <c r="I225" s="664"/>
      <c r="J225" s="664"/>
      <c r="K225" s="664"/>
      <c r="L225" s="666"/>
    </row>
    <row r="226" spans="1:12" outlineLevel="1" x14ac:dyDescent="0.35">
      <c r="A226" s="483"/>
      <c r="B226" s="762" t="s">
        <v>1909</v>
      </c>
      <c r="C226" s="664" t="s">
        <v>46</v>
      </c>
      <c r="D226" s="664"/>
      <c r="E226" s="664"/>
      <c r="F226" s="664"/>
      <c r="G226" s="664"/>
      <c r="H226" s="664"/>
      <c r="I226" s="664"/>
      <c r="J226" s="664"/>
      <c r="K226" s="664"/>
      <c r="L226" s="666"/>
    </row>
    <row r="227" spans="1:12" outlineLevel="1" x14ac:dyDescent="0.35">
      <c r="A227" s="483"/>
      <c r="B227" s="762" t="s">
        <v>1909</v>
      </c>
      <c r="C227" s="664" t="s">
        <v>47</v>
      </c>
      <c r="D227" s="664"/>
      <c r="E227" s="664"/>
      <c r="F227" s="664"/>
      <c r="G227" s="664"/>
      <c r="H227" s="664"/>
      <c r="I227" s="664"/>
      <c r="J227" s="664"/>
      <c r="K227" s="664"/>
      <c r="L227" s="666"/>
    </row>
    <row r="228" spans="1:12" outlineLevel="1" x14ac:dyDescent="0.35">
      <c r="A228" s="483"/>
      <c r="B228" s="762" t="s">
        <v>1909</v>
      </c>
      <c r="C228" s="664" t="s">
        <v>48</v>
      </c>
      <c r="D228" s="664"/>
      <c r="E228" s="664"/>
      <c r="F228" s="664"/>
      <c r="G228" s="664"/>
      <c r="H228" s="664"/>
      <c r="I228" s="664"/>
      <c r="J228" s="664"/>
      <c r="K228" s="664"/>
      <c r="L228" s="666"/>
    </row>
    <row r="229" spans="1:12" outlineLevel="1" x14ac:dyDescent="0.35">
      <c r="A229" s="483"/>
      <c r="B229" s="762" t="s">
        <v>1909</v>
      </c>
      <c r="C229" s="664" t="s">
        <v>49</v>
      </c>
      <c r="D229" s="664"/>
      <c r="E229" s="664"/>
      <c r="F229" s="664"/>
      <c r="G229" s="664"/>
      <c r="H229" s="664"/>
      <c r="I229" s="664"/>
      <c r="J229" s="664"/>
      <c r="K229" s="664"/>
      <c r="L229" s="666"/>
    </row>
    <row r="230" spans="1:12" outlineLevel="1" x14ac:dyDescent="0.35">
      <c r="A230" s="483"/>
      <c r="B230" s="762" t="s">
        <v>1909</v>
      </c>
      <c r="C230" s="664" t="s">
        <v>50</v>
      </c>
      <c r="D230" s="664"/>
      <c r="E230" s="664"/>
      <c r="F230" s="664"/>
      <c r="G230" s="664"/>
      <c r="H230" s="664"/>
      <c r="I230" s="664"/>
      <c r="J230" s="664"/>
      <c r="K230" s="664"/>
      <c r="L230" s="666"/>
    </row>
    <row r="231" spans="1:12" outlineLevel="1" x14ac:dyDescent="0.35">
      <c r="A231" s="483"/>
      <c r="B231" s="762" t="s">
        <v>1909</v>
      </c>
      <c r="C231" s="664" t="s">
        <v>51</v>
      </c>
      <c r="D231" s="664"/>
      <c r="E231" s="664"/>
      <c r="F231" s="664"/>
      <c r="G231" s="664"/>
      <c r="H231" s="664"/>
      <c r="I231" s="664"/>
      <c r="J231" s="664"/>
      <c r="K231" s="664"/>
      <c r="L231" s="666"/>
    </row>
    <row r="232" spans="1:12" outlineLevel="1" x14ac:dyDescent="0.35">
      <c r="A232" s="483"/>
      <c r="B232" s="762" t="s">
        <v>1909</v>
      </c>
      <c r="C232" s="664" t="s">
        <v>52</v>
      </c>
      <c r="D232" s="664"/>
      <c r="E232" s="664"/>
      <c r="F232" s="664"/>
      <c r="G232" s="664"/>
      <c r="H232" s="664"/>
      <c r="I232" s="664"/>
      <c r="J232" s="664"/>
      <c r="K232" s="664"/>
      <c r="L232" s="666"/>
    </row>
    <row r="233" spans="1:12" outlineLevel="1" x14ac:dyDescent="0.35">
      <c r="A233" s="483"/>
      <c r="B233" s="762" t="s">
        <v>1909</v>
      </c>
      <c r="C233" s="664" t="s">
        <v>53</v>
      </c>
      <c r="D233" s="664"/>
      <c r="E233" s="664"/>
      <c r="F233" s="664"/>
      <c r="G233" s="664"/>
      <c r="H233" s="664"/>
      <c r="I233" s="664"/>
      <c r="J233" s="664"/>
      <c r="K233" s="664"/>
      <c r="L233" s="666"/>
    </row>
    <row r="234" spans="1:12" outlineLevel="1" x14ac:dyDescent="0.35">
      <c r="A234" s="483"/>
      <c r="B234" s="762" t="s">
        <v>1909</v>
      </c>
      <c r="C234" s="664" t="s">
        <v>54</v>
      </c>
      <c r="D234" s="664"/>
      <c r="E234" s="664"/>
      <c r="F234" s="664"/>
      <c r="G234" s="664"/>
      <c r="H234" s="664"/>
      <c r="I234" s="664"/>
      <c r="J234" s="664"/>
      <c r="K234" s="664"/>
      <c r="L234" s="666"/>
    </row>
    <row r="235" spans="1:12" outlineLevel="1" x14ac:dyDescent="0.35">
      <c r="A235" s="483"/>
      <c r="B235" s="762" t="s">
        <v>1909</v>
      </c>
      <c r="C235" s="664" t="s">
        <v>55</v>
      </c>
      <c r="D235" s="664"/>
      <c r="E235" s="664"/>
      <c r="F235" s="664"/>
      <c r="G235" s="664"/>
      <c r="H235" s="664"/>
      <c r="I235" s="664"/>
      <c r="J235" s="664"/>
      <c r="K235" s="664"/>
      <c r="L235" s="666"/>
    </row>
    <row r="236" spans="1:12" outlineLevel="1" x14ac:dyDescent="0.35">
      <c r="A236" s="483"/>
      <c r="B236" s="762" t="s">
        <v>1909</v>
      </c>
      <c r="C236" s="664" t="s">
        <v>1085</v>
      </c>
      <c r="D236" s="664"/>
      <c r="E236" s="664"/>
      <c r="F236" s="664"/>
      <c r="G236" s="664"/>
      <c r="H236" s="664"/>
      <c r="I236" s="664"/>
      <c r="J236" s="664"/>
      <c r="K236" s="664"/>
      <c r="L236" s="666"/>
    </row>
    <row r="237" spans="1:12" outlineLevel="1" x14ac:dyDescent="0.35">
      <c r="A237" s="483"/>
      <c r="B237" s="762" t="s">
        <v>1909</v>
      </c>
      <c r="C237" s="664" t="s">
        <v>1153</v>
      </c>
      <c r="D237" s="664"/>
      <c r="E237" s="664"/>
      <c r="F237" s="664"/>
      <c r="G237" s="664"/>
      <c r="H237" s="664"/>
      <c r="I237" s="664"/>
      <c r="J237" s="664"/>
      <c r="K237" s="664"/>
      <c r="L237" s="666"/>
    </row>
    <row r="238" spans="1:12" outlineLevel="1" x14ac:dyDescent="0.35">
      <c r="A238" s="483"/>
      <c r="B238" s="762" t="s">
        <v>1909</v>
      </c>
      <c r="C238" s="664" t="s">
        <v>1074</v>
      </c>
      <c r="D238" s="664"/>
      <c r="E238" s="664"/>
      <c r="F238" s="664"/>
      <c r="G238" s="664"/>
      <c r="H238" s="664"/>
      <c r="I238" s="664"/>
      <c r="J238" s="664"/>
      <c r="K238" s="664"/>
      <c r="L238" s="666"/>
    </row>
    <row r="239" spans="1:12" ht="15" outlineLevel="1" thickBot="1" x14ac:dyDescent="0.4">
      <c r="A239" s="483"/>
      <c r="B239" s="761"/>
      <c r="C239" s="670"/>
      <c r="D239" s="670"/>
      <c r="E239" s="670"/>
      <c r="F239" s="670"/>
      <c r="G239" s="670"/>
      <c r="H239" s="670"/>
      <c r="I239" s="670"/>
      <c r="J239" s="670"/>
      <c r="K239" s="670"/>
      <c r="L239" s="711"/>
    </row>
    <row r="240" spans="1:12" ht="15" thickBot="1" x14ac:dyDescent="0.4">
      <c r="B240" s="2"/>
    </row>
    <row r="241" spans="1:19" ht="23" thickBot="1" x14ac:dyDescent="0.4">
      <c r="B241" s="524"/>
      <c r="C241" s="525" t="s">
        <v>56</v>
      </c>
      <c r="D241" s="525"/>
      <c r="E241" s="525"/>
      <c r="F241" s="525"/>
      <c r="G241" s="525"/>
      <c r="H241" s="525"/>
      <c r="I241" s="525"/>
      <c r="J241" s="525"/>
      <c r="K241" s="527"/>
      <c r="L241" s="526"/>
    </row>
    <row r="242" spans="1:19" s="2" customFormat="1" ht="15.5" outlineLevel="1" thickTop="1" thickBot="1" x14ac:dyDescent="0.4">
      <c r="B242" s="721"/>
      <c r="C242" s="719" t="s">
        <v>0</v>
      </c>
      <c r="D242" s="719"/>
      <c r="E242" s="719"/>
      <c r="F242" s="719" t="s">
        <v>1810</v>
      </c>
      <c r="G242" s="719" t="s">
        <v>1669</v>
      </c>
      <c r="H242" s="719"/>
      <c r="I242" s="719"/>
      <c r="J242" s="719"/>
      <c r="K242" s="719"/>
      <c r="L242" s="720"/>
      <c r="M242" s="385"/>
      <c r="S242" s="783"/>
    </row>
    <row r="243" spans="1:19" ht="15" outlineLevel="1" thickTop="1" x14ac:dyDescent="0.35">
      <c r="A243" s="483"/>
      <c r="B243" s="762" t="s">
        <v>1910</v>
      </c>
      <c r="C243" s="757" t="s">
        <v>57</v>
      </c>
      <c r="D243" s="664"/>
      <c r="E243" s="664"/>
      <c r="F243" s="665" t="s">
        <v>1524</v>
      </c>
      <c r="G243" s="664"/>
      <c r="H243" s="664"/>
      <c r="I243" s="664"/>
      <c r="J243" s="727"/>
      <c r="K243" s="664"/>
      <c r="L243" s="666"/>
    </row>
    <row r="244" spans="1:19" outlineLevel="1" x14ac:dyDescent="0.35">
      <c r="A244" s="483"/>
      <c r="B244" s="762" t="s">
        <v>1910</v>
      </c>
      <c r="C244" s="664" t="s">
        <v>58</v>
      </c>
      <c r="D244" s="664"/>
      <c r="E244" s="664"/>
      <c r="F244" s="665" t="s">
        <v>744</v>
      </c>
      <c r="G244" s="664"/>
      <c r="H244" s="664"/>
      <c r="I244" s="664"/>
      <c r="J244" s="727"/>
      <c r="K244" s="664"/>
      <c r="L244" s="666"/>
    </row>
    <row r="245" spans="1:19" outlineLevel="1" x14ac:dyDescent="0.35">
      <c r="A245" s="483"/>
      <c r="B245" s="762" t="s">
        <v>1910</v>
      </c>
      <c r="C245" s="664" t="s">
        <v>59</v>
      </c>
      <c r="D245" s="664"/>
      <c r="E245" s="664"/>
      <c r="F245" s="665" t="s">
        <v>744</v>
      </c>
      <c r="G245" s="664"/>
      <c r="H245" s="664"/>
      <c r="I245" s="664"/>
      <c r="J245" s="727"/>
      <c r="K245" s="664"/>
      <c r="L245" s="666"/>
    </row>
    <row r="246" spans="1:19" outlineLevel="1" x14ac:dyDescent="0.35">
      <c r="A246" s="483"/>
      <c r="B246" s="762" t="s">
        <v>1910</v>
      </c>
      <c r="C246" s="664" t="s">
        <v>60</v>
      </c>
      <c r="D246" s="664"/>
      <c r="E246" s="664"/>
      <c r="F246" s="665" t="s">
        <v>744</v>
      </c>
      <c r="G246" s="664"/>
      <c r="H246" s="664"/>
      <c r="I246" s="664"/>
      <c r="J246" s="664"/>
      <c r="K246" s="664"/>
      <c r="L246" s="666"/>
    </row>
    <row r="247" spans="1:19" outlineLevel="1" x14ac:dyDescent="0.35">
      <c r="A247" s="483"/>
      <c r="B247" s="762" t="s">
        <v>1910</v>
      </c>
      <c r="C247" s="664" t="s">
        <v>61</v>
      </c>
      <c r="D247" s="664"/>
      <c r="E247" s="664"/>
      <c r="F247" s="665" t="s">
        <v>744</v>
      </c>
      <c r="G247" s="664"/>
      <c r="H247" s="664"/>
      <c r="I247" s="664"/>
      <c r="J247" s="664"/>
      <c r="K247" s="664"/>
      <c r="L247" s="666"/>
    </row>
    <row r="248" spans="1:19" outlineLevel="1" x14ac:dyDescent="0.35">
      <c r="A248" s="483"/>
      <c r="B248" s="762" t="s">
        <v>1910</v>
      </c>
      <c r="C248" s="664" t="s">
        <v>62</v>
      </c>
      <c r="D248" s="664"/>
      <c r="E248" s="664"/>
      <c r="F248" s="665" t="s">
        <v>744</v>
      </c>
      <c r="G248" s="664"/>
      <c r="H248" s="664"/>
      <c r="I248" s="664"/>
      <c r="J248" s="664"/>
      <c r="K248" s="664"/>
      <c r="L248" s="666"/>
    </row>
    <row r="249" spans="1:19" outlineLevel="1" x14ac:dyDescent="0.35">
      <c r="A249" s="483"/>
      <c r="B249" s="762" t="s">
        <v>1910</v>
      </c>
      <c r="C249" s="664" t="s">
        <v>63</v>
      </c>
      <c r="D249" s="664"/>
      <c r="E249" s="664"/>
      <c r="F249" s="665" t="s">
        <v>744</v>
      </c>
      <c r="G249" s="664"/>
      <c r="H249" s="664"/>
      <c r="I249" s="664"/>
      <c r="J249" s="664"/>
      <c r="K249" s="664"/>
      <c r="L249" s="666"/>
    </row>
    <row r="250" spans="1:19" outlineLevel="1" x14ac:dyDescent="0.35">
      <c r="A250" s="483"/>
      <c r="B250" s="762" t="s">
        <v>1910</v>
      </c>
      <c r="C250" s="664" t="s">
        <v>64</v>
      </c>
      <c r="D250" s="664"/>
      <c r="E250" s="664"/>
      <c r="F250" s="665" t="s">
        <v>744</v>
      </c>
      <c r="G250" s="664"/>
      <c r="H250" s="664"/>
      <c r="I250" s="664"/>
      <c r="J250" s="664"/>
      <c r="K250" s="664"/>
      <c r="L250" s="666"/>
    </row>
    <row r="251" spans="1:19" outlineLevel="1" x14ac:dyDescent="0.35">
      <c r="A251" s="483"/>
      <c r="B251" s="762" t="s">
        <v>1910</v>
      </c>
      <c r="C251" s="664" t="s">
        <v>65</v>
      </c>
      <c r="D251" s="664"/>
      <c r="E251" s="664"/>
      <c r="F251" s="665" t="s">
        <v>744</v>
      </c>
      <c r="G251" s="664"/>
      <c r="H251" s="664"/>
      <c r="I251" s="664"/>
      <c r="J251" s="664"/>
      <c r="K251" s="664"/>
      <c r="L251" s="666"/>
    </row>
    <row r="252" spans="1:19" outlineLevel="1" x14ac:dyDescent="0.35">
      <c r="A252" s="483"/>
      <c r="B252" s="762" t="s">
        <v>1910</v>
      </c>
      <c r="C252" s="664" t="s">
        <v>66</v>
      </c>
      <c r="D252" s="664"/>
      <c r="E252" s="664"/>
      <c r="F252" s="665" t="s">
        <v>744</v>
      </c>
      <c r="G252" s="664"/>
      <c r="H252" s="664"/>
      <c r="I252" s="664"/>
      <c r="J252" s="664"/>
      <c r="K252" s="664"/>
      <c r="L252" s="666"/>
    </row>
    <row r="253" spans="1:19" outlineLevel="1" x14ac:dyDescent="0.35">
      <c r="A253" s="483"/>
      <c r="B253" s="762" t="s">
        <v>1910</v>
      </c>
      <c r="C253" s="664" t="s">
        <v>67</v>
      </c>
      <c r="D253" s="664"/>
      <c r="E253" s="664"/>
      <c r="F253" s="665" t="s">
        <v>744</v>
      </c>
      <c r="G253" s="664"/>
      <c r="H253" s="664"/>
      <c r="I253" s="664"/>
      <c r="J253" s="664"/>
      <c r="K253" s="664"/>
      <c r="L253" s="666"/>
    </row>
    <row r="254" spans="1:19" outlineLevel="1" x14ac:dyDescent="0.35">
      <c r="A254" s="483"/>
      <c r="B254" s="762" t="s">
        <v>1910</v>
      </c>
      <c r="C254" s="664" t="s">
        <v>68</v>
      </c>
      <c r="D254" s="664"/>
      <c r="E254" s="664"/>
      <c r="F254" s="665" t="s">
        <v>744</v>
      </c>
      <c r="G254" s="664"/>
      <c r="H254" s="664"/>
      <c r="I254" s="664"/>
      <c r="J254" s="664"/>
      <c r="K254" s="664"/>
      <c r="L254" s="666"/>
    </row>
    <row r="255" spans="1:19" outlineLevel="1" x14ac:dyDescent="0.35">
      <c r="A255" s="483"/>
      <c r="B255" s="762" t="s">
        <v>1910</v>
      </c>
      <c r="C255" s="664" t="s">
        <v>69</v>
      </c>
      <c r="D255" s="664"/>
      <c r="E255" s="664"/>
      <c r="F255" s="665" t="s">
        <v>744</v>
      </c>
      <c r="G255" s="664"/>
      <c r="H255" s="664"/>
      <c r="I255" s="664"/>
      <c r="J255" s="664"/>
      <c r="K255" s="664"/>
      <c r="L255" s="666"/>
    </row>
    <row r="256" spans="1:19" outlineLevel="1" x14ac:dyDescent="0.35">
      <c r="A256" s="483"/>
      <c r="B256" s="762" t="s">
        <v>1910</v>
      </c>
      <c r="C256" s="664" t="s">
        <v>70</v>
      </c>
      <c r="D256" s="664"/>
      <c r="E256" s="664"/>
      <c r="F256" s="665" t="s">
        <v>744</v>
      </c>
      <c r="G256" s="664"/>
      <c r="H256" s="664"/>
      <c r="I256" s="664"/>
      <c r="J256" s="664"/>
      <c r="K256" s="664"/>
      <c r="L256" s="666"/>
    </row>
    <row r="257" spans="1:19" outlineLevel="1" x14ac:dyDescent="0.35">
      <c r="A257" s="483"/>
      <c r="B257" s="762" t="s">
        <v>1910</v>
      </c>
      <c r="C257" s="664" t="s">
        <v>71</v>
      </c>
      <c r="D257" s="664"/>
      <c r="E257" s="664"/>
      <c r="F257" s="665" t="s">
        <v>1524</v>
      </c>
      <c r="G257" s="664"/>
      <c r="H257" s="664"/>
      <c r="I257" s="664"/>
      <c r="J257" s="664"/>
      <c r="K257" s="664"/>
      <c r="L257" s="666"/>
    </row>
    <row r="258" spans="1:19" outlineLevel="1" x14ac:dyDescent="0.35">
      <c r="A258" s="483"/>
      <c r="B258" s="762" t="s">
        <v>1910</v>
      </c>
      <c r="C258" s="664" t="s">
        <v>72</v>
      </c>
      <c r="D258" s="664"/>
      <c r="E258" s="664"/>
      <c r="F258" s="665" t="s">
        <v>1524</v>
      </c>
      <c r="G258" s="664"/>
      <c r="H258" s="664"/>
      <c r="I258" s="664"/>
      <c r="J258" s="664"/>
      <c r="K258" s="664"/>
      <c r="L258" s="666"/>
    </row>
    <row r="259" spans="1:19" outlineLevel="1" x14ac:dyDescent="0.35">
      <c r="A259" s="483"/>
      <c r="B259" s="762" t="s">
        <v>1910</v>
      </c>
      <c r="C259" s="664" t="s">
        <v>73</v>
      </c>
      <c r="D259" s="664"/>
      <c r="E259" s="664"/>
      <c r="F259" s="665" t="s">
        <v>1524</v>
      </c>
      <c r="G259" s="664"/>
      <c r="H259" s="664"/>
      <c r="I259" s="664"/>
      <c r="J259" s="664"/>
      <c r="K259" s="664"/>
      <c r="L259" s="666"/>
    </row>
    <row r="260" spans="1:19" outlineLevel="1" x14ac:dyDescent="0.35">
      <c r="A260" s="483"/>
      <c r="B260" s="762" t="s">
        <v>1910</v>
      </c>
      <c r="C260" s="664" t="s">
        <v>74</v>
      </c>
      <c r="D260" s="664"/>
      <c r="E260" s="664"/>
      <c r="F260" s="665" t="s">
        <v>1524</v>
      </c>
      <c r="G260" s="664"/>
      <c r="H260" s="664"/>
      <c r="I260" s="664"/>
      <c r="J260" s="664"/>
      <c r="K260" s="664"/>
      <c r="L260" s="666"/>
    </row>
    <row r="261" spans="1:19" outlineLevel="1" x14ac:dyDescent="0.35">
      <c r="A261" s="483"/>
      <c r="B261" s="762" t="s">
        <v>1910</v>
      </c>
      <c r="C261" s="664" t="s">
        <v>75</v>
      </c>
      <c r="D261" s="664"/>
      <c r="E261" s="664"/>
      <c r="F261" s="665" t="s">
        <v>1524</v>
      </c>
      <c r="G261" s="664"/>
      <c r="H261" s="664"/>
      <c r="I261" s="664"/>
      <c r="J261" s="664"/>
      <c r="K261" s="664"/>
      <c r="L261" s="666"/>
    </row>
    <row r="262" spans="1:19" outlineLevel="1" x14ac:dyDescent="0.35">
      <c r="A262" s="483"/>
      <c r="B262" s="762" t="s">
        <v>1910</v>
      </c>
      <c r="C262" s="664" t="s">
        <v>76</v>
      </c>
      <c r="D262" s="664"/>
      <c r="E262" s="664"/>
      <c r="F262" s="665" t="s">
        <v>1524</v>
      </c>
      <c r="G262" s="664"/>
      <c r="H262" s="664"/>
      <c r="I262" s="664"/>
      <c r="J262" s="664"/>
      <c r="K262" s="664"/>
      <c r="L262" s="666"/>
    </row>
    <row r="263" spans="1:19" outlineLevel="1" x14ac:dyDescent="0.35">
      <c r="A263" s="483"/>
      <c r="B263" s="762" t="s">
        <v>1910</v>
      </c>
      <c r="C263" s="664" t="s">
        <v>77</v>
      </c>
      <c r="D263" s="664"/>
      <c r="E263" s="664"/>
      <c r="F263" s="665" t="s">
        <v>1524</v>
      </c>
      <c r="G263" s="664"/>
      <c r="H263" s="664"/>
      <c r="I263" s="664"/>
      <c r="J263" s="664"/>
      <c r="K263" s="664"/>
      <c r="L263" s="666"/>
    </row>
    <row r="264" spans="1:19" ht="15" outlineLevel="1" thickBot="1" x14ac:dyDescent="0.4">
      <c r="A264" s="483"/>
      <c r="B264" s="761"/>
      <c r="C264" s="670"/>
      <c r="D264" s="670"/>
      <c r="E264" s="670"/>
      <c r="F264" s="671"/>
      <c r="G264" s="670"/>
      <c r="H264" s="670"/>
      <c r="I264" s="670"/>
      <c r="J264" s="670"/>
      <c r="K264" s="670"/>
      <c r="L264" s="711"/>
    </row>
    <row r="265" spans="1:19" ht="15" thickBot="1" x14ac:dyDescent="0.4">
      <c r="B265" s="2"/>
    </row>
    <row r="266" spans="1:19" ht="23" thickBot="1" x14ac:dyDescent="0.4">
      <c r="B266" s="524"/>
      <c r="C266" s="525" t="s">
        <v>78</v>
      </c>
      <c r="D266" s="525"/>
      <c r="E266" s="525"/>
      <c r="F266" s="525"/>
      <c r="G266" s="525"/>
      <c r="H266" s="525"/>
      <c r="I266" s="525"/>
      <c r="J266" s="525"/>
      <c r="K266" s="527"/>
      <c r="L266" s="526"/>
    </row>
    <row r="267" spans="1:19" s="2" customFormat="1" ht="15.5" outlineLevel="1" thickTop="1" thickBot="1" x14ac:dyDescent="0.4">
      <c r="B267" s="721"/>
      <c r="C267" s="719" t="s">
        <v>1033</v>
      </c>
      <c r="D267" s="719" t="s">
        <v>2146</v>
      </c>
      <c r="E267" s="719"/>
      <c r="F267" s="719"/>
      <c r="G267" s="719"/>
      <c r="H267" s="719"/>
      <c r="I267" s="719"/>
      <c r="J267" s="719" t="s">
        <v>2147</v>
      </c>
      <c r="K267" s="719"/>
      <c r="L267" s="720"/>
      <c r="M267" s="385"/>
      <c r="P267" s="1"/>
      <c r="Q267" s="1"/>
      <c r="R267" s="1"/>
      <c r="S267" s="779"/>
    </row>
    <row r="268" spans="1:19" ht="15" outlineLevel="1" thickTop="1" x14ac:dyDescent="0.35">
      <c r="A268" s="483"/>
      <c r="B268" s="759" t="s">
        <v>1914</v>
      </c>
      <c r="C268" s="758">
        <v>302</v>
      </c>
      <c r="D268" s="664" t="s">
        <v>2302</v>
      </c>
      <c r="E268" s="664"/>
      <c r="F268" s="665"/>
      <c r="G268" s="664"/>
      <c r="H268" s="664"/>
      <c r="I268" s="664"/>
      <c r="J268" s="727">
        <v>0</v>
      </c>
      <c r="K268" s="664"/>
      <c r="L268" s="666"/>
    </row>
    <row r="269" spans="1:19" outlineLevel="1" x14ac:dyDescent="0.35">
      <c r="A269" s="483"/>
      <c r="B269" s="760" t="s">
        <v>1914</v>
      </c>
      <c r="C269" s="731">
        <v>303</v>
      </c>
      <c r="D269" s="730" t="s">
        <v>1682</v>
      </c>
      <c r="E269" s="730"/>
      <c r="F269" s="731"/>
      <c r="G269" s="730"/>
      <c r="H269" s="730"/>
      <c r="I269" s="730"/>
      <c r="J269" s="732">
        <v>0.1</v>
      </c>
      <c r="K269" s="730"/>
      <c r="L269" s="733"/>
    </row>
    <row r="270" spans="1:19" outlineLevel="1" x14ac:dyDescent="0.35">
      <c r="A270" s="483"/>
      <c r="B270" s="760" t="s">
        <v>1914</v>
      </c>
      <c r="C270" s="731" t="s">
        <v>2200</v>
      </c>
      <c r="D270" s="730" t="s">
        <v>2202</v>
      </c>
      <c r="E270" s="730"/>
      <c r="F270" s="731"/>
      <c r="G270" s="730"/>
      <c r="H270" s="730"/>
      <c r="I270" s="730"/>
      <c r="J270" s="732">
        <v>0.05</v>
      </c>
      <c r="K270" s="730"/>
      <c r="L270" s="733"/>
    </row>
    <row r="271" spans="1:19" outlineLevel="1" x14ac:dyDescent="0.35">
      <c r="A271" s="483"/>
      <c r="B271" s="760" t="s">
        <v>1914</v>
      </c>
      <c r="C271" s="731">
        <v>304</v>
      </c>
      <c r="D271" s="730" t="s">
        <v>1683</v>
      </c>
      <c r="E271" s="730"/>
      <c r="F271" s="731"/>
      <c r="G271" s="730"/>
      <c r="H271" s="730"/>
      <c r="I271" s="730"/>
      <c r="J271" s="732">
        <v>0.1</v>
      </c>
      <c r="K271" s="730"/>
      <c r="L271" s="733"/>
    </row>
    <row r="272" spans="1:19" outlineLevel="1" x14ac:dyDescent="0.35">
      <c r="A272" s="483"/>
      <c r="B272" s="760" t="s">
        <v>1914</v>
      </c>
      <c r="C272" s="731" t="s">
        <v>82</v>
      </c>
      <c r="D272" s="730" t="s">
        <v>1684</v>
      </c>
      <c r="E272" s="730"/>
      <c r="F272" s="731"/>
      <c r="G272" s="730"/>
      <c r="H272" s="730"/>
      <c r="I272" s="730"/>
      <c r="J272" s="732">
        <v>0.1</v>
      </c>
      <c r="K272" s="730"/>
      <c r="L272" s="733"/>
    </row>
    <row r="273" spans="1:12" outlineLevel="1" x14ac:dyDescent="0.35">
      <c r="A273" s="483"/>
      <c r="B273" s="760" t="s">
        <v>1914</v>
      </c>
      <c r="C273" s="731" t="s">
        <v>84</v>
      </c>
      <c r="D273" s="730" t="s">
        <v>1685</v>
      </c>
      <c r="E273" s="730"/>
      <c r="F273" s="731"/>
      <c r="G273" s="730"/>
      <c r="H273" s="730"/>
      <c r="I273" s="730"/>
      <c r="J273" s="732">
        <v>0.1</v>
      </c>
      <c r="K273" s="730"/>
      <c r="L273" s="733"/>
    </row>
    <row r="274" spans="1:12" outlineLevel="1" x14ac:dyDescent="0.35">
      <c r="A274" s="483"/>
      <c r="B274" s="760" t="s">
        <v>1914</v>
      </c>
      <c r="C274" s="731" t="s">
        <v>86</v>
      </c>
      <c r="D274" s="730" t="s">
        <v>1686</v>
      </c>
      <c r="E274" s="730"/>
      <c r="F274" s="731"/>
      <c r="G274" s="730"/>
      <c r="H274" s="730"/>
      <c r="I274" s="730"/>
      <c r="J274" s="732">
        <v>0.1</v>
      </c>
      <c r="K274" s="730"/>
      <c r="L274" s="733"/>
    </row>
    <row r="275" spans="1:12" outlineLevel="1" x14ac:dyDescent="0.35">
      <c r="A275" s="483"/>
      <c r="B275" s="760" t="s">
        <v>1914</v>
      </c>
      <c r="C275" s="731" t="s">
        <v>88</v>
      </c>
      <c r="D275" s="730" t="s">
        <v>1687</v>
      </c>
      <c r="E275" s="730"/>
      <c r="F275" s="731"/>
      <c r="G275" s="730"/>
      <c r="H275" s="730"/>
      <c r="I275" s="730"/>
      <c r="J275" s="732">
        <v>0.1</v>
      </c>
      <c r="K275" s="730"/>
      <c r="L275" s="733"/>
    </row>
    <row r="276" spans="1:12" outlineLevel="1" x14ac:dyDescent="0.35">
      <c r="A276" s="483"/>
      <c r="B276" s="760" t="s">
        <v>1914</v>
      </c>
      <c r="C276" s="731" t="s">
        <v>90</v>
      </c>
      <c r="D276" s="730" t="s">
        <v>1688</v>
      </c>
      <c r="E276" s="730"/>
      <c r="F276" s="731"/>
      <c r="G276" s="730"/>
      <c r="H276" s="730"/>
      <c r="I276" s="730"/>
      <c r="J276" s="732">
        <v>0.1</v>
      </c>
      <c r="K276" s="730"/>
      <c r="L276" s="733"/>
    </row>
    <row r="277" spans="1:12" outlineLevel="1" x14ac:dyDescent="0.35">
      <c r="A277" s="483"/>
      <c r="B277" s="760" t="s">
        <v>1914</v>
      </c>
      <c r="C277" s="731">
        <v>307</v>
      </c>
      <c r="D277" s="730" t="s">
        <v>1689</v>
      </c>
      <c r="E277" s="730"/>
      <c r="F277" s="731"/>
      <c r="G277" s="730"/>
      <c r="H277" s="730"/>
      <c r="I277" s="730"/>
      <c r="J277" s="732">
        <v>0.03</v>
      </c>
      <c r="K277" s="730"/>
      <c r="L277" s="733"/>
    </row>
    <row r="278" spans="1:12" outlineLevel="1" x14ac:dyDescent="0.35">
      <c r="A278" s="483"/>
      <c r="B278" s="760" t="s">
        <v>1914</v>
      </c>
      <c r="C278" s="731">
        <v>308</v>
      </c>
      <c r="D278" s="730" t="s">
        <v>2203</v>
      </c>
      <c r="E278" s="730"/>
      <c r="F278" s="731"/>
      <c r="G278" s="730"/>
      <c r="H278" s="730"/>
      <c r="I278" s="730"/>
      <c r="J278" s="732">
        <v>0.1</v>
      </c>
      <c r="K278" s="730"/>
      <c r="L278" s="733"/>
    </row>
    <row r="279" spans="1:12" outlineLevel="1" x14ac:dyDescent="0.35">
      <c r="A279" s="483"/>
      <c r="B279" s="760" t="s">
        <v>1914</v>
      </c>
      <c r="C279" s="731">
        <v>309</v>
      </c>
      <c r="D279" s="730" t="s">
        <v>1690</v>
      </c>
      <c r="E279" s="730"/>
      <c r="F279" s="731"/>
      <c r="G279" s="730"/>
      <c r="H279" s="730"/>
      <c r="I279" s="730"/>
      <c r="J279" s="732">
        <v>0.03</v>
      </c>
      <c r="K279" s="730"/>
      <c r="L279" s="733"/>
    </row>
    <row r="280" spans="1:12" outlineLevel="1" x14ac:dyDescent="0.35">
      <c r="A280" s="483"/>
      <c r="B280" s="760" t="s">
        <v>1914</v>
      </c>
      <c r="C280" s="731">
        <v>310</v>
      </c>
      <c r="D280" s="730" t="s">
        <v>1691</v>
      </c>
      <c r="E280" s="730"/>
      <c r="F280" s="731"/>
      <c r="G280" s="730"/>
      <c r="H280" s="730"/>
      <c r="I280" s="730"/>
      <c r="J280" s="732">
        <v>0.01</v>
      </c>
      <c r="K280" s="730"/>
      <c r="L280" s="733"/>
    </row>
    <row r="281" spans="1:12" outlineLevel="1" x14ac:dyDescent="0.35">
      <c r="A281" s="483"/>
      <c r="B281" s="760" t="s">
        <v>1914</v>
      </c>
      <c r="C281" s="731">
        <v>311</v>
      </c>
      <c r="D281" s="730" t="s">
        <v>1692</v>
      </c>
      <c r="E281" s="730"/>
      <c r="F281" s="731"/>
      <c r="G281" s="730"/>
      <c r="H281" s="730"/>
      <c r="I281" s="730"/>
      <c r="J281" s="732">
        <v>0.03</v>
      </c>
      <c r="K281" s="730"/>
      <c r="L281" s="733"/>
    </row>
    <row r="282" spans="1:12" outlineLevel="1" x14ac:dyDescent="0.35">
      <c r="A282" s="483"/>
      <c r="B282" s="760" t="s">
        <v>1914</v>
      </c>
      <c r="C282" s="731">
        <v>312</v>
      </c>
      <c r="D282" s="730" t="s">
        <v>1693</v>
      </c>
      <c r="E282" s="730"/>
      <c r="F282" s="731"/>
      <c r="G282" s="730"/>
      <c r="H282" s="730"/>
      <c r="I282" s="730"/>
      <c r="J282" s="732">
        <v>0.02</v>
      </c>
      <c r="K282" s="730"/>
      <c r="L282" s="733"/>
    </row>
    <row r="283" spans="1:12" outlineLevel="1" x14ac:dyDescent="0.35">
      <c r="A283" s="483"/>
      <c r="B283" s="760" t="s">
        <v>1914</v>
      </c>
      <c r="C283" s="731" t="s">
        <v>96</v>
      </c>
      <c r="D283" s="730" t="s">
        <v>2204</v>
      </c>
      <c r="E283" s="730"/>
      <c r="F283" s="731"/>
      <c r="G283" s="730"/>
      <c r="H283" s="730"/>
      <c r="I283" s="730"/>
      <c r="J283" s="732">
        <v>0.01</v>
      </c>
      <c r="K283" s="730"/>
      <c r="L283" s="733"/>
    </row>
    <row r="284" spans="1:12" outlineLevel="1" x14ac:dyDescent="0.35">
      <c r="A284" s="483"/>
      <c r="B284" s="760" t="s">
        <v>1914</v>
      </c>
      <c r="C284" s="731" t="s">
        <v>1039</v>
      </c>
      <c r="D284" s="730" t="s">
        <v>1694</v>
      </c>
      <c r="E284" s="730"/>
      <c r="F284" s="731"/>
      <c r="G284" s="730"/>
      <c r="H284" s="730"/>
      <c r="I284" s="730"/>
      <c r="J284" s="732">
        <v>0.01</v>
      </c>
      <c r="K284" s="730"/>
      <c r="L284" s="733"/>
    </row>
    <row r="285" spans="1:12" outlineLevel="1" x14ac:dyDescent="0.35">
      <c r="A285" s="483"/>
      <c r="B285" s="760" t="s">
        <v>1914</v>
      </c>
      <c r="C285" s="731" t="s">
        <v>2205</v>
      </c>
      <c r="D285" s="730" t="s">
        <v>2206</v>
      </c>
      <c r="E285" s="730"/>
      <c r="F285" s="731"/>
      <c r="G285" s="730"/>
      <c r="H285" s="730"/>
      <c r="I285" s="730"/>
      <c r="J285" s="732">
        <v>1.7500000000000002E-2</v>
      </c>
      <c r="K285" s="730"/>
      <c r="L285" s="733"/>
    </row>
    <row r="286" spans="1:12" outlineLevel="1" x14ac:dyDescent="0.35">
      <c r="A286" s="483"/>
      <c r="B286" s="760" t="s">
        <v>1914</v>
      </c>
      <c r="C286" s="731" t="s">
        <v>97</v>
      </c>
      <c r="D286" s="730" t="s">
        <v>2207</v>
      </c>
      <c r="E286" s="730"/>
      <c r="F286" s="731"/>
      <c r="G286" s="730"/>
      <c r="H286" s="730"/>
      <c r="I286" s="730"/>
      <c r="J286" s="732">
        <v>0.1</v>
      </c>
      <c r="K286" s="730"/>
      <c r="L286" s="733"/>
    </row>
    <row r="287" spans="1:12" outlineLevel="1" x14ac:dyDescent="0.35">
      <c r="A287" s="483"/>
      <c r="B287" s="760" t="s">
        <v>1914</v>
      </c>
      <c r="C287" s="731" t="s">
        <v>99</v>
      </c>
      <c r="D287" s="730" t="s">
        <v>2208</v>
      </c>
      <c r="E287" s="730"/>
      <c r="F287" s="731"/>
      <c r="G287" s="730"/>
      <c r="H287" s="730"/>
      <c r="I287" s="730"/>
      <c r="J287" s="732">
        <v>0.1</v>
      </c>
      <c r="K287" s="730"/>
      <c r="L287" s="733"/>
    </row>
    <row r="288" spans="1:12" outlineLevel="1" x14ac:dyDescent="0.35">
      <c r="A288" s="483"/>
      <c r="B288" s="760" t="s">
        <v>1914</v>
      </c>
      <c r="C288" s="731" t="s">
        <v>101</v>
      </c>
      <c r="D288" s="730" t="s">
        <v>2209</v>
      </c>
      <c r="E288" s="730"/>
      <c r="F288" s="731"/>
      <c r="G288" s="730"/>
      <c r="H288" s="730"/>
      <c r="I288" s="730"/>
      <c r="J288" s="732">
        <v>0.1</v>
      </c>
      <c r="K288" s="730"/>
      <c r="L288" s="733"/>
    </row>
    <row r="289" spans="1:12" outlineLevel="1" x14ac:dyDescent="0.35">
      <c r="A289" s="483"/>
      <c r="B289" s="760" t="s">
        <v>1914</v>
      </c>
      <c r="C289" s="731" t="s">
        <v>103</v>
      </c>
      <c r="D289" s="730" t="s">
        <v>2210</v>
      </c>
      <c r="E289" s="730"/>
      <c r="F289" s="731"/>
      <c r="G289" s="730"/>
      <c r="H289" s="730"/>
      <c r="I289" s="730"/>
      <c r="J289" s="732">
        <v>0.1</v>
      </c>
      <c r="K289" s="730"/>
      <c r="L289" s="733"/>
    </row>
    <row r="290" spans="1:12" outlineLevel="1" x14ac:dyDescent="0.35">
      <c r="A290" s="483"/>
      <c r="B290" s="760" t="s">
        <v>1914</v>
      </c>
      <c r="C290" s="731">
        <v>319</v>
      </c>
      <c r="D290" s="730" t="s">
        <v>1695</v>
      </c>
      <c r="E290" s="730"/>
      <c r="F290" s="731"/>
      <c r="G290" s="730"/>
      <c r="H290" s="730"/>
      <c r="I290" s="730"/>
      <c r="J290" s="732">
        <v>0.02</v>
      </c>
      <c r="K290" s="730"/>
      <c r="L290" s="733"/>
    </row>
    <row r="291" spans="1:12" outlineLevel="1" x14ac:dyDescent="0.35">
      <c r="A291" s="483"/>
      <c r="B291" s="760" t="s">
        <v>1914</v>
      </c>
      <c r="C291" s="731">
        <v>320</v>
      </c>
      <c r="D291" s="730" t="s">
        <v>1696</v>
      </c>
      <c r="E291" s="730"/>
      <c r="F291" s="731"/>
      <c r="G291" s="730"/>
      <c r="H291" s="730"/>
      <c r="I291" s="730"/>
      <c r="J291" s="732">
        <v>0.1</v>
      </c>
      <c r="K291" s="730"/>
      <c r="L291" s="733"/>
    </row>
    <row r="292" spans="1:12" outlineLevel="1" x14ac:dyDescent="0.35">
      <c r="A292" s="483"/>
      <c r="B292" s="760" t="s">
        <v>1914</v>
      </c>
      <c r="C292" s="731">
        <v>322</v>
      </c>
      <c r="D292" s="730" t="s">
        <v>1697</v>
      </c>
      <c r="E292" s="730"/>
      <c r="F292" s="731"/>
      <c r="G292" s="730"/>
      <c r="H292" s="730"/>
      <c r="I292" s="730"/>
      <c r="J292" s="732">
        <v>0.02</v>
      </c>
      <c r="K292" s="730"/>
      <c r="L292" s="733"/>
    </row>
    <row r="293" spans="1:12" outlineLevel="1" x14ac:dyDescent="0.35">
      <c r="A293" s="483"/>
      <c r="B293" s="760" t="s">
        <v>1914</v>
      </c>
      <c r="C293" s="731">
        <v>323</v>
      </c>
      <c r="D293" s="730" t="s">
        <v>1698</v>
      </c>
      <c r="E293" s="730"/>
      <c r="F293" s="731"/>
      <c r="G293" s="730"/>
      <c r="H293" s="730"/>
      <c r="I293" s="730"/>
      <c r="J293" s="732">
        <v>0.03</v>
      </c>
      <c r="K293" s="730"/>
      <c r="L293" s="733"/>
    </row>
    <row r="294" spans="1:12" outlineLevel="1" x14ac:dyDescent="0.35">
      <c r="A294" s="483"/>
      <c r="B294" s="760" t="s">
        <v>1914</v>
      </c>
      <c r="C294" s="731" t="s">
        <v>107</v>
      </c>
      <c r="D294" s="730" t="s">
        <v>1699</v>
      </c>
      <c r="E294" s="730"/>
      <c r="F294" s="731"/>
      <c r="G294" s="730"/>
      <c r="H294" s="730"/>
      <c r="I294" s="730"/>
      <c r="J294" s="732">
        <v>0.03</v>
      </c>
      <c r="K294" s="730"/>
      <c r="L294" s="733"/>
    </row>
    <row r="295" spans="1:12" outlineLevel="1" x14ac:dyDescent="0.35">
      <c r="A295" s="483"/>
      <c r="B295" s="760" t="s">
        <v>1914</v>
      </c>
      <c r="C295" s="731" t="s">
        <v>109</v>
      </c>
      <c r="D295" s="730" t="s">
        <v>1700</v>
      </c>
      <c r="E295" s="730"/>
      <c r="F295" s="731"/>
      <c r="G295" s="730"/>
      <c r="H295" s="730"/>
      <c r="I295" s="730"/>
      <c r="J295" s="732">
        <v>0.03</v>
      </c>
      <c r="K295" s="730"/>
      <c r="L295" s="733"/>
    </row>
    <row r="296" spans="1:12" outlineLevel="1" x14ac:dyDescent="0.35">
      <c r="A296" s="483"/>
      <c r="B296" s="760" t="s">
        <v>1914</v>
      </c>
      <c r="C296" s="731" t="s">
        <v>111</v>
      </c>
      <c r="D296" s="730" t="s">
        <v>1701</v>
      </c>
      <c r="E296" s="730"/>
      <c r="F296" s="731"/>
      <c r="G296" s="730"/>
      <c r="H296" s="730"/>
      <c r="I296" s="730"/>
      <c r="J296" s="732">
        <v>0.03</v>
      </c>
      <c r="K296" s="730"/>
      <c r="L296" s="733"/>
    </row>
    <row r="297" spans="1:12" outlineLevel="1" x14ac:dyDescent="0.35">
      <c r="A297" s="483"/>
      <c r="B297" s="760" t="s">
        <v>1914</v>
      </c>
      <c r="C297" s="731" t="s">
        <v>113</v>
      </c>
      <c r="D297" s="730" t="s">
        <v>1702</v>
      </c>
      <c r="E297" s="730"/>
      <c r="F297" s="731"/>
      <c r="G297" s="730"/>
      <c r="H297" s="730"/>
      <c r="I297" s="730"/>
      <c r="J297" s="732">
        <v>0</v>
      </c>
      <c r="K297" s="730"/>
      <c r="L297" s="733"/>
    </row>
    <row r="298" spans="1:12" outlineLevel="1" x14ac:dyDescent="0.35">
      <c r="A298" s="483"/>
      <c r="B298" s="760" t="s">
        <v>1914</v>
      </c>
      <c r="C298" s="731" t="s">
        <v>115</v>
      </c>
      <c r="D298" s="730" t="s">
        <v>1703</v>
      </c>
      <c r="E298" s="730"/>
      <c r="F298" s="731"/>
      <c r="G298" s="730"/>
      <c r="H298" s="730"/>
      <c r="I298" s="730"/>
      <c r="J298" s="732">
        <v>0.03</v>
      </c>
      <c r="K298" s="730"/>
      <c r="L298" s="733"/>
    </row>
    <row r="299" spans="1:12" outlineLevel="1" x14ac:dyDescent="0.35">
      <c r="A299" s="483"/>
      <c r="B299" s="760" t="s">
        <v>1914</v>
      </c>
      <c r="C299" s="731" t="s">
        <v>117</v>
      </c>
      <c r="D299" s="730" t="s">
        <v>1704</v>
      </c>
      <c r="E299" s="730"/>
      <c r="F299" s="731"/>
      <c r="G299" s="730"/>
      <c r="H299" s="730"/>
      <c r="I299" s="730"/>
      <c r="J299" s="732">
        <v>0.03</v>
      </c>
      <c r="K299" s="730"/>
      <c r="L299" s="733"/>
    </row>
    <row r="300" spans="1:12" outlineLevel="1" x14ac:dyDescent="0.35">
      <c r="A300" s="483"/>
      <c r="B300" s="760" t="s">
        <v>1914</v>
      </c>
      <c r="C300" s="731" t="s">
        <v>119</v>
      </c>
      <c r="D300" s="730" t="s">
        <v>1705</v>
      </c>
      <c r="E300" s="730"/>
      <c r="F300" s="731"/>
      <c r="G300" s="730"/>
      <c r="H300" s="730"/>
      <c r="I300" s="730"/>
      <c r="J300" s="732">
        <v>0.03</v>
      </c>
      <c r="K300" s="730"/>
      <c r="L300" s="733"/>
    </row>
    <row r="301" spans="1:12" outlineLevel="1" x14ac:dyDescent="0.35">
      <c r="A301" s="483"/>
      <c r="B301" s="760" t="s">
        <v>1914</v>
      </c>
      <c r="C301" s="731" t="s">
        <v>121</v>
      </c>
      <c r="D301" s="730" t="s">
        <v>1706</v>
      </c>
      <c r="E301" s="730"/>
      <c r="F301" s="731"/>
      <c r="G301" s="730"/>
      <c r="H301" s="730"/>
      <c r="I301" s="730"/>
      <c r="J301" s="732">
        <v>0.03</v>
      </c>
      <c r="K301" s="730"/>
      <c r="L301" s="733"/>
    </row>
    <row r="302" spans="1:12" outlineLevel="1" x14ac:dyDescent="0.35">
      <c r="A302" s="483"/>
      <c r="B302" s="760" t="s">
        <v>1914</v>
      </c>
      <c r="C302" s="731" t="s">
        <v>123</v>
      </c>
      <c r="D302" s="730" t="s">
        <v>1707</v>
      </c>
      <c r="E302" s="730"/>
      <c r="F302" s="731"/>
      <c r="G302" s="730"/>
      <c r="H302" s="730"/>
      <c r="I302" s="730"/>
      <c r="J302" s="732">
        <v>0.03</v>
      </c>
      <c r="K302" s="730"/>
      <c r="L302" s="733"/>
    </row>
    <row r="303" spans="1:12" outlineLevel="1" x14ac:dyDescent="0.35">
      <c r="A303" s="483"/>
      <c r="B303" s="760" t="s">
        <v>1914</v>
      </c>
      <c r="C303" s="731" t="s">
        <v>125</v>
      </c>
      <c r="D303" s="730" t="s">
        <v>1708</v>
      </c>
      <c r="E303" s="730"/>
      <c r="F303" s="731"/>
      <c r="G303" s="730"/>
      <c r="H303" s="730"/>
      <c r="I303" s="730"/>
      <c r="J303" s="732">
        <v>0</v>
      </c>
      <c r="K303" s="730"/>
      <c r="L303" s="733"/>
    </row>
    <row r="304" spans="1:12" outlineLevel="1" x14ac:dyDescent="0.35">
      <c r="A304" s="483"/>
      <c r="B304" s="760" t="s">
        <v>1914</v>
      </c>
      <c r="C304" s="731" t="s">
        <v>127</v>
      </c>
      <c r="D304" s="730" t="s">
        <v>1709</v>
      </c>
      <c r="E304" s="730"/>
      <c r="F304" s="731"/>
      <c r="G304" s="730"/>
      <c r="H304" s="730"/>
      <c r="I304" s="730"/>
      <c r="J304" s="732">
        <v>0</v>
      </c>
      <c r="K304" s="730"/>
      <c r="L304" s="733"/>
    </row>
    <row r="305" spans="1:12" outlineLevel="1" x14ac:dyDescent="0.35">
      <c r="A305" s="483"/>
      <c r="B305" s="760" t="s">
        <v>1914</v>
      </c>
      <c r="C305" s="731" t="s">
        <v>129</v>
      </c>
      <c r="D305" s="730" t="s">
        <v>1710</v>
      </c>
      <c r="E305" s="730"/>
      <c r="F305" s="731"/>
      <c r="G305" s="730"/>
      <c r="H305" s="730"/>
      <c r="I305" s="730"/>
      <c r="J305" s="732">
        <v>0.03</v>
      </c>
      <c r="K305" s="730"/>
      <c r="L305" s="733"/>
    </row>
    <row r="306" spans="1:12" outlineLevel="1" x14ac:dyDescent="0.35">
      <c r="A306" s="483"/>
      <c r="B306" s="760" t="s">
        <v>1914</v>
      </c>
      <c r="C306" s="731" t="s">
        <v>131</v>
      </c>
      <c r="D306" s="730" t="s">
        <v>1711</v>
      </c>
      <c r="E306" s="730"/>
      <c r="F306" s="731"/>
      <c r="G306" s="730"/>
      <c r="H306" s="730"/>
      <c r="I306" s="730"/>
      <c r="J306" s="732">
        <v>0.03</v>
      </c>
      <c r="K306" s="730"/>
      <c r="L306" s="733"/>
    </row>
    <row r="307" spans="1:12" outlineLevel="1" x14ac:dyDescent="0.35">
      <c r="A307" s="483"/>
      <c r="B307" s="760" t="s">
        <v>1914</v>
      </c>
      <c r="C307" s="731" t="s">
        <v>133</v>
      </c>
      <c r="D307" s="730" t="s">
        <v>1712</v>
      </c>
      <c r="E307" s="730"/>
      <c r="F307" s="731"/>
      <c r="G307" s="730"/>
      <c r="H307" s="730"/>
      <c r="I307" s="730"/>
      <c r="J307" s="732">
        <v>0</v>
      </c>
      <c r="K307" s="730"/>
      <c r="L307" s="733"/>
    </row>
    <row r="308" spans="1:12" outlineLevel="1" x14ac:dyDescent="0.35">
      <c r="A308" s="483"/>
      <c r="B308" s="760" t="s">
        <v>1914</v>
      </c>
      <c r="C308" s="731" t="s">
        <v>1041</v>
      </c>
      <c r="D308" s="730" t="s">
        <v>1713</v>
      </c>
      <c r="E308" s="730"/>
      <c r="F308" s="731"/>
      <c r="G308" s="730"/>
      <c r="H308" s="730"/>
      <c r="I308" s="730"/>
      <c r="J308" s="732">
        <v>0.03</v>
      </c>
      <c r="K308" s="730"/>
      <c r="L308" s="733"/>
    </row>
    <row r="309" spans="1:12" outlineLevel="1" x14ac:dyDescent="0.35">
      <c r="A309" s="483"/>
      <c r="B309" s="760" t="s">
        <v>1914</v>
      </c>
      <c r="C309" s="731" t="s">
        <v>1043</v>
      </c>
      <c r="D309" s="730" t="s">
        <v>1714</v>
      </c>
      <c r="E309" s="730"/>
      <c r="F309" s="731"/>
      <c r="G309" s="730"/>
      <c r="H309" s="730"/>
      <c r="I309" s="730"/>
      <c r="J309" s="732">
        <v>0</v>
      </c>
      <c r="K309" s="730"/>
      <c r="L309" s="733"/>
    </row>
    <row r="310" spans="1:12" outlineLevel="1" x14ac:dyDescent="0.35">
      <c r="A310" s="483"/>
      <c r="B310" s="760" t="s">
        <v>1914</v>
      </c>
      <c r="C310" s="731" t="s">
        <v>1045</v>
      </c>
      <c r="D310" s="730" t="s">
        <v>1715</v>
      </c>
      <c r="E310" s="730"/>
      <c r="F310" s="731"/>
      <c r="G310" s="730"/>
      <c r="H310" s="730"/>
      <c r="I310" s="730"/>
      <c r="J310" s="732">
        <v>0</v>
      </c>
      <c r="K310" s="730"/>
      <c r="L310" s="733"/>
    </row>
    <row r="311" spans="1:12" outlineLevel="1" x14ac:dyDescent="0.35">
      <c r="A311" s="483"/>
      <c r="B311" s="760" t="s">
        <v>1914</v>
      </c>
      <c r="C311" s="731" t="s">
        <v>135</v>
      </c>
      <c r="D311" s="730" t="s">
        <v>1716</v>
      </c>
      <c r="E311" s="730"/>
      <c r="F311" s="731"/>
      <c r="G311" s="730"/>
      <c r="H311" s="730"/>
      <c r="I311" s="730"/>
      <c r="J311" s="732">
        <v>0.03</v>
      </c>
      <c r="K311" s="730"/>
      <c r="L311" s="733"/>
    </row>
    <row r="312" spans="1:12" outlineLevel="1" x14ac:dyDescent="0.35">
      <c r="A312" s="483"/>
      <c r="B312" s="760" t="s">
        <v>1914</v>
      </c>
      <c r="C312" s="731" t="s">
        <v>137</v>
      </c>
      <c r="D312" s="730" t="s">
        <v>1717</v>
      </c>
      <c r="E312" s="730"/>
      <c r="F312" s="731"/>
      <c r="G312" s="730"/>
      <c r="H312" s="730"/>
      <c r="I312" s="730"/>
      <c r="J312" s="732">
        <v>0.01</v>
      </c>
      <c r="K312" s="730"/>
      <c r="L312" s="733"/>
    </row>
    <row r="313" spans="1:12" outlineLevel="1" x14ac:dyDescent="0.35">
      <c r="A313" s="483"/>
      <c r="B313" s="760" t="s">
        <v>1914</v>
      </c>
      <c r="C313" s="731" t="s">
        <v>1047</v>
      </c>
      <c r="D313" s="730" t="s">
        <v>1718</v>
      </c>
      <c r="E313" s="730"/>
      <c r="F313" s="731"/>
      <c r="G313" s="730"/>
      <c r="H313" s="730"/>
      <c r="I313" s="730"/>
      <c r="J313" s="732">
        <v>0.01</v>
      </c>
      <c r="K313" s="730"/>
      <c r="L313" s="733"/>
    </row>
    <row r="314" spans="1:12" outlineLevel="1" x14ac:dyDescent="0.35">
      <c r="A314" s="483"/>
      <c r="B314" s="760" t="s">
        <v>1914</v>
      </c>
      <c r="C314" s="731">
        <v>325</v>
      </c>
      <c r="D314" s="730" t="s">
        <v>2316</v>
      </c>
      <c r="E314" s="730"/>
      <c r="F314" s="731"/>
      <c r="G314" s="730"/>
      <c r="H314" s="730"/>
      <c r="I314" s="730"/>
      <c r="J314" s="732">
        <v>0.25</v>
      </c>
      <c r="K314" s="730"/>
      <c r="L314" s="733"/>
    </row>
    <row r="315" spans="1:12" outlineLevel="1" x14ac:dyDescent="0.35">
      <c r="A315" s="483"/>
      <c r="B315" s="760" t="s">
        <v>1914</v>
      </c>
      <c r="C315" s="731" t="s">
        <v>140</v>
      </c>
      <c r="D315" s="730" t="s">
        <v>2317</v>
      </c>
      <c r="E315" s="730"/>
      <c r="F315" s="731"/>
      <c r="G315" s="730"/>
      <c r="H315" s="730"/>
      <c r="I315" s="730"/>
      <c r="J315" s="732">
        <v>0.25</v>
      </c>
      <c r="K315" s="730"/>
      <c r="L315" s="733"/>
    </row>
    <row r="316" spans="1:12" outlineLevel="1" x14ac:dyDescent="0.35">
      <c r="A316" s="483"/>
      <c r="B316" s="760" t="s">
        <v>1914</v>
      </c>
      <c r="C316" s="731">
        <v>3250</v>
      </c>
      <c r="D316" s="730" t="s">
        <v>2315</v>
      </c>
      <c r="E316" s="730"/>
      <c r="F316" s="731"/>
      <c r="G316" s="730"/>
      <c r="H316" s="730"/>
      <c r="I316" s="730"/>
      <c r="J316" s="732">
        <v>0</v>
      </c>
      <c r="K316" s="730"/>
      <c r="L316" s="733"/>
    </row>
    <row r="317" spans="1:12" outlineLevel="1" x14ac:dyDescent="0.35">
      <c r="A317" s="483"/>
      <c r="B317" s="760" t="s">
        <v>1914</v>
      </c>
      <c r="C317" s="731">
        <v>326</v>
      </c>
      <c r="D317" s="730" t="s">
        <v>2318</v>
      </c>
      <c r="E317" s="730"/>
      <c r="F317" s="731"/>
      <c r="G317" s="730"/>
      <c r="H317" s="730"/>
      <c r="I317" s="730"/>
      <c r="J317" s="732">
        <v>0.14000000000000001</v>
      </c>
      <c r="K317" s="730"/>
      <c r="L317" s="733"/>
    </row>
    <row r="318" spans="1:12" outlineLevel="1" x14ac:dyDescent="0.35">
      <c r="A318" s="483"/>
      <c r="B318" s="760" t="s">
        <v>1914</v>
      </c>
      <c r="C318" s="731">
        <v>327</v>
      </c>
      <c r="D318" s="730" t="s">
        <v>2319</v>
      </c>
      <c r="E318" s="730"/>
      <c r="F318" s="731"/>
      <c r="G318" s="730"/>
      <c r="H318" s="730"/>
      <c r="I318" s="730"/>
      <c r="J318" s="732">
        <v>0.14000000000000001</v>
      </c>
      <c r="K318" s="730"/>
      <c r="L318" s="733"/>
    </row>
    <row r="319" spans="1:12" outlineLevel="1" x14ac:dyDescent="0.35">
      <c r="A319" s="483"/>
      <c r="B319" s="760" t="s">
        <v>1914</v>
      </c>
      <c r="C319" s="731">
        <v>328</v>
      </c>
      <c r="D319" s="730" t="s">
        <v>1719</v>
      </c>
      <c r="E319" s="730"/>
      <c r="F319" s="731"/>
      <c r="G319" s="730"/>
      <c r="H319" s="730"/>
      <c r="I319" s="730"/>
      <c r="J319" s="732">
        <v>0</v>
      </c>
      <c r="K319" s="730"/>
      <c r="L319" s="733"/>
    </row>
    <row r="320" spans="1:12" outlineLevel="1" x14ac:dyDescent="0.35">
      <c r="A320" s="483"/>
      <c r="B320" s="760" t="s">
        <v>1914</v>
      </c>
      <c r="C320" s="731">
        <v>329</v>
      </c>
      <c r="D320" s="730" t="s">
        <v>1720</v>
      </c>
      <c r="E320" s="730"/>
      <c r="F320" s="731"/>
      <c r="G320" s="730"/>
      <c r="H320" s="730"/>
      <c r="I320" s="730"/>
      <c r="J320" s="732">
        <v>0</v>
      </c>
      <c r="K320" s="730"/>
      <c r="L320" s="733"/>
    </row>
    <row r="321" spans="1:12" outlineLevel="1" x14ac:dyDescent="0.35">
      <c r="A321" s="483"/>
      <c r="B321" s="760" t="s">
        <v>1914</v>
      </c>
      <c r="C321" s="731">
        <v>330</v>
      </c>
      <c r="D321" s="730" t="s">
        <v>1721</v>
      </c>
      <c r="E321" s="730"/>
      <c r="F321" s="731"/>
      <c r="G321" s="730"/>
      <c r="H321" s="730"/>
      <c r="I321" s="730"/>
      <c r="J321" s="732">
        <v>0</v>
      </c>
      <c r="K321" s="730"/>
      <c r="L321" s="733"/>
    </row>
    <row r="322" spans="1:12" outlineLevel="1" x14ac:dyDescent="0.35">
      <c r="A322" s="483"/>
      <c r="B322" s="760" t="s">
        <v>1914</v>
      </c>
      <c r="C322" s="731">
        <v>331</v>
      </c>
      <c r="D322" s="730" t="s">
        <v>1722</v>
      </c>
      <c r="E322" s="730"/>
      <c r="F322" s="731"/>
      <c r="G322" s="730"/>
      <c r="H322" s="730"/>
      <c r="I322" s="730"/>
      <c r="J322" s="732">
        <v>0</v>
      </c>
      <c r="K322" s="730"/>
      <c r="L322" s="733"/>
    </row>
    <row r="323" spans="1:12" outlineLevel="1" x14ac:dyDescent="0.35">
      <c r="A323" s="483"/>
      <c r="B323" s="760" t="s">
        <v>1914</v>
      </c>
      <c r="C323" s="731">
        <v>332</v>
      </c>
      <c r="D323" s="730" t="s">
        <v>1985</v>
      </c>
      <c r="E323" s="730"/>
      <c r="F323" s="731"/>
      <c r="G323" s="730"/>
      <c r="H323" s="730"/>
      <c r="I323" s="730"/>
      <c r="J323" s="732">
        <v>0</v>
      </c>
      <c r="K323" s="730" t="s">
        <v>1987</v>
      </c>
      <c r="L323" s="733"/>
    </row>
    <row r="324" spans="1:12" outlineLevel="1" x14ac:dyDescent="0.35">
      <c r="A324" s="483"/>
      <c r="B324" s="760" t="s">
        <v>1914</v>
      </c>
      <c r="C324" s="731" t="s">
        <v>145</v>
      </c>
      <c r="D324" s="730" t="s">
        <v>1723</v>
      </c>
      <c r="E324" s="730"/>
      <c r="F324" s="731"/>
      <c r="G324" s="730"/>
      <c r="H324" s="730"/>
      <c r="I324" s="730"/>
      <c r="J324" s="732">
        <v>0</v>
      </c>
      <c r="K324" s="730"/>
      <c r="L324" s="733"/>
    </row>
    <row r="325" spans="1:12" outlineLevel="1" x14ac:dyDescent="0.35">
      <c r="A325" s="483"/>
      <c r="B325" s="760" t="s">
        <v>1914</v>
      </c>
      <c r="C325" s="731" t="s">
        <v>147</v>
      </c>
      <c r="D325" s="730" t="s">
        <v>1724</v>
      </c>
      <c r="E325" s="730"/>
      <c r="F325" s="731"/>
      <c r="G325" s="730"/>
      <c r="H325" s="730"/>
      <c r="I325" s="730"/>
      <c r="J325" s="732">
        <v>0</v>
      </c>
      <c r="K325" s="730"/>
      <c r="L325" s="733"/>
    </row>
    <row r="326" spans="1:12" outlineLevel="1" x14ac:dyDescent="0.35">
      <c r="A326" s="483"/>
      <c r="B326" s="760" t="s">
        <v>1914</v>
      </c>
      <c r="C326" s="731" t="s">
        <v>149</v>
      </c>
      <c r="D326" s="730" t="s">
        <v>1725</v>
      </c>
      <c r="E326" s="730"/>
      <c r="F326" s="731"/>
      <c r="G326" s="730"/>
      <c r="H326" s="730"/>
      <c r="I326" s="730"/>
      <c r="J326" s="732">
        <v>0</v>
      </c>
      <c r="K326" s="730"/>
      <c r="L326" s="733"/>
    </row>
    <row r="327" spans="1:12" outlineLevel="1" x14ac:dyDescent="0.35">
      <c r="A327" s="483"/>
      <c r="B327" s="760" t="s">
        <v>1914</v>
      </c>
      <c r="C327" s="731" t="s">
        <v>151</v>
      </c>
      <c r="D327" s="730" t="s">
        <v>1726</v>
      </c>
      <c r="E327" s="730"/>
      <c r="F327" s="731"/>
      <c r="G327" s="730"/>
      <c r="H327" s="730"/>
      <c r="I327" s="730"/>
      <c r="J327" s="732">
        <v>0</v>
      </c>
      <c r="K327" s="730"/>
      <c r="L327" s="733"/>
    </row>
    <row r="328" spans="1:12" outlineLevel="1" x14ac:dyDescent="0.35">
      <c r="A328" s="483"/>
      <c r="B328" s="760" t="s">
        <v>1914</v>
      </c>
      <c r="C328" s="731" t="s">
        <v>153</v>
      </c>
      <c r="D328" s="730" t="s">
        <v>1727</v>
      </c>
      <c r="E328" s="730"/>
      <c r="F328" s="731"/>
      <c r="G328" s="730"/>
      <c r="H328" s="730"/>
      <c r="I328" s="730"/>
      <c r="J328" s="732">
        <v>0</v>
      </c>
      <c r="K328" s="730"/>
      <c r="L328" s="733"/>
    </row>
    <row r="329" spans="1:12" outlineLevel="1" x14ac:dyDescent="0.35">
      <c r="A329" s="483"/>
      <c r="B329" s="760" t="s">
        <v>1914</v>
      </c>
      <c r="C329" s="731" t="s">
        <v>155</v>
      </c>
      <c r="D329" s="730" t="s">
        <v>1728</v>
      </c>
      <c r="E329" s="730"/>
      <c r="F329" s="731"/>
      <c r="G329" s="730"/>
      <c r="H329" s="730"/>
      <c r="I329" s="730"/>
      <c r="J329" s="732">
        <v>0</v>
      </c>
      <c r="K329" s="730"/>
      <c r="L329" s="733"/>
    </row>
    <row r="330" spans="1:12" outlineLevel="1" x14ac:dyDescent="0.35">
      <c r="A330" s="483"/>
      <c r="B330" s="760" t="s">
        <v>1914</v>
      </c>
      <c r="C330" s="731" t="s">
        <v>157</v>
      </c>
      <c r="D330" s="730" t="s">
        <v>1729</v>
      </c>
      <c r="E330" s="730"/>
      <c r="F330" s="731"/>
      <c r="G330" s="730"/>
      <c r="H330" s="730"/>
      <c r="I330" s="730"/>
      <c r="J330" s="732">
        <v>0</v>
      </c>
      <c r="K330" s="730"/>
      <c r="L330" s="733"/>
    </row>
    <row r="331" spans="1:12" outlineLevel="1" x14ac:dyDescent="0.35">
      <c r="A331" s="483"/>
      <c r="B331" s="760" t="s">
        <v>1914</v>
      </c>
      <c r="C331" s="731" t="s">
        <v>159</v>
      </c>
      <c r="D331" s="730" t="s">
        <v>1730</v>
      </c>
      <c r="E331" s="730"/>
      <c r="F331" s="731"/>
      <c r="G331" s="730"/>
      <c r="H331" s="730"/>
      <c r="I331" s="730"/>
      <c r="J331" s="732">
        <v>0</v>
      </c>
      <c r="K331" s="730"/>
      <c r="L331" s="733"/>
    </row>
    <row r="332" spans="1:12" outlineLevel="1" x14ac:dyDescent="0.35">
      <c r="A332" s="483"/>
      <c r="B332" s="760" t="s">
        <v>1914</v>
      </c>
      <c r="C332" s="731">
        <v>333</v>
      </c>
      <c r="D332" s="730" t="s">
        <v>1731</v>
      </c>
      <c r="E332" s="730"/>
      <c r="F332" s="731"/>
      <c r="G332" s="730"/>
      <c r="H332" s="730"/>
      <c r="I332" s="730"/>
      <c r="J332" s="732">
        <v>0.1</v>
      </c>
      <c r="K332" s="730"/>
      <c r="L332" s="733"/>
    </row>
    <row r="333" spans="1:12" outlineLevel="1" x14ac:dyDescent="0.35">
      <c r="A333" s="483"/>
      <c r="B333" s="760" t="s">
        <v>1914</v>
      </c>
      <c r="C333" s="731">
        <v>334</v>
      </c>
      <c r="D333" s="730" t="s">
        <v>1732</v>
      </c>
      <c r="E333" s="730"/>
      <c r="F333" s="731"/>
      <c r="G333" s="730"/>
      <c r="H333" s="730"/>
      <c r="I333" s="730"/>
      <c r="J333" s="732">
        <v>0.01</v>
      </c>
      <c r="K333" s="730"/>
      <c r="L333" s="733"/>
    </row>
    <row r="334" spans="1:12" outlineLevel="1" x14ac:dyDescent="0.35">
      <c r="A334" s="483"/>
      <c r="B334" s="760" t="s">
        <v>1914</v>
      </c>
      <c r="C334" s="731">
        <v>335</v>
      </c>
      <c r="D334" s="730" t="s">
        <v>2193</v>
      </c>
      <c r="E334" s="730"/>
      <c r="F334" s="731"/>
      <c r="G334" s="730"/>
      <c r="H334" s="730"/>
      <c r="I334" s="730"/>
      <c r="J334" s="732">
        <v>0.15</v>
      </c>
      <c r="K334" s="730"/>
      <c r="L334" s="733"/>
    </row>
    <row r="335" spans="1:12" outlineLevel="1" x14ac:dyDescent="0.35">
      <c r="A335" s="483"/>
      <c r="B335" s="760" t="s">
        <v>1914</v>
      </c>
      <c r="C335" s="731">
        <v>336</v>
      </c>
      <c r="D335" s="730" t="s">
        <v>1733</v>
      </c>
      <c r="E335" s="730"/>
      <c r="F335" s="731"/>
      <c r="G335" s="730"/>
      <c r="H335" s="730"/>
      <c r="I335" s="730"/>
      <c r="J335" s="732">
        <v>2.0000000000000001E-4</v>
      </c>
      <c r="K335" s="730"/>
      <c r="L335" s="733"/>
    </row>
    <row r="336" spans="1:12" outlineLevel="1" x14ac:dyDescent="0.35">
      <c r="A336" s="483"/>
      <c r="B336" s="760" t="s">
        <v>1914</v>
      </c>
      <c r="C336" s="731">
        <v>337</v>
      </c>
      <c r="D336" s="730" t="s">
        <v>1734</v>
      </c>
      <c r="E336" s="730"/>
      <c r="F336" s="731"/>
      <c r="G336" s="730"/>
      <c r="H336" s="730"/>
      <c r="I336" s="730"/>
      <c r="J336" s="732">
        <v>2.9999999999999997E-4</v>
      </c>
      <c r="K336" s="730"/>
      <c r="L336" s="733"/>
    </row>
    <row r="337" spans="1:12" outlineLevel="1" x14ac:dyDescent="0.35">
      <c r="A337" s="483"/>
      <c r="B337" s="760" t="s">
        <v>1914</v>
      </c>
      <c r="C337" s="731">
        <v>338</v>
      </c>
      <c r="D337" s="730" t="s">
        <v>2320</v>
      </c>
      <c r="E337" s="730"/>
      <c r="F337" s="731"/>
      <c r="G337" s="730"/>
      <c r="H337" s="730"/>
      <c r="I337" s="730"/>
      <c r="J337" s="732">
        <v>0.02</v>
      </c>
      <c r="K337" s="730"/>
      <c r="L337" s="733"/>
    </row>
    <row r="338" spans="1:12" outlineLevel="1" x14ac:dyDescent="0.35">
      <c r="A338" s="483"/>
      <c r="B338" s="760" t="s">
        <v>1914</v>
      </c>
      <c r="C338" s="731">
        <v>339</v>
      </c>
      <c r="D338" s="730" t="s">
        <v>1735</v>
      </c>
      <c r="E338" s="730"/>
      <c r="F338" s="731"/>
      <c r="G338" s="730"/>
      <c r="H338" s="730"/>
      <c r="I338" s="730"/>
      <c r="J338" s="732">
        <v>0</v>
      </c>
      <c r="K338" s="730"/>
      <c r="L338" s="733"/>
    </row>
    <row r="339" spans="1:12" outlineLevel="1" x14ac:dyDescent="0.35">
      <c r="A339" s="483"/>
      <c r="B339" s="760" t="s">
        <v>1914</v>
      </c>
      <c r="C339" s="731">
        <v>340</v>
      </c>
      <c r="D339" s="730" t="s">
        <v>2321</v>
      </c>
      <c r="E339" s="730"/>
      <c r="F339" s="731"/>
      <c r="G339" s="730"/>
      <c r="H339" s="730"/>
      <c r="I339" s="730"/>
      <c r="J339" s="732">
        <v>0.03</v>
      </c>
      <c r="K339" s="730"/>
      <c r="L339" s="733"/>
    </row>
    <row r="340" spans="1:12" outlineLevel="1" x14ac:dyDescent="0.35">
      <c r="A340" s="483"/>
      <c r="B340" s="760" t="s">
        <v>1914</v>
      </c>
      <c r="C340" s="731">
        <v>341</v>
      </c>
      <c r="D340" s="730" t="s">
        <v>1736</v>
      </c>
      <c r="E340" s="730"/>
      <c r="F340" s="731"/>
      <c r="G340" s="730"/>
      <c r="H340" s="730"/>
      <c r="I340" s="730"/>
      <c r="J340" s="732">
        <v>1.2500000000000001E-2</v>
      </c>
      <c r="K340" s="730"/>
      <c r="L340" s="733"/>
    </row>
    <row r="341" spans="1:12" outlineLevel="1" x14ac:dyDescent="0.35">
      <c r="A341" s="483"/>
      <c r="B341" s="760" t="s">
        <v>1914</v>
      </c>
      <c r="C341" s="731">
        <v>342</v>
      </c>
      <c r="D341" s="730" t="s">
        <v>1737</v>
      </c>
      <c r="E341" s="730"/>
      <c r="F341" s="731"/>
      <c r="G341" s="730"/>
      <c r="H341" s="730"/>
      <c r="I341" s="730"/>
      <c r="J341" s="732">
        <v>1.7500000000000002E-2</v>
      </c>
      <c r="K341" s="730"/>
      <c r="L341" s="733"/>
    </row>
    <row r="342" spans="1:12" outlineLevel="1" x14ac:dyDescent="0.35">
      <c r="A342" s="483"/>
      <c r="B342" s="760" t="s">
        <v>1914</v>
      </c>
      <c r="C342" s="731">
        <v>343</v>
      </c>
      <c r="D342" s="730" t="s">
        <v>1986</v>
      </c>
      <c r="E342" s="730"/>
      <c r="F342" s="731"/>
      <c r="G342" s="730"/>
      <c r="H342" s="730"/>
      <c r="I342" s="730"/>
      <c r="J342" s="732">
        <v>0.01</v>
      </c>
      <c r="K342" s="730" t="s">
        <v>1987</v>
      </c>
      <c r="L342" s="733"/>
    </row>
    <row r="343" spans="1:12" outlineLevel="1" x14ac:dyDescent="0.35">
      <c r="A343" s="483"/>
      <c r="B343" s="760" t="s">
        <v>1914</v>
      </c>
      <c r="C343" s="731" t="s">
        <v>165</v>
      </c>
      <c r="D343" s="730" t="s">
        <v>1738</v>
      </c>
      <c r="E343" s="730"/>
      <c r="F343" s="731"/>
      <c r="G343" s="730"/>
      <c r="H343" s="730"/>
      <c r="I343" s="730"/>
      <c r="J343" s="732">
        <v>0.02</v>
      </c>
      <c r="K343" s="730"/>
      <c r="L343" s="733"/>
    </row>
    <row r="344" spans="1:12" outlineLevel="1" x14ac:dyDescent="0.35">
      <c r="A344" s="483"/>
      <c r="B344" s="760" t="s">
        <v>1914</v>
      </c>
      <c r="C344" s="731" t="s">
        <v>166</v>
      </c>
      <c r="D344" s="730" t="s">
        <v>1739</v>
      </c>
      <c r="E344" s="730"/>
      <c r="F344" s="731"/>
      <c r="G344" s="730"/>
      <c r="H344" s="730"/>
      <c r="I344" s="730"/>
      <c r="J344" s="732">
        <v>0.02</v>
      </c>
      <c r="K344" s="730"/>
      <c r="L344" s="733"/>
    </row>
    <row r="345" spans="1:12" outlineLevel="1" x14ac:dyDescent="0.35">
      <c r="A345" s="483"/>
      <c r="B345" s="760" t="s">
        <v>1914</v>
      </c>
      <c r="C345" s="731" t="s">
        <v>1050</v>
      </c>
      <c r="D345" s="730" t="s">
        <v>2211</v>
      </c>
      <c r="E345" s="730"/>
      <c r="F345" s="731"/>
      <c r="G345" s="730"/>
      <c r="H345" s="730"/>
      <c r="I345" s="730"/>
      <c r="J345" s="732">
        <v>0.02</v>
      </c>
      <c r="K345" s="730"/>
      <c r="L345" s="733"/>
    </row>
    <row r="346" spans="1:12" outlineLevel="1" x14ac:dyDescent="0.35">
      <c r="A346" s="483"/>
      <c r="B346" s="760" t="s">
        <v>1914</v>
      </c>
      <c r="C346" s="731">
        <v>344</v>
      </c>
      <c r="D346" s="730" t="s">
        <v>1740</v>
      </c>
      <c r="E346" s="730"/>
      <c r="F346" s="731"/>
      <c r="G346" s="730"/>
      <c r="H346" s="730"/>
      <c r="I346" s="730"/>
      <c r="J346" s="732">
        <v>0.02</v>
      </c>
      <c r="K346" s="730"/>
      <c r="L346" s="733"/>
    </row>
    <row r="347" spans="1:12" outlineLevel="1" x14ac:dyDescent="0.35">
      <c r="A347" s="483"/>
      <c r="B347" s="760" t="s">
        <v>1914</v>
      </c>
      <c r="C347" s="731">
        <v>3440</v>
      </c>
      <c r="D347" s="730" t="s">
        <v>2322</v>
      </c>
      <c r="E347" s="730"/>
      <c r="F347" s="731"/>
      <c r="G347" s="730"/>
      <c r="H347" s="730"/>
      <c r="I347" s="730"/>
      <c r="J347" s="732">
        <v>0.03</v>
      </c>
      <c r="K347" s="730"/>
      <c r="L347" s="733"/>
    </row>
    <row r="348" spans="1:12" outlineLevel="1" x14ac:dyDescent="0.35">
      <c r="A348" s="483"/>
      <c r="B348" s="760" t="s">
        <v>1914</v>
      </c>
      <c r="C348" s="731" t="s">
        <v>169</v>
      </c>
      <c r="D348" s="730" t="s">
        <v>1741</v>
      </c>
      <c r="E348" s="730"/>
      <c r="F348" s="731"/>
      <c r="G348" s="730"/>
      <c r="H348" s="730"/>
      <c r="I348" s="730"/>
      <c r="J348" s="732">
        <v>0.02</v>
      </c>
      <c r="K348" s="730"/>
      <c r="L348" s="733"/>
    </row>
    <row r="349" spans="1:12" outlineLevel="1" x14ac:dyDescent="0.35">
      <c r="A349" s="483"/>
      <c r="B349" s="760" t="s">
        <v>1914</v>
      </c>
      <c r="C349" s="731" t="s">
        <v>1052</v>
      </c>
      <c r="D349" s="730" t="s">
        <v>1742</v>
      </c>
      <c r="E349" s="730"/>
      <c r="F349" s="731"/>
      <c r="G349" s="730"/>
      <c r="H349" s="730"/>
      <c r="I349" s="730"/>
      <c r="J349" s="732">
        <v>0.02</v>
      </c>
      <c r="K349" s="730"/>
      <c r="L349" s="733"/>
    </row>
    <row r="350" spans="1:12" outlineLevel="1" x14ac:dyDescent="0.35">
      <c r="A350" s="483"/>
      <c r="B350" s="760" t="s">
        <v>1914</v>
      </c>
      <c r="C350" s="731">
        <v>345</v>
      </c>
      <c r="D350" s="730" t="s">
        <v>1743</v>
      </c>
      <c r="E350" s="730"/>
      <c r="F350" s="731"/>
      <c r="G350" s="730"/>
      <c r="H350" s="730"/>
      <c r="I350" s="730"/>
      <c r="J350" s="732">
        <v>0.08</v>
      </c>
      <c r="K350" s="730"/>
      <c r="L350" s="733"/>
    </row>
    <row r="351" spans="1:12" outlineLevel="1" x14ac:dyDescent="0.35">
      <c r="A351" s="483"/>
      <c r="B351" s="760" t="s">
        <v>1914</v>
      </c>
      <c r="C351" s="731">
        <v>346</v>
      </c>
      <c r="D351" s="730" t="s">
        <v>2323</v>
      </c>
      <c r="E351" s="730"/>
      <c r="F351" s="731"/>
      <c r="G351" s="730"/>
      <c r="H351" s="730"/>
      <c r="I351" s="730"/>
      <c r="J351" s="732">
        <v>1.7500000000000002E-2</v>
      </c>
      <c r="K351" s="730" t="s">
        <v>1987</v>
      </c>
      <c r="L351" s="733"/>
    </row>
    <row r="352" spans="1:12" outlineLevel="1" x14ac:dyDescent="0.35">
      <c r="A352" s="483"/>
      <c r="B352" s="760" t="s">
        <v>1914</v>
      </c>
      <c r="C352" s="731" t="s">
        <v>171</v>
      </c>
      <c r="D352" s="730" t="s">
        <v>1744</v>
      </c>
      <c r="E352" s="730"/>
      <c r="F352" s="731"/>
      <c r="G352" s="730"/>
      <c r="H352" s="730"/>
      <c r="I352" s="730"/>
      <c r="J352" s="732">
        <v>0</v>
      </c>
      <c r="K352" s="730"/>
      <c r="L352" s="733"/>
    </row>
    <row r="353" spans="1:12" outlineLevel="1" x14ac:dyDescent="0.35">
      <c r="A353" s="483"/>
      <c r="B353" s="760" t="s">
        <v>1914</v>
      </c>
      <c r="C353" s="731" t="s">
        <v>1056</v>
      </c>
      <c r="D353" s="730" t="s">
        <v>2324</v>
      </c>
      <c r="E353" s="730"/>
      <c r="F353" s="731"/>
      <c r="G353" s="730"/>
      <c r="H353" s="730"/>
      <c r="I353" s="730"/>
      <c r="J353" s="732">
        <v>0</v>
      </c>
      <c r="K353" s="730"/>
      <c r="L353" s="733"/>
    </row>
    <row r="354" spans="1:12" outlineLevel="1" x14ac:dyDescent="0.35">
      <c r="A354" s="483"/>
      <c r="B354" s="760" t="s">
        <v>1914</v>
      </c>
      <c r="C354" s="731" t="s">
        <v>1058</v>
      </c>
      <c r="D354" s="730" t="s">
        <v>2194</v>
      </c>
      <c r="E354" s="730"/>
      <c r="F354" s="731"/>
      <c r="G354" s="730"/>
      <c r="H354" s="730"/>
      <c r="I354" s="730"/>
      <c r="J354" s="732">
        <v>0</v>
      </c>
      <c r="K354" s="730"/>
      <c r="L354" s="733"/>
    </row>
    <row r="355" spans="1:12" outlineLevel="1" x14ac:dyDescent="0.35">
      <c r="A355" s="483"/>
      <c r="B355" s="760" t="s">
        <v>1914</v>
      </c>
      <c r="C355" s="731" t="s">
        <v>1060</v>
      </c>
      <c r="D355" s="730" t="s">
        <v>2325</v>
      </c>
      <c r="E355" s="730"/>
      <c r="F355" s="731"/>
      <c r="G355" s="730"/>
      <c r="H355" s="730"/>
      <c r="I355" s="730"/>
      <c r="J355" s="732">
        <v>0</v>
      </c>
      <c r="K355" s="730"/>
      <c r="L355" s="733"/>
    </row>
    <row r="356" spans="1:12" outlineLevel="1" x14ac:dyDescent="0.35">
      <c r="A356" s="483"/>
      <c r="B356" s="760" t="s">
        <v>1914</v>
      </c>
      <c r="C356" s="731">
        <v>348</v>
      </c>
      <c r="D356" s="730" t="s">
        <v>1745</v>
      </c>
      <c r="E356" s="730"/>
      <c r="F356" s="731"/>
      <c r="G356" s="730"/>
      <c r="H356" s="730"/>
      <c r="I356" s="730"/>
      <c r="J356" s="732">
        <v>0.01</v>
      </c>
      <c r="K356" s="730"/>
      <c r="L356" s="733"/>
    </row>
    <row r="357" spans="1:12" outlineLevel="1" x14ac:dyDescent="0.35">
      <c r="A357" s="483"/>
      <c r="B357" s="760" t="s">
        <v>1914</v>
      </c>
      <c r="C357" s="731">
        <v>3480</v>
      </c>
      <c r="D357" s="730" t="s">
        <v>2303</v>
      </c>
      <c r="E357" s="730"/>
      <c r="F357" s="731"/>
      <c r="G357" s="730"/>
      <c r="H357" s="730"/>
      <c r="I357" s="730"/>
      <c r="J357" s="732">
        <v>0.15</v>
      </c>
      <c r="K357" s="730"/>
      <c r="L357" s="733"/>
    </row>
    <row r="358" spans="1:12" outlineLevel="1" x14ac:dyDescent="0.35">
      <c r="A358" s="483"/>
      <c r="B358" s="760" t="s">
        <v>1914</v>
      </c>
      <c r="C358" s="731">
        <v>3481</v>
      </c>
      <c r="D358" s="730" t="s">
        <v>2326</v>
      </c>
      <c r="E358" s="730"/>
      <c r="F358" s="731"/>
      <c r="G358" s="730"/>
      <c r="H358" s="730"/>
      <c r="I358" s="730"/>
      <c r="J358" s="732">
        <v>0.05</v>
      </c>
      <c r="K358" s="730"/>
      <c r="L358" s="733"/>
    </row>
    <row r="359" spans="1:12" outlineLevel="1" x14ac:dyDescent="0.35">
      <c r="A359" s="483"/>
      <c r="B359" s="760" t="s">
        <v>1914</v>
      </c>
      <c r="C359" s="731">
        <v>3482</v>
      </c>
      <c r="D359" s="730" t="s">
        <v>2212</v>
      </c>
      <c r="E359" s="730"/>
      <c r="F359" s="731"/>
      <c r="G359" s="730"/>
      <c r="H359" s="730"/>
      <c r="I359" s="730"/>
      <c r="J359" s="732">
        <v>0.05</v>
      </c>
      <c r="K359" s="730"/>
      <c r="L359" s="733"/>
    </row>
    <row r="360" spans="1:12" outlineLevel="1" x14ac:dyDescent="0.35">
      <c r="A360" s="483"/>
      <c r="B360" s="760" t="s">
        <v>1914</v>
      </c>
      <c r="C360" s="731">
        <v>350</v>
      </c>
      <c r="D360" s="730" t="s">
        <v>2327</v>
      </c>
      <c r="E360" s="730"/>
      <c r="F360" s="731"/>
      <c r="G360" s="730"/>
      <c r="H360" s="730"/>
      <c r="I360" s="730"/>
      <c r="J360" s="732">
        <v>1.7500000000000002E-2</v>
      </c>
      <c r="K360" s="730"/>
      <c r="L360" s="733"/>
    </row>
    <row r="361" spans="1:12" outlineLevel="1" x14ac:dyDescent="0.35">
      <c r="A361" s="483"/>
      <c r="B361" s="760" t="s">
        <v>1914</v>
      </c>
      <c r="C361" s="731">
        <v>351</v>
      </c>
      <c r="D361" s="730" t="s">
        <v>1746</v>
      </c>
      <c r="E361" s="730"/>
      <c r="F361" s="731"/>
      <c r="G361" s="730"/>
      <c r="H361" s="730"/>
      <c r="I361" s="730"/>
      <c r="J361" s="732">
        <v>1.7500000000000002E-2</v>
      </c>
      <c r="K361" s="730"/>
      <c r="L361" s="733"/>
    </row>
    <row r="362" spans="1:12" outlineLevel="1" x14ac:dyDescent="0.35">
      <c r="A362" s="483"/>
      <c r="B362" s="760" t="s">
        <v>1914</v>
      </c>
      <c r="C362" s="731">
        <v>500</v>
      </c>
      <c r="D362" s="730" t="s">
        <v>2328</v>
      </c>
      <c r="E362" s="730"/>
      <c r="F362" s="731"/>
      <c r="G362" s="730"/>
      <c r="H362" s="730"/>
      <c r="I362" s="730"/>
      <c r="J362" s="732">
        <v>0.25</v>
      </c>
      <c r="K362" s="730"/>
      <c r="L362" s="733"/>
    </row>
    <row r="363" spans="1:12" outlineLevel="1" x14ac:dyDescent="0.35">
      <c r="A363" s="483"/>
      <c r="B363" s="760" t="s">
        <v>1914</v>
      </c>
      <c r="C363" s="731">
        <v>501</v>
      </c>
      <c r="D363" s="730" t="s">
        <v>2329</v>
      </c>
      <c r="E363" s="730"/>
      <c r="F363" s="731"/>
      <c r="G363" s="730"/>
      <c r="H363" s="730"/>
      <c r="I363" s="730"/>
      <c r="J363" s="732">
        <v>0.25</v>
      </c>
      <c r="K363" s="730"/>
      <c r="L363" s="733"/>
    </row>
    <row r="364" spans="1:12" outlineLevel="1" x14ac:dyDescent="0.35">
      <c r="A364" s="483"/>
      <c r="B364" s="760" t="s">
        <v>1914</v>
      </c>
      <c r="C364" s="731" t="s">
        <v>1062</v>
      </c>
      <c r="D364" s="730" t="s">
        <v>2330</v>
      </c>
      <c r="E364" s="730"/>
      <c r="F364" s="731"/>
      <c r="G364" s="730"/>
      <c r="H364" s="730"/>
      <c r="I364" s="730"/>
      <c r="J364" s="732">
        <v>0.25</v>
      </c>
      <c r="K364" s="730"/>
      <c r="L364" s="733"/>
    </row>
    <row r="365" spans="1:12" outlineLevel="1" x14ac:dyDescent="0.35">
      <c r="A365" s="483"/>
      <c r="B365" s="760" t="s">
        <v>1914</v>
      </c>
      <c r="C365" s="731">
        <v>503</v>
      </c>
      <c r="D365" s="730" t="s">
        <v>2331</v>
      </c>
      <c r="E365" s="730"/>
      <c r="F365" s="731"/>
      <c r="G365" s="730"/>
      <c r="H365" s="730"/>
      <c r="I365" s="730"/>
      <c r="J365" s="732">
        <v>0.25</v>
      </c>
      <c r="K365" s="730"/>
      <c r="L365" s="733"/>
    </row>
    <row r="366" spans="1:12" outlineLevel="1" x14ac:dyDescent="0.35">
      <c r="A366" s="483"/>
      <c r="B366" s="760" t="s">
        <v>1914</v>
      </c>
      <c r="C366" s="731">
        <v>504</v>
      </c>
      <c r="D366" s="730" t="s">
        <v>2332</v>
      </c>
      <c r="E366" s="730"/>
      <c r="F366" s="731"/>
      <c r="G366" s="730"/>
      <c r="H366" s="730"/>
      <c r="I366" s="730"/>
      <c r="J366" s="732">
        <v>0.1</v>
      </c>
      <c r="K366" s="730"/>
      <c r="L366" s="733"/>
    </row>
    <row r="367" spans="1:12" outlineLevel="1" x14ac:dyDescent="0.35">
      <c r="A367" s="483"/>
      <c r="B367" s="760" t="s">
        <v>1914</v>
      </c>
      <c r="C367" s="731" t="s">
        <v>176</v>
      </c>
      <c r="D367" s="730" t="s">
        <v>2333</v>
      </c>
      <c r="E367" s="730"/>
      <c r="F367" s="731"/>
      <c r="G367" s="730"/>
      <c r="H367" s="730"/>
      <c r="I367" s="730"/>
      <c r="J367" s="732">
        <v>0.12</v>
      </c>
      <c r="K367" s="730"/>
      <c r="L367" s="733"/>
    </row>
    <row r="368" spans="1:12" outlineLevel="1" x14ac:dyDescent="0.35">
      <c r="A368" s="483"/>
      <c r="B368" s="760" t="s">
        <v>1914</v>
      </c>
      <c r="C368" s="731" t="s">
        <v>178</v>
      </c>
      <c r="D368" s="730" t="s">
        <v>2334</v>
      </c>
      <c r="E368" s="730"/>
      <c r="F368" s="731"/>
      <c r="G368" s="730"/>
      <c r="H368" s="730"/>
      <c r="I368" s="730"/>
      <c r="J368" s="732">
        <v>0.14000000000000001</v>
      </c>
      <c r="K368" s="730"/>
      <c r="L368" s="733"/>
    </row>
    <row r="369" spans="1:12" outlineLevel="1" x14ac:dyDescent="0.35">
      <c r="A369" s="483"/>
      <c r="B369" s="760" t="s">
        <v>1914</v>
      </c>
      <c r="C369" s="731" t="s">
        <v>179</v>
      </c>
      <c r="D369" s="730" t="s">
        <v>2335</v>
      </c>
      <c r="E369" s="730"/>
      <c r="F369" s="731"/>
      <c r="G369" s="730"/>
      <c r="H369" s="730"/>
      <c r="I369" s="730"/>
      <c r="J369" s="732">
        <v>0.14000000000000001</v>
      </c>
      <c r="K369" s="730"/>
      <c r="L369" s="733"/>
    </row>
    <row r="370" spans="1:12" outlineLevel="1" x14ac:dyDescent="0.35">
      <c r="A370" s="483"/>
      <c r="B370" s="760" t="s">
        <v>1914</v>
      </c>
      <c r="C370" s="731" t="s">
        <v>180</v>
      </c>
      <c r="D370" s="730" t="s">
        <v>2336</v>
      </c>
      <c r="E370" s="730"/>
      <c r="F370" s="731"/>
      <c r="G370" s="730"/>
      <c r="H370" s="730"/>
      <c r="I370" s="730"/>
      <c r="J370" s="732">
        <v>0.14000000000000001</v>
      </c>
      <c r="K370" s="730"/>
      <c r="L370" s="733"/>
    </row>
    <row r="371" spans="1:12" outlineLevel="1" x14ac:dyDescent="0.35">
      <c r="A371" s="483"/>
      <c r="B371" s="760" t="s">
        <v>1914</v>
      </c>
      <c r="C371" s="731" t="s">
        <v>181</v>
      </c>
      <c r="D371" s="730" t="s">
        <v>2337</v>
      </c>
      <c r="E371" s="730"/>
      <c r="F371" s="731"/>
      <c r="G371" s="730"/>
      <c r="H371" s="730"/>
      <c r="I371" s="730"/>
      <c r="J371" s="732">
        <v>0.25</v>
      </c>
      <c r="K371" s="730"/>
      <c r="L371" s="733"/>
    </row>
    <row r="372" spans="1:12" outlineLevel="1" x14ac:dyDescent="0.35">
      <c r="A372" s="483"/>
      <c r="B372" s="760" t="s">
        <v>1914</v>
      </c>
      <c r="C372" s="731" t="s">
        <v>182</v>
      </c>
      <c r="D372" s="730" t="s">
        <v>2338</v>
      </c>
      <c r="E372" s="730"/>
      <c r="F372" s="731"/>
      <c r="G372" s="730"/>
      <c r="H372" s="730"/>
      <c r="I372" s="730"/>
      <c r="J372" s="732">
        <v>0.25</v>
      </c>
      <c r="K372" s="730"/>
      <c r="L372" s="733"/>
    </row>
    <row r="373" spans="1:12" outlineLevel="1" x14ac:dyDescent="0.35">
      <c r="A373" s="483"/>
      <c r="B373" s="760" t="s">
        <v>1914</v>
      </c>
      <c r="C373" s="731" t="s">
        <v>183</v>
      </c>
      <c r="D373" s="730" t="s">
        <v>2339</v>
      </c>
      <c r="E373" s="730"/>
      <c r="F373" s="731"/>
      <c r="G373" s="730"/>
      <c r="H373" s="730"/>
      <c r="I373" s="730"/>
      <c r="J373" s="732">
        <v>0.25</v>
      </c>
      <c r="K373" s="730"/>
      <c r="L373" s="733"/>
    </row>
    <row r="374" spans="1:12" outlineLevel="1" x14ac:dyDescent="0.35">
      <c r="A374" s="483"/>
      <c r="B374" s="760" t="s">
        <v>1914</v>
      </c>
      <c r="C374" s="731" t="s">
        <v>184</v>
      </c>
      <c r="D374" s="730" t="s">
        <v>2340</v>
      </c>
      <c r="E374" s="730"/>
      <c r="F374" s="731"/>
      <c r="G374" s="730"/>
      <c r="H374" s="730"/>
      <c r="I374" s="730"/>
      <c r="J374" s="732">
        <v>0.25</v>
      </c>
      <c r="K374" s="730"/>
      <c r="L374" s="733"/>
    </row>
    <row r="375" spans="1:12" outlineLevel="1" x14ac:dyDescent="0.35">
      <c r="A375" s="483"/>
      <c r="B375" s="760" t="s">
        <v>1914</v>
      </c>
      <c r="C375" s="731" t="s">
        <v>1064</v>
      </c>
      <c r="D375" s="730" t="s">
        <v>2341</v>
      </c>
      <c r="E375" s="730"/>
      <c r="F375" s="731"/>
      <c r="G375" s="730"/>
      <c r="H375" s="730"/>
      <c r="I375" s="730"/>
      <c r="J375" s="732">
        <v>0.25</v>
      </c>
      <c r="K375" s="730"/>
      <c r="L375" s="733"/>
    </row>
    <row r="376" spans="1:12" outlineLevel="1" x14ac:dyDescent="0.35">
      <c r="A376" s="483"/>
      <c r="B376" s="760" t="s">
        <v>1914</v>
      </c>
      <c r="C376" s="731" t="s">
        <v>1066</v>
      </c>
      <c r="D376" s="730" t="s">
        <v>2342</v>
      </c>
      <c r="E376" s="730"/>
      <c r="F376" s="731"/>
      <c r="G376" s="730"/>
      <c r="H376" s="730"/>
      <c r="I376" s="730"/>
      <c r="J376" s="732">
        <v>0.25</v>
      </c>
      <c r="K376" s="730"/>
      <c r="L376" s="733"/>
    </row>
    <row r="377" spans="1:12" outlineLevel="1" x14ac:dyDescent="0.35">
      <c r="A377" s="483"/>
      <c r="B377" s="760" t="s">
        <v>1914</v>
      </c>
      <c r="C377" s="731">
        <v>505</v>
      </c>
      <c r="D377" s="730" t="s">
        <v>2343</v>
      </c>
      <c r="E377" s="730"/>
      <c r="F377" s="731"/>
      <c r="G377" s="730"/>
      <c r="H377" s="730"/>
      <c r="I377" s="730"/>
      <c r="J377" s="732">
        <v>0.25</v>
      </c>
      <c r="K377" s="730"/>
      <c r="L377" s="733"/>
    </row>
    <row r="378" spans="1:12" outlineLevel="1" x14ac:dyDescent="0.35">
      <c r="A378" s="483"/>
      <c r="B378" s="760" t="s">
        <v>1914</v>
      </c>
      <c r="C378" s="731" t="s">
        <v>186</v>
      </c>
      <c r="D378" s="730" t="s">
        <v>2344</v>
      </c>
      <c r="E378" s="730"/>
      <c r="F378" s="731"/>
      <c r="G378" s="730"/>
      <c r="H378" s="730"/>
      <c r="I378" s="730"/>
      <c r="J378" s="732">
        <v>0.25</v>
      </c>
      <c r="K378" s="730"/>
      <c r="L378" s="733"/>
    </row>
    <row r="379" spans="1:12" outlineLevel="1" x14ac:dyDescent="0.35">
      <c r="A379" s="483"/>
      <c r="B379" s="760" t="s">
        <v>1914</v>
      </c>
      <c r="C379" s="731" t="s">
        <v>188</v>
      </c>
      <c r="D379" s="730" t="s">
        <v>2345</v>
      </c>
      <c r="E379" s="730"/>
      <c r="F379" s="731"/>
      <c r="G379" s="730"/>
      <c r="H379" s="730"/>
      <c r="I379" s="730"/>
      <c r="J379" s="732">
        <v>0.25</v>
      </c>
      <c r="K379" s="730"/>
      <c r="L379" s="733"/>
    </row>
    <row r="380" spans="1:12" outlineLevel="1" x14ac:dyDescent="0.35">
      <c r="A380" s="483"/>
      <c r="B380" s="760" t="s">
        <v>1914</v>
      </c>
      <c r="C380" s="731" t="s">
        <v>190</v>
      </c>
      <c r="D380" s="730" t="s">
        <v>2346</v>
      </c>
      <c r="E380" s="730"/>
      <c r="F380" s="731"/>
      <c r="G380" s="730"/>
      <c r="H380" s="730"/>
      <c r="I380" s="730"/>
      <c r="J380" s="732">
        <v>0.25</v>
      </c>
      <c r="K380" s="730"/>
      <c r="L380" s="733"/>
    </row>
    <row r="381" spans="1:12" outlineLevel="1" x14ac:dyDescent="0.35">
      <c r="A381" s="483"/>
      <c r="B381" s="760" t="s">
        <v>1914</v>
      </c>
      <c r="C381" s="731" t="s">
        <v>192</v>
      </c>
      <c r="D381" s="730" t="s">
        <v>1747</v>
      </c>
      <c r="E381" s="730"/>
      <c r="F381" s="731"/>
      <c r="G381" s="730"/>
      <c r="H381" s="730"/>
      <c r="I381" s="730"/>
      <c r="J381" s="732">
        <v>0.25</v>
      </c>
      <c r="K381" s="730"/>
      <c r="L381" s="733"/>
    </row>
    <row r="382" spans="1:12" outlineLevel="1" x14ac:dyDescent="0.35">
      <c r="A382" s="483"/>
      <c r="B382" s="760" t="s">
        <v>1914</v>
      </c>
      <c r="C382" s="731" t="s">
        <v>194</v>
      </c>
      <c r="D382" s="730" t="s">
        <v>1748</v>
      </c>
      <c r="E382" s="730"/>
      <c r="F382" s="731"/>
      <c r="G382" s="730"/>
      <c r="H382" s="730"/>
      <c r="I382" s="730"/>
      <c r="J382" s="732">
        <v>0.25</v>
      </c>
      <c r="K382" s="730"/>
      <c r="L382" s="733"/>
    </row>
    <row r="383" spans="1:12" outlineLevel="1" x14ac:dyDescent="0.35">
      <c r="A383" s="483"/>
      <c r="B383" s="760" t="s">
        <v>1914</v>
      </c>
      <c r="C383" s="731" t="s">
        <v>196</v>
      </c>
      <c r="D383" s="730" t="s">
        <v>2347</v>
      </c>
      <c r="E383" s="730"/>
      <c r="F383" s="731"/>
      <c r="G383" s="730"/>
      <c r="H383" s="730"/>
      <c r="I383" s="730"/>
      <c r="J383" s="732">
        <v>0.25</v>
      </c>
      <c r="K383" s="730"/>
      <c r="L383" s="733"/>
    </row>
    <row r="384" spans="1:12" outlineLevel="1" x14ac:dyDescent="0.35">
      <c r="A384" s="483"/>
      <c r="B384" s="760" t="s">
        <v>1914</v>
      </c>
      <c r="C384" s="731">
        <v>509</v>
      </c>
      <c r="D384" s="730" t="s">
        <v>2348</v>
      </c>
      <c r="E384" s="730"/>
      <c r="F384" s="731"/>
      <c r="G384" s="730"/>
      <c r="H384" s="730"/>
      <c r="I384" s="730"/>
      <c r="J384" s="732">
        <v>0.25</v>
      </c>
      <c r="K384" s="730"/>
      <c r="L384" s="733"/>
    </row>
    <row r="385" spans="1:12" outlineLevel="1" x14ac:dyDescent="0.35">
      <c r="A385" s="483"/>
      <c r="B385" s="760" t="s">
        <v>1914</v>
      </c>
      <c r="C385" s="731" t="s">
        <v>199</v>
      </c>
      <c r="D385" s="730" t="s">
        <v>2349</v>
      </c>
      <c r="E385" s="730"/>
      <c r="F385" s="731"/>
      <c r="G385" s="730"/>
      <c r="H385" s="730"/>
      <c r="I385" s="730"/>
      <c r="J385" s="732">
        <v>0.25</v>
      </c>
      <c r="K385" s="730"/>
      <c r="L385" s="733"/>
    </row>
    <row r="386" spans="1:12" outlineLevel="1" x14ac:dyDescent="0.35">
      <c r="A386" s="483"/>
      <c r="B386" s="760" t="s">
        <v>1914</v>
      </c>
      <c r="C386" s="731">
        <v>510</v>
      </c>
      <c r="D386" s="730" t="s">
        <v>2350</v>
      </c>
      <c r="E386" s="730"/>
      <c r="F386" s="731"/>
      <c r="G386" s="730"/>
      <c r="H386" s="730"/>
      <c r="I386" s="730"/>
      <c r="J386" s="732">
        <v>0.25</v>
      </c>
      <c r="K386" s="730"/>
      <c r="L386" s="733"/>
    </row>
    <row r="387" spans="1:12" outlineLevel="1" x14ac:dyDescent="0.35">
      <c r="A387" s="483"/>
      <c r="B387" s="760" t="s">
        <v>1914</v>
      </c>
      <c r="C387" s="731">
        <v>511</v>
      </c>
      <c r="D387" s="730" t="s">
        <v>2351</v>
      </c>
      <c r="E387" s="730"/>
      <c r="F387" s="731"/>
      <c r="G387" s="730"/>
      <c r="H387" s="730"/>
      <c r="I387" s="730"/>
      <c r="J387" s="732">
        <v>0.25</v>
      </c>
      <c r="K387" s="730"/>
      <c r="L387" s="733"/>
    </row>
    <row r="388" spans="1:12" outlineLevel="1" x14ac:dyDescent="0.35">
      <c r="A388" s="483"/>
      <c r="B388" s="760" t="s">
        <v>1914</v>
      </c>
      <c r="C388" s="731">
        <v>512</v>
      </c>
      <c r="D388" s="730" t="s">
        <v>2352</v>
      </c>
      <c r="E388" s="730"/>
      <c r="F388" s="731"/>
      <c r="G388" s="730"/>
      <c r="H388" s="730"/>
      <c r="I388" s="730"/>
      <c r="J388" s="732">
        <v>0.25</v>
      </c>
      <c r="K388" s="730"/>
      <c r="L388" s="733"/>
    </row>
    <row r="389" spans="1:12" outlineLevel="1" x14ac:dyDescent="0.35">
      <c r="A389" s="483"/>
      <c r="B389" s="760" t="s">
        <v>1914</v>
      </c>
      <c r="C389" s="731">
        <v>513</v>
      </c>
      <c r="D389" s="730" t="s">
        <v>2195</v>
      </c>
      <c r="E389" s="730"/>
      <c r="F389" s="731"/>
      <c r="G389" s="730"/>
      <c r="H389" s="730"/>
      <c r="I389" s="730"/>
      <c r="J389" s="732">
        <v>0.25</v>
      </c>
      <c r="K389" s="730"/>
      <c r="L389" s="733"/>
    </row>
    <row r="390" spans="1:12" outlineLevel="1" x14ac:dyDescent="0.35">
      <c r="A390" s="483"/>
      <c r="B390" s="760" t="s">
        <v>1914</v>
      </c>
      <c r="C390" s="731" t="s">
        <v>205</v>
      </c>
      <c r="D390" s="730" t="s">
        <v>2353</v>
      </c>
      <c r="E390" s="730"/>
      <c r="F390" s="731"/>
      <c r="G390" s="730"/>
      <c r="H390" s="730"/>
      <c r="I390" s="730"/>
      <c r="J390" s="732">
        <v>0.25</v>
      </c>
      <c r="K390" s="730"/>
      <c r="L390" s="733"/>
    </row>
    <row r="391" spans="1:12" outlineLevel="1" x14ac:dyDescent="0.35">
      <c r="A391" s="483"/>
      <c r="B391" s="760" t="s">
        <v>1914</v>
      </c>
      <c r="C391" s="731">
        <v>514</v>
      </c>
      <c r="D391" s="730" t="s">
        <v>2354</v>
      </c>
      <c r="E391" s="730"/>
      <c r="F391" s="731"/>
      <c r="G391" s="730"/>
      <c r="H391" s="730"/>
      <c r="I391" s="730"/>
      <c r="J391" s="732">
        <v>0.25</v>
      </c>
      <c r="K391" s="730"/>
      <c r="L391" s="733"/>
    </row>
    <row r="392" spans="1:12" outlineLevel="1" x14ac:dyDescent="0.35">
      <c r="A392" s="483"/>
      <c r="B392" s="760" t="s">
        <v>1914</v>
      </c>
      <c r="C392" s="731">
        <v>515</v>
      </c>
      <c r="D392" s="730" t="s">
        <v>2355</v>
      </c>
      <c r="E392" s="730"/>
      <c r="F392" s="731"/>
      <c r="G392" s="730"/>
      <c r="H392" s="730"/>
      <c r="I392" s="730"/>
      <c r="J392" s="732">
        <v>0.25</v>
      </c>
      <c r="K392" s="730"/>
      <c r="L392" s="733"/>
    </row>
    <row r="393" spans="1:12" outlineLevel="1" x14ac:dyDescent="0.35">
      <c r="A393" s="483"/>
      <c r="B393" s="760" t="s">
        <v>1914</v>
      </c>
      <c r="C393" s="731">
        <v>516</v>
      </c>
      <c r="D393" s="730" t="s">
        <v>2356</v>
      </c>
      <c r="E393" s="730"/>
      <c r="F393" s="731"/>
      <c r="G393" s="730"/>
      <c r="H393" s="730"/>
      <c r="I393" s="730"/>
      <c r="J393" s="732">
        <v>0.25</v>
      </c>
      <c r="K393" s="730"/>
      <c r="L393" s="733"/>
    </row>
    <row r="394" spans="1:12" outlineLevel="1" x14ac:dyDescent="0.35">
      <c r="A394" s="483"/>
      <c r="B394" s="760" t="s">
        <v>1914</v>
      </c>
      <c r="C394" s="731">
        <v>517</v>
      </c>
      <c r="D394" s="730" t="s">
        <v>2357</v>
      </c>
      <c r="E394" s="730"/>
      <c r="F394" s="731"/>
      <c r="G394" s="730"/>
      <c r="H394" s="730"/>
      <c r="I394" s="730"/>
      <c r="J394" s="732">
        <v>0.25</v>
      </c>
      <c r="K394" s="730"/>
      <c r="L394" s="733"/>
    </row>
    <row r="395" spans="1:12" outlineLevel="1" x14ac:dyDescent="0.35">
      <c r="A395" s="483"/>
      <c r="B395" s="760" t="s">
        <v>1914</v>
      </c>
      <c r="C395" s="731">
        <v>518</v>
      </c>
      <c r="D395" s="730" t="s">
        <v>2358</v>
      </c>
      <c r="E395" s="730"/>
      <c r="F395" s="731"/>
      <c r="G395" s="730"/>
      <c r="H395" s="730"/>
      <c r="I395" s="730"/>
      <c r="J395" s="732">
        <v>0.25</v>
      </c>
      <c r="K395" s="730"/>
      <c r="L395" s="733"/>
    </row>
    <row r="396" spans="1:12" outlineLevel="1" x14ac:dyDescent="0.35">
      <c r="A396" s="483"/>
      <c r="B396" s="760" t="s">
        <v>1914</v>
      </c>
      <c r="C396" s="731">
        <v>519</v>
      </c>
      <c r="D396" s="730" t="s">
        <v>2359</v>
      </c>
      <c r="E396" s="730"/>
      <c r="F396" s="731"/>
      <c r="G396" s="730"/>
      <c r="H396" s="730"/>
      <c r="I396" s="730"/>
      <c r="J396" s="732">
        <v>0.25</v>
      </c>
      <c r="K396" s="730"/>
      <c r="L396" s="733"/>
    </row>
    <row r="397" spans="1:12" outlineLevel="1" x14ac:dyDescent="0.35">
      <c r="A397" s="483"/>
      <c r="B397" s="760" t="s">
        <v>1914</v>
      </c>
      <c r="C397" s="731" t="s">
        <v>213</v>
      </c>
      <c r="D397" s="730" t="s">
        <v>2360</v>
      </c>
      <c r="E397" s="730"/>
      <c r="F397" s="731"/>
      <c r="G397" s="730"/>
      <c r="H397" s="730"/>
      <c r="I397" s="730"/>
      <c r="J397" s="732">
        <v>0.25</v>
      </c>
      <c r="K397" s="730"/>
      <c r="L397" s="733"/>
    </row>
    <row r="398" spans="1:12" outlineLevel="1" x14ac:dyDescent="0.35">
      <c r="A398" s="483"/>
      <c r="B398" s="760" t="s">
        <v>1914</v>
      </c>
      <c r="C398" s="731" t="s">
        <v>215</v>
      </c>
      <c r="D398" s="730" t="s">
        <v>2361</v>
      </c>
      <c r="E398" s="730"/>
      <c r="F398" s="731"/>
      <c r="G398" s="730"/>
      <c r="H398" s="730"/>
      <c r="I398" s="730"/>
      <c r="J398" s="732">
        <v>0.25</v>
      </c>
      <c r="K398" s="730"/>
      <c r="L398" s="733"/>
    </row>
    <row r="399" spans="1:12" outlineLevel="1" x14ac:dyDescent="0.35">
      <c r="A399" s="483"/>
      <c r="B399" s="760" t="s">
        <v>1914</v>
      </c>
      <c r="C399" s="731" t="s">
        <v>217</v>
      </c>
      <c r="D399" s="730" t="s">
        <v>2362</v>
      </c>
      <c r="E399" s="730"/>
      <c r="F399" s="731"/>
      <c r="G399" s="730"/>
      <c r="H399" s="730"/>
      <c r="I399" s="730"/>
      <c r="J399" s="732">
        <v>0.25</v>
      </c>
      <c r="K399" s="730"/>
      <c r="L399" s="733"/>
    </row>
    <row r="400" spans="1:12" outlineLevel="1" x14ac:dyDescent="0.35">
      <c r="A400" s="483"/>
      <c r="B400" s="760" t="s">
        <v>1914</v>
      </c>
      <c r="C400" s="731" t="s">
        <v>219</v>
      </c>
      <c r="D400" s="730" t="s">
        <v>1749</v>
      </c>
      <c r="E400" s="730"/>
      <c r="F400" s="731"/>
      <c r="G400" s="730"/>
      <c r="H400" s="730"/>
      <c r="I400" s="730"/>
      <c r="J400" s="732">
        <v>0</v>
      </c>
      <c r="K400" s="730"/>
      <c r="L400" s="733"/>
    </row>
    <row r="401" spans="1:19" outlineLevel="1" x14ac:dyDescent="0.35">
      <c r="A401" s="483"/>
      <c r="B401" s="760" t="s">
        <v>1914</v>
      </c>
      <c r="C401" s="731" t="s">
        <v>221</v>
      </c>
      <c r="D401" s="730" t="s">
        <v>2363</v>
      </c>
      <c r="E401" s="730"/>
      <c r="F401" s="731"/>
      <c r="G401" s="730"/>
      <c r="H401" s="730"/>
      <c r="I401" s="730"/>
      <c r="J401" s="732">
        <v>0.25</v>
      </c>
      <c r="K401" s="730"/>
      <c r="L401" s="733"/>
    </row>
    <row r="402" spans="1:19" outlineLevel="1" x14ac:dyDescent="0.35">
      <c r="A402" s="483"/>
      <c r="B402" s="760" t="s">
        <v>1914</v>
      </c>
      <c r="C402" s="731" t="s">
        <v>223</v>
      </c>
      <c r="D402" s="730" t="s">
        <v>2364</v>
      </c>
      <c r="E402" s="730"/>
      <c r="F402" s="731"/>
      <c r="G402" s="730"/>
      <c r="H402" s="730"/>
      <c r="I402" s="730"/>
      <c r="J402" s="732">
        <v>0.25</v>
      </c>
      <c r="K402" s="730"/>
      <c r="L402" s="733"/>
    </row>
    <row r="403" spans="1:19" outlineLevel="1" x14ac:dyDescent="0.35">
      <c r="A403" s="483"/>
      <c r="B403" s="760" t="s">
        <v>1914</v>
      </c>
      <c r="C403" s="731">
        <v>521</v>
      </c>
      <c r="D403" s="730" t="s">
        <v>2365</v>
      </c>
      <c r="E403" s="730"/>
      <c r="F403" s="731"/>
      <c r="G403" s="730"/>
      <c r="H403" s="730"/>
      <c r="I403" s="730"/>
      <c r="J403" s="732">
        <v>0.1</v>
      </c>
      <c r="K403" s="730"/>
      <c r="L403" s="733"/>
    </row>
    <row r="404" spans="1:19" outlineLevel="1" x14ac:dyDescent="0.35">
      <c r="A404" s="483"/>
      <c r="B404" s="760" t="s">
        <v>1914</v>
      </c>
      <c r="C404" s="731" t="s">
        <v>226</v>
      </c>
      <c r="D404" s="730" t="s">
        <v>2366</v>
      </c>
      <c r="E404" s="730"/>
      <c r="F404" s="731"/>
      <c r="G404" s="730"/>
      <c r="H404" s="730"/>
      <c r="I404" s="730"/>
      <c r="J404" s="732">
        <v>0.25</v>
      </c>
      <c r="K404" s="730"/>
      <c r="L404" s="733"/>
    </row>
    <row r="405" spans="1:19" outlineLevel="1" x14ac:dyDescent="0.35">
      <c r="A405" s="483"/>
      <c r="B405" s="760" t="s">
        <v>1914</v>
      </c>
      <c r="C405" s="731">
        <v>524</v>
      </c>
      <c r="D405" s="730" t="s">
        <v>1750</v>
      </c>
      <c r="E405" s="730"/>
      <c r="F405" s="731"/>
      <c r="G405" s="730"/>
      <c r="H405" s="730"/>
      <c r="I405" s="730"/>
      <c r="J405" s="732">
        <v>0</v>
      </c>
      <c r="K405" s="730"/>
      <c r="L405" s="733"/>
    </row>
    <row r="406" spans="1:19" outlineLevel="1" x14ac:dyDescent="0.35">
      <c r="A406" s="483"/>
      <c r="B406" s="760" t="s">
        <v>1914</v>
      </c>
      <c r="C406" s="731">
        <v>525</v>
      </c>
      <c r="D406" s="730" t="s">
        <v>2367</v>
      </c>
      <c r="E406" s="730"/>
      <c r="F406" s="731"/>
      <c r="G406" s="730"/>
      <c r="H406" s="730"/>
      <c r="I406" s="730"/>
      <c r="J406" s="732">
        <v>0</v>
      </c>
      <c r="K406" s="730"/>
      <c r="L406" s="733"/>
    </row>
    <row r="407" spans="1:19" ht="15" outlineLevel="1" thickBot="1" x14ac:dyDescent="0.4">
      <c r="A407" s="483"/>
      <c r="B407" s="761"/>
      <c r="C407" s="671"/>
      <c r="D407" s="670"/>
      <c r="E407" s="670"/>
      <c r="F407" s="671"/>
      <c r="G407" s="670"/>
      <c r="H407" s="670"/>
      <c r="I407" s="670"/>
      <c r="J407" s="728"/>
      <c r="K407" s="670"/>
      <c r="L407" s="711"/>
    </row>
    <row r="408" spans="1:19" ht="15" thickBot="1" x14ac:dyDescent="0.4">
      <c r="B408" s="2"/>
    </row>
    <row r="409" spans="1:19" ht="23" thickBot="1" x14ac:dyDescent="0.4">
      <c r="B409" s="524"/>
      <c r="C409" s="525" t="s">
        <v>229</v>
      </c>
      <c r="D409" s="525"/>
      <c r="E409" s="525"/>
      <c r="F409" s="525"/>
      <c r="G409" s="525"/>
      <c r="H409" s="525"/>
      <c r="I409" s="525"/>
      <c r="J409" s="525"/>
      <c r="K409" s="527"/>
      <c r="L409" s="526"/>
    </row>
    <row r="410" spans="1:19" s="2" customFormat="1" ht="15.5" outlineLevel="1" thickTop="1" thickBot="1" x14ac:dyDescent="0.4">
      <c r="B410" s="721"/>
      <c r="C410" s="719" t="s">
        <v>79</v>
      </c>
      <c r="D410" s="719"/>
      <c r="E410" s="719"/>
      <c r="F410" s="719"/>
      <c r="G410" s="719"/>
      <c r="H410" s="719"/>
      <c r="I410" s="719"/>
      <c r="J410" s="719"/>
      <c r="K410" s="719"/>
      <c r="L410" s="720"/>
      <c r="M410" s="385"/>
      <c r="S410" s="783"/>
    </row>
    <row r="411" spans="1:19" ht="15" outlineLevel="1" thickTop="1" x14ac:dyDescent="0.35">
      <c r="A411" s="483"/>
      <c r="B411" s="759" t="s">
        <v>1915</v>
      </c>
      <c r="C411" s="757" t="s">
        <v>230</v>
      </c>
      <c r="D411" s="664"/>
      <c r="E411" s="664"/>
      <c r="F411" s="665"/>
      <c r="G411" s="664"/>
      <c r="H411" s="664"/>
      <c r="I411" s="664"/>
      <c r="J411" s="727"/>
      <c r="K411" s="664"/>
      <c r="L411" s="666"/>
    </row>
    <row r="412" spans="1:19" outlineLevel="1" x14ac:dyDescent="0.35">
      <c r="A412" s="483"/>
      <c r="B412" s="762" t="s">
        <v>1915</v>
      </c>
      <c r="C412" s="664" t="s">
        <v>231</v>
      </c>
      <c r="D412" s="664"/>
      <c r="E412" s="664"/>
      <c r="F412" s="665"/>
      <c r="G412" s="664"/>
      <c r="H412" s="664"/>
      <c r="I412" s="664"/>
      <c r="J412" s="727"/>
      <c r="K412" s="664"/>
      <c r="L412" s="666"/>
    </row>
    <row r="413" spans="1:19" outlineLevel="1" x14ac:dyDescent="0.35">
      <c r="A413" s="483"/>
      <c r="B413" s="762" t="s">
        <v>1915</v>
      </c>
      <c r="C413" s="664" t="s">
        <v>232</v>
      </c>
      <c r="D413" s="664"/>
      <c r="E413" s="664"/>
      <c r="F413" s="665"/>
      <c r="G413" s="664"/>
      <c r="H413" s="664"/>
      <c r="I413" s="664"/>
      <c r="J413" s="727"/>
      <c r="K413" s="664"/>
      <c r="L413" s="666"/>
    </row>
    <row r="414" spans="1:19" outlineLevel="1" x14ac:dyDescent="0.35">
      <c r="A414" s="483"/>
      <c r="B414" s="762" t="s">
        <v>1915</v>
      </c>
      <c r="C414" s="664" t="s">
        <v>233</v>
      </c>
      <c r="D414" s="664"/>
      <c r="E414" s="664"/>
      <c r="F414" s="665"/>
      <c r="G414" s="664"/>
      <c r="H414" s="664"/>
      <c r="I414" s="664"/>
      <c r="J414" s="727"/>
      <c r="K414" s="664"/>
      <c r="L414" s="666"/>
    </row>
    <row r="415" spans="1:19" outlineLevel="1" x14ac:dyDescent="0.35">
      <c r="A415" s="483"/>
      <c r="B415" s="762" t="s">
        <v>1915</v>
      </c>
      <c r="C415" s="664" t="s">
        <v>234</v>
      </c>
      <c r="D415" s="664"/>
      <c r="E415" s="664"/>
      <c r="F415" s="665"/>
      <c r="G415" s="664"/>
      <c r="H415" s="664"/>
      <c r="I415" s="664"/>
      <c r="J415" s="727"/>
      <c r="K415" s="664"/>
      <c r="L415" s="666"/>
    </row>
    <row r="416" spans="1:19" outlineLevel="1" x14ac:dyDescent="0.35">
      <c r="A416" s="483"/>
      <c r="B416" s="762" t="s">
        <v>1915</v>
      </c>
      <c r="C416" s="664" t="s">
        <v>235</v>
      </c>
      <c r="D416" s="664"/>
      <c r="E416" s="664"/>
      <c r="F416" s="665"/>
      <c r="G416" s="664"/>
      <c r="H416" s="664"/>
      <c r="I416" s="664"/>
      <c r="J416" s="727"/>
      <c r="K416" s="664"/>
      <c r="L416" s="666"/>
    </row>
    <row r="417" spans="1:12" outlineLevel="1" x14ac:dyDescent="0.35">
      <c r="A417" s="483"/>
      <c r="B417" s="762" t="s">
        <v>1915</v>
      </c>
      <c r="C417" s="664" t="s">
        <v>236</v>
      </c>
      <c r="D417" s="664"/>
      <c r="E417" s="664"/>
      <c r="F417" s="665"/>
      <c r="G417" s="664"/>
      <c r="H417" s="664"/>
      <c r="I417" s="664"/>
      <c r="J417" s="727"/>
      <c r="K417" s="664"/>
      <c r="L417" s="666"/>
    </row>
    <row r="418" spans="1:12" outlineLevel="1" x14ac:dyDescent="0.35">
      <c r="A418" s="483"/>
      <c r="B418" s="762" t="s">
        <v>1915</v>
      </c>
      <c r="C418" s="664" t="s">
        <v>237</v>
      </c>
      <c r="D418" s="664"/>
      <c r="E418" s="664"/>
      <c r="F418" s="665"/>
      <c r="G418" s="664"/>
      <c r="H418" s="664"/>
      <c r="I418" s="664"/>
      <c r="J418" s="727"/>
      <c r="K418" s="664"/>
      <c r="L418" s="666"/>
    </row>
    <row r="419" spans="1:12" outlineLevel="1" x14ac:dyDescent="0.35">
      <c r="A419" s="483"/>
      <c r="B419" s="762" t="s">
        <v>1915</v>
      </c>
      <c r="C419" s="664" t="s">
        <v>238</v>
      </c>
      <c r="D419" s="664"/>
      <c r="E419" s="664"/>
      <c r="F419" s="665"/>
      <c r="G419" s="664"/>
      <c r="H419" s="664"/>
      <c r="I419" s="664"/>
      <c r="J419" s="727"/>
      <c r="K419" s="664"/>
      <c r="L419" s="666"/>
    </row>
    <row r="420" spans="1:12" outlineLevel="1" x14ac:dyDescent="0.35">
      <c r="A420" s="483"/>
      <c r="B420" s="762" t="s">
        <v>1915</v>
      </c>
      <c r="C420" s="664" t="s">
        <v>239</v>
      </c>
      <c r="D420" s="664"/>
      <c r="E420" s="664"/>
      <c r="F420" s="665"/>
      <c r="G420" s="664"/>
      <c r="H420" s="664"/>
      <c r="I420" s="664"/>
      <c r="J420" s="727"/>
      <c r="K420" s="664"/>
      <c r="L420" s="666"/>
    </row>
    <row r="421" spans="1:12" outlineLevel="1" x14ac:dyDescent="0.35">
      <c r="A421" s="483"/>
      <c r="B421" s="762" t="s">
        <v>1915</v>
      </c>
      <c r="C421" s="664" t="s">
        <v>240</v>
      </c>
      <c r="D421" s="664"/>
      <c r="E421" s="664"/>
      <c r="F421" s="665"/>
      <c r="G421" s="664"/>
      <c r="H421" s="664"/>
      <c r="I421" s="664"/>
      <c r="J421" s="727"/>
      <c r="K421" s="664"/>
      <c r="L421" s="666"/>
    </row>
    <row r="422" spans="1:12" outlineLevel="1" x14ac:dyDescent="0.35">
      <c r="A422" s="483"/>
      <c r="B422" s="762" t="s">
        <v>1915</v>
      </c>
      <c r="C422" s="664" t="s">
        <v>241</v>
      </c>
      <c r="D422" s="664"/>
      <c r="E422" s="664"/>
      <c r="F422" s="665"/>
      <c r="G422" s="664"/>
      <c r="H422" s="664"/>
      <c r="I422" s="664"/>
      <c r="J422" s="727"/>
      <c r="K422" s="664"/>
      <c r="L422" s="666"/>
    </row>
    <row r="423" spans="1:12" outlineLevel="1" x14ac:dyDescent="0.35">
      <c r="A423" s="483"/>
      <c r="B423" s="762" t="s">
        <v>1915</v>
      </c>
      <c r="C423" s="664" t="s">
        <v>242</v>
      </c>
      <c r="D423" s="664"/>
      <c r="E423" s="664"/>
      <c r="F423" s="665"/>
      <c r="G423" s="664"/>
      <c r="H423" s="664"/>
      <c r="I423" s="664"/>
      <c r="J423" s="727"/>
      <c r="K423" s="664"/>
      <c r="L423" s="666"/>
    </row>
    <row r="424" spans="1:12" outlineLevel="1" x14ac:dyDescent="0.35">
      <c r="A424" s="483"/>
      <c r="B424" s="762" t="s">
        <v>1915</v>
      </c>
      <c r="C424" s="664" t="s">
        <v>243</v>
      </c>
      <c r="D424" s="664"/>
      <c r="E424" s="664"/>
      <c r="F424" s="665"/>
      <c r="G424" s="664"/>
      <c r="H424" s="664"/>
      <c r="I424" s="664"/>
      <c r="J424" s="727"/>
      <c r="K424" s="664"/>
      <c r="L424" s="666"/>
    </row>
    <row r="425" spans="1:12" outlineLevel="1" x14ac:dyDescent="0.35">
      <c r="A425" s="483"/>
      <c r="B425" s="762" t="s">
        <v>1915</v>
      </c>
      <c r="C425" s="664" t="s">
        <v>244</v>
      </c>
      <c r="D425" s="664"/>
      <c r="E425" s="664"/>
      <c r="F425" s="665"/>
      <c r="G425" s="664"/>
      <c r="H425" s="664"/>
      <c r="I425" s="664"/>
      <c r="J425" s="727"/>
      <c r="K425" s="664"/>
      <c r="L425" s="666"/>
    </row>
    <row r="426" spans="1:12" outlineLevel="1" x14ac:dyDescent="0.35">
      <c r="A426" s="483"/>
      <c r="B426" s="762" t="s">
        <v>1915</v>
      </c>
      <c r="C426" s="664" t="s">
        <v>245</v>
      </c>
      <c r="D426" s="664"/>
      <c r="E426" s="664"/>
      <c r="F426" s="665"/>
      <c r="G426" s="664"/>
      <c r="H426" s="664"/>
      <c r="I426" s="664"/>
      <c r="J426" s="727"/>
      <c r="K426" s="664"/>
      <c r="L426" s="666"/>
    </row>
    <row r="427" spans="1:12" outlineLevel="1" x14ac:dyDescent="0.35">
      <c r="A427" s="483"/>
      <c r="B427" s="762" t="s">
        <v>1915</v>
      </c>
      <c r="C427" s="664" t="s">
        <v>246</v>
      </c>
      <c r="D427" s="664"/>
      <c r="E427" s="664"/>
      <c r="F427" s="665"/>
      <c r="G427" s="664"/>
      <c r="H427" s="664"/>
      <c r="I427" s="664"/>
      <c r="J427" s="727"/>
      <c r="K427" s="664"/>
      <c r="L427" s="666"/>
    </row>
    <row r="428" spans="1:12" outlineLevel="1" x14ac:dyDescent="0.35">
      <c r="A428" s="483"/>
      <c r="B428" s="762" t="s">
        <v>1915</v>
      </c>
      <c r="C428" s="664" t="s">
        <v>247</v>
      </c>
      <c r="D428" s="664"/>
      <c r="E428" s="664"/>
      <c r="F428" s="665"/>
      <c r="G428" s="664"/>
      <c r="H428" s="664"/>
      <c r="I428" s="664"/>
      <c r="J428" s="727"/>
      <c r="K428" s="664"/>
      <c r="L428" s="666"/>
    </row>
    <row r="429" spans="1:12" outlineLevel="1" x14ac:dyDescent="0.35">
      <c r="A429" s="483"/>
      <c r="B429" s="762" t="s">
        <v>1915</v>
      </c>
      <c r="C429" s="664" t="s">
        <v>248</v>
      </c>
      <c r="D429" s="664"/>
      <c r="E429" s="664"/>
      <c r="F429" s="665"/>
      <c r="G429" s="664"/>
      <c r="H429" s="664"/>
      <c r="I429" s="664"/>
      <c r="J429" s="727"/>
      <c r="K429" s="664"/>
      <c r="L429" s="666"/>
    </row>
    <row r="430" spans="1:12" outlineLevel="1" x14ac:dyDescent="0.35">
      <c r="A430" s="483"/>
      <c r="B430" s="762" t="s">
        <v>1915</v>
      </c>
      <c r="C430" s="664" t="s">
        <v>249</v>
      </c>
      <c r="D430" s="664"/>
      <c r="E430" s="664"/>
      <c r="F430" s="665"/>
      <c r="G430" s="664"/>
      <c r="H430" s="664"/>
      <c r="I430" s="664"/>
      <c r="J430" s="727"/>
      <c r="K430" s="664"/>
      <c r="L430" s="666"/>
    </row>
    <row r="431" spans="1:12" outlineLevel="1" x14ac:dyDescent="0.35">
      <c r="A431" s="483"/>
      <c r="B431" s="762" t="s">
        <v>1915</v>
      </c>
      <c r="C431" s="664" t="s">
        <v>250</v>
      </c>
      <c r="D431" s="664"/>
      <c r="E431" s="664"/>
      <c r="F431" s="665"/>
      <c r="G431" s="664"/>
      <c r="H431" s="664"/>
      <c r="I431" s="664"/>
      <c r="J431" s="727"/>
      <c r="K431" s="664"/>
      <c r="L431" s="666"/>
    </row>
    <row r="432" spans="1:12" outlineLevel="1" x14ac:dyDescent="0.35">
      <c r="A432" s="483"/>
      <c r="B432" s="762" t="s">
        <v>1915</v>
      </c>
      <c r="C432" s="664" t="s">
        <v>251</v>
      </c>
      <c r="D432" s="664"/>
      <c r="E432" s="664"/>
      <c r="F432" s="665"/>
      <c r="G432" s="664"/>
      <c r="H432" s="664"/>
      <c r="I432" s="664"/>
      <c r="J432" s="727"/>
      <c r="K432" s="664"/>
      <c r="L432" s="666"/>
    </row>
    <row r="433" spans="1:12" outlineLevel="1" x14ac:dyDescent="0.35">
      <c r="A433" s="483"/>
      <c r="B433" s="762" t="s">
        <v>1915</v>
      </c>
      <c r="C433" s="664" t="s">
        <v>252</v>
      </c>
      <c r="D433" s="664"/>
      <c r="E433" s="664"/>
      <c r="F433" s="665"/>
      <c r="G433" s="664"/>
      <c r="H433" s="664"/>
      <c r="I433" s="664"/>
      <c r="J433" s="727"/>
      <c r="K433" s="664"/>
      <c r="L433" s="666"/>
    </row>
    <row r="434" spans="1:12" outlineLevel="1" x14ac:dyDescent="0.35">
      <c r="A434" s="483"/>
      <c r="B434" s="762" t="s">
        <v>1915</v>
      </c>
      <c r="C434" s="664" t="s">
        <v>253</v>
      </c>
      <c r="D434" s="664"/>
      <c r="E434" s="664"/>
      <c r="F434" s="665"/>
      <c r="G434" s="664"/>
      <c r="H434" s="664"/>
      <c r="I434" s="664"/>
      <c r="J434" s="727"/>
      <c r="K434" s="664"/>
      <c r="L434" s="666"/>
    </row>
    <row r="435" spans="1:12" outlineLevel="1" x14ac:dyDescent="0.35">
      <c r="A435" s="483"/>
      <c r="B435" s="762" t="s">
        <v>1915</v>
      </c>
      <c r="C435" s="664" t="s">
        <v>254</v>
      </c>
      <c r="D435" s="664"/>
      <c r="E435" s="664"/>
      <c r="F435" s="665"/>
      <c r="G435" s="664"/>
      <c r="H435" s="664"/>
      <c r="I435" s="664"/>
      <c r="J435" s="727"/>
      <c r="K435" s="664"/>
      <c r="L435" s="666"/>
    </row>
    <row r="436" spans="1:12" outlineLevel="1" x14ac:dyDescent="0.35">
      <c r="A436" s="483"/>
      <c r="B436" s="762" t="s">
        <v>1915</v>
      </c>
      <c r="C436" s="664" t="s">
        <v>255</v>
      </c>
      <c r="D436" s="664"/>
      <c r="E436" s="664"/>
      <c r="F436" s="665"/>
      <c r="G436" s="664"/>
      <c r="H436" s="664"/>
      <c r="I436" s="664"/>
      <c r="J436" s="727"/>
      <c r="K436" s="664"/>
      <c r="L436" s="666"/>
    </row>
    <row r="437" spans="1:12" outlineLevel="1" x14ac:dyDescent="0.35">
      <c r="A437" s="483"/>
      <c r="B437" s="762" t="s">
        <v>1915</v>
      </c>
      <c r="C437" s="664" t="s">
        <v>256</v>
      </c>
      <c r="D437" s="664"/>
      <c r="E437" s="664"/>
      <c r="F437" s="665"/>
      <c r="G437" s="664"/>
      <c r="H437" s="664"/>
      <c r="I437" s="664"/>
      <c r="J437" s="727"/>
      <c r="K437" s="664"/>
      <c r="L437" s="666"/>
    </row>
    <row r="438" spans="1:12" outlineLevel="1" x14ac:dyDescent="0.35">
      <c r="A438" s="483"/>
      <c r="B438" s="762" t="s">
        <v>1915</v>
      </c>
      <c r="C438" s="664" t="s">
        <v>257</v>
      </c>
      <c r="D438" s="664"/>
      <c r="E438" s="664"/>
      <c r="F438" s="665"/>
      <c r="G438" s="664"/>
      <c r="H438" s="664"/>
      <c r="I438" s="664"/>
      <c r="J438" s="727"/>
      <c r="K438" s="664"/>
      <c r="L438" s="666"/>
    </row>
    <row r="439" spans="1:12" outlineLevel="1" x14ac:dyDescent="0.35">
      <c r="A439" s="483"/>
      <c r="B439" s="762" t="s">
        <v>1915</v>
      </c>
      <c r="C439" s="664" t="s">
        <v>258</v>
      </c>
      <c r="D439" s="664"/>
      <c r="E439" s="664"/>
      <c r="F439" s="665"/>
      <c r="G439" s="664"/>
      <c r="H439" s="664"/>
      <c r="I439" s="664"/>
      <c r="J439" s="727"/>
      <c r="K439" s="664"/>
      <c r="L439" s="666"/>
    </row>
    <row r="440" spans="1:12" outlineLevel="1" x14ac:dyDescent="0.35">
      <c r="A440" s="483"/>
      <c r="B440" s="762" t="s">
        <v>1915</v>
      </c>
      <c r="C440" s="664" t="s">
        <v>259</v>
      </c>
      <c r="D440" s="664"/>
      <c r="E440" s="664"/>
      <c r="F440" s="665"/>
      <c r="G440" s="664"/>
      <c r="H440" s="664"/>
      <c r="I440" s="664"/>
      <c r="J440" s="727"/>
      <c r="K440" s="664"/>
      <c r="L440" s="666"/>
    </row>
    <row r="441" spans="1:12" outlineLevel="1" x14ac:dyDescent="0.35">
      <c r="A441" s="483"/>
      <c r="B441" s="762" t="s">
        <v>1915</v>
      </c>
      <c r="C441" s="664" t="s">
        <v>260</v>
      </c>
      <c r="D441" s="664"/>
      <c r="E441" s="664"/>
      <c r="F441" s="665"/>
      <c r="G441" s="664"/>
      <c r="H441" s="664"/>
      <c r="I441" s="664"/>
      <c r="J441" s="727"/>
      <c r="K441" s="664"/>
      <c r="L441" s="666"/>
    </row>
    <row r="442" spans="1:12" outlineLevel="1" x14ac:dyDescent="0.35">
      <c r="A442" s="483"/>
      <c r="B442" s="762" t="s">
        <v>1915</v>
      </c>
      <c r="C442" s="664" t="s">
        <v>261</v>
      </c>
      <c r="D442" s="664"/>
      <c r="E442" s="664"/>
      <c r="F442" s="665"/>
      <c r="G442" s="664"/>
      <c r="H442" s="664"/>
      <c r="I442" s="664"/>
      <c r="J442" s="727"/>
      <c r="K442" s="664"/>
      <c r="L442" s="666"/>
    </row>
    <row r="443" spans="1:12" outlineLevel="1" x14ac:dyDescent="0.35">
      <c r="A443" s="483"/>
      <c r="B443" s="762" t="s">
        <v>1915</v>
      </c>
      <c r="C443" s="664" t="s">
        <v>262</v>
      </c>
      <c r="D443" s="664"/>
      <c r="E443" s="664"/>
      <c r="F443" s="665"/>
      <c r="G443" s="664"/>
      <c r="H443" s="664"/>
      <c r="I443" s="664"/>
      <c r="J443" s="727"/>
      <c r="K443" s="664"/>
      <c r="L443" s="666"/>
    </row>
    <row r="444" spans="1:12" outlineLevel="1" x14ac:dyDescent="0.35">
      <c r="A444" s="483"/>
      <c r="B444" s="762" t="s">
        <v>1915</v>
      </c>
      <c r="C444" s="664" t="s">
        <v>263</v>
      </c>
      <c r="D444" s="664"/>
      <c r="E444" s="664"/>
      <c r="F444" s="665"/>
      <c r="G444" s="664"/>
      <c r="H444" s="664"/>
      <c r="I444" s="664"/>
      <c r="J444" s="727"/>
      <c r="K444" s="664"/>
      <c r="L444" s="666"/>
    </row>
    <row r="445" spans="1:12" outlineLevel="1" x14ac:dyDescent="0.35">
      <c r="A445" s="483"/>
      <c r="B445" s="762" t="s">
        <v>1915</v>
      </c>
      <c r="C445" s="664" t="s">
        <v>264</v>
      </c>
      <c r="D445" s="664"/>
      <c r="E445" s="664"/>
      <c r="F445" s="665"/>
      <c r="G445" s="664"/>
      <c r="H445" s="664"/>
      <c r="I445" s="664"/>
      <c r="J445" s="727"/>
      <c r="K445" s="664"/>
      <c r="L445" s="666"/>
    </row>
    <row r="446" spans="1:12" outlineLevel="1" x14ac:dyDescent="0.35">
      <c r="A446" s="483"/>
      <c r="B446" s="762" t="s">
        <v>1915</v>
      </c>
      <c r="C446" s="664" t="s">
        <v>265</v>
      </c>
      <c r="D446" s="664"/>
      <c r="E446" s="664"/>
      <c r="F446" s="665"/>
      <c r="G446" s="664"/>
      <c r="H446" s="664"/>
      <c r="I446" s="664"/>
      <c r="J446" s="727"/>
      <c r="K446" s="664"/>
      <c r="L446" s="666"/>
    </row>
    <row r="447" spans="1:12" outlineLevel="1" x14ac:dyDescent="0.35">
      <c r="A447" s="483"/>
      <c r="B447" s="762" t="s">
        <v>1915</v>
      </c>
      <c r="C447" s="664" t="s">
        <v>266</v>
      </c>
      <c r="D447" s="664"/>
      <c r="E447" s="664"/>
      <c r="F447" s="665"/>
      <c r="G447" s="664"/>
      <c r="H447" s="664"/>
      <c r="I447" s="664"/>
      <c r="J447" s="727"/>
      <c r="K447" s="664"/>
      <c r="L447" s="666"/>
    </row>
    <row r="448" spans="1:12" outlineLevel="1" x14ac:dyDescent="0.35">
      <c r="A448" s="483"/>
      <c r="B448" s="762" t="s">
        <v>1915</v>
      </c>
      <c r="C448" s="664" t="s">
        <v>267</v>
      </c>
      <c r="D448" s="664"/>
      <c r="E448" s="664"/>
      <c r="F448" s="665"/>
      <c r="G448" s="664"/>
      <c r="H448" s="664"/>
      <c r="I448" s="664"/>
      <c r="J448" s="727"/>
      <c r="K448" s="664"/>
      <c r="L448" s="666"/>
    </row>
    <row r="449" spans="1:12" outlineLevel="1" x14ac:dyDescent="0.35">
      <c r="A449" s="483"/>
      <c r="B449" s="762" t="s">
        <v>1915</v>
      </c>
      <c r="C449" s="664" t="s">
        <v>268</v>
      </c>
      <c r="D449" s="664"/>
      <c r="E449" s="664"/>
      <c r="F449" s="665"/>
      <c r="G449" s="664"/>
      <c r="H449" s="664"/>
      <c r="I449" s="664"/>
      <c r="J449" s="727"/>
      <c r="K449" s="664"/>
      <c r="L449" s="666"/>
    </row>
    <row r="450" spans="1:12" outlineLevel="1" x14ac:dyDescent="0.35">
      <c r="A450" s="483"/>
      <c r="B450" s="762" t="s">
        <v>1915</v>
      </c>
      <c r="C450" s="664" t="s">
        <v>269</v>
      </c>
      <c r="D450" s="664"/>
      <c r="E450" s="664"/>
      <c r="F450" s="665"/>
      <c r="G450" s="664"/>
      <c r="H450" s="664"/>
      <c r="I450" s="664"/>
      <c r="J450" s="727"/>
      <c r="K450" s="664"/>
      <c r="L450" s="666"/>
    </row>
    <row r="451" spans="1:12" outlineLevel="1" x14ac:dyDescent="0.35">
      <c r="A451" s="483"/>
      <c r="B451" s="762" t="s">
        <v>1915</v>
      </c>
      <c r="C451" s="664" t="s">
        <v>270</v>
      </c>
      <c r="D451" s="664"/>
      <c r="E451" s="664"/>
      <c r="F451" s="665"/>
      <c r="G451" s="664"/>
      <c r="H451" s="664"/>
      <c r="I451" s="664"/>
      <c r="J451" s="727"/>
      <c r="K451" s="664"/>
      <c r="L451" s="666"/>
    </row>
    <row r="452" spans="1:12" outlineLevel="1" x14ac:dyDescent="0.35">
      <c r="A452" s="483"/>
      <c r="B452" s="762" t="s">
        <v>1915</v>
      </c>
      <c r="C452" s="664" t="s">
        <v>271</v>
      </c>
      <c r="D452" s="664"/>
      <c r="E452" s="664"/>
      <c r="F452" s="665"/>
      <c r="G452" s="664"/>
      <c r="H452" s="664"/>
      <c r="I452" s="664"/>
      <c r="J452" s="727"/>
      <c r="K452" s="664"/>
      <c r="L452" s="666"/>
    </row>
    <row r="453" spans="1:12" outlineLevel="1" x14ac:dyDescent="0.35">
      <c r="A453" s="483"/>
      <c r="B453" s="762" t="s">
        <v>1915</v>
      </c>
      <c r="C453" s="664" t="s">
        <v>272</v>
      </c>
      <c r="D453" s="664"/>
      <c r="E453" s="664"/>
      <c r="F453" s="665"/>
      <c r="G453" s="664"/>
      <c r="H453" s="664"/>
      <c r="I453" s="664"/>
      <c r="J453" s="727"/>
      <c r="K453" s="664"/>
      <c r="L453" s="666"/>
    </row>
    <row r="454" spans="1:12" outlineLevel="1" x14ac:dyDescent="0.35">
      <c r="A454" s="483"/>
      <c r="B454" s="762" t="s">
        <v>1915</v>
      </c>
      <c r="C454" s="664" t="s">
        <v>273</v>
      </c>
      <c r="D454" s="664"/>
      <c r="E454" s="664"/>
      <c r="F454" s="665"/>
      <c r="G454" s="664"/>
      <c r="H454" s="664"/>
      <c r="I454" s="664"/>
      <c r="J454" s="727"/>
      <c r="K454" s="664"/>
      <c r="L454" s="666"/>
    </row>
    <row r="455" spans="1:12" outlineLevel="1" x14ac:dyDescent="0.35">
      <c r="A455" s="483"/>
      <c r="B455" s="762" t="s">
        <v>1915</v>
      </c>
      <c r="C455" s="664" t="s">
        <v>274</v>
      </c>
      <c r="D455" s="664"/>
      <c r="E455" s="664"/>
      <c r="F455" s="665"/>
      <c r="G455" s="664"/>
      <c r="H455" s="664"/>
      <c r="I455" s="664"/>
      <c r="J455" s="727"/>
      <c r="K455" s="664"/>
      <c r="L455" s="666"/>
    </row>
    <row r="456" spans="1:12" outlineLevel="1" x14ac:dyDescent="0.35">
      <c r="A456" s="483"/>
      <c r="B456" s="762" t="s">
        <v>1915</v>
      </c>
      <c r="C456" s="664" t="s">
        <v>275</v>
      </c>
      <c r="D456" s="664"/>
      <c r="E456" s="664"/>
      <c r="F456" s="665"/>
      <c r="G456" s="664"/>
      <c r="H456" s="664"/>
      <c r="I456" s="664"/>
      <c r="J456" s="727"/>
      <c r="K456" s="664"/>
      <c r="L456" s="666"/>
    </row>
    <row r="457" spans="1:12" outlineLevel="1" x14ac:dyDescent="0.35">
      <c r="A457" s="483"/>
      <c r="B457" s="762" t="s">
        <v>1915</v>
      </c>
      <c r="C457" s="664" t="s">
        <v>276</v>
      </c>
      <c r="D457" s="664"/>
      <c r="E457" s="664"/>
      <c r="F457" s="665"/>
      <c r="G457" s="664"/>
      <c r="H457" s="664"/>
      <c r="I457" s="664"/>
      <c r="J457" s="727"/>
      <c r="K457" s="664"/>
      <c r="L457" s="666"/>
    </row>
    <row r="458" spans="1:12" outlineLevel="1" x14ac:dyDescent="0.35">
      <c r="A458" s="483"/>
      <c r="B458" s="762" t="s">
        <v>1915</v>
      </c>
      <c r="C458" s="664" t="s">
        <v>277</v>
      </c>
      <c r="D458" s="664"/>
      <c r="E458" s="664"/>
      <c r="F458" s="665"/>
      <c r="G458" s="664"/>
      <c r="H458" s="664"/>
      <c r="I458" s="664"/>
      <c r="J458" s="727"/>
      <c r="K458" s="664"/>
      <c r="L458" s="666"/>
    </row>
    <row r="459" spans="1:12" outlineLevel="1" x14ac:dyDescent="0.35">
      <c r="A459" s="483"/>
      <c r="B459" s="762" t="s">
        <v>1915</v>
      </c>
      <c r="C459" s="664" t="s">
        <v>278</v>
      </c>
      <c r="D459" s="664"/>
      <c r="E459" s="664"/>
      <c r="F459" s="665"/>
      <c r="G459" s="664"/>
      <c r="H459" s="664"/>
      <c r="I459" s="664"/>
      <c r="J459" s="727"/>
      <c r="K459" s="664"/>
      <c r="L459" s="666"/>
    </row>
    <row r="460" spans="1:12" outlineLevel="1" x14ac:dyDescent="0.35">
      <c r="A460" s="483"/>
      <c r="B460" s="762" t="s">
        <v>1915</v>
      </c>
      <c r="C460" s="664" t="s">
        <v>279</v>
      </c>
      <c r="D460" s="664"/>
      <c r="E460" s="664"/>
      <c r="F460" s="665"/>
      <c r="G460" s="664"/>
      <c r="H460" s="664"/>
      <c r="I460" s="664"/>
      <c r="J460" s="727"/>
      <c r="K460" s="664"/>
      <c r="L460" s="666"/>
    </row>
    <row r="461" spans="1:12" outlineLevel="1" x14ac:dyDescent="0.35">
      <c r="A461" s="483"/>
      <c r="B461" s="762" t="s">
        <v>1915</v>
      </c>
      <c r="C461" s="664" t="s">
        <v>280</v>
      </c>
      <c r="D461" s="664"/>
      <c r="E461" s="664"/>
      <c r="F461" s="665"/>
      <c r="G461" s="664"/>
      <c r="H461" s="664"/>
      <c r="I461" s="664"/>
      <c r="J461" s="727"/>
      <c r="K461" s="664"/>
      <c r="L461" s="666"/>
    </row>
    <row r="462" spans="1:12" outlineLevel="1" x14ac:dyDescent="0.35">
      <c r="A462" s="483"/>
      <c r="B462" s="762" t="s">
        <v>1915</v>
      </c>
      <c r="C462" s="664" t="s">
        <v>281</v>
      </c>
      <c r="D462" s="664"/>
      <c r="E462" s="664"/>
      <c r="F462" s="665"/>
      <c r="G462" s="664"/>
      <c r="H462" s="664"/>
      <c r="I462" s="664"/>
      <c r="J462" s="727"/>
      <c r="K462" s="664"/>
      <c r="L462" s="666"/>
    </row>
    <row r="463" spans="1:12" outlineLevel="1" x14ac:dyDescent="0.35">
      <c r="A463" s="483"/>
      <c r="B463" s="762" t="s">
        <v>1915</v>
      </c>
      <c r="C463" s="664" t="s">
        <v>282</v>
      </c>
      <c r="D463" s="664"/>
      <c r="E463" s="664"/>
      <c r="F463" s="665"/>
      <c r="G463" s="664"/>
      <c r="H463" s="664"/>
      <c r="I463" s="664"/>
      <c r="J463" s="727"/>
      <c r="K463" s="664"/>
      <c r="L463" s="666"/>
    </row>
    <row r="464" spans="1:12" outlineLevel="1" x14ac:dyDescent="0.35">
      <c r="A464" s="483"/>
      <c r="B464" s="762" t="s">
        <v>1915</v>
      </c>
      <c r="C464" s="664" t="s">
        <v>283</v>
      </c>
      <c r="D464" s="664"/>
      <c r="E464" s="664"/>
      <c r="F464" s="665"/>
      <c r="G464" s="664"/>
      <c r="H464" s="664"/>
      <c r="I464" s="664"/>
      <c r="J464" s="727"/>
      <c r="K464" s="664"/>
      <c r="L464" s="666"/>
    </row>
    <row r="465" spans="1:12" outlineLevel="1" x14ac:dyDescent="0.35">
      <c r="A465" s="483"/>
      <c r="B465" s="762" t="s">
        <v>1915</v>
      </c>
      <c r="C465" s="664" t="s">
        <v>284</v>
      </c>
      <c r="D465" s="664"/>
      <c r="E465" s="664"/>
      <c r="F465" s="665"/>
      <c r="G465" s="664"/>
      <c r="H465" s="664"/>
      <c r="I465" s="664"/>
      <c r="J465" s="727"/>
      <c r="K465" s="664"/>
      <c r="L465" s="666"/>
    </row>
    <row r="466" spans="1:12" outlineLevel="1" x14ac:dyDescent="0.35">
      <c r="A466" s="483"/>
      <c r="B466" s="762" t="s">
        <v>1915</v>
      </c>
      <c r="C466" s="664" t="s">
        <v>285</v>
      </c>
      <c r="D466" s="664"/>
      <c r="E466" s="664"/>
      <c r="F466" s="665"/>
      <c r="G466" s="664"/>
      <c r="H466" s="664"/>
      <c r="I466" s="664"/>
      <c r="J466" s="727"/>
      <c r="K466" s="664"/>
      <c r="L466" s="666"/>
    </row>
    <row r="467" spans="1:12" outlineLevel="1" x14ac:dyDescent="0.35">
      <c r="A467" s="483"/>
      <c r="B467" s="762" t="s">
        <v>1915</v>
      </c>
      <c r="C467" s="664" t="s">
        <v>286</v>
      </c>
      <c r="D467" s="664"/>
      <c r="E467" s="664"/>
      <c r="F467" s="665"/>
      <c r="G467" s="664"/>
      <c r="H467" s="664"/>
      <c r="I467" s="664"/>
      <c r="J467" s="727"/>
      <c r="K467" s="664"/>
      <c r="L467" s="666"/>
    </row>
    <row r="468" spans="1:12" outlineLevel="1" x14ac:dyDescent="0.35">
      <c r="A468" s="483"/>
      <c r="B468" s="762" t="s">
        <v>1915</v>
      </c>
      <c r="C468" s="664" t="s">
        <v>287</v>
      </c>
      <c r="D468" s="664"/>
      <c r="E468" s="664"/>
      <c r="F468" s="665"/>
      <c r="G468" s="664"/>
      <c r="H468" s="664"/>
      <c r="I468" s="664"/>
      <c r="J468" s="727"/>
      <c r="K468" s="664"/>
      <c r="L468" s="666"/>
    </row>
    <row r="469" spans="1:12" outlineLevel="1" x14ac:dyDescent="0.35">
      <c r="A469" s="483"/>
      <c r="B469" s="762" t="s">
        <v>1915</v>
      </c>
      <c r="C469" s="664" t="s">
        <v>288</v>
      </c>
      <c r="D469" s="664"/>
      <c r="E469" s="664"/>
      <c r="F469" s="665"/>
      <c r="G469" s="664"/>
      <c r="H469" s="664"/>
      <c r="I469" s="664"/>
      <c r="J469" s="727"/>
      <c r="K469" s="664"/>
      <c r="L469" s="666"/>
    </row>
    <row r="470" spans="1:12" outlineLevel="1" x14ac:dyDescent="0.35">
      <c r="A470" s="483"/>
      <c r="B470" s="762" t="s">
        <v>1915</v>
      </c>
      <c r="C470" s="664" t="s">
        <v>289</v>
      </c>
      <c r="D470" s="664"/>
      <c r="E470" s="664"/>
      <c r="F470" s="665"/>
      <c r="G470" s="664"/>
      <c r="H470" s="664"/>
      <c r="I470" s="664"/>
      <c r="J470" s="727"/>
      <c r="K470" s="664"/>
      <c r="L470" s="666"/>
    </row>
    <row r="471" spans="1:12" outlineLevel="1" x14ac:dyDescent="0.35">
      <c r="A471" s="483"/>
      <c r="B471" s="762" t="s">
        <v>1915</v>
      </c>
      <c r="C471" s="664" t="s">
        <v>290</v>
      </c>
      <c r="D471" s="664"/>
      <c r="E471" s="664"/>
      <c r="F471" s="665"/>
      <c r="G471" s="664"/>
      <c r="H471" s="664"/>
      <c r="I471" s="664"/>
      <c r="J471" s="727"/>
      <c r="K471" s="664"/>
      <c r="L471" s="666"/>
    </row>
    <row r="472" spans="1:12" outlineLevel="1" x14ac:dyDescent="0.35">
      <c r="A472" s="483"/>
      <c r="B472" s="762" t="s">
        <v>1915</v>
      </c>
      <c r="C472" s="664" t="s">
        <v>291</v>
      </c>
      <c r="D472" s="664"/>
      <c r="E472" s="664"/>
      <c r="F472" s="665"/>
      <c r="G472" s="664"/>
      <c r="H472" s="664"/>
      <c r="I472" s="664"/>
      <c r="J472" s="727"/>
      <c r="K472" s="664"/>
      <c r="L472" s="666"/>
    </row>
    <row r="473" spans="1:12" outlineLevel="1" x14ac:dyDescent="0.35">
      <c r="A473" s="483"/>
      <c r="B473" s="762" t="s">
        <v>1915</v>
      </c>
      <c r="C473" s="664" t="s">
        <v>292</v>
      </c>
      <c r="D473" s="664"/>
      <c r="E473" s="664"/>
      <c r="F473" s="665"/>
      <c r="G473" s="664"/>
      <c r="H473" s="664"/>
      <c r="I473" s="664"/>
      <c r="J473" s="727"/>
      <c r="K473" s="664"/>
      <c r="L473" s="666"/>
    </row>
    <row r="474" spans="1:12" outlineLevel="1" x14ac:dyDescent="0.35">
      <c r="A474" s="483"/>
      <c r="B474" s="762" t="s">
        <v>1915</v>
      </c>
      <c r="C474" s="664" t="s">
        <v>293</v>
      </c>
      <c r="D474" s="664"/>
      <c r="E474" s="664"/>
      <c r="F474" s="665"/>
      <c r="G474" s="664"/>
      <c r="H474" s="664"/>
      <c r="I474" s="664"/>
      <c r="J474" s="727"/>
      <c r="K474" s="664"/>
      <c r="L474" s="666"/>
    </row>
    <row r="475" spans="1:12" outlineLevel="1" x14ac:dyDescent="0.35">
      <c r="A475" s="483"/>
      <c r="B475" s="762" t="s">
        <v>1915</v>
      </c>
      <c r="C475" s="664" t="s">
        <v>294</v>
      </c>
      <c r="D475" s="664"/>
      <c r="E475" s="664"/>
      <c r="F475" s="665"/>
      <c r="G475" s="664"/>
      <c r="H475" s="664"/>
      <c r="I475" s="664"/>
      <c r="J475" s="727"/>
      <c r="K475" s="664"/>
      <c r="L475" s="666"/>
    </row>
    <row r="476" spans="1:12" outlineLevel="1" x14ac:dyDescent="0.35">
      <c r="A476" s="483"/>
      <c r="B476" s="762" t="s">
        <v>1915</v>
      </c>
      <c r="C476" s="664" t="s">
        <v>295</v>
      </c>
      <c r="D476" s="664"/>
      <c r="E476" s="664"/>
      <c r="F476" s="665"/>
      <c r="G476" s="664"/>
      <c r="H476" s="664"/>
      <c r="I476" s="664"/>
      <c r="J476" s="727"/>
      <c r="K476" s="664"/>
      <c r="L476" s="666"/>
    </row>
    <row r="477" spans="1:12" outlineLevel="1" x14ac:dyDescent="0.35">
      <c r="A477" s="483"/>
      <c r="B477" s="762" t="s">
        <v>1915</v>
      </c>
      <c r="C477" s="664" t="s">
        <v>296</v>
      </c>
      <c r="D477" s="664"/>
      <c r="E477" s="664"/>
      <c r="F477" s="665"/>
      <c r="G477" s="664"/>
      <c r="H477" s="664"/>
      <c r="I477" s="664"/>
      <c r="J477" s="727"/>
      <c r="K477" s="664"/>
      <c r="L477" s="666"/>
    </row>
    <row r="478" spans="1:12" outlineLevel="1" x14ac:dyDescent="0.35">
      <c r="A478" s="483"/>
      <c r="B478" s="762" t="s">
        <v>1915</v>
      </c>
      <c r="C478" s="664" t="s">
        <v>297</v>
      </c>
      <c r="D478" s="664"/>
      <c r="E478" s="664"/>
      <c r="F478" s="665"/>
      <c r="G478" s="664"/>
      <c r="H478" s="664"/>
      <c r="I478" s="664"/>
      <c r="J478" s="727"/>
      <c r="K478" s="664"/>
      <c r="L478" s="666"/>
    </row>
    <row r="479" spans="1:12" outlineLevel="1" x14ac:dyDescent="0.35">
      <c r="A479" s="483"/>
      <c r="B479" s="762" t="s">
        <v>1915</v>
      </c>
      <c r="C479" s="664" t="s">
        <v>298</v>
      </c>
      <c r="D479" s="664"/>
      <c r="E479" s="664"/>
      <c r="F479" s="665"/>
      <c r="G479" s="664"/>
      <c r="H479" s="664"/>
      <c r="I479" s="664"/>
      <c r="J479" s="727"/>
      <c r="K479" s="664"/>
      <c r="L479" s="666"/>
    </row>
    <row r="480" spans="1:12" outlineLevel="1" x14ac:dyDescent="0.35">
      <c r="A480" s="483"/>
      <c r="B480" s="762" t="s">
        <v>1915</v>
      </c>
      <c r="C480" s="664" t="s">
        <v>299</v>
      </c>
      <c r="D480" s="664"/>
      <c r="E480" s="664"/>
      <c r="F480" s="665"/>
      <c r="G480" s="664"/>
      <c r="H480" s="664"/>
      <c r="I480" s="664"/>
      <c r="J480" s="727"/>
      <c r="K480" s="664"/>
      <c r="L480" s="666"/>
    </row>
    <row r="481" spans="1:12" outlineLevel="1" x14ac:dyDescent="0.35">
      <c r="A481" s="483"/>
      <c r="B481" s="762" t="s">
        <v>1915</v>
      </c>
      <c r="C481" s="664" t="s">
        <v>300</v>
      </c>
      <c r="D481" s="664"/>
      <c r="E481" s="664"/>
      <c r="F481" s="665"/>
      <c r="G481" s="664"/>
      <c r="H481" s="664"/>
      <c r="I481" s="664"/>
      <c r="J481" s="727"/>
      <c r="K481" s="664"/>
      <c r="L481" s="666"/>
    </row>
    <row r="482" spans="1:12" outlineLevel="1" x14ac:dyDescent="0.35">
      <c r="A482" s="483"/>
      <c r="B482" s="762" t="s">
        <v>1915</v>
      </c>
      <c r="C482" s="664" t="s">
        <v>301</v>
      </c>
      <c r="D482" s="664"/>
      <c r="E482" s="664"/>
      <c r="F482" s="665"/>
      <c r="G482" s="664"/>
      <c r="H482" s="664"/>
      <c r="I482" s="664"/>
      <c r="J482" s="727"/>
      <c r="K482" s="664"/>
      <c r="L482" s="666"/>
    </row>
    <row r="483" spans="1:12" outlineLevel="1" x14ac:dyDescent="0.35">
      <c r="A483" s="483"/>
      <c r="B483" s="762" t="s">
        <v>1915</v>
      </c>
      <c r="C483" s="664" t="s">
        <v>302</v>
      </c>
      <c r="D483" s="664"/>
      <c r="E483" s="664"/>
      <c r="F483" s="665"/>
      <c r="G483" s="664"/>
      <c r="H483" s="664"/>
      <c r="I483" s="664"/>
      <c r="J483" s="727"/>
      <c r="K483" s="664"/>
      <c r="L483" s="666"/>
    </row>
    <row r="484" spans="1:12" outlineLevel="1" x14ac:dyDescent="0.35">
      <c r="A484" s="483"/>
      <c r="B484" s="762" t="s">
        <v>1915</v>
      </c>
      <c r="C484" s="664" t="s">
        <v>303</v>
      </c>
      <c r="D484" s="664"/>
      <c r="E484" s="664"/>
      <c r="F484" s="665"/>
      <c r="G484" s="664"/>
      <c r="H484" s="664"/>
      <c r="I484" s="664"/>
      <c r="J484" s="727"/>
      <c r="K484" s="664"/>
      <c r="L484" s="666"/>
    </row>
    <row r="485" spans="1:12" outlineLevel="1" x14ac:dyDescent="0.35">
      <c r="A485" s="483"/>
      <c r="B485" s="762" t="s">
        <v>1915</v>
      </c>
      <c r="C485" s="664" t="s">
        <v>304</v>
      </c>
      <c r="D485" s="664"/>
      <c r="E485" s="664"/>
      <c r="F485" s="665"/>
      <c r="G485" s="664"/>
      <c r="H485" s="664"/>
      <c r="I485" s="664"/>
      <c r="J485" s="727"/>
      <c r="K485" s="664"/>
      <c r="L485" s="666"/>
    </row>
    <row r="486" spans="1:12" outlineLevel="1" x14ac:dyDescent="0.35">
      <c r="A486" s="483"/>
      <c r="B486" s="762" t="s">
        <v>1915</v>
      </c>
      <c r="C486" s="664" t="s">
        <v>305</v>
      </c>
      <c r="D486" s="664"/>
      <c r="E486" s="664"/>
      <c r="F486" s="665"/>
      <c r="G486" s="664"/>
      <c r="H486" s="664"/>
      <c r="I486" s="664"/>
      <c r="J486" s="727"/>
      <c r="K486" s="664"/>
      <c r="L486" s="666"/>
    </row>
    <row r="487" spans="1:12" outlineLevel="1" x14ac:dyDescent="0.35">
      <c r="A487" s="483"/>
      <c r="B487" s="762" t="s">
        <v>1915</v>
      </c>
      <c r="C487" s="664" t="s">
        <v>306</v>
      </c>
      <c r="D487" s="664"/>
      <c r="E487" s="664"/>
      <c r="F487" s="665"/>
      <c r="G487" s="664"/>
      <c r="H487" s="664"/>
      <c r="I487" s="664"/>
      <c r="J487" s="727"/>
      <c r="K487" s="664"/>
      <c r="L487" s="666"/>
    </row>
    <row r="488" spans="1:12" outlineLevel="1" x14ac:dyDescent="0.35">
      <c r="A488" s="483"/>
      <c r="B488" s="762" t="s">
        <v>1915</v>
      </c>
      <c r="C488" s="664" t="s">
        <v>307</v>
      </c>
      <c r="D488" s="664"/>
      <c r="E488" s="664"/>
      <c r="F488" s="665"/>
      <c r="G488" s="664"/>
      <c r="H488" s="664"/>
      <c r="I488" s="664"/>
      <c r="J488" s="727"/>
      <c r="K488" s="664"/>
      <c r="L488" s="666"/>
    </row>
    <row r="489" spans="1:12" outlineLevel="1" x14ac:dyDescent="0.35">
      <c r="A489" s="483"/>
      <c r="B489" s="762" t="s">
        <v>1915</v>
      </c>
      <c r="C489" s="664" t="s">
        <v>308</v>
      </c>
      <c r="D489" s="664"/>
      <c r="E489" s="664"/>
      <c r="F489" s="665"/>
      <c r="G489" s="664"/>
      <c r="H489" s="664"/>
      <c r="I489" s="664"/>
      <c r="J489" s="727"/>
      <c r="K489" s="664"/>
      <c r="L489" s="666"/>
    </row>
    <row r="490" spans="1:12" outlineLevel="1" x14ac:dyDescent="0.35">
      <c r="A490" s="483"/>
      <c r="B490" s="762" t="s">
        <v>1915</v>
      </c>
      <c r="C490" s="664" t="s">
        <v>309</v>
      </c>
      <c r="D490" s="664"/>
      <c r="E490" s="664"/>
      <c r="F490" s="665"/>
      <c r="G490" s="664"/>
      <c r="H490" s="664"/>
      <c r="I490" s="664"/>
      <c r="J490" s="727"/>
      <c r="K490" s="664"/>
      <c r="L490" s="666"/>
    </row>
    <row r="491" spans="1:12" outlineLevel="1" x14ac:dyDescent="0.35">
      <c r="A491" s="483"/>
      <c r="B491" s="762" t="s">
        <v>1915</v>
      </c>
      <c r="C491" s="664" t="s">
        <v>310</v>
      </c>
      <c r="D491" s="664"/>
      <c r="E491" s="664"/>
      <c r="F491" s="665"/>
      <c r="G491" s="664"/>
      <c r="H491" s="664"/>
      <c r="I491" s="664"/>
      <c r="J491" s="727"/>
      <c r="K491" s="664"/>
      <c r="L491" s="666"/>
    </row>
    <row r="492" spans="1:12" outlineLevel="1" x14ac:dyDescent="0.35">
      <c r="A492" s="483"/>
      <c r="B492" s="762" t="s">
        <v>1915</v>
      </c>
      <c r="C492" s="664" t="s">
        <v>311</v>
      </c>
      <c r="D492" s="664"/>
      <c r="E492" s="664"/>
      <c r="F492" s="665"/>
      <c r="G492" s="664"/>
      <c r="H492" s="664"/>
      <c r="I492" s="664"/>
      <c r="J492" s="727"/>
      <c r="K492" s="664"/>
      <c r="L492" s="666"/>
    </row>
    <row r="493" spans="1:12" outlineLevel="1" x14ac:dyDescent="0.35">
      <c r="A493" s="483"/>
      <c r="B493" s="762" t="s">
        <v>1915</v>
      </c>
      <c r="C493" s="664" t="s">
        <v>312</v>
      </c>
      <c r="D493" s="664"/>
      <c r="E493" s="664"/>
      <c r="F493" s="665"/>
      <c r="G493" s="664"/>
      <c r="H493" s="664"/>
      <c r="I493" s="664"/>
      <c r="J493" s="727"/>
      <c r="K493" s="664"/>
      <c r="L493" s="666"/>
    </row>
    <row r="494" spans="1:12" outlineLevel="1" x14ac:dyDescent="0.35">
      <c r="A494" s="483"/>
      <c r="B494" s="762" t="s">
        <v>1915</v>
      </c>
      <c r="C494" s="664" t="s">
        <v>313</v>
      </c>
      <c r="D494" s="664"/>
      <c r="E494" s="664"/>
      <c r="F494" s="665"/>
      <c r="G494" s="664"/>
      <c r="H494" s="664"/>
      <c r="I494" s="664"/>
      <c r="J494" s="727"/>
      <c r="K494" s="664"/>
      <c r="L494" s="666"/>
    </row>
    <row r="495" spans="1:12" outlineLevel="1" x14ac:dyDescent="0.35">
      <c r="A495" s="483"/>
      <c r="B495" s="762" t="s">
        <v>1915</v>
      </c>
      <c r="C495" s="664" t="s">
        <v>314</v>
      </c>
      <c r="D495" s="664"/>
      <c r="E495" s="664"/>
      <c r="F495" s="665"/>
      <c r="G495" s="664"/>
      <c r="H495" s="664"/>
      <c r="I495" s="664"/>
      <c r="J495" s="727"/>
      <c r="K495" s="664"/>
      <c r="L495" s="666"/>
    </row>
    <row r="496" spans="1:12" outlineLevel="1" x14ac:dyDescent="0.35">
      <c r="A496" s="483"/>
      <c r="B496" s="762" t="s">
        <v>1915</v>
      </c>
      <c r="C496" s="664" t="s">
        <v>315</v>
      </c>
      <c r="D496" s="664"/>
      <c r="E496" s="664"/>
      <c r="F496" s="665"/>
      <c r="G496" s="664"/>
      <c r="H496" s="664"/>
      <c r="I496" s="664"/>
      <c r="J496" s="727"/>
      <c r="K496" s="664"/>
      <c r="L496" s="666"/>
    </row>
    <row r="497" spans="1:12" outlineLevel="1" x14ac:dyDescent="0.35">
      <c r="A497" s="483"/>
      <c r="B497" s="762" t="s">
        <v>1915</v>
      </c>
      <c r="C497" s="664" t="s">
        <v>316</v>
      </c>
      <c r="D497" s="664"/>
      <c r="E497" s="664"/>
      <c r="F497" s="665"/>
      <c r="G497" s="664"/>
      <c r="H497" s="664"/>
      <c r="I497" s="664"/>
      <c r="J497" s="727"/>
      <c r="K497" s="664"/>
      <c r="L497" s="666"/>
    </row>
    <row r="498" spans="1:12" outlineLevel="1" x14ac:dyDescent="0.35">
      <c r="A498" s="483"/>
      <c r="B498" s="762" t="s">
        <v>1915</v>
      </c>
      <c r="C498" s="664" t="s">
        <v>317</v>
      </c>
      <c r="D498" s="664"/>
      <c r="E498" s="664"/>
      <c r="F498" s="665"/>
      <c r="G498" s="664"/>
      <c r="H498" s="664"/>
      <c r="I498" s="664"/>
      <c r="J498" s="727"/>
      <c r="K498" s="664"/>
      <c r="L498" s="666"/>
    </row>
    <row r="499" spans="1:12" outlineLevel="1" x14ac:dyDescent="0.35">
      <c r="A499" s="483"/>
      <c r="B499" s="762" t="s">
        <v>1915</v>
      </c>
      <c r="C499" s="664" t="s">
        <v>318</v>
      </c>
      <c r="D499" s="664"/>
      <c r="E499" s="664"/>
      <c r="F499" s="665"/>
      <c r="G499" s="664"/>
      <c r="H499" s="664"/>
      <c r="I499" s="664"/>
      <c r="J499" s="727"/>
      <c r="K499" s="664"/>
      <c r="L499" s="666"/>
    </row>
    <row r="500" spans="1:12" outlineLevel="1" x14ac:dyDescent="0.35">
      <c r="A500" s="483"/>
      <c r="B500" s="762" t="s">
        <v>1915</v>
      </c>
      <c r="C500" s="664" t="s">
        <v>319</v>
      </c>
      <c r="D500" s="664"/>
      <c r="E500" s="664"/>
      <c r="F500" s="665"/>
      <c r="G500" s="664"/>
      <c r="H500" s="664"/>
      <c r="I500" s="664"/>
      <c r="J500" s="727"/>
      <c r="K500" s="664"/>
      <c r="L500" s="666"/>
    </row>
    <row r="501" spans="1:12" outlineLevel="1" x14ac:dyDescent="0.35">
      <c r="A501" s="483"/>
      <c r="B501" s="762" t="s">
        <v>1915</v>
      </c>
      <c r="C501" s="664" t="s">
        <v>320</v>
      </c>
      <c r="D501" s="664"/>
      <c r="E501" s="664"/>
      <c r="F501" s="665"/>
      <c r="G501" s="664"/>
      <c r="H501" s="664"/>
      <c r="I501" s="664"/>
      <c r="J501" s="727"/>
      <c r="K501" s="664"/>
      <c r="L501" s="666"/>
    </row>
    <row r="502" spans="1:12" outlineLevel="1" x14ac:dyDescent="0.35">
      <c r="A502" s="483"/>
      <c r="B502" s="762" t="s">
        <v>1915</v>
      </c>
      <c r="C502" s="664" t="s">
        <v>321</v>
      </c>
      <c r="D502" s="664"/>
      <c r="E502" s="664"/>
      <c r="F502" s="665"/>
      <c r="G502" s="664"/>
      <c r="H502" s="664"/>
      <c r="I502" s="664"/>
      <c r="J502" s="727"/>
      <c r="K502" s="664"/>
      <c r="L502" s="666"/>
    </row>
    <row r="503" spans="1:12" outlineLevel="1" x14ac:dyDescent="0.35">
      <c r="A503" s="483"/>
      <c r="B503" s="762" t="s">
        <v>1915</v>
      </c>
      <c r="C503" s="664" t="s">
        <v>322</v>
      </c>
      <c r="D503" s="664"/>
      <c r="E503" s="664"/>
      <c r="F503" s="665"/>
      <c r="G503" s="664"/>
      <c r="H503" s="664"/>
      <c r="I503" s="664"/>
      <c r="J503" s="727"/>
      <c r="K503" s="664"/>
      <c r="L503" s="666"/>
    </row>
    <row r="504" spans="1:12" outlineLevel="1" x14ac:dyDescent="0.35">
      <c r="A504" s="483"/>
      <c r="B504" s="762" t="s">
        <v>1915</v>
      </c>
      <c r="C504" s="664" t="s">
        <v>323</v>
      </c>
      <c r="D504" s="664"/>
      <c r="E504" s="664"/>
      <c r="F504" s="665"/>
      <c r="G504" s="664"/>
      <c r="H504" s="664"/>
      <c r="I504" s="664"/>
      <c r="J504" s="727"/>
      <c r="K504" s="664"/>
      <c r="L504" s="666"/>
    </row>
    <row r="505" spans="1:12" outlineLevel="1" x14ac:dyDescent="0.35">
      <c r="A505" s="483"/>
      <c r="B505" s="762" t="s">
        <v>1915</v>
      </c>
      <c r="C505" s="664" t="s">
        <v>324</v>
      </c>
      <c r="D505" s="664"/>
      <c r="E505" s="664"/>
      <c r="F505" s="665"/>
      <c r="G505" s="664"/>
      <c r="H505" s="664"/>
      <c r="I505" s="664"/>
      <c r="J505" s="727"/>
      <c r="K505" s="664"/>
      <c r="L505" s="666"/>
    </row>
    <row r="506" spans="1:12" outlineLevel="1" x14ac:dyDescent="0.35">
      <c r="A506" s="483"/>
      <c r="B506" s="762" t="s">
        <v>1915</v>
      </c>
      <c r="C506" s="664" t="s">
        <v>325</v>
      </c>
      <c r="D506" s="664"/>
      <c r="E506" s="664"/>
      <c r="F506" s="665"/>
      <c r="G506" s="664"/>
      <c r="H506" s="664"/>
      <c r="I506" s="664"/>
      <c r="J506" s="727"/>
      <c r="K506" s="664"/>
      <c r="L506" s="666"/>
    </row>
    <row r="507" spans="1:12" outlineLevel="1" x14ac:dyDescent="0.35">
      <c r="A507" s="483"/>
      <c r="B507" s="762" t="s">
        <v>1915</v>
      </c>
      <c r="C507" s="664" t="s">
        <v>326</v>
      </c>
      <c r="D507" s="664"/>
      <c r="E507" s="664"/>
      <c r="F507" s="665"/>
      <c r="G507" s="664"/>
      <c r="H507" s="664"/>
      <c r="I507" s="664"/>
      <c r="J507" s="727"/>
      <c r="K507" s="664"/>
      <c r="L507" s="666"/>
    </row>
    <row r="508" spans="1:12" outlineLevel="1" x14ac:dyDescent="0.35">
      <c r="A508" s="483"/>
      <c r="B508" s="762" t="s">
        <v>1915</v>
      </c>
      <c r="C508" s="664" t="s">
        <v>327</v>
      </c>
      <c r="D508" s="664"/>
      <c r="E508" s="664"/>
      <c r="F508" s="665"/>
      <c r="G508" s="664"/>
      <c r="H508" s="664"/>
      <c r="I508" s="664"/>
      <c r="J508" s="727"/>
      <c r="K508" s="664"/>
      <c r="L508" s="666"/>
    </row>
    <row r="509" spans="1:12" outlineLevel="1" x14ac:dyDescent="0.35">
      <c r="A509" s="483"/>
      <c r="B509" s="762" t="s">
        <v>1915</v>
      </c>
      <c r="C509" s="664" t="s">
        <v>328</v>
      </c>
      <c r="D509" s="664"/>
      <c r="E509" s="664"/>
      <c r="F509" s="665"/>
      <c r="G509" s="664"/>
      <c r="H509" s="664"/>
      <c r="I509" s="664"/>
      <c r="J509" s="727"/>
      <c r="K509" s="664"/>
      <c r="L509" s="666"/>
    </row>
    <row r="510" spans="1:12" outlineLevel="1" x14ac:dyDescent="0.35">
      <c r="A510" s="483"/>
      <c r="B510" s="762" t="s">
        <v>1915</v>
      </c>
      <c r="C510" s="664" t="s">
        <v>329</v>
      </c>
      <c r="D510" s="664"/>
      <c r="E510" s="664"/>
      <c r="F510" s="665"/>
      <c r="G510" s="664"/>
      <c r="H510" s="664"/>
      <c r="I510" s="664"/>
      <c r="J510" s="727"/>
      <c r="K510" s="664"/>
      <c r="L510" s="666"/>
    </row>
    <row r="511" spans="1:12" outlineLevel="1" x14ac:dyDescent="0.35">
      <c r="A511" s="483"/>
      <c r="B511" s="762" t="s">
        <v>1915</v>
      </c>
      <c r="C511" s="664" t="s">
        <v>330</v>
      </c>
      <c r="D511" s="664"/>
      <c r="E511" s="664"/>
      <c r="F511" s="665"/>
      <c r="G511" s="664"/>
      <c r="H511" s="664"/>
      <c r="I511" s="664"/>
      <c r="J511" s="727"/>
      <c r="K511" s="664"/>
      <c r="L511" s="666"/>
    </row>
    <row r="512" spans="1:12" outlineLevel="1" x14ac:dyDescent="0.35">
      <c r="A512" s="483"/>
      <c r="B512" s="762" t="s">
        <v>1915</v>
      </c>
      <c r="C512" s="664" t="s">
        <v>331</v>
      </c>
      <c r="D512" s="664"/>
      <c r="E512" s="664"/>
      <c r="F512" s="665"/>
      <c r="G512" s="664"/>
      <c r="H512" s="664"/>
      <c r="I512" s="664"/>
      <c r="J512" s="727"/>
      <c r="K512" s="664"/>
      <c r="L512" s="666"/>
    </row>
    <row r="513" spans="1:12" outlineLevel="1" x14ac:dyDescent="0.35">
      <c r="A513" s="483"/>
      <c r="B513" s="762" t="s">
        <v>1915</v>
      </c>
      <c r="C513" s="664" t="s">
        <v>332</v>
      </c>
      <c r="D513" s="664"/>
      <c r="E513" s="664"/>
      <c r="F513" s="665"/>
      <c r="G513" s="664"/>
      <c r="H513" s="664"/>
      <c r="I513" s="664"/>
      <c r="J513" s="727"/>
      <c r="K513" s="664"/>
      <c r="L513" s="666"/>
    </row>
    <row r="514" spans="1:12" outlineLevel="1" x14ac:dyDescent="0.35">
      <c r="A514" s="483"/>
      <c r="B514" s="762" t="s">
        <v>1915</v>
      </c>
      <c r="C514" s="664" t="s">
        <v>333</v>
      </c>
      <c r="D514" s="664"/>
      <c r="E514" s="664"/>
      <c r="F514" s="665"/>
      <c r="G514" s="664"/>
      <c r="H514" s="664"/>
      <c r="I514" s="664"/>
      <c r="J514" s="727"/>
      <c r="K514" s="664"/>
      <c r="L514" s="666"/>
    </row>
    <row r="515" spans="1:12" outlineLevel="1" x14ac:dyDescent="0.35">
      <c r="A515" s="483"/>
      <c r="B515" s="762" t="s">
        <v>1915</v>
      </c>
      <c r="C515" s="664" t="s">
        <v>334</v>
      </c>
      <c r="D515" s="664"/>
      <c r="E515" s="664"/>
      <c r="F515" s="665"/>
      <c r="G515" s="664"/>
      <c r="H515" s="664"/>
      <c r="I515" s="664"/>
      <c r="J515" s="727"/>
      <c r="K515" s="664"/>
      <c r="L515" s="666"/>
    </row>
    <row r="516" spans="1:12" outlineLevel="1" x14ac:dyDescent="0.35">
      <c r="A516" s="483"/>
      <c r="B516" s="762" t="s">
        <v>1915</v>
      </c>
      <c r="C516" s="664" t="s">
        <v>335</v>
      </c>
      <c r="D516" s="664"/>
      <c r="E516" s="664"/>
      <c r="F516" s="665"/>
      <c r="G516" s="664"/>
      <c r="H516" s="664"/>
      <c r="I516" s="664"/>
      <c r="J516" s="727"/>
      <c r="K516" s="664"/>
      <c r="L516" s="666"/>
    </row>
    <row r="517" spans="1:12" outlineLevel="1" x14ac:dyDescent="0.35">
      <c r="A517" s="483"/>
      <c r="B517" s="762" t="s">
        <v>1915</v>
      </c>
      <c r="C517" s="664" t="s">
        <v>336</v>
      </c>
      <c r="D517" s="664"/>
      <c r="E517" s="664"/>
      <c r="F517" s="665"/>
      <c r="G517" s="664"/>
      <c r="H517" s="664"/>
      <c r="I517" s="664"/>
      <c r="J517" s="727"/>
      <c r="K517" s="664"/>
      <c r="L517" s="666"/>
    </row>
    <row r="518" spans="1:12" outlineLevel="1" x14ac:dyDescent="0.35">
      <c r="A518" s="483"/>
      <c r="B518" s="762" t="s">
        <v>1915</v>
      </c>
      <c r="C518" s="664" t="s">
        <v>337</v>
      </c>
      <c r="D518" s="664"/>
      <c r="E518" s="664"/>
      <c r="F518" s="665"/>
      <c r="G518" s="664"/>
      <c r="H518" s="664"/>
      <c r="I518" s="664"/>
      <c r="J518" s="727"/>
      <c r="K518" s="664"/>
      <c r="L518" s="666"/>
    </row>
    <row r="519" spans="1:12" outlineLevel="1" x14ac:dyDescent="0.35">
      <c r="A519" s="483"/>
      <c r="B519" s="762" t="s">
        <v>1915</v>
      </c>
      <c r="C519" s="664" t="s">
        <v>338</v>
      </c>
      <c r="D519" s="664"/>
      <c r="E519" s="664"/>
      <c r="F519" s="665"/>
      <c r="G519" s="664"/>
      <c r="H519" s="664"/>
      <c r="I519" s="664"/>
      <c r="J519" s="727"/>
      <c r="K519" s="664"/>
      <c r="L519" s="666"/>
    </row>
    <row r="520" spans="1:12" outlineLevel="1" x14ac:dyDescent="0.35">
      <c r="A520" s="483"/>
      <c r="B520" s="762" t="s">
        <v>1915</v>
      </c>
      <c r="C520" s="664" t="s">
        <v>339</v>
      </c>
      <c r="D520" s="664"/>
      <c r="E520" s="664"/>
      <c r="F520" s="665"/>
      <c r="G520" s="664"/>
      <c r="H520" s="664"/>
      <c r="I520" s="664"/>
      <c r="J520" s="727"/>
      <c r="K520" s="664"/>
      <c r="L520" s="666"/>
    </row>
    <row r="521" spans="1:12" outlineLevel="1" x14ac:dyDescent="0.35">
      <c r="A521" s="483"/>
      <c r="B521" s="762" t="s">
        <v>1915</v>
      </c>
      <c r="C521" s="664" t="s">
        <v>340</v>
      </c>
      <c r="D521" s="664"/>
      <c r="E521" s="664"/>
      <c r="F521" s="665"/>
      <c r="G521" s="664"/>
      <c r="H521" s="664"/>
      <c r="I521" s="664"/>
      <c r="J521" s="727"/>
      <c r="K521" s="664"/>
      <c r="L521" s="666"/>
    </row>
    <row r="522" spans="1:12" outlineLevel="1" x14ac:dyDescent="0.35">
      <c r="A522" s="483"/>
      <c r="B522" s="762" t="s">
        <v>1915</v>
      </c>
      <c r="C522" s="664" t="s">
        <v>341</v>
      </c>
      <c r="D522" s="664"/>
      <c r="E522" s="664"/>
      <c r="F522" s="665"/>
      <c r="G522" s="664"/>
      <c r="H522" s="664"/>
      <c r="I522" s="664"/>
      <c r="J522" s="727"/>
      <c r="K522" s="664"/>
      <c r="L522" s="666"/>
    </row>
    <row r="523" spans="1:12" outlineLevel="1" x14ac:dyDescent="0.35">
      <c r="A523" s="483"/>
      <c r="B523" s="762" t="s">
        <v>1915</v>
      </c>
      <c r="C523" s="664" t="s">
        <v>342</v>
      </c>
      <c r="D523" s="664"/>
      <c r="E523" s="664"/>
      <c r="F523" s="665"/>
      <c r="G523" s="664"/>
      <c r="H523" s="664"/>
      <c r="I523" s="664"/>
      <c r="J523" s="727"/>
      <c r="K523" s="664"/>
      <c r="L523" s="666"/>
    </row>
    <row r="524" spans="1:12" outlineLevel="1" x14ac:dyDescent="0.35">
      <c r="A524" s="483"/>
      <c r="B524" s="762" t="s">
        <v>1915</v>
      </c>
      <c r="C524" s="664" t="s">
        <v>343</v>
      </c>
      <c r="D524" s="664"/>
      <c r="E524" s="664"/>
      <c r="F524" s="665"/>
      <c r="G524" s="664"/>
      <c r="H524" s="664"/>
      <c r="I524" s="664"/>
      <c r="J524" s="727"/>
      <c r="K524" s="664"/>
      <c r="L524" s="666"/>
    </row>
    <row r="525" spans="1:12" outlineLevel="1" x14ac:dyDescent="0.35">
      <c r="A525" s="483"/>
      <c r="B525" s="762" t="s">
        <v>1915</v>
      </c>
      <c r="C525" s="664" t="s">
        <v>344</v>
      </c>
      <c r="D525" s="664"/>
      <c r="E525" s="664"/>
      <c r="F525" s="665"/>
      <c r="G525" s="664"/>
      <c r="H525" s="664"/>
      <c r="I525" s="664"/>
      <c r="J525" s="727"/>
      <c r="K525" s="664"/>
      <c r="L525" s="666"/>
    </row>
    <row r="526" spans="1:12" outlineLevel="1" x14ac:dyDescent="0.35">
      <c r="A526" s="483"/>
      <c r="B526" s="762" t="s">
        <v>1915</v>
      </c>
      <c r="C526" s="664" t="s">
        <v>345</v>
      </c>
      <c r="D526" s="664"/>
      <c r="E526" s="664"/>
      <c r="F526" s="665"/>
      <c r="G526" s="664"/>
      <c r="H526" s="664"/>
      <c r="I526" s="664"/>
      <c r="J526" s="727"/>
      <c r="K526" s="664"/>
      <c r="L526" s="666"/>
    </row>
    <row r="527" spans="1:12" outlineLevel="1" x14ac:dyDescent="0.35">
      <c r="A527" s="483"/>
      <c r="B527" s="762" t="s">
        <v>1915</v>
      </c>
      <c r="C527" s="664" t="s">
        <v>346</v>
      </c>
      <c r="D527" s="664"/>
      <c r="E527" s="664"/>
      <c r="F527" s="665"/>
      <c r="G527" s="664"/>
      <c r="H527" s="664"/>
      <c r="I527" s="664"/>
      <c r="J527" s="727"/>
      <c r="K527" s="664"/>
      <c r="L527" s="666"/>
    </row>
    <row r="528" spans="1:12" outlineLevel="1" x14ac:dyDescent="0.35">
      <c r="A528" s="483"/>
      <c r="B528" s="762" t="s">
        <v>1915</v>
      </c>
      <c r="C528" s="664" t="s">
        <v>347</v>
      </c>
      <c r="D528" s="664"/>
      <c r="E528" s="664"/>
      <c r="F528" s="665"/>
      <c r="G528" s="664"/>
      <c r="H528" s="664"/>
      <c r="I528" s="664"/>
      <c r="J528" s="727"/>
      <c r="K528" s="664"/>
      <c r="L528" s="666"/>
    </row>
    <row r="529" spans="1:12" outlineLevel="1" x14ac:dyDescent="0.35">
      <c r="A529" s="483"/>
      <c r="B529" s="762" t="s">
        <v>1915</v>
      </c>
      <c r="C529" s="664" t="s">
        <v>348</v>
      </c>
      <c r="D529" s="664"/>
      <c r="E529" s="664"/>
      <c r="F529" s="665"/>
      <c r="G529" s="664"/>
      <c r="H529" s="664"/>
      <c r="I529" s="664"/>
      <c r="J529" s="727"/>
      <c r="K529" s="664"/>
      <c r="L529" s="666"/>
    </row>
    <row r="530" spans="1:12" outlineLevel="1" x14ac:dyDescent="0.35">
      <c r="A530" s="483"/>
      <c r="B530" s="762" t="s">
        <v>1915</v>
      </c>
      <c r="C530" s="664" t="s">
        <v>349</v>
      </c>
      <c r="D530" s="664"/>
      <c r="E530" s="664"/>
      <c r="F530" s="665"/>
      <c r="G530" s="664"/>
      <c r="H530" s="664"/>
      <c r="I530" s="664"/>
      <c r="J530" s="727"/>
      <c r="K530" s="664"/>
      <c r="L530" s="666"/>
    </row>
    <row r="531" spans="1:12" outlineLevel="1" x14ac:dyDescent="0.35">
      <c r="A531" s="483"/>
      <c r="B531" s="762" t="s">
        <v>1915</v>
      </c>
      <c r="C531" s="664" t="s">
        <v>350</v>
      </c>
      <c r="D531" s="664"/>
      <c r="E531" s="664"/>
      <c r="F531" s="665"/>
      <c r="G531" s="664"/>
      <c r="H531" s="664"/>
      <c r="I531" s="664"/>
      <c r="J531" s="727"/>
      <c r="K531" s="664"/>
      <c r="L531" s="666"/>
    </row>
    <row r="532" spans="1:12" outlineLevel="1" x14ac:dyDescent="0.35">
      <c r="A532" s="483"/>
      <c r="B532" s="762" t="s">
        <v>1915</v>
      </c>
      <c r="C532" s="664" t="s">
        <v>351</v>
      </c>
      <c r="D532" s="664"/>
      <c r="E532" s="664"/>
      <c r="F532" s="665"/>
      <c r="G532" s="664"/>
      <c r="H532" s="664"/>
      <c r="I532" s="664"/>
      <c r="J532" s="727"/>
      <c r="K532" s="664"/>
      <c r="L532" s="666"/>
    </row>
    <row r="533" spans="1:12" outlineLevel="1" x14ac:dyDescent="0.35">
      <c r="A533" s="483"/>
      <c r="B533" s="762" t="s">
        <v>1915</v>
      </c>
      <c r="C533" s="664" t="s">
        <v>352</v>
      </c>
      <c r="D533" s="664"/>
      <c r="E533" s="664"/>
      <c r="F533" s="665"/>
      <c r="G533" s="664"/>
      <c r="H533" s="664"/>
      <c r="I533" s="664"/>
      <c r="J533" s="727"/>
      <c r="K533" s="664"/>
      <c r="L533" s="666"/>
    </row>
    <row r="534" spans="1:12" outlineLevel="1" x14ac:dyDescent="0.35">
      <c r="A534" s="483"/>
      <c r="B534" s="762" t="s">
        <v>1915</v>
      </c>
      <c r="C534" s="664" t="s">
        <v>353</v>
      </c>
      <c r="D534" s="664"/>
      <c r="E534" s="664"/>
      <c r="F534" s="665"/>
      <c r="G534" s="664"/>
      <c r="H534" s="664"/>
      <c r="I534" s="664"/>
      <c r="J534" s="727"/>
      <c r="K534" s="664"/>
      <c r="L534" s="666"/>
    </row>
    <row r="535" spans="1:12" outlineLevel="1" x14ac:dyDescent="0.35">
      <c r="A535" s="483"/>
      <c r="B535" s="762" t="s">
        <v>1915</v>
      </c>
      <c r="C535" s="664" t="s">
        <v>354</v>
      </c>
      <c r="D535" s="664"/>
      <c r="E535" s="664"/>
      <c r="F535" s="665"/>
      <c r="G535" s="664"/>
      <c r="H535" s="664"/>
      <c r="I535" s="664"/>
      <c r="J535" s="727"/>
      <c r="K535" s="664"/>
      <c r="L535" s="666"/>
    </row>
    <row r="536" spans="1:12" outlineLevel="1" x14ac:dyDescent="0.35">
      <c r="A536" s="483"/>
      <c r="B536" s="762" t="s">
        <v>1915</v>
      </c>
      <c r="C536" s="664" t="s">
        <v>355</v>
      </c>
      <c r="D536" s="664"/>
      <c r="E536" s="664"/>
      <c r="F536" s="665"/>
      <c r="G536" s="664"/>
      <c r="H536" s="664"/>
      <c r="I536" s="664"/>
      <c r="J536" s="727"/>
      <c r="K536" s="664"/>
      <c r="L536" s="666"/>
    </row>
    <row r="537" spans="1:12" outlineLevel="1" x14ac:dyDescent="0.35">
      <c r="A537" s="483"/>
      <c r="B537" s="762" t="s">
        <v>1915</v>
      </c>
      <c r="C537" s="664" t="s">
        <v>356</v>
      </c>
      <c r="D537" s="664"/>
      <c r="E537" s="664"/>
      <c r="F537" s="665"/>
      <c r="G537" s="664"/>
      <c r="H537" s="664"/>
      <c r="I537" s="664"/>
      <c r="J537" s="727"/>
      <c r="K537" s="664"/>
      <c r="L537" s="666"/>
    </row>
    <row r="538" spans="1:12" outlineLevel="1" x14ac:dyDescent="0.35">
      <c r="A538" s="483"/>
      <c r="B538" s="762" t="s">
        <v>1915</v>
      </c>
      <c r="C538" s="664" t="s">
        <v>357</v>
      </c>
      <c r="D538" s="664"/>
      <c r="E538" s="664"/>
      <c r="F538" s="665"/>
      <c r="G538" s="664"/>
      <c r="H538" s="664"/>
      <c r="I538" s="664"/>
      <c r="J538" s="727"/>
      <c r="K538" s="664"/>
      <c r="L538" s="666"/>
    </row>
    <row r="539" spans="1:12" outlineLevel="1" x14ac:dyDescent="0.35">
      <c r="A539" s="483"/>
      <c r="B539" s="762" t="s">
        <v>1915</v>
      </c>
      <c r="C539" s="664" t="s">
        <v>358</v>
      </c>
      <c r="D539" s="664"/>
      <c r="E539" s="664"/>
      <c r="F539" s="665"/>
      <c r="G539" s="664"/>
      <c r="H539" s="664"/>
      <c r="I539" s="664"/>
      <c r="J539" s="727"/>
      <c r="K539" s="664"/>
      <c r="L539" s="666"/>
    </row>
    <row r="540" spans="1:12" outlineLevel="1" x14ac:dyDescent="0.35">
      <c r="A540" s="483"/>
      <c r="B540" s="762" t="s">
        <v>1915</v>
      </c>
      <c r="C540" s="664" t="s">
        <v>359</v>
      </c>
      <c r="D540" s="664"/>
      <c r="E540" s="664"/>
      <c r="F540" s="665"/>
      <c r="G540" s="664"/>
      <c r="H540" s="664"/>
      <c r="I540" s="664"/>
      <c r="J540" s="727"/>
      <c r="K540" s="664"/>
      <c r="L540" s="666"/>
    </row>
    <row r="541" spans="1:12" outlineLevel="1" x14ac:dyDescent="0.35">
      <c r="A541" s="483"/>
      <c r="B541" s="762" t="s">
        <v>1915</v>
      </c>
      <c r="C541" s="664" t="s">
        <v>360</v>
      </c>
      <c r="D541" s="664"/>
      <c r="E541" s="664"/>
      <c r="F541" s="665"/>
      <c r="G541" s="664"/>
      <c r="H541" s="664"/>
      <c r="I541" s="664"/>
      <c r="J541" s="727"/>
      <c r="K541" s="664"/>
      <c r="L541" s="666"/>
    </row>
    <row r="542" spans="1:12" outlineLevel="1" x14ac:dyDescent="0.35">
      <c r="A542" s="483"/>
      <c r="B542" s="762" t="s">
        <v>1915</v>
      </c>
      <c r="C542" s="664" t="s">
        <v>361</v>
      </c>
      <c r="D542" s="664"/>
      <c r="E542" s="664"/>
      <c r="F542" s="665"/>
      <c r="G542" s="664"/>
      <c r="H542" s="664"/>
      <c r="I542" s="664"/>
      <c r="J542" s="727"/>
      <c r="K542" s="664"/>
      <c r="L542" s="666"/>
    </row>
    <row r="543" spans="1:12" outlineLevel="1" x14ac:dyDescent="0.35">
      <c r="A543" s="483"/>
      <c r="B543" s="762" t="s">
        <v>1915</v>
      </c>
      <c r="C543" s="664" t="s">
        <v>362</v>
      </c>
      <c r="D543" s="664"/>
      <c r="E543" s="664"/>
      <c r="F543" s="665"/>
      <c r="G543" s="664"/>
      <c r="H543" s="664"/>
      <c r="I543" s="664"/>
      <c r="J543" s="727"/>
      <c r="K543" s="664"/>
      <c r="L543" s="666"/>
    </row>
    <row r="544" spans="1:12" outlineLevel="1" x14ac:dyDescent="0.35">
      <c r="A544" s="483"/>
      <c r="B544" s="762" t="s">
        <v>1915</v>
      </c>
      <c r="C544" s="664" t="s">
        <v>363</v>
      </c>
      <c r="D544" s="664"/>
      <c r="E544" s="664"/>
      <c r="F544" s="665"/>
      <c r="G544" s="664"/>
      <c r="H544" s="664"/>
      <c r="I544" s="664"/>
      <c r="J544" s="727"/>
      <c r="K544" s="664"/>
      <c r="L544" s="666"/>
    </row>
    <row r="545" spans="1:12" outlineLevel="1" x14ac:dyDescent="0.35">
      <c r="A545" s="483"/>
      <c r="B545" s="762" t="s">
        <v>1915</v>
      </c>
      <c r="C545" s="664" t="s">
        <v>364</v>
      </c>
      <c r="D545" s="664"/>
      <c r="E545" s="664"/>
      <c r="F545" s="665"/>
      <c r="G545" s="664"/>
      <c r="H545" s="664"/>
      <c r="I545" s="664"/>
      <c r="J545" s="727"/>
      <c r="K545" s="664"/>
      <c r="L545" s="666"/>
    </row>
    <row r="546" spans="1:12" outlineLevel="1" x14ac:dyDescent="0.35">
      <c r="A546" s="483"/>
      <c r="B546" s="762" t="s">
        <v>1915</v>
      </c>
      <c r="C546" s="664" t="s">
        <v>365</v>
      </c>
      <c r="D546" s="664"/>
      <c r="E546" s="664"/>
      <c r="F546" s="665"/>
      <c r="G546" s="664"/>
      <c r="H546" s="664"/>
      <c r="I546" s="664"/>
      <c r="J546" s="727"/>
      <c r="K546" s="664"/>
      <c r="L546" s="666"/>
    </row>
    <row r="547" spans="1:12" outlineLevel="1" x14ac:dyDescent="0.35">
      <c r="A547" s="483"/>
      <c r="B547" s="762" t="s">
        <v>1915</v>
      </c>
      <c r="C547" s="664" t="s">
        <v>366</v>
      </c>
      <c r="D547" s="664"/>
      <c r="E547" s="664"/>
      <c r="F547" s="665"/>
      <c r="G547" s="664"/>
      <c r="H547" s="664"/>
      <c r="I547" s="664"/>
      <c r="J547" s="727"/>
      <c r="K547" s="664"/>
      <c r="L547" s="666"/>
    </row>
    <row r="548" spans="1:12" outlineLevel="1" x14ac:dyDescent="0.35">
      <c r="A548" s="483"/>
      <c r="B548" s="762" t="s">
        <v>1915</v>
      </c>
      <c r="C548" s="664" t="s">
        <v>367</v>
      </c>
      <c r="D548" s="664"/>
      <c r="E548" s="664"/>
      <c r="F548" s="665"/>
      <c r="G548" s="664"/>
      <c r="H548" s="664"/>
      <c r="I548" s="664"/>
      <c r="J548" s="727"/>
      <c r="K548" s="664"/>
      <c r="L548" s="666"/>
    </row>
    <row r="549" spans="1:12" outlineLevel="1" x14ac:dyDescent="0.35">
      <c r="A549" s="483"/>
      <c r="B549" s="762" t="s">
        <v>1915</v>
      </c>
      <c r="C549" s="664" t="s">
        <v>368</v>
      </c>
      <c r="D549" s="664"/>
      <c r="E549" s="664"/>
      <c r="F549" s="665"/>
      <c r="G549" s="664"/>
      <c r="H549" s="664"/>
      <c r="I549" s="664"/>
      <c r="J549" s="727"/>
      <c r="K549" s="664"/>
      <c r="L549" s="666"/>
    </row>
    <row r="550" spans="1:12" outlineLevel="1" x14ac:dyDescent="0.35">
      <c r="A550" s="483"/>
      <c r="B550" s="762" t="s">
        <v>1915</v>
      </c>
      <c r="C550" s="664" t="s">
        <v>369</v>
      </c>
      <c r="D550" s="664"/>
      <c r="E550" s="664"/>
      <c r="F550" s="665"/>
      <c r="G550" s="664"/>
      <c r="H550" s="664"/>
      <c r="I550" s="664"/>
      <c r="J550" s="727"/>
      <c r="K550" s="664"/>
      <c r="L550" s="666"/>
    </row>
    <row r="551" spans="1:12" outlineLevel="1" x14ac:dyDescent="0.35">
      <c r="A551" s="483"/>
      <c r="B551" s="762" t="s">
        <v>1915</v>
      </c>
      <c r="C551" s="664" t="s">
        <v>370</v>
      </c>
      <c r="D551" s="664"/>
      <c r="E551" s="664"/>
      <c r="F551" s="665"/>
      <c r="G551" s="664"/>
      <c r="H551" s="664"/>
      <c r="I551" s="664"/>
      <c r="J551" s="727"/>
      <c r="K551" s="664"/>
      <c r="L551" s="666"/>
    </row>
    <row r="552" spans="1:12" outlineLevel="1" x14ac:dyDescent="0.35">
      <c r="A552" s="483"/>
      <c r="B552" s="762" t="s">
        <v>1915</v>
      </c>
      <c r="C552" s="664" t="s">
        <v>371</v>
      </c>
      <c r="D552" s="664"/>
      <c r="E552" s="664"/>
      <c r="F552" s="665"/>
      <c r="G552" s="664"/>
      <c r="H552" s="664"/>
      <c r="I552" s="664"/>
      <c r="J552" s="727"/>
      <c r="K552" s="664"/>
      <c r="L552" s="666"/>
    </row>
    <row r="553" spans="1:12" outlineLevel="1" x14ac:dyDescent="0.35">
      <c r="A553" s="483"/>
      <c r="B553" s="762" t="s">
        <v>1915</v>
      </c>
      <c r="C553" s="664" t="s">
        <v>372</v>
      </c>
      <c r="D553" s="664"/>
      <c r="E553" s="664"/>
      <c r="F553" s="665"/>
      <c r="G553" s="664"/>
      <c r="H553" s="664"/>
      <c r="I553" s="664"/>
      <c r="J553" s="727"/>
      <c r="K553" s="664"/>
      <c r="L553" s="666"/>
    </row>
    <row r="554" spans="1:12" outlineLevel="1" x14ac:dyDescent="0.35">
      <c r="A554" s="483"/>
      <c r="B554" s="762" t="s">
        <v>1915</v>
      </c>
      <c r="C554" s="664" t="s">
        <v>373</v>
      </c>
      <c r="D554" s="664"/>
      <c r="E554" s="664"/>
      <c r="F554" s="665"/>
      <c r="G554" s="664"/>
      <c r="H554" s="664"/>
      <c r="I554" s="664"/>
      <c r="J554" s="727"/>
      <c r="K554" s="664"/>
      <c r="L554" s="666"/>
    </row>
    <row r="555" spans="1:12" outlineLevel="1" x14ac:dyDescent="0.35">
      <c r="A555" s="483"/>
      <c r="B555" s="762" t="s">
        <v>1915</v>
      </c>
      <c r="C555" s="664" t="s">
        <v>374</v>
      </c>
      <c r="D555" s="664"/>
      <c r="E555" s="664"/>
      <c r="F555" s="665"/>
      <c r="G555" s="664"/>
      <c r="H555" s="664"/>
      <c r="I555" s="664"/>
      <c r="J555" s="727"/>
      <c r="K555" s="664"/>
      <c r="L555" s="666"/>
    </row>
    <row r="556" spans="1:12" outlineLevel="1" x14ac:dyDescent="0.35">
      <c r="A556" s="483"/>
      <c r="B556" s="762" t="s">
        <v>1915</v>
      </c>
      <c r="C556" s="664" t="s">
        <v>375</v>
      </c>
      <c r="D556" s="664"/>
      <c r="E556" s="664"/>
      <c r="F556" s="665"/>
      <c r="G556" s="664"/>
      <c r="H556" s="664"/>
      <c r="I556" s="664"/>
      <c r="J556" s="727"/>
      <c r="K556" s="664"/>
      <c r="L556" s="666"/>
    </row>
    <row r="557" spans="1:12" outlineLevel="1" x14ac:dyDescent="0.35">
      <c r="A557" s="483"/>
      <c r="B557" s="762" t="s">
        <v>1915</v>
      </c>
      <c r="C557" s="664" t="s">
        <v>376</v>
      </c>
      <c r="D557" s="664"/>
      <c r="E557" s="664"/>
      <c r="F557" s="665"/>
      <c r="G557" s="664"/>
      <c r="H557" s="664"/>
      <c r="I557" s="664"/>
      <c r="J557" s="727"/>
      <c r="K557" s="664"/>
      <c r="L557" s="666"/>
    </row>
    <row r="558" spans="1:12" outlineLevel="1" x14ac:dyDescent="0.35">
      <c r="A558" s="483"/>
      <c r="B558" s="762" t="s">
        <v>1915</v>
      </c>
      <c r="C558" s="664" t="s">
        <v>377</v>
      </c>
      <c r="D558" s="664"/>
      <c r="E558" s="664"/>
      <c r="F558" s="665"/>
      <c r="G558" s="664"/>
      <c r="H558" s="664"/>
      <c r="I558" s="664"/>
      <c r="J558" s="727"/>
      <c r="K558" s="664"/>
      <c r="L558" s="666"/>
    </row>
    <row r="559" spans="1:12" outlineLevel="1" x14ac:dyDescent="0.35">
      <c r="A559" s="483"/>
      <c r="B559" s="762" t="s">
        <v>1915</v>
      </c>
      <c r="C559" s="664" t="s">
        <v>378</v>
      </c>
      <c r="D559" s="664"/>
      <c r="E559" s="664"/>
      <c r="F559" s="665"/>
      <c r="G559" s="664"/>
      <c r="H559" s="664"/>
      <c r="I559" s="664"/>
      <c r="J559" s="727"/>
      <c r="K559" s="664"/>
      <c r="L559" s="666"/>
    </row>
    <row r="560" spans="1:12" outlineLevel="1" x14ac:dyDescent="0.35">
      <c r="A560" s="483"/>
      <c r="B560" s="762" t="s">
        <v>1915</v>
      </c>
      <c r="C560" s="664" t="s">
        <v>379</v>
      </c>
      <c r="D560" s="664"/>
      <c r="E560" s="664"/>
      <c r="F560" s="665"/>
      <c r="G560" s="664"/>
      <c r="H560" s="664"/>
      <c r="I560" s="664"/>
      <c r="J560" s="727"/>
      <c r="K560" s="664"/>
      <c r="L560" s="666"/>
    </row>
    <row r="561" spans="1:12" outlineLevel="1" x14ac:dyDescent="0.35">
      <c r="A561" s="483"/>
      <c r="B561" s="762" t="s">
        <v>1915</v>
      </c>
      <c r="C561" s="664" t="s">
        <v>380</v>
      </c>
      <c r="D561" s="664"/>
      <c r="E561" s="664"/>
      <c r="F561" s="665"/>
      <c r="G561" s="664"/>
      <c r="H561" s="664"/>
      <c r="I561" s="664"/>
      <c r="J561" s="727"/>
      <c r="K561" s="664"/>
      <c r="L561" s="666"/>
    </row>
    <row r="562" spans="1:12" outlineLevel="1" x14ac:dyDescent="0.35">
      <c r="A562" s="483"/>
      <c r="B562" s="762" t="s">
        <v>1915</v>
      </c>
      <c r="C562" s="664" t="s">
        <v>381</v>
      </c>
      <c r="D562" s="664"/>
      <c r="E562" s="664"/>
      <c r="F562" s="665"/>
      <c r="G562" s="664"/>
      <c r="H562" s="664"/>
      <c r="I562" s="664"/>
      <c r="J562" s="727"/>
      <c r="K562" s="664"/>
      <c r="L562" s="666"/>
    </row>
    <row r="563" spans="1:12" outlineLevel="1" x14ac:dyDescent="0.35">
      <c r="A563" s="483"/>
      <c r="B563" s="762" t="s">
        <v>1915</v>
      </c>
      <c r="C563" s="664" t="s">
        <v>382</v>
      </c>
      <c r="D563" s="664"/>
      <c r="E563" s="664"/>
      <c r="F563" s="665"/>
      <c r="G563" s="664"/>
      <c r="H563" s="664"/>
      <c r="I563" s="664"/>
      <c r="J563" s="727"/>
      <c r="K563" s="664"/>
      <c r="L563" s="666"/>
    </row>
    <row r="564" spans="1:12" outlineLevel="1" x14ac:dyDescent="0.35">
      <c r="A564" s="483"/>
      <c r="B564" s="762" t="s">
        <v>1915</v>
      </c>
      <c r="C564" s="664" t="s">
        <v>383</v>
      </c>
      <c r="D564" s="664"/>
      <c r="E564" s="664"/>
      <c r="F564" s="665"/>
      <c r="G564" s="664"/>
      <c r="H564" s="664"/>
      <c r="I564" s="664"/>
      <c r="J564" s="727"/>
      <c r="K564" s="664"/>
      <c r="L564" s="666"/>
    </row>
    <row r="565" spans="1:12" outlineLevel="1" x14ac:dyDescent="0.35">
      <c r="A565" s="483"/>
      <c r="B565" s="762" t="s">
        <v>1915</v>
      </c>
      <c r="C565" s="664" t="s">
        <v>384</v>
      </c>
      <c r="D565" s="664"/>
      <c r="E565" s="664"/>
      <c r="F565" s="665"/>
      <c r="G565" s="664"/>
      <c r="H565" s="664"/>
      <c r="I565" s="664"/>
      <c r="J565" s="727"/>
      <c r="K565" s="664"/>
      <c r="L565" s="666"/>
    </row>
    <row r="566" spans="1:12" outlineLevel="1" x14ac:dyDescent="0.35">
      <c r="A566" s="483"/>
      <c r="B566" s="762" t="s">
        <v>1915</v>
      </c>
      <c r="C566" s="664" t="s">
        <v>385</v>
      </c>
      <c r="D566" s="664"/>
      <c r="E566" s="664"/>
      <c r="F566" s="665"/>
      <c r="G566" s="664"/>
      <c r="H566" s="664"/>
      <c r="I566" s="664"/>
      <c r="J566" s="727"/>
      <c r="K566" s="664"/>
      <c r="L566" s="666"/>
    </row>
    <row r="567" spans="1:12" outlineLevel="1" x14ac:dyDescent="0.35">
      <c r="A567" s="483"/>
      <c r="B567" s="762" t="s">
        <v>1915</v>
      </c>
      <c r="C567" s="664" t="s">
        <v>386</v>
      </c>
      <c r="D567" s="664"/>
      <c r="E567" s="664"/>
      <c r="F567" s="665"/>
      <c r="G567" s="664"/>
      <c r="H567" s="664"/>
      <c r="I567" s="664"/>
      <c r="J567" s="727"/>
      <c r="K567" s="664"/>
      <c r="L567" s="666"/>
    </row>
    <row r="568" spans="1:12" outlineLevel="1" x14ac:dyDescent="0.35">
      <c r="A568" s="483"/>
      <c r="B568" s="762" t="s">
        <v>1915</v>
      </c>
      <c r="C568" s="664" t="s">
        <v>387</v>
      </c>
      <c r="D568" s="664"/>
      <c r="E568" s="664"/>
      <c r="F568" s="665"/>
      <c r="G568" s="664"/>
      <c r="H568" s="664"/>
      <c r="I568" s="664"/>
      <c r="J568" s="727"/>
      <c r="K568" s="664"/>
      <c r="L568" s="666"/>
    </row>
    <row r="569" spans="1:12" outlineLevel="1" x14ac:dyDescent="0.35">
      <c r="A569" s="483"/>
      <c r="B569" s="762" t="s">
        <v>1915</v>
      </c>
      <c r="C569" s="664" t="s">
        <v>388</v>
      </c>
      <c r="D569" s="664"/>
      <c r="E569" s="664"/>
      <c r="F569" s="665"/>
      <c r="G569" s="664"/>
      <c r="H569" s="664"/>
      <c r="I569" s="664"/>
      <c r="J569" s="727"/>
      <c r="K569" s="664"/>
      <c r="L569" s="666"/>
    </row>
    <row r="570" spans="1:12" outlineLevel="1" x14ac:dyDescent="0.35">
      <c r="A570" s="483"/>
      <c r="B570" s="762" t="s">
        <v>1915</v>
      </c>
      <c r="C570" s="664" t="s">
        <v>389</v>
      </c>
      <c r="D570" s="664"/>
      <c r="E570" s="664"/>
      <c r="F570" s="665"/>
      <c r="G570" s="664"/>
      <c r="H570" s="664"/>
      <c r="I570" s="664"/>
      <c r="J570" s="727"/>
      <c r="K570" s="664"/>
      <c r="L570" s="666"/>
    </row>
    <row r="571" spans="1:12" outlineLevel="1" x14ac:dyDescent="0.35">
      <c r="A571" s="483"/>
      <c r="B571" s="762" t="s">
        <v>1915</v>
      </c>
      <c r="C571" s="664" t="s">
        <v>390</v>
      </c>
      <c r="D571" s="664"/>
      <c r="E571" s="664"/>
      <c r="F571" s="665"/>
      <c r="G571" s="664"/>
      <c r="H571" s="664"/>
      <c r="I571" s="664"/>
      <c r="J571" s="727"/>
      <c r="K571" s="664"/>
      <c r="L571" s="666"/>
    </row>
    <row r="572" spans="1:12" outlineLevel="1" x14ac:dyDescent="0.35">
      <c r="A572" s="483"/>
      <c r="B572" s="762" t="s">
        <v>1915</v>
      </c>
      <c r="C572" s="664" t="s">
        <v>391</v>
      </c>
      <c r="D572" s="664"/>
      <c r="E572" s="664"/>
      <c r="F572" s="665"/>
      <c r="G572" s="664"/>
      <c r="H572" s="664"/>
      <c r="I572" s="664"/>
      <c r="J572" s="727"/>
      <c r="K572" s="664"/>
      <c r="L572" s="666"/>
    </row>
    <row r="573" spans="1:12" outlineLevel="1" x14ac:dyDescent="0.35">
      <c r="A573" s="483"/>
      <c r="B573" s="762" t="s">
        <v>1915</v>
      </c>
      <c r="C573" s="664" t="s">
        <v>392</v>
      </c>
      <c r="D573" s="664"/>
      <c r="E573" s="664"/>
      <c r="F573" s="665"/>
      <c r="G573" s="664"/>
      <c r="H573" s="664"/>
      <c r="I573" s="664"/>
      <c r="J573" s="727"/>
      <c r="K573" s="664"/>
      <c r="L573" s="666"/>
    </row>
    <row r="574" spans="1:12" outlineLevel="1" x14ac:dyDescent="0.35">
      <c r="A574" s="483"/>
      <c r="B574" s="762" t="s">
        <v>1915</v>
      </c>
      <c r="C574" s="664" t="s">
        <v>393</v>
      </c>
      <c r="D574" s="664"/>
      <c r="E574" s="664"/>
      <c r="F574" s="665"/>
      <c r="G574" s="664"/>
      <c r="H574" s="664"/>
      <c r="I574" s="664"/>
      <c r="J574" s="727"/>
      <c r="K574" s="664"/>
      <c r="L574" s="666"/>
    </row>
    <row r="575" spans="1:12" outlineLevel="1" x14ac:dyDescent="0.35">
      <c r="A575" s="483"/>
      <c r="B575" s="762" t="s">
        <v>1915</v>
      </c>
      <c r="C575" s="664" t="s">
        <v>394</v>
      </c>
      <c r="D575" s="664"/>
      <c r="E575" s="664"/>
      <c r="F575" s="665"/>
      <c r="G575" s="664"/>
      <c r="H575" s="664"/>
      <c r="I575" s="664"/>
      <c r="J575" s="727"/>
      <c r="K575" s="664"/>
      <c r="L575" s="666"/>
    </row>
    <row r="576" spans="1:12" outlineLevel="1" x14ac:dyDescent="0.35">
      <c r="A576" s="483"/>
      <c r="B576" s="762" t="s">
        <v>1915</v>
      </c>
      <c r="C576" s="664" t="s">
        <v>395</v>
      </c>
      <c r="D576" s="664"/>
      <c r="E576" s="664"/>
      <c r="F576" s="665"/>
      <c r="G576" s="664"/>
      <c r="H576" s="664"/>
      <c r="I576" s="664"/>
      <c r="J576" s="727"/>
      <c r="K576" s="664"/>
      <c r="L576" s="666"/>
    </row>
    <row r="577" spans="1:12" outlineLevel="1" x14ac:dyDescent="0.35">
      <c r="A577" s="483"/>
      <c r="B577" s="762" t="s">
        <v>1915</v>
      </c>
      <c r="C577" s="664" t="s">
        <v>396</v>
      </c>
      <c r="D577" s="664"/>
      <c r="E577" s="664"/>
      <c r="F577" s="665"/>
      <c r="G577" s="664"/>
      <c r="H577" s="664"/>
      <c r="I577" s="664"/>
      <c r="J577" s="727"/>
      <c r="K577" s="664"/>
      <c r="L577" s="666"/>
    </row>
    <row r="578" spans="1:12" outlineLevel="1" x14ac:dyDescent="0.35">
      <c r="A578" s="483"/>
      <c r="B578" s="762" t="s">
        <v>1915</v>
      </c>
      <c r="C578" s="664" t="s">
        <v>397</v>
      </c>
      <c r="D578" s="664"/>
      <c r="E578" s="664"/>
      <c r="F578" s="665"/>
      <c r="G578" s="664"/>
      <c r="H578" s="664"/>
      <c r="I578" s="664"/>
      <c r="J578" s="727"/>
      <c r="K578" s="664"/>
      <c r="L578" s="666"/>
    </row>
    <row r="579" spans="1:12" outlineLevel="1" x14ac:dyDescent="0.35">
      <c r="A579" s="483"/>
      <c r="B579" s="762" t="s">
        <v>1915</v>
      </c>
      <c r="C579" s="664" t="s">
        <v>398</v>
      </c>
      <c r="D579" s="664"/>
      <c r="E579" s="664"/>
      <c r="F579" s="665"/>
      <c r="G579" s="664"/>
      <c r="H579" s="664"/>
      <c r="I579" s="664"/>
      <c r="J579" s="727"/>
      <c r="K579" s="664"/>
      <c r="L579" s="666"/>
    </row>
    <row r="580" spans="1:12" outlineLevel="1" x14ac:dyDescent="0.35">
      <c r="A580" s="483"/>
      <c r="B580" s="762" t="s">
        <v>1915</v>
      </c>
      <c r="C580" s="664" t="s">
        <v>399</v>
      </c>
      <c r="D580" s="664"/>
      <c r="E580" s="664"/>
      <c r="F580" s="665"/>
      <c r="G580" s="664"/>
      <c r="H580" s="664"/>
      <c r="I580" s="664"/>
      <c r="J580" s="727"/>
      <c r="K580" s="664"/>
      <c r="L580" s="666"/>
    </row>
    <row r="581" spans="1:12" outlineLevel="1" x14ac:dyDescent="0.35">
      <c r="A581" s="483"/>
      <c r="B581" s="762" t="s">
        <v>1915</v>
      </c>
      <c r="C581" s="664" t="s">
        <v>400</v>
      </c>
      <c r="D581" s="664"/>
      <c r="E581" s="664"/>
      <c r="F581" s="665"/>
      <c r="G581" s="664"/>
      <c r="H581" s="664"/>
      <c r="I581" s="664"/>
      <c r="J581" s="727"/>
      <c r="K581" s="664"/>
      <c r="L581" s="666"/>
    </row>
    <row r="582" spans="1:12" outlineLevel="1" x14ac:dyDescent="0.35">
      <c r="A582" s="483"/>
      <c r="B582" s="762" t="s">
        <v>1915</v>
      </c>
      <c r="C582" s="664" t="s">
        <v>401</v>
      </c>
      <c r="D582" s="664"/>
      <c r="E582" s="664"/>
      <c r="F582" s="665"/>
      <c r="G582" s="664"/>
      <c r="H582" s="664"/>
      <c r="I582" s="664"/>
      <c r="J582" s="727"/>
      <c r="K582" s="664"/>
      <c r="L582" s="666"/>
    </row>
    <row r="583" spans="1:12" outlineLevel="1" x14ac:dyDescent="0.35">
      <c r="A583" s="483"/>
      <c r="B583" s="762" t="s">
        <v>1915</v>
      </c>
      <c r="C583" s="664" t="s">
        <v>402</v>
      </c>
      <c r="D583" s="664"/>
      <c r="E583" s="664"/>
      <c r="F583" s="665"/>
      <c r="G583" s="664"/>
      <c r="H583" s="664"/>
      <c r="I583" s="664"/>
      <c r="J583" s="727"/>
      <c r="K583" s="664"/>
      <c r="L583" s="666"/>
    </row>
    <row r="584" spans="1:12" outlineLevel="1" x14ac:dyDescent="0.35">
      <c r="A584" s="483"/>
      <c r="B584" s="762" t="s">
        <v>1915</v>
      </c>
      <c r="C584" s="664" t="s">
        <v>403</v>
      </c>
      <c r="D584" s="664"/>
      <c r="E584" s="664"/>
      <c r="F584" s="665"/>
      <c r="G584" s="664"/>
      <c r="H584" s="664"/>
      <c r="I584" s="664"/>
      <c r="J584" s="727"/>
      <c r="K584" s="664"/>
      <c r="L584" s="666"/>
    </row>
    <row r="585" spans="1:12" outlineLevel="1" x14ac:dyDescent="0.35">
      <c r="A585" s="483"/>
      <c r="B585" s="762" t="s">
        <v>1915</v>
      </c>
      <c r="C585" s="664" t="s">
        <v>404</v>
      </c>
      <c r="D585" s="664"/>
      <c r="E585" s="664"/>
      <c r="F585" s="665"/>
      <c r="G585" s="664"/>
      <c r="H585" s="664"/>
      <c r="I585" s="664"/>
      <c r="J585" s="727"/>
      <c r="K585" s="664"/>
      <c r="L585" s="666"/>
    </row>
    <row r="586" spans="1:12" outlineLevel="1" x14ac:dyDescent="0.35">
      <c r="A586" s="483"/>
      <c r="B586" s="762" t="s">
        <v>1915</v>
      </c>
      <c r="C586" s="664" t="s">
        <v>405</v>
      </c>
      <c r="D586" s="664"/>
      <c r="E586" s="664"/>
      <c r="F586" s="665"/>
      <c r="G586" s="664"/>
      <c r="H586" s="664"/>
      <c r="I586" s="664"/>
      <c r="J586" s="727"/>
      <c r="K586" s="664"/>
      <c r="L586" s="666"/>
    </row>
    <row r="587" spans="1:12" outlineLevel="1" x14ac:dyDescent="0.35">
      <c r="A587" s="483"/>
      <c r="B587" s="762" t="s">
        <v>1915</v>
      </c>
      <c r="C587" s="664" t="s">
        <v>406</v>
      </c>
      <c r="D587" s="664"/>
      <c r="E587" s="664"/>
      <c r="F587" s="665"/>
      <c r="G587" s="664"/>
      <c r="H587" s="664"/>
      <c r="I587" s="664"/>
      <c r="J587" s="727"/>
      <c r="K587" s="664"/>
      <c r="L587" s="666"/>
    </row>
    <row r="588" spans="1:12" outlineLevel="1" x14ac:dyDescent="0.35">
      <c r="A588" s="483"/>
      <c r="B588" s="762" t="s">
        <v>1915</v>
      </c>
      <c r="C588" s="664" t="s">
        <v>407</v>
      </c>
      <c r="D588" s="664"/>
      <c r="E588" s="664"/>
      <c r="F588" s="665"/>
      <c r="G588" s="664"/>
      <c r="H588" s="664"/>
      <c r="I588" s="664"/>
      <c r="J588" s="727"/>
      <c r="K588" s="664"/>
      <c r="L588" s="666"/>
    </row>
    <row r="589" spans="1:12" outlineLevel="1" x14ac:dyDescent="0.35">
      <c r="A589" s="483"/>
      <c r="B589" s="762" t="s">
        <v>1915</v>
      </c>
      <c r="C589" s="664" t="s">
        <v>408</v>
      </c>
      <c r="D589" s="664"/>
      <c r="E589" s="664"/>
      <c r="F589" s="665"/>
      <c r="G589" s="664"/>
      <c r="H589" s="664"/>
      <c r="I589" s="664"/>
      <c r="J589" s="727"/>
      <c r="K589" s="664"/>
      <c r="L589" s="666"/>
    </row>
    <row r="590" spans="1:12" outlineLevel="1" x14ac:dyDescent="0.35">
      <c r="A590" s="483"/>
      <c r="B590" s="762" t="s">
        <v>1915</v>
      </c>
      <c r="C590" s="664" t="s">
        <v>409</v>
      </c>
      <c r="D590" s="664"/>
      <c r="E590" s="664"/>
      <c r="F590" s="665"/>
      <c r="G590" s="664"/>
      <c r="H590" s="664"/>
      <c r="I590" s="664"/>
      <c r="J590" s="727"/>
      <c r="K590" s="664"/>
      <c r="L590" s="666"/>
    </row>
    <row r="591" spans="1:12" outlineLevel="1" x14ac:dyDescent="0.35">
      <c r="A591" s="483"/>
      <c r="B591" s="762" t="s">
        <v>1915</v>
      </c>
      <c r="C591" s="664" t="s">
        <v>410</v>
      </c>
      <c r="D591" s="664"/>
      <c r="E591" s="664"/>
      <c r="F591" s="665"/>
      <c r="G591" s="664"/>
      <c r="H591" s="664"/>
      <c r="I591" s="664"/>
      <c r="J591" s="727"/>
      <c r="K591" s="664"/>
      <c r="L591" s="666"/>
    </row>
    <row r="592" spans="1:12" outlineLevel="1" x14ac:dyDescent="0.35">
      <c r="A592" s="483"/>
      <c r="B592" s="762" t="s">
        <v>1915</v>
      </c>
      <c r="C592" s="664" t="s">
        <v>411</v>
      </c>
      <c r="D592" s="664"/>
      <c r="E592" s="664"/>
      <c r="F592" s="665"/>
      <c r="G592" s="664"/>
      <c r="H592" s="664"/>
      <c r="I592" s="664"/>
      <c r="J592" s="727"/>
      <c r="K592" s="664"/>
      <c r="L592" s="666"/>
    </row>
    <row r="593" spans="1:12" outlineLevel="1" x14ac:dyDescent="0.35">
      <c r="A593" s="483"/>
      <c r="B593" s="762" t="s">
        <v>1915</v>
      </c>
      <c r="C593" s="664" t="s">
        <v>412</v>
      </c>
      <c r="D593" s="664"/>
      <c r="E593" s="664"/>
      <c r="F593" s="665"/>
      <c r="G593" s="664"/>
      <c r="H593" s="664"/>
      <c r="I593" s="664"/>
      <c r="J593" s="727"/>
      <c r="K593" s="664"/>
      <c r="L593" s="666"/>
    </row>
    <row r="594" spans="1:12" outlineLevel="1" x14ac:dyDescent="0.35">
      <c r="A594" s="483"/>
      <c r="B594" s="762" t="s">
        <v>1915</v>
      </c>
      <c r="C594" s="664" t="s">
        <v>413</v>
      </c>
      <c r="D594" s="664"/>
      <c r="E594" s="664"/>
      <c r="F594" s="665"/>
      <c r="G594" s="664"/>
      <c r="H594" s="664"/>
      <c r="I594" s="664"/>
      <c r="J594" s="727"/>
      <c r="K594" s="664"/>
      <c r="L594" s="666"/>
    </row>
    <row r="595" spans="1:12" outlineLevel="1" x14ac:dyDescent="0.35">
      <c r="A595" s="483"/>
      <c r="B595" s="762" t="s">
        <v>1915</v>
      </c>
      <c r="C595" s="664" t="s">
        <v>414</v>
      </c>
      <c r="D595" s="664"/>
      <c r="E595" s="664"/>
      <c r="F595" s="665"/>
      <c r="G595" s="664"/>
      <c r="H595" s="664"/>
      <c r="I595" s="664"/>
      <c r="J595" s="727"/>
      <c r="K595" s="664"/>
      <c r="L595" s="666"/>
    </row>
    <row r="596" spans="1:12" outlineLevel="1" x14ac:dyDescent="0.35">
      <c r="A596" s="483"/>
      <c r="B596" s="762" t="s">
        <v>1915</v>
      </c>
      <c r="C596" s="664" t="s">
        <v>415</v>
      </c>
      <c r="D596" s="664"/>
      <c r="E596" s="664"/>
      <c r="F596" s="665"/>
      <c r="G596" s="664"/>
      <c r="H596" s="664"/>
      <c r="I596" s="664"/>
      <c r="J596" s="727"/>
      <c r="K596" s="664"/>
      <c r="L596" s="666"/>
    </row>
    <row r="597" spans="1:12" outlineLevel="1" x14ac:dyDescent="0.35">
      <c r="A597" s="483"/>
      <c r="B597" s="762" t="s">
        <v>1915</v>
      </c>
      <c r="C597" s="664" t="s">
        <v>416</v>
      </c>
      <c r="D597" s="664"/>
      <c r="E597" s="664"/>
      <c r="F597" s="665"/>
      <c r="G597" s="664"/>
      <c r="H597" s="664"/>
      <c r="I597" s="664"/>
      <c r="J597" s="727"/>
      <c r="K597" s="664"/>
      <c r="L597" s="666"/>
    </row>
    <row r="598" spans="1:12" outlineLevel="1" x14ac:dyDescent="0.35">
      <c r="A598" s="483"/>
      <c r="B598" s="762" t="s">
        <v>1915</v>
      </c>
      <c r="C598" s="664" t="s">
        <v>417</v>
      </c>
      <c r="D598" s="664"/>
      <c r="E598" s="664"/>
      <c r="F598" s="665"/>
      <c r="G598" s="664"/>
      <c r="H598" s="664"/>
      <c r="I598" s="664"/>
      <c r="J598" s="727"/>
      <c r="K598" s="664"/>
      <c r="L598" s="666"/>
    </row>
    <row r="599" spans="1:12" outlineLevel="1" x14ac:dyDescent="0.35">
      <c r="A599" s="483"/>
      <c r="B599" s="762" t="s">
        <v>1915</v>
      </c>
      <c r="C599" s="664" t="s">
        <v>418</v>
      </c>
      <c r="D599" s="664"/>
      <c r="E599" s="664"/>
      <c r="F599" s="665"/>
      <c r="G599" s="664"/>
      <c r="H599" s="664"/>
      <c r="I599" s="664"/>
      <c r="J599" s="727"/>
      <c r="K599" s="664"/>
      <c r="L599" s="666"/>
    </row>
    <row r="600" spans="1:12" outlineLevel="1" x14ac:dyDescent="0.35">
      <c r="A600" s="483"/>
      <c r="B600" s="762" t="s">
        <v>1915</v>
      </c>
      <c r="C600" s="664" t="s">
        <v>419</v>
      </c>
      <c r="D600" s="664"/>
      <c r="E600" s="664"/>
      <c r="F600" s="665"/>
      <c r="G600" s="664"/>
      <c r="H600" s="664"/>
      <c r="I600" s="664"/>
      <c r="J600" s="727"/>
      <c r="K600" s="664"/>
      <c r="L600" s="666"/>
    </row>
    <row r="601" spans="1:12" outlineLevel="1" x14ac:dyDescent="0.35">
      <c r="A601" s="483"/>
      <c r="B601" s="762" t="s">
        <v>1915</v>
      </c>
      <c r="C601" s="664" t="s">
        <v>420</v>
      </c>
      <c r="D601" s="664"/>
      <c r="E601" s="664"/>
      <c r="F601" s="665"/>
      <c r="G601" s="664"/>
      <c r="H601" s="664"/>
      <c r="I601" s="664"/>
      <c r="J601" s="727"/>
      <c r="K601" s="664"/>
      <c r="L601" s="666"/>
    </row>
    <row r="602" spans="1:12" outlineLevel="1" x14ac:dyDescent="0.35">
      <c r="A602" s="483"/>
      <c r="B602" s="762" t="s">
        <v>1915</v>
      </c>
      <c r="C602" s="664" t="s">
        <v>421</v>
      </c>
      <c r="D602" s="664"/>
      <c r="E602" s="664"/>
      <c r="F602" s="665"/>
      <c r="G602" s="664"/>
      <c r="H602" s="664"/>
      <c r="I602" s="664"/>
      <c r="J602" s="727"/>
      <c r="K602" s="664"/>
      <c r="L602" s="666"/>
    </row>
    <row r="603" spans="1:12" outlineLevel="1" x14ac:dyDescent="0.35">
      <c r="A603" s="483"/>
      <c r="B603" s="762" t="s">
        <v>1915</v>
      </c>
      <c r="C603" s="664" t="s">
        <v>422</v>
      </c>
      <c r="D603" s="664"/>
      <c r="E603" s="664"/>
      <c r="F603" s="665"/>
      <c r="G603" s="664"/>
      <c r="H603" s="664"/>
      <c r="I603" s="664"/>
      <c r="J603" s="727"/>
      <c r="K603" s="664"/>
      <c r="L603" s="666"/>
    </row>
    <row r="604" spans="1:12" outlineLevel="1" x14ac:dyDescent="0.35">
      <c r="A604" s="483"/>
      <c r="B604" s="762" t="s">
        <v>1915</v>
      </c>
      <c r="C604" s="664" t="s">
        <v>423</v>
      </c>
      <c r="D604" s="664"/>
      <c r="E604" s="664"/>
      <c r="F604" s="665"/>
      <c r="G604" s="664"/>
      <c r="H604" s="664"/>
      <c r="I604" s="664"/>
      <c r="J604" s="727"/>
      <c r="K604" s="664"/>
      <c r="L604" s="666"/>
    </row>
    <row r="605" spans="1:12" outlineLevel="1" x14ac:dyDescent="0.35">
      <c r="A605" s="483"/>
      <c r="B605" s="762" t="s">
        <v>1915</v>
      </c>
      <c r="C605" s="664" t="s">
        <v>424</v>
      </c>
      <c r="D605" s="664"/>
      <c r="E605" s="664"/>
      <c r="F605" s="665"/>
      <c r="G605" s="664"/>
      <c r="H605" s="664"/>
      <c r="I605" s="664"/>
      <c r="J605" s="727"/>
      <c r="K605" s="664"/>
      <c r="L605" s="666"/>
    </row>
    <row r="606" spans="1:12" outlineLevel="1" x14ac:dyDescent="0.35">
      <c r="A606" s="483"/>
      <c r="B606" s="762" t="s">
        <v>1915</v>
      </c>
      <c r="C606" s="664" t="s">
        <v>425</v>
      </c>
      <c r="D606" s="664"/>
      <c r="E606" s="664"/>
      <c r="F606" s="665"/>
      <c r="G606" s="664"/>
      <c r="H606" s="664"/>
      <c r="I606" s="664"/>
      <c r="J606" s="727"/>
      <c r="K606" s="664"/>
      <c r="L606" s="666"/>
    </row>
    <row r="607" spans="1:12" outlineLevel="1" x14ac:dyDescent="0.35">
      <c r="A607" s="483"/>
      <c r="B607" s="762" t="s">
        <v>1915</v>
      </c>
      <c r="C607" s="664" t="s">
        <v>426</v>
      </c>
      <c r="D607" s="664"/>
      <c r="E607" s="664"/>
      <c r="F607" s="665"/>
      <c r="G607" s="664"/>
      <c r="H607" s="664"/>
      <c r="I607" s="664"/>
      <c r="J607" s="727"/>
      <c r="K607" s="664"/>
      <c r="L607" s="666"/>
    </row>
    <row r="608" spans="1:12" outlineLevel="1" x14ac:dyDescent="0.35">
      <c r="A608" s="483"/>
      <c r="B608" s="762" t="s">
        <v>1915</v>
      </c>
      <c r="C608" s="664" t="s">
        <v>427</v>
      </c>
      <c r="D608" s="664"/>
      <c r="E608" s="664"/>
      <c r="F608" s="665"/>
      <c r="G608" s="664"/>
      <c r="H608" s="664"/>
      <c r="I608" s="664"/>
      <c r="J608" s="727"/>
      <c r="K608" s="664"/>
      <c r="L608" s="666"/>
    </row>
    <row r="609" spans="1:12" outlineLevel="1" x14ac:dyDescent="0.35">
      <c r="A609" s="483"/>
      <c r="B609" s="762" t="s">
        <v>1915</v>
      </c>
      <c r="C609" s="664" t="s">
        <v>428</v>
      </c>
      <c r="D609" s="664"/>
      <c r="E609" s="664"/>
      <c r="F609" s="665"/>
      <c r="G609" s="664"/>
      <c r="H609" s="664"/>
      <c r="I609" s="664"/>
      <c r="J609" s="727"/>
      <c r="K609" s="664"/>
      <c r="L609" s="666"/>
    </row>
    <row r="610" spans="1:12" outlineLevel="1" x14ac:dyDescent="0.35">
      <c r="A610" s="483"/>
      <c r="B610" s="762" t="s">
        <v>1915</v>
      </c>
      <c r="C610" s="664" t="s">
        <v>429</v>
      </c>
      <c r="D610" s="664"/>
      <c r="E610" s="664"/>
      <c r="F610" s="665"/>
      <c r="G610" s="664"/>
      <c r="H610" s="664"/>
      <c r="I610" s="664"/>
      <c r="J610" s="727"/>
      <c r="K610" s="664"/>
      <c r="L610" s="666"/>
    </row>
    <row r="611" spans="1:12" outlineLevel="1" x14ac:dyDescent="0.35">
      <c r="A611" s="483"/>
      <c r="B611" s="762" t="s">
        <v>1915</v>
      </c>
      <c r="C611" s="664" t="s">
        <v>430</v>
      </c>
      <c r="D611" s="664"/>
      <c r="E611" s="664"/>
      <c r="F611" s="665"/>
      <c r="G611" s="664"/>
      <c r="H611" s="664"/>
      <c r="I611" s="664"/>
      <c r="J611" s="727"/>
      <c r="K611" s="664"/>
      <c r="L611" s="666"/>
    </row>
    <row r="612" spans="1:12" outlineLevel="1" x14ac:dyDescent="0.35">
      <c r="A612" s="483"/>
      <c r="B612" s="762" t="s">
        <v>1915</v>
      </c>
      <c r="C612" s="664" t="s">
        <v>431</v>
      </c>
      <c r="D612" s="664"/>
      <c r="E612" s="664"/>
      <c r="F612" s="665"/>
      <c r="G612" s="664"/>
      <c r="H612" s="664"/>
      <c r="I612" s="664"/>
      <c r="J612" s="727"/>
      <c r="K612" s="664"/>
      <c r="L612" s="666"/>
    </row>
    <row r="613" spans="1:12" outlineLevel="1" x14ac:dyDescent="0.35">
      <c r="A613" s="483"/>
      <c r="B613" s="762" t="s">
        <v>1915</v>
      </c>
      <c r="C613" s="664" t="s">
        <v>432</v>
      </c>
      <c r="D613" s="664"/>
      <c r="E613" s="664"/>
      <c r="F613" s="665"/>
      <c r="G613" s="664"/>
      <c r="H613" s="664"/>
      <c r="I613" s="664"/>
      <c r="J613" s="727"/>
      <c r="K613" s="664"/>
      <c r="L613" s="666"/>
    </row>
    <row r="614" spans="1:12" outlineLevel="1" x14ac:dyDescent="0.35">
      <c r="A614" s="483"/>
      <c r="B614" s="762" t="s">
        <v>1915</v>
      </c>
      <c r="C614" s="664" t="s">
        <v>433</v>
      </c>
      <c r="D614" s="664"/>
      <c r="E614" s="664"/>
      <c r="F614" s="665"/>
      <c r="G614" s="664"/>
      <c r="H614" s="664"/>
      <c r="I614" s="664"/>
      <c r="J614" s="727"/>
      <c r="K614" s="664"/>
      <c r="L614" s="666"/>
    </row>
    <row r="615" spans="1:12" outlineLevel="1" x14ac:dyDescent="0.35">
      <c r="A615" s="483"/>
      <c r="B615" s="762" t="s">
        <v>1915</v>
      </c>
      <c r="C615" s="664" t="s">
        <v>434</v>
      </c>
      <c r="D615" s="664"/>
      <c r="E615" s="664"/>
      <c r="F615" s="665"/>
      <c r="G615" s="664"/>
      <c r="H615" s="664"/>
      <c r="I615" s="664"/>
      <c r="J615" s="727"/>
      <c r="K615" s="664"/>
      <c r="L615" s="666"/>
    </row>
    <row r="616" spans="1:12" outlineLevel="1" x14ac:dyDescent="0.35">
      <c r="A616" s="483"/>
      <c r="B616" s="762" t="s">
        <v>1915</v>
      </c>
      <c r="C616" s="664" t="s">
        <v>435</v>
      </c>
      <c r="D616" s="664"/>
      <c r="E616" s="664"/>
      <c r="F616" s="665"/>
      <c r="G616" s="664"/>
      <c r="H616" s="664"/>
      <c r="I616" s="664"/>
      <c r="J616" s="727"/>
      <c r="K616" s="664"/>
      <c r="L616" s="666"/>
    </row>
    <row r="617" spans="1:12" outlineLevel="1" x14ac:dyDescent="0.35">
      <c r="A617" s="483"/>
      <c r="B617" s="762" t="s">
        <v>1915</v>
      </c>
      <c r="C617" s="664" t="s">
        <v>436</v>
      </c>
      <c r="D617" s="664"/>
      <c r="E617" s="664"/>
      <c r="F617" s="665"/>
      <c r="G617" s="664"/>
      <c r="H617" s="664"/>
      <c r="I617" s="664"/>
      <c r="J617" s="727"/>
      <c r="K617" s="664"/>
      <c r="L617" s="666"/>
    </row>
    <row r="618" spans="1:12" outlineLevel="1" x14ac:dyDescent="0.35">
      <c r="A618" s="483"/>
      <c r="B618" s="762" t="s">
        <v>1915</v>
      </c>
      <c r="C618" s="664" t="s">
        <v>437</v>
      </c>
      <c r="D618" s="664"/>
      <c r="E618" s="664"/>
      <c r="F618" s="665"/>
      <c r="G618" s="664"/>
      <c r="H618" s="664"/>
      <c r="I618" s="664"/>
      <c r="J618" s="727"/>
      <c r="K618" s="664"/>
      <c r="L618" s="666"/>
    </row>
    <row r="619" spans="1:12" outlineLevel="1" x14ac:dyDescent="0.35">
      <c r="A619" s="483"/>
      <c r="B619" s="762" t="s">
        <v>1915</v>
      </c>
      <c r="C619" s="664" t="s">
        <v>438</v>
      </c>
      <c r="D619" s="664"/>
      <c r="E619" s="664"/>
      <c r="F619" s="665"/>
      <c r="G619" s="664"/>
      <c r="H619" s="664"/>
      <c r="I619" s="664"/>
      <c r="J619" s="727"/>
      <c r="K619" s="664"/>
      <c r="L619" s="666"/>
    </row>
    <row r="620" spans="1:12" outlineLevel="1" x14ac:dyDescent="0.35">
      <c r="A620" s="483"/>
      <c r="B620" s="762" t="s">
        <v>1915</v>
      </c>
      <c r="C620" s="664" t="s">
        <v>439</v>
      </c>
      <c r="D620" s="664"/>
      <c r="E620" s="664"/>
      <c r="F620" s="665"/>
      <c r="G620" s="664"/>
      <c r="H620" s="664"/>
      <c r="I620" s="664"/>
      <c r="J620" s="727"/>
      <c r="K620" s="664"/>
      <c r="L620" s="666"/>
    </row>
    <row r="621" spans="1:12" outlineLevel="1" x14ac:dyDescent="0.35">
      <c r="A621" s="483"/>
      <c r="B621" s="762" t="s">
        <v>1915</v>
      </c>
      <c r="C621" s="664" t="s">
        <v>440</v>
      </c>
      <c r="D621" s="664"/>
      <c r="E621" s="664"/>
      <c r="F621" s="665"/>
      <c r="G621" s="664"/>
      <c r="H621" s="664"/>
      <c r="I621" s="664"/>
      <c r="J621" s="727"/>
      <c r="K621" s="664"/>
      <c r="L621" s="666"/>
    </row>
    <row r="622" spans="1:12" outlineLevel="1" x14ac:dyDescent="0.35">
      <c r="A622" s="483"/>
      <c r="B622" s="762" t="s">
        <v>1915</v>
      </c>
      <c r="C622" s="664" t="s">
        <v>441</v>
      </c>
      <c r="D622" s="664"/>
      <c r="E622" s="664"/>
      <c r="F622" s="665"/>
      <c r="G622" s="664"/>
      <c r="H622" s="664"/>
      <c r="I622" s="664"/>
      <c r="J622" s="727"/>
      <c r="K622" s="664"/>
      <c r="L622" s="666"/>
    </row>
    <row r="623" spans="1:12" outlineLevel="1" x14ac:dyDescent="0.35">
      <c r="A623" s="483"/>
      <c r="B623" s="762" t="s">
        <v>1915</v>
      </c>
      <c r="C623" s="664" t="s">
        <v>442</v>
      </c>
      <c r="D623" s="664"/>
      <c r="E623" s="664"/>
      <c r="F623" s="665"/>
      <c r="G623" s="664"/>
      <c r="H623" s="664"/>
      <c r="I623" s="664"/>
      <c r="J623" s="727"/>
      <c r="K623" s="664"/>
      <c r="L623" s="666"/>
    </row>
    <row r="624" spans="1:12" outlineLevel="1" x14ac:dyDescent="0.35">
      <c r="A624" s="483"/>
      <c r="B624" s="762" t="s">
        <v>1915</v>
      </c>
      <c r="C624" s="664" t="s">
        <v>443</v>
      </c>
      <c r="D624" s="664"/>
      <c r="E624" s="664"/>
      <c r="F624" s="665"/>
      <c r="G624" s="664"/>
      <c r="H624" s="664"/>
      <c r="I624" s="664"/>
      <c r="J624" s="727"/>
      <c r="K624" s="664"/>
      <c r="L624" s="666"/>
    </row>
    <row r="625" spans="1:12" outlineLevel="1" x14ac:dyDescent="0.35">
      <c r="A625" s="483"/>
      <c r="B625" s="762" t="s">
        <v>1915</v>
      </c>
      <c r="C625" s="664" t="s">
        <v>444</v>
      </c>
      <c r="D625" s="664"/>
      <c r="E625" s="664"/>
      <c r="F625" s="665"/>
      <c r="G625" s="664"/>
      <c r="H625" s="664"/>
      <c r="I625" s="664"/>
      <c r="J625" s="727"/>
      <c r="K625" s="664"/>
      <c r="L625" s="666"/>
    </row>
    <row r="626" spans="1:12" outlineLevel="1" x14ac:dyDescent="0.35">
      <c r="A626" s="483"/>
      <c r="B626" s="762" t="s">
        <v>1915</v>
      </c>
      <c r="C626" s="664" t="s">
        <v>445</v>
      </c>
      <c r="D626" s="664"/>
      <c r="E626" s="664"/>
      <c r="F626" s="665"/>
      <c r="G626" s="664"/>
      <c r="H626" s="664"/>
      <c r="I626" s="664"/>
      <c r="J626" s="727"/>
      <c r="K626" s="664"/>
      <c r="L626" s="666"/>
    </row>
    <row r="627" spans="1:12" outlineLevel="1" x14ac:dyDescent="0.35">
      <c r="A627" s="483"/>
      <c r="B627" s="762" t="s">
        <v>1915</v>
      </c>
      <c r="C627" s="664" t="s">
        <v>446</v>
      </c>
      <c r="D627" s="664"/>
      <c r="E627" s="664"/>
      <c r="F627" s="665"/>
      <c r="G627" s="664"/>
      <c r="H627" s="664"/>
      <c r="I627" s="664"/>
      <c r="J627" s="727"/>
      <c r="K627" s="664"/>
      <c r="L627" s="666"/>
    </row>
    <row r="628" spans="1:12" outlineLevel="1" x14ac:dyDescent="0.35">
      <c r="A628" s="483"/>
      <c r="B628" s="762" t="s">
        <v>1915</v>
      </c>
      <c r="C628" s="664" t="s">
        <v>447</v>
      </c>
      <c r="D628" s="664"/>
      <c r="E628" s="664"/>
      <c r="F628" s="665"/>
      <c r="G628" s="664"/>
      <c r="H628" s="664"/>
      <c r="I628" s="664"/>
      <c r="J628" s="727"/>
      <c r="K628" s="664"/>
      <c r="L628" s="666"/>
    </row>
    <row r="629" spans="1:12" outlineLevel="1" x14ac:dyDescent="0.35">
      <c r="A629" s="483"/>
      <c r="B629" s="762" t="s">
        <v>1915</v>
      </c>
      <c r="C629" s="664" t="s">
        <v>448</v>
      </c>
      <c r="D629" s="664"/>
      <c r="E629" s="664"/>
      <c r="F629" s="665"/>
      <c r="G629" s="664"/>
      <c r="H629" s="664"/>
      <c r="I629" s="664"/>
      <c r="J629" s="727"/>
      <c r="K629" s="664"/>
      <c r="L629" s="666"/>
    </row>
    <row r="630" spans="1:12" outlineLevel="1" x14ac:dyDescent="0.35">
      <c r="A630" s="483"/>
      <c r="B630" s="762" t="s">
        <v>1915</v>
      </c>
      <c r="C630" s="664" t="s">
        <v>449</v>
      </c>
      <c r="D630" s="664"/>
      <c r="E630" s="664"/>
      <c r="F630" s="665"/>
      <c r="G630" s="664"/>
      <c r="H630" s="664"/>
      <c r="I630" s="664"/>
      <c r="J630" s="727"/>
      <c r="K630" s="664"/>
      <c r="L630" s="666"/>
    </row>
    <row r="631" spans="1:12" outlineLevel="1" x14ac:dyDescent="0.35">
      <c r="A631" s="483"/>
      <c r="B631" s="762" t="s">
        <v>1915</v>
      </c>
      <c r="C631" s="664" t="s">
        <v>450</v>
      </c>
      <c r="D631" s="664"/>
      <c r="E631" s="664"/>
      <c r="F631" s="665"/>
      <c r="G631" s="664"/>
      <c r="H631" s="664"/>
      <c r="I631" s="664"/>
      <c r="J631" s="727"/>
      <c r="K631" s="664"/>
      <c r="L631" s="666"/>
    </row>
    <row r="632" spans="1:12" outlineLevel="1" x14ac:dyDescent="0.35">
      <c r="A632" s="483"/>
      <c r="B632" s="762" t="s">
        <v>1915</v>
      </c>
      <c r="C632" s="664" t="s">
        <v>451</v>
      </c>
      <c r="D632" s="664"/>
      <c r="E632" s="664"/>
      <c r="F632" s="665"/>
      <c r="G632" s="664"/>
      <c r="H632" s="664"/>
      <c r="I632" s="664"/>
      <c r="J632" s="727"/>
      <c r="K632" s="664"/>
      <c r="L632" s="666"/>
    </row>
    <row r="633" spans="1:12" outlineLevel="1" x14ac:dyDescent="0.35">
      <c r="A633" s="483"/>
      <c r="B633" s="762" t="s">
        <v>1915</v>
      </c>
      <c r="C633" s="664" t="s">
        <v>452</v>
      </c>
      <c r="D633" s="664"/>
      <c r="E633" s="664"/>
      <c r="F633" s="665"/>
      <c r="G633" s="664"/>
      <c r="H633" s="664"/>
      <c r="I633" s="664"/>
      <c r="J633" s="727"/>
      <c r="K633" s="664"/>
      <c r="L633" s="666"/>
    </row>
    <row r="634" spans="1:12" outlineLevel="1" x14ac:dyDescent="0.35">
      <c r="A634" s="483"/>
      <c r="B634" s="762" t="s">
        <v>1915</v>
      </c>
      <c r="C634" s="664" t="s">
        <v>453</v>
      </c>
      <c r="D634" s="664"/>
      <c r="E634" s="664"/>
      <c r="F634" s="665"/>
      <c r="G634" s="664"/>
      <c r="H634" s="664"/>
      <c r="I634" s="664"/>
      <c r="J634" s="727"/>
      <c r="K634" s="664"/>
      <c r="L634" s="666"/>
    </row>
    <row r="635" spans="1:12" outlineLevel="1" x14ac:dyDescent="0.35">
      <c r="A635" s="483"/>
      <c r="B635" s="762" t="s">
        <v>1915</v>
      </c>
      <c r="C635" s="664" t="s">
        <v>454</v>
      </c>
      <c r="D635" s="664"/>
      <c r="E635" s="664"/>
      <c r="F635" s="665"/>
      <c r="G635" s="664"/>
      <c r="H635" s="664"/>
      <c r="I635" s="664"/>
      <c r="J635" s="727"/>
      <c r="K635" s="664"/>
      <c r="L635" s="666"/>
    </row>
    <row r="636" spans="1:12" outlineLevel="1" x14ac:dyDescent="0.35">
      <c r="A636" s="483"/>
      <c r="B636" s="762" t="s">
        <v>1915</v>
      </c>
      <c r="C636" s="664" t="s">
        <v>455</v>
      </c>
      <c r="D636" s="664"/>
      <c r="E636" s="664"/>
      <c r="F636" s="665"/>
      <c r="G636" s="664"/>
      <c r="H636" s="664"/>
      <c r="I636" s="664"/>
      <c r="J636" s="727"/>
      <c r="K636" s="664"/>
      <c r="L636" s="666"/>
    </row>
    <row r="637" spans="1:12" outlineLevel="1" x14ac:dyDescent="0.35">
      <c r="A637" s="483"/>
      <c r="B637" s="762" t="s">
        <v>1915</v>
      </c>
      <c r="C637" s="664" t="s">
        <v>456</v>
      </c>
      <c r="D637" s="664"/>
      <c r="E637" s="664"/>
      <c r="F637" s="665"/>
      <c r="G637" s="664"/>
      <c r="H637" s="664"/>
      <c r="I637" s="664"/>
      <c r="J637" s="727"/>
      <c r="K637" s="664"/>
      <c r="L637" s="666"/>
    </row>
    <row r="638" spans="1:12" outlineLevel="1" x14ac:dyDescent="0.35">
      <c r="A638" s="483"/>
      <c r="B638" s="762" t="s">
        <v>1915</v>
      </c>
      <c r="C638" s="664" t="s">
        <v>457</v>
      </c>
      <c r="D638" s="664"/>
      <c r="E638" s="664"/>
      <c r="F638" s="665"/>
      <c r="G638" s="664"/>
      <c r="H638" s="664"/>
      <c r="I638" s="664"/>
      <c r="J638" s="727"/>
      <c r="K638" s="664"/>
      <c r="L638" s="666"/>
    </row>
    <row r="639" spans="1:12" outlineLevel="1" x14ac:dyDescent="0.35">
      <c r="A639" s="483"/>
      <c r="B639" s="762" t="s">
        <v>1915</v>
      </c>
      <c r="C639" s="664" t="s">
        <v>458</v>
      </c>
      <c r="D639" s="664"/>
      <c r="E639" s="664"/>
      <c r="F639" s="665"/>
      <c r="G639" s="664"/>
      <c r="H639" s="664"/>
      <c r="I639" s="664"/>
      <c r="J639" s="727"/>
      <c r="K639" s="664"/>
      <c r="L639" s="666"/>
    </row>
    <row r="640" spans="1:12" outlineLevel="1" x14ac:dyDescent="0.35">
      <c r="A640" s="483"/>
      <c r="B640" s="762" t="s">
        <v>1915</v>
      </c>
      <c r="C640" s="664" t="s">
        <v>459</v>
      </c>
      <c r="D640" s="664"/>
      <c r="E640" s="664"/>
      <c r="F640" s="665"/>
      <c r="G640" s="664"/>
      <c r="H640" s="664"/>
      <c r="I640" s="664"/>
      <c r="J640" s="727"/>
      <c r="K640" s="664"/>
      <c r="L640" s="666"/>
    </row>
    <row r="641" spans="1:12" outlineLevel="1" x14ac:dyDescent="0.35">
      <c r="A641" s="483"/>
      <c r="B641" s="762" t="s">
        <v>1915</v>
      </c>
      <c r="C641" s="664" t="s">
        <v>460</v>
      </c>
      <c r="D641" s="664"/>
      <c r="E641" s="664"/>
      <c r="F641" s="665"/>
      <c r="G641" s="664"/>
      <c r="H641" s="664"/>
      <c r="I641" s="664"/>
      <c r="J641" s="727"/>
      <c r="K641" s="664"/>
      <c r="L641" s="666"/>
    </row>
    <row r="642" spans="1:12" outlineLevel="1" x14ac:dyDescent="0.35">
      <c r="A642" s="483"/>
      <c r="B642" s="762" t="s">
        <v>1915</v>
      </c>
      <c r="C642" s="664" t="s">
        <v>461</v>
      </c>
      <c r="D642" s="664"/>
      <c r="E642" s="664"/>
      <c r="F642" s="665"/>
      <c r="G642" s="664"/>
      <c r="H642" s="664"/>
      <c r="I642" s="664"/>
      <c r="J642" s="727"/>
      <c r="K642" s="664"/>
      <c r="L642" s="666"/>
    </row>
    <row r="643" spans="1:12" outlineLevel="1" x14ac:dyDescent="0.35">
      <c r="A643" s="483"/>
      <c r="B643" s="762" t="s">
        <v>1915</v>
      </c>
      <c r="C643" s="664" t="s">
        <v>462</v>
      </c>
      <c r="D643" s="664"/>
      <c r="E643" s="664"/>
      <c r="F643" s="665"/>
      <c r="G643" s="664"/>
      <c r="H643" s="664"/>
      <c r="I643" s="664"/>
      <c r="J643" s="727"/>
      <c r="K643" s="664"/>
      <c r="L643" s="666"/>
    </row>
    <row r="644" spans="1:12" outlineLevel="1" x14ac:dyDescent="0.35">
      <c r="A644" s="483"/>
      <c r="B644" s="762" t="s">
        <v>1915</v>
      </c>
      <c r="C644" s="664" t="s">
        <v>463</v>
      </c>
      <c r="D644" s="664"/>
      <c r="E644" s="664"/>
      <c r="F644" s="665"/>
      <c r="G644" s="664"/>
      <c r="H644" s="664"/>
      <c r="I644" s="664"/>
      <c r="J644" s="727"/>
      <c r="K644" s="664"/>
      <c r="L644" s="666"/>
    </row>
    <row r="645" spans="1:12" outlineLevel="1" x14ac:dyDescent="0.35">
      <c r="A645" s="483"/>
      <c r="B645" s="762" t="s">
        <v>1915</v>
      </c>
      <c r="C645" s="664" t="s">
        <v>464</v>
      </c>
      <c r="D645" s="664"/>
      <c r="E645" s="664"/>
      <c r="F645" s="665"/>
      <c r="G645" s="664"/>
      <c r="H645" s="664"/>
      <c r="I645" s="664"/>
      <c r="J645" s="727"/>
      <c r="K645" s="664"/>
      <c r="L645" s="666"/>
    </row>
    <row r="646" spans="1:12" outlineLevel="1" x14ac:dyDescent="0.35">
      <c r="A646" s="483"/>
      <c r="B646" s="762" t="s">
        <v>1915</v>
      </c>
      <c r="C646" s="664" t="s">
        <v>465</v>
      </c>
      <c r="D646" s="664"/>
      <c r="E646" s="664"/>
      <c r="F646" s="665"/>
      <c r="G646" s="664"/>
      <c r="H646" s="664"/>
      <c r="I646" s="664"/>
      <c r="J646" s="727"/>
      <c r="K646" s="664"/>
      <c r="L646" s="666"/>
    </row>
    <row r="647" spans="1:12" outlineLevel="1" x14ac:dyDescent="0.35">
      <c r="A647" s="483"/>
      <c r="B647" s="762" t="s">
        <v>1915</v>
      </c>
      <c r="C647" s="664" t="s">
        <v>466</v>
      </c>
      <c r="D647" s="664"/>
      <c r="E647" s="664"/>
      <c r="F647" s="665"/>
      <c r="G647" s="664"/>
      <c r="H647" s="664"/>
      <c r="I647" s="664"/>
      <c r="J647" s="727"/>
      <c r="K647" s="664"/>
      <c r="L647" s="666"/>
    </row>
    <row r="648" spans="1:12" outlineLevel="1" x14ac:dyDescent="0.35">
      <c r="A648" s="483"/>
      <c r="B648" s="762" t="s">
        <v>1915</v>
      </c>
      <c r="C648" s="664" t="s">
        <v>467</v>
      </c>
      <c r="D648" s="664"/>
      <c r="E648" s="664"/>
      <c r="F648" s="665"/>
      <c r="G648" s="664"/>
      <c r="H648" s="664"/>
      <c r="I648" s="664"/>
      <c r="J648" s="727"/>
      <c r="K648" s="664"/>
      <c r="L648" s="666"/>
    </row>
    <row r="649" spans="1:12" outlineLevel="1" x14ac:dyDescent="0.35">
      <c r="A649" s="483"/>
      <c r="B649" s="762" t="s">
        <v>1915</v>
      </c>
      <c r="C649" s="664" t="s">
        <v>468</v>
      </c>
      <c r="D649" s="664"/>
      <c r="E649" s="664"/>
      <c r="F649" s="665"/>
      <c r="G649" s="664"/>
      <c r="H649" s="664"/>
      <c r="I649" s="664"/>
      <c r="J649" s="727"/>
      <c r="K649" s="664"/>
      <c r="L649" s="666"/>
    </row>
    <row r="650" spans="1:12" outlineLevel="1" x14ac:dyDescent="0.35">
      <c r="A650" s="483"/>
      <c r="B650" s="762" t="s">
        <v>1915</v>
      </c>
      <c r="C650" s="664" t="s">
        <v>570</v>
      </c>
      <c r="D650" s="664"/>
      <c r="E650" s="664"/>
      <c r="F650" s="665"/>
      <c r="G650" s="664"/>
      <c r="H650" s="664"/>
      <c r="I650" s="664"/>
      <c r="J650" s="727"/>
      <c r="K650" s="664"/>
      <c r="L650" s="666"/>
    </row>
    <row r="651" spans="1:12" outlineLevel="1" x14ac:dyDescent="0.35">
      <c r="A651" s="483"/>
      <c r="B651" s="762" t="s">
        <v>1915</v>
      </c>
      <c r="C651" s="664" t="s">
        <v>469</v>
      </c>
      <c r="D651" s="664"/>
      <c r="E651" s="664"/>
      <c r="F651" s="665"/>
      <c r="G651" s="664"/>
      <c r="H651" s="664"/>
      <c r="I651" s="664"/>
      <c r="J651" s="727"/>
      <c r="K651" s="664"/>
      <c r="L651" s="666"/>
    </row>
    <row r="652" spans="1:12" outlineLevel="1" x14ac:dyDescent="0.35">
      <c r="A652" s="483"/>
      <c r="B652" s="762" t="s">
        <v>1915</v>
      </c>
      <c r="C652" s="664" t="s">
        <v>470</v>
      </c>
      <c r="D652" s="664"/>
      <c r="E652" s="664"/>
      <c r="F652" s="665"/>
      <c r="G652" s="664"/>
      <c r="H652" s="664"/>
      <c r="I652" s="664"/>
      <c r="J652" s="727"/>
      <c r="K652" s="664"/>
      <c r="L652" s="666"/>
    </row>
    <row r="653" spans="1:12" outlineLevel="1" x14ac:dyDescent="0.35">
      <c r="A653" s="483"/>
      <c r="B653" s="762" t="s">
        <v>1915</v>
      </c>
      <c r="C653" s="664" t="s">
        <v>471</v>
      </c>
      <c r="D653" s="664"/>
      <c r="E653" s="664"/>
      <c r="F653" s="665"/>
      <c r="G653" s="664"/>
      <c r="H653" s="664"/>
      <c r="I653" s="664"/>
      <c r="J653" s="727"/>
      <c r="K653" s="664"/>
      <c r="L653" s="666"/>
    </row>
    <row r="654" spans="1:12" outlineLevel="1" x14ac:dyDescent="0.35">
      <c r="A654" s="483"/>
      <c r="B654" s="762" t="s">
        <v>1915</v>
      </c>
      <c r="C654" s="664" t="s">
        <v>472</v>
      </c>
      <c r="D654" s="664"/>
      <c r="E654" s="664"/>
      <c r="F654" s="665"/>
      <c r="G654" s="664"/>
      <c r="H654" s="664"/>
      <c r="I654" s="664"/>
      <c r="J654" s="727"/>
      <c r="K654" s="664"/>
      <c r="L654" s="666"/>
    </row>
    <row r="655" spans="1:12" outlineLevel="1" x14ac:dyDescent="0.35">
      <c r="A655" s="483"/>
      <c r="B655" s="762" t="s">
        <v>1915</v>
      </c>
      <c r="C655" s="664" t="s">
        <v>473</v>
      </c>
      <c r="D655" s="664"/>
      <c r="E655" s="664"/>
      <c r="F655" s="665"/>
      <c r="G655" s="664"/>
      <c r="H655" s="664"/>
      <c r="I655" s="664"/>
      <c r="J655" s="727"/>
      <c r="K655" s="664"/>
      <c r="L655" s="666"/>
    </row>
    <row r="656" spans="1:12" outlineLevel="1" x14ac:dyDescent="0.35">
      <c r="A656" s="483"/>
      <c r="B656" s="762" t="s">
        <v>1915</v>
      </c>
      <c r="C656" s="664" t="s">
        <v>474</v>
      </c>
      <c r="D656" s="664"/>
      <c r="E656" s="664"/>
      <c r="F656" s="665"/>
      <c r="G656" s="664"/>
      <c r="H656" s="664"/>
      <c r="I656" s="664"/>
      <c r="J656" s="727"/>
      <c r="K656" s="664"/>
      <c r="L656" s="666"/>
    </row>
    <row r="657" spans="1:12" outlineLevel="1" x14ac:dyDescent="0.35">
      <c r="A657" s="483"/>
      <c r="B657" s="762" t="s">
        <v>1915</v>
      </c>
      <c r="C657" s="664" t="s">
        <v>475</v>
      </c>
      <c r="D657" s="664"/>
      <c r="E657" s="664"/>
      <c r="F657" s="665"/>
      <c r="G657" s="664"/>
      <c r="H657" s="664"/>
      <c r="I657" s="664"/>
      <c r="J657" s="727"/>
      <c r="K657" s="664"/>
      <c r="L657" s="666"/>
    </row>
    <row r="658" spans="1:12" outlineLevel="1" x14ac:dyDescent="0.35">
      <c r="A658" s="483"/>
      <c r="B658" s="762" t="s">
        <v>1915</v>
      </c>
      <c r="C658" s="664" t="s">
        <v>476</v>
      </c>
      <c r="D658" s="664"/>
      <c r="E658" s="664"/>
      <c r="F658" s="665"/>
      <c r="G658" s="664"/>
      <c r="H658" s="664"/>
      <c r="I658" s="664"/>
      <c r="J658" s="727"/>
      <c r="K658" s="664"/>
      <c r="L658" s="666"/>
    </row>
    <row r="659" spans="1:12" outlineLevel="1" x14ac:dyDescent="0.35">
      <c r="A659" s="483"/>
      <c r="B659" s="762" t="s">
        <v>1915</v>
      </c>
      <c r="C659" s="664" t="s">
        <v>477</v>
      </c>
      <c r="D659" s="664"/>
      <c r="E659" s="664"/>
      <c r="F659" s="665"/>
      <c r="G659" s="664"/>
      <c r="H659" s="664"/>
      <c r="I659" s="664"/>
      <c r="J659" s="727"/>
      <c r="K659" s="664"/>
      <c r="L659" s="666"/>
    </row>
    <row r="660" spans="1:12" outlineLevel="1" x14ac:dyDescent="0.35">
      <c r="A660" s="483"/>
      <c r="B660" s="762" t="s">
        <v>1915</v>
      </c>
      <c r="C660" s="664" t="s">
        <v>478</v>
      </c>
      <c r="D660" s="664"/>
      <c r="E660" s="664"/>
      <c r="F660" s="665"/>
      <c r="G660" s="664"/>
      <c r="H660" s="664"/>
      <c r="I660" s="664"/>
      <c r="J660" s="727"/>
      <c r="K660" s="664"/>
      <c r="L660" s="666"/>
    </row>
    <row r="661" spans="1:12" outlineLevel="1" x14ac:dyDescent="0.35">
      <c r="A661" s="483"/>
      <c r="B661" s="762" t="s">
        <v>1915</v>
      </c>
      <c r="C661" s="664" t="s">
        <v>479</v>
      </c>
      <c r="D661" s="664"/>
      <c r="E661" s="664"/>
      <c r="F661" s="665"/>
      <c r="G661" s="664"/>
      <c r="H661" s="664"/>
      <c r="I661" s="664"/>
      <c r="J661" s="727"/>
      <c r="K661" s="664"/>
      <c r="L661" s="666"/>
    </row>
    <row r="662" spans="1:12" outlineLevel="1" x14ac:dyDescent="0.35">
      <c r="A662" s="483"/>
      <c r="B662" s="762" t="s">
        <v>1915</v>
      </c>
      <c r="C662" s="664" t="s">
        <v>480</v>
      </c>
      <c r="D662" s="664"/>
      <c r="E662" s="664"/>
      <c r="F662" s="665"/>
      <c r="G662" s="664"/>
      <c r="H662" s="664"/>
      <c r="I662" s="664"/>
      <c r="J662" s="727"/>
      <c r="K662" s="664"/>
      <c r="L662" s="666"/>
    </row>
    <row r="663" spans="1:12" outlineLevel="1" x14ac:dyDescent="0.35">
      <c r="A663" s="483"/>
      <c r="B663" s="762" t="s">
        <v>1915</v>
      </c>
      <c r="C663" s="664" t="s">
        <v>481</v>
      </c>
      <c r="D663" s="664"/>
      <c r="E663" s="664"/>
      <c r="F663" s="665"/>
      <c r="G663" s="664"/>
      <c r="H663" s="664"/>
      <c r="I663" s="664"/>
      <c r="J663" s="727"/>
      <c r="K663" s="664"/>
      <c r="L663" s="666"/>
    </row>
    <row r="664" spans="1:12" outlineLevel="1" x14ac:dyDescent="0.35">
      <c r="A664" s="483"/>
      <c r="B664" s="762" t="s">
        <v>1915</v>
      </c>
      <c r="C664" s="664" t="s">
        <v>482</v>
      </c>
      <c r="D664" s="664"/>
      <c r="E664" s="664"/>
      <c r="F664" s="665"/>
      <c r="G664" s="664"/>
      <c r="H664" s="664"/>
      <c r="I664" s="664"/>
      <c r="J664" s="727"/>
      <c r="K664" s="664"/>
      <c r="L664" s="666"/>
    </row>
    <row r="665" spans="1:12" outlineLevel="1" x14ac:dyDescent="0.35">
      <c r="A665" s="483"/>
      <c r="B665" s="762" t="s">
        <v>1915</v>
      </c>
      <c r="C665" s="664" t="s">
        <v>483</v>
      </c>
      <c r="D665" s="664"/>
      <c r="E665" s="664"/>
      <c r="F665" s="665"/>
      <c r="G665" s="664"/>
      <c r="H665" s="664"/>
      <c r="I665" s="664"/>
      <c r="J665" s="727"/>
      <c r="K665" s="664"/>
      <c r="L665" s="666"/>
    </row>
    <row r="666" spans="1:12" outlineLevel="1" x14ac:dyDescent="0.35">
      <c r="A666" s="483"/>
      <c r="B666" s="762" t="s">
        <v>1915</v>
      </c>
      <c r="C666" s="664" t="s">
        <v>484</v>
      </c>
      <c r="D666" s="664"/>
      <c r="E666" s="664"/>
      <c r="F666" s="665"/>
      <c r="G666" s="664"/>
      <c r="H666" s="664"/>
      <c r="I666" s="664"/>
      <c r="J666" s="727"/>
      <c r="K666" s="664"/>
      <c r="L666" s="666"/>
    </row>
    <row r="667" spans="1:12" outlineLevel="1" x14ac:dyDescent="0.35">
      <c r="A667" s="483"/>
      <c r="B667" s="762" t="s">
        <v>1915</v>
      </c>
      <c r="C667" s="664" t="s">
        <v>485</v>
      </c>
      <c r="D667" s="664"/>
      <c r="E667" s="664"/>
      <c r="F667" s="665"/>
      <c r="G667" s="664"/>
      <c r="H667" s="664"/>
      <c r="I667" s="664"/>
      <c r="J667" s="727"/>
      <c r="K667" s="664"/>
      <c r="L667" s="666"/>
    </row>
    <row r="668" spans="1:12" outlineLevel="1" x14ac:dyDescent="0.35">
      <c r="A668" s="483"/>
      <c r="B668" s="762" t="s">
        <v>1915</v>
      </c>
      <c r="C668" s="664" t="s">
        <v>486</v>
      </c>
      <c r="D668" s="664"/>
      <c r="E668" s="664"/>
      <c r="F668" s="665"/>
      <c r="G668" s="664"/>
      <c r="H668" s="664"/>
      <c r="I668" s="664"/>
      <c r="J668" s="727"/>
      <c r="K668" s="664"/>
      <c r="L668" s="666"/>
    </row>
    <row r="669" spans="1:12" outlineLevel="1" x14ac:dyDescent="0.35">
      <c r="A669" s="483"/>
      <c r="B669" s="762" t="s">
        <v>1915</v>
      </c>
      <c r="C669" s="664" t="s">
        <v>487</v>
      </c>
      <c r="D669" s="664"/>
      <c r="E669" s="664"/>
      <c r="F669" s="665"/>
      <c r="G669" s="664"/>
      <c r="H669" s="664"/>
      <c r="I669" s="664"/>
      <c r="J669" s="727"/>
      <c r="K669" s="664"/>
      <c r="L669" s="666"/>
    </row>
    <row r="670" spans="1:12" ht="15" outlineLevel="1" thickBot="1" x14ac:dyDescent="0.4">
      <c r="A670" s="483"/>
      <c r="B670" s="761"/>
      <c r="C670" s="670"/>
      <c r="D670" s="670"/>
      <c r="E670" s="670"/>
      <c r="F670" s="671"/>
      <c r="G670" s="670"/>
      <c r="H670" s="670"/>
      <c r="I670" s="670"/>
      <c r="J670" s="728"/>
      <c r="K670" s="670"/>
      <c r="L670" s="711"/>
    </row>
    <row r="671" spans="1:12" ht="15" thickBot="1" x14ac:dyDescent="0.4">
      <c r="B671" s="2"/>
    </row>
    <row r="672" spans="1:12" ht="23" thickBot="1" x14ac:dyDescent="0.4">
      <c r="B672" s="524"/>
      <c r="C672" s="525" t="s">
        <v>488</v>
      </c>
      <c r="D672" s="525"/>
      <c r="E672" s="525"/>
      <c r="F672" s="525"/>
      <c r="G672" s="525"/>
      <c r="H672" s="525"/>
      <c r="I672" s="525"/>
      <c r="J672" s="525"/>
      <c r="K672" s="527"/>
      <c r="L672" s="526"/>
    </row>
    <row r="673" spans="1:19" s="2" customFormat="1" ht="15.5" outlineLevel="1" thickTop="1" thickBot="1" x14ac:dyDescent="0.4">
      <c r="B673" s="721"/>
      <c r="C673" s="719" t="s">
        <v>79</v>
      </c>
      <c r="D673" s="719"/>
      <c r="E673" s="719"/>
      <c r="F673" s="719"/>
      <c r="G673" s="719"/>
      <c r="H673" s="719"/>
      <c r="I673" s="719"/>
      <c r="J673" s="719"/>
      <c r="K673" s="719"/>
      <c r="L673" s="720"/>
      <c r="M673" s="385"/>
      <c r="S673" s="783"/>
    </row>
    <row r="674" spans="1:19" ht="15" outlineLevel="1" thickTop="1" x14ac:dyDescent="0.35">
      <c r="A674" s="483"/>
      <c r="B674" s="759" t="s">
        <v>1916</v>
      </c>
      <c r="C674" s="757" t="s">
        <v>489</v>
      </c>
      <c r="D674" s="664"/>
      <c r="E674" s="664"/>
      <c r="F674" s="665"/>
      <c r="G674" s="664" t="s">
        <v>240</v>
      </c>
      <c r="H674" s="664"/>
      <c r="I674" s="664"/>
      <c r="J674" s="727"/>
      <c r="K674" s="664"/>
      <c r="L674" s="666"/>
    </row>
    <row r="675" spans="1:19" outlineLevel="1" x14ac:dyDescent="0.35">
      <c r="A675" s="483"/>
      <c r="B675" s="762" t="s">
        <v>1916</v>
      </c>
      <c r="C675" s="664" t="s">
        <v>490</v>
      </c>
      <c r="D675" s="664"/>
      <c r="E675" s="664"/>
      <c r="F675" s="665"/>
      <c r="G675" s="664" t="s">
        <v>264</v>
      </c>
      <c r="H675" s="664"/>
      <c r="I675" s="664"/>
      <c r="J675" s="727"/>
      <c r="K675" s="664"/>
      <c r="L675" s="666"/>
    </row>
    <row r="676" spans="1:19" outlineLevel="1" x14ac:dyDescent="0.35">
      <c r="A676" s="483"/>
      <c r="B676" s="762" t="s">
        <v>1916</v>
      </c>
      <c r="C676" s="664" t="s">
        <v>491</v>
      </c>
      <c r="D676" s="664"/>
      <c r="E676" s="664"/>
      <c r="F676" s="665"/>
      <c r="G676" s="664" t="s">
        <v>301</v>
      </c>
      <c r="H676" s="664"/>
      <c r="I676" s="664"/>
      <c r="J676" s="727"/>
      <c r="K676" s="664"/>
      <c r="L676" s="666"/>
    </row>
    <row r="677" spans="1:19" outlineLevel="1" x14ac:dyDescent="0.35">
      <c r="A677" s="483"/>
      <c r="B677" s="762" t="s">
        <v>1916</v>
      </c>
      <c r="C677" s="664" t="s">
        <v>492</v>
      </c>
      <c r="D677" s="664"/>
      <c r="E677" s="664"/>
      <c r="F677" s="665"/>
      <c r="G677" s="664" t="s">
        <v>271</v>
      </c>
      <c r="H677" s="664"/>
      <c r="I677" s="664"/>
      <c r="J677" s="727"/>
      <c r="K677" s="664"/>
      <c r="L677" s="666"/>
    </row>
    <row r="678" spans="1:19" outlineLevel="1" x14ac:dyDescent="0.35">
      <c r="A678" s="483"/>
      <c r="B678" s="762" t="s">
        <v>1916</v>
      </c>
      <c r="C678" s="664" t="s">
        <v>493</v>
      </c>
      <c r="D678" s="664"/>
      <c r="E678" s="664"/>
      <c r="F678" s="665"/>
      <c r="G678" s="664" t="s">
        <v>260</v>
      </c>
      <c r="H678" s="664"/>
      <c r="I678" s="664"/>
      <c r="J678" s="727"/>
      <c r="K678" s="664"/>
      <c r="L678" s="666"/>
    </row>
    <row r="679" spans="1:19" outlineLevel="1" x14ac:dyDescent="0.35">
      <c r="A679" s="483"/>
      <c r="B679" s="762" t="s">
        <v>1916</v>
      </c>
      <c r="C679" s="664" t="s">
        <v>494</v>
      </c>
      <c r="D679" s="664"/>
      <c r="E679" s="664"/>
      <c r="F679" s="665"/>
      <c r="G679" s="664" t="s">
        <v>265</v>
      </c>
      <c r="H679" s="664"/>
      <c r="I679" s="664"/>
      <c r="J679" s="727"/>
      <c r="K679" s="664"/>
      <c r="L679" s="666"/>
    </row>
    <row r="680" spans="1:19" outlineLevel="1" x14ac:dyDescent="0.35">
      <c r="A680" s="483"/>
      <c r="B680" s="762" t="s">
        <v>1916</v>
      </c>
      <c r="C680" s="664" t="s">
        <v>495</v>
      </c>
      <c r="D680" s="664"/>
      <c r="E680" s="664"/>
      <c r="F680" s="665"/>
      <c r="G680" s="664" t="s">
        <v>272</v>
      </c>
      <c r="H680" s="664"/>
      <c r="I680" s="664"/>
      <c r="J680" s="727"/>
      <c r="K680" s="664"/>
      <c r="L680" s="666"/>
    </row>
    <row r="681" spans="1:19" outlineLevel="1" x14ac:dyDescent="0.35">
      <c r="A681" s="483"/>
      <c r="B681" s="762" t="s">
        <v>1916</v>
      </c>
      <c r="C681" s="664" t="s">
        <v>496</v>
      </c>
      <c r="D681" s="664"/>
      <c r="E681" s="664"/>
      <c r="F681" s="665"/>
      <c r="G681" s="664" t="s">
        <v>294</v>
      </c>
      <c r="H681" s="664"/>
      <c r="I681" s="664"/>
      <c r="J681" s="727"/>
      <c r="K681" s="664"/>
      <c r="L681" s="666"/>
    </row>
    <row r="682" spans="1:19" outlineLevel="1" x14ac:dyDescent="0.35">
      <c r="A682" s="483"/>
      <c r="B682" s="762" t="s">
        <v>1916</v>
      </c>
      <c r="C682" s="664" t="s">
        <v>497</v>
      </c>
      <c r="D682" s="664"/>
      <c r="E682" s="664"/>
      <c r="F682" s="665"/>
      <c r="G682" s="664" t="s">
        <v>369</v>
      </c>
      <c r="H682" s="664"/>
      <c r="I682" s="664"/>
      <c r="J682" s="727"/>
      <c r="K682" s="664"/>
      <c r="L682" s="666"/>
    </row>
    <row r="683" spans="1:19" outlineLevel="1" x14ac:dyDescent="0.35">
      <c r="A683" s="483"/>
      <c r="B683" s="762" t="s">
        <v>1916</v>
      </c>
      <c r="C683" s="664" t="s">
        <v>498</v>
      </c>
      <c r="D683" s="664"/>
      <c r="E683" s="664"/>
      <c r="F683" s="665"/>
      <c r="G683" s="664" t="s">
        <v>298</v>
      </c>
      <c r="H683" s="664"/>
      <c r="I683" s="664"/>
      <c r="J683" s="727"/>
      <c r="K683" s="664"/>
      <c r="L683" s="666"/>
    </row>
    <row r="684" spans="1:19" outlineLevel="1" x14ac:dyDescent="0.35">
      <c r="A684" s="483"/>
      <c r="B684" s="762" t="s">
        <v>1916</v>
      </c>
      <c r="C684" s="664" t="s">
        <v>499</v>
      </c>
      <c r="D684" s="664"/>
      <c r="E684" s="664"/>
      <c r="F684" s="665"/>
      <c r="G684" s="664" t="s">
        <v>316</v>
      </c>
      <c r="H684" s="664"/>
      <c r="I684" s="664"/>
      <c r="J684" s="727"/>
      <c r="K684" s="664"/>
      <c r="L684" s="666"/>
    </row>
    <row r="685" spans="1:19" outlineLevel="1" x14ac:dyDescent="0.35">
      <c r="A685" s="483"/>
      <c r="B685" s="762" t="s">
        <v>1916</v>
      </c>
      <c r="C685" s="664" t="s">
        <v>500</v>
      </c>
      <c r="D685" s="664"/>
      <c r="E685" s="664"/>
      <c r="F685" s="665"/>
      <c r="G685" s="664" t="s">
        <v>259</v>
      </c>
      <c r="H685" s="664"/>
      <c r="I685" s="664"/>
      <c r="J685" s="727"/>
      <c r="K685" s="664"/>
      <c r="L685" s="666"/>
    </row>
    <row r="686" spans="1:19" outlineLevel="1" x14ac:dyDescent="0.35">
      <c r="A686" s="483"/>
      <c r="B686" s="762" t="s">
        <v>1916</v>
      </c>
      <c r="C686" s="664" t="s">
        <v>501</v>
      </c>
      <c r="D686" s="664"/>
      <c r="E686" s="664"/>
      <c r="F686" s="665"/>
      <c r="G686" s="664" t="s">
        <v>258</v>
      </c>
      <c r="H686" s="664"/>
      <c r="I686" s="664"/>
      <c r="J686" s="727"/>
      <c r="K686" s="664"/>
      <c r="L686" s="666"/>
    </row>
    <row r="687" spans="1:19" outlineLevel="1" x14ac:dyDescent="0.35">
      <c r="A687" s="483"/>
      <c r="B687" s="762" t="s">
        <v>1916</v>
      </c>
      <c r="C687" s="664" t="s">
        <v>502</v>
      </c>
      <c r="D687" s="664"/>
      <c r="E687" s="664"/>
      <c r="F687" s="665"/>
      <c r="G687" s="664" t="s">
        <v>261</v>
      </c>
      <c r="H687" s="664"/>
      <c r="I687" s="664"/>
      <c r="J687" s="727"/>
      <c r="K687" s="664"/>
      <c r="L687" s="666"/>
    </row>
    <row r="688" spans="1:19" outlineLevel="1" x14ac:dyDescent="0.35">
      <c r="A688" s="483"/>
      <c r="B688" s="762" t="s">
        <v>1916</v>
      </c>
      <c r="C688" s="664" t="s">
        <v>503</v>
      </c>
      <c r="D688" s="664"/>
      <c r="E688" s="664"/>
      <c r="F688" s="665"/>
      <c r="G688" s="664" t="s">
        <v>353</v>
      </c>
      <c r="H688" s="664"/>
      <c r="I688" s="664"/>
      <c r="J688" s="727"/>
      <c r="K688" s="664"/>
      <c r="L688" s="666"/>
    </row>
    <row r="689" spans="1:12" outlineLevel="1" x14ac:dyDescent="0.35">
      <c r="A689" s="483"/>
      <c r="B689" s="762" t="s">
        <v>1916</v>
      </c>
      <c r="C689" s="664" t="s">
        <v>504</v>
      </c>
      <c r="D689" s="664"/>
      <c r="E689" s="664"/>
      <c r="F689" s="665"/>
      <c r="G689" s="664" t="s">
        <v>345</v>
      </c>
      <c r="H689" s="664"/>
      <c r="I689" s="664"/>
      <c r="J689" s="727"/>
      <c r="K689" s="664"/>
      <c r="L689" s="666"/>
    </row>
    <row r="690" spans="1:12" outlineLevel="1" x14ac:dyDescent="0.35">
      <c r="A690" s="483"/>
      <c r="B690" s="762" t="s">
        <v>1916</v>
      </c>
      <c r="C690" s="664" t="s">
        <v>505</v>
      </c>
      <c r="D690" s="664"/>
      <c r="E690" s="664"/>
      <c r="F690" s="665"/>
      <c r="G690" s="664" t="s">
        <v>252</v>
      </c>
      <c r="H690" s="664"/>
      <c r="I690" s="664"/>
      <c r="J690" s="727"/>
      <c r="K690" s="664"/>
      <c r="L690" s="666"/>
    </row>
    <row r="691" spans="1:12" outlineLevel="1" x14ac:dyDescent="0.35">
      <c r="A691" s="483"/>
      <c r="B691" s="762" t="s">
        <v>1916</v>
      </c>
      <c r="C691" s="664" t="s">
        <v>506</v>
      </c>
      <c r="D691" s="664"/>
      <c r="E691" s="664"/>
      <c r="F691" s="665"/>
      <c r="G691" s="664" t="s">
        <v>359</v>
      </c>
      <c r="H691" s="664"/>
      <c r="I691" s="664"/>
      <c r="J691" s="727"/>
      <c r="K691" s="664"/>
      <c r="L691" s="666"/>
    </row>
    <row r="692" spans="1:12" outlineLevel="1" x14ac:dyDescent="0.35">
      <c r="A692" s="483"/>
      <c r="B692" s="762" t="s">
        <v>1916</v>
      </c>
      <c r="C692" s="664" t="s">
        <v>507</v>
      </c>
      <c r="D692" s="664"/>
      <c r="E692" s="664"/>
      <c r="F692" s="665"/>
      <c r="G692" s="664" t="s">
        <v>267</v>
      </c>
      <c r="H692" s="664"/>
      <c r="I692" s="664"/>
      <c r="J692" s="727"/>
      <c r="K692" s="664"/>
      <c r="L692" s="666"/>
    </row>
    <row r="693" spans="1:12" outlineLevel="1" x14ac:dyDescent="0.35">
      <c r="A693" s="483"/>
      <c r="B693" s="762" t="s">
        <v>1916</v>
      </c>
      <c r="C693" s="664" t="s">
        <v>508</v>
      </c>
      <c r="D693" s="664"/>
      <c r="E693" s="664"/>
      <c r="F693" s="665"/>
      <c r="G693" s="664" t="s">
        <v>299</v>
      </c>
      <c r="H693" s="664"/>
      <c r="I693" s="664"/>
      <c r="J693" s="727"/>
      <c r="K693" s="664"/>
      <c r="L693" s="666"/>
    </row>
    <row r="694" spans="1:12" outlineLevel="1" x14ac:dyDescent="0.35">
      <c r="A694" s="483"/>
      <c r="B694" s="762" t="s">
        <v>1916</v>
      </c>
      <c r="C694" s="664" t="s">
        <v>509</v>
      </c>
      <c r="D694" s="664"/>
      <c r="E694" s="664"/>
      <c r="F694" s="665"/>
      <c r="G694" s="664" t="s">
        <v>323</v>
      </c>
      <c r="H694" s="664"/>
      <c r="I694" s="664"/>
      <c r="J694" s="727"/>
      <c r="K694" s="664"/>
      <c r="L694" s="666"/>
    </row>
    <row r="695" spans="1:12" outlineLevel="1" x14ac:dyDescent="0.35">
      <c r="A695" s="483"/>
      <c r="B695" s="762" t="s">
        <v>1916</v>
      </c>
      <c r="C695" s="664" t="s">
        <v>510</v>
      </c>
      <c r="D695" s="664"/>
      <c r="E695" s="664"/>
      <c r="F695" s="665"/>
      <c r="G695" s="664" t="s">
        <v>455</v>
      </c>
      <c r="H695" s="664"/>
      <c r="I695" s="664"/>
      <c r="J695" s="727"/>
      <c r="K695" s="664"/>
      <c r="L695" s="666"/>
    </row>
    <row r="696" spans="1:12" outlineLevel="1" x14ac:dyDescent="0.35">
      <c r="A696" s="483"/>
      <c r="B696" s="762" t="s">
        <v>1916</v>
      </c>
      <c r="C696" s="664" t="s">
        <v>511</v>
      </c>
      <c r="D696" s="664"/>
      <c r="E696" s="664"/>
      <c r="F696" s="665"/>
      <c r="G696" s="664" t="s">
        <v>439</v>
      </c>
      <c r="H696" s="664"/>
      <c r="I696" s="664"/>
      <c r="J696" s="727"/>
      <c r="K696" s="664"/>
      <c r="L696" s="666"/>
    </row>
    <row r="697" spans="1:12" outlineLevel="1" x14ac:dyDescent="0.35">
      <c r="A697" s="483"/>
      <c r="B697" s="762" t="s">
        <v>1916</v>
      </c>
      <c r="C697" s="664" t="s">
        <v>512</v>
      </c>
      <c r="D697" s="664"/>
      <c r="E697" s="664"/>
      <c r="F697" s="665"/>
      <c r="G697" s="664" t="s">
        <v>303</v>
      </c>
      <c r="H697" s="664"/>
      <c r="I697" s="664"/>
      <c r="J697" s="727"/>
      <c r="K697" s="664"/>
      <c r="L697" s="666"/>
    </row>
    <row r="698" spans="1:12" outlineLevel="1" x14ac:dyDescent="0.35">
      <c r="A698" s="483"/>
      <c r="B698" s="762" t="s">
        <v>1916</v>
      </c>
      <c r="C698" s="664" t="s">
        <v>513</v>
      </c>
      <c r="D698" s="664"/>
      <c r="E698" s="664"/>
      <c r="F698" s="665"/>
      <c r="G698" s="664" t="s">
        <v>275</v>
      </c>
      <c r="H698" s="664"/>
      <c r="I698" s="664"/>
      <c r="J698" s="727"/>
      <c r="K698" s="664"/>
      <c r="L698" s="666"/>
    </row>
    <row r="699" spans="1:12" outlineLevel="1" x14ac:dyDescent="0.35">
      <c r="A699" s="483"/>
      <c r="B699" s="762" t="s">
        <v>1916</v>
      </c>
      <c r="C699" s="664" t="s">
        <v>514</v>
      </c>
      <c r="D699" s="664"/>
      <c r="E699" s="664"/>
      <c r="F699" s="665"/>
      <c r="G699" s="664" t="s">
        <v>458</v>
      </c>
      <c r="H699" s="664"/>
      <c r="I699" s="664"/>
      <c r="J699" s="727"/>
      <c r="K699" s="664"/>
      <c r="L699" s="666"/>
    </row>
    <row r="700" spans="1:12" outlineLevel="1" x14ac:dyDescent="0.35">
      <c r="A700" s="483"/>
      <c r="B700" s="762" t="s">
        <v>1916</v>
      </c>
      <c r="C700" s="664" t="s">
        <v>515</v>
      </c>
      <c r="D700" s="664"/>
      <c r="E700" s="664"/>
      <c r="F700" s="665"/>
      <c r="G700" s="664" t="s">
        <v>456</v>
      </c>
      <c r="H700" s="664"/>
      <c r="I700" s="664"/>
      <c r="J700" s="727"/>
      <c r="K700" s="664"/>
      <c r="L700" s="666"/>
    </row>
    <row r="701" spans="1:12" outlineLevel="1" x14ac:dyDescent="0.35">
      <c r="A701" s="483"/>
      <c r="B701" s="762" t="s">
        <v>1916</v>
      </c>
      <c r="C701" s="664" t="s">
        <v>516</v>
      </c>
      <c r="D701" s="664"/>
      <c r="E701" s="664"/>
      <c r="F701" s="665"/>
      <c r="G701" s="664" t="s">
        <v>457</v>
      </c>
      <c r="H701" s="664"/>
      <c r="I701" s="664"/>
      <c r="J701" s="727"/>
      <c r="K701" s="664"/>
      <c r="L701" s="666"/>
    </row>
    <row r="702" spans="1:12" outlineLevel="1" x14ac:dyDescent="0.35">
      <c r="A702" s="483"/>
      <c r="B702" s="762" t="s">
        <v>1916</v>
      </c>
      <c r="C702" s="664" t="s">
        <v>517</v>
      </c>
      <c r="D702" s="664"/>
      <c r="E702" s="664"/>
      <c r="F702" s="665"/>
      <c r="G702" s="664" t="s">
        <v>487</v>
      </c>
      <c r="H702" s="664"/>
      <c r="I702" s="664"/>
      <c r="J702" s="727"/>
      <c r="K702" s="664"/>
      <c r="L702" s="666"/>
    </row>
    <row r="703" spans="1:12" outlineLevel="1" x14ac:dyDescent="0.35">
      <c r="A703" s="483"/>
      <c r="B703" s="762" t="s">
        <v>1916</v>
      </c>
      <c r="C703" s="664" t="s">
        <v>518</v>
      </c>
      <c r="D703" s="664"/>
      <c r="E703" s="664"/>
      <c r="F703" s="665"/>
      <c r="G703" s="664" t="s">
        <v>461</v>
      </c>
      <c r="H703" s="664"/>
      <c r="I703" s="664"/>
      <c r="J703" s="727"/>
      <c r="K703" s="664"/>
      <c r="L703" s="666"/>
    </row>
    <row r="704" spans="1:12" outlineLevel="1" x14ac:dyDescent="0.35">
      <c r="A704" s="483"/>
      <c r="B704" s="762" t="s">
        <v>1916</v>
      </c>
      <c r="C704" s="664" t="s">
        <v>519</v>
      </c>
      <c r="D704" s="664"/>
      <c r="E704" s="664"/>
      <c r="F704" s="665"/>
      <c r="G704" s="664" t="s">
        <v>481</v>
      </c>
      <c r="H704" s="664"/>
      <c r="I704" s="664"/>
      <c r="J704" s="727"/>
      <c r="K704" s="664"/>
      <c r="L704" s="666"/>
    </row>
    <row r="705" spans="1:12" outlineLevel="1" x14ac:dyDescent="0.35">
      <c r="A705" s="483"/>
      <c r="B705" s="762" t="s">
        <v>1916</v>
      </c>
      <c r="C705" s="664" t="s">
        <v>520</v>
      </c>
      <c r="D705" s="664"/>
      <c r="E705" s="664"/>
      <c r="F705" s="665"/>
      <c r="G705" s="664" t="s">
        <v>486</v>
      </c>
      <c r="H705" s="664"/>
      <c r="I705" s="664"/>
      <c r="J705" s="727"/>
      <c r="K705" s="664"/>
      <c r="L705" s="666"/>
    </row>
    <row r="706" spans="1:12" outlineLevel="1" x14ac:dyDescent="0.35">
      <c r="A706" s="483"/>
      <c r="B706" s="762" t="s">
        <v>1916</v>
      </c>
      <c r="C706" s="664" t="s">
        <v>521</v>
      </c>
      <c r="D706" s="664"/>
      <c r="E706" s="664"/>
      <c r="F706" s="665"/>
      <c r="G706" s="664" t="s">
        <v>440</v>
      </c>
      <c r="H706" s="664"/>
      <c r="I706" s="664"/>
      <c r="J706" s="727"/>
      <c r="K706" s="664"/>
      <c r="L706" s="666"/>
    </row>
    <row r="707" spans="1:12" outlineLevel="1" x14ac:dyDescent="0.35">
      <c r="A707" s="483"/>
      <c r="B707" s="762" t="s">
        <v>1916</v>
      </c>
      <c r="C707" s="664" t="s">
        <v>522</v>
      </c>
      <c r="D707" s="664"/>
      <c r="E707" s="664"/>
      <c r="F707" s="665"/>
      <c r="G707" s="664" t="s">
        <v>341</v>
      </c>
      <c r="H707" s="664"/>
      <c r="I707" s="664"/>
      <c r="J707" s="727"/>
      <c r="K707" s="664"/>
      <c r="L707" s="666"/>
    </row>
    <row r="708" spans="1:12" outlineLevel="1" x14ac:dyDescent="0.35">
      <c r="A708" s="483"/>
      <c r="B708" s="762" t="s">
        <v>1916</v>
      </c>
      <c r="C708" s="664" t="s">
        <v>523</v>
      </c>
      <c r="D708" s="664"/>
      <c r="E708" s="664"/>
      <c r="F708" s="665"/>
      <c r="G708" s="664" t="s">
        <v>452</v>
      </c>
      <c r="H708" s="664"/>
      <c r="I708" s="664"/>
      <c r="J708" s="727"/>
      <c r="K708" s="664"/>
      <c r="L708" s="666"/>
    </row>
    <row r="709" spans="1:12" outlineLevel="1" x14ac:dyDescent="0.35">
      <c r="A709" s="483"/>
      <c r="B709" s="762" t="s">
        <v>1916</v>
      </c>
      <c r="C709" s="664" t="s">
        <v>524</v>
      </c>
      <c r="D709" s="664"/>
      <c r="E709" s="664"/>
      <c r="F709" s="665"/>
      <c r="G709" s="664" t="s">
        <v>280</v>
      </c>
      <c r="H709" s="664"/>
      <c r="I709" s="664"/>
      <c r="J709" s="727"/>
      <c r="K709" s="664"/>
      <c r="L709" s="666"/>
    </row>
    <row r="710" spans="1:12" outlineLevel="1" x14ac:dyDescent="0.35">
      <c r="A710" s="483"/>
      <c r="B710" s="762" t="s">
        <v>1916</v>
      </c>
      <c r="C710" s="664" t="s">
        <v>525</v>
      </c>
      <c r="D710" s="664"/>
      <c r="E710" s="664"/>
      <c r="F710" s="665"/>
      <c r="G710" s="664" t="s">
        <v>276</v>
      </c>
      <c r="H710" s="664"/>
      <c r="I710" s="664"/>
      <c r="J710" s="727"/>
      <c r="K710" s="664"/>
      <c r="L710" s="666"/>
    </row>
    <row r="711" spans="1:12" outlineLevel="1" x14ac:dyDescent="0.35">
      <c r="A711" s="483"/>
      <c r="B711" s="762" t="s">
        <v>1916</v>
      </c>
      <c r="C711" s="664" t="s">
        <v>526</v>
      </c>
      <c r="D711" s="664"/>
      <c r="E711" s="664"/>
      <c r="F711" s="665"/>
      <c r="G711" s="664" t="s">
        <v>281</v>
      </c>
      <c r="H711" s="664"/>
      <c r="I711" s="664"/>
      <c r="J711" s="727"/>
      <c r="K711" s="664"/>
      <c r="L711" s="666"/>
    </row>
    <row r="712" spans="1:12" outlineLevel="1" x14ac:dyDescent="0.35">
      <c r="A712" s="483"/>
      <c r="B712" s="762" t="s">
        <v>1916</v>
      </c>
      <c r="C712" s="664" t="s">
        <v>527</v>
      </c>
      <c r="D712" s="664"/>
      <c r="E712" s="664"/>
      <c r="F712" s="665"/>
      <c r="G712" s="664" t="s">
        <v>448</v>
      </c>
      <c r="H712" s="664"/>
      <c r="I712" s="664"/>
      <c r="J712" s="727"/>
      <c r="K712" s="664"/>
      <c r="L712" s="666"/>
    </row>
    <row r="713" spans="1:12" outlineLevel="1" x14ac:dyDescent="0.35">
      <c r="A713" s="483"/>
      <c r="B713" s="762" t="s">
        <v>1916</v>
      </c>
      <c r="C713" s="664" t="s">
        <v>528</v>
      </c>
      <c r="D713" s="664"/>
      <c r="E713" s="664"/>
      <c r="F713" s="665"/>
      <c r="G713" s="664" t="s">
        <v>348</v>
      </c>
      <c r="H713" s="664"/>
      <c r="I713" s="664"/>
      <c r="J713" s="727"/>
      <c r="K713" s="664"/>
      <c r="L713" s="666"/>
    </row>
    <row r="714" spans="1:12" outlineLevel="1" x14ac:dyDescent="0.35">
      <c r="A714" s="483"/>
      <c r="B714" s="762" t="s">
        <v>1916</v>
      </c>
      <c r="C714" s="664" t="s">
        <v>529</v>
      </c>
      <c r="D714" s="664"/>
      <c r="E714" s="664"/>
      <c r="F714" s="665"/>
      <c r="G714" s="664" t="s">
        <v>379</v>
      </c>
      <c r="H714" s="664"/>
      <c r="I714" s="664"/>
      <c r="J714" s="727"/>
      <c r="K714" s="664"/>
      <c r="L714" s="666"/>
    </row>
    <row r="715" spans="1:12" outlineLevel="1" x14ac:dyDescent="0.35">
      <c r="A715" s="483"/>
      <c r="B715" s="762" t="s">
        <v>1916</v>
      </c>
      <c r="C715" s="664" t="s">
        <v>530</v>
      </c>
      <c r="D715" s="664"/>
      <c r="E715" s="664"/>
      <c r="F715" s="665"/>
      <c r="G715" s="664" t="s">
        <v>303</v>
      </c>
      <c r="H715" s="664"/>
      <c r="I715" s="664"/>
      <c r="J715" s="727"/>
      <c r="K715" s="664"/>
      <c r="L715" s="666"/>
    </row>
    <row r="716" spans="1:12" outlineLevel="1" x14ac:dyDescent="0.35">
      <c r="A716" s="483"/>
      <c r="B716" s="762" t="s">
        <v>1916</v>
      </c>
      <c r="C716" s="664" t="s">
        <v>531</v>
      </c>
      <c r="D716" s="664"/>
      <c r="E716" s="664"/>
      <c r="F716" s="665"/>
      <c r="G716" s="664" t="s">
        <v>266</v>
      </c>
      <c r="H716" s="664"/>
      <c r="I716" s="664"/>
      <c r="J716" s="727"/>
      <c r="K716" s="664"/>
      <c r="L716" s="666"/>
    </row>
    <row r="717" spans="1:12" outlineLevel="1" x14ac:dyDescent="0.35">
      <c r="A717" s="483"/>
      <c r="B717" s="762" t="s">
        <v>1916</v>
      </c>
      <c r="C717" s="664" t="s">
        <v>532</v>
      </c>
      <c r="D717" s="664"/>
      <c r="E717" s="664"/>
      <c r="F717" s="665"/>
      <c r="G717" s="664" t="s">
        <v>279</v>
      </c>
      <c r="H717" s="664"/>
      <c r="I717" s="664"/>
      <c r="J717" s="727"/>
      <c r="K717" s="664"/>
      <c r="L717" s="666"/>
    </row>
    <row r="718" spans="1:12" outlineLevel="1" x14ac:dyDescent="0.35">
      <c r="A718" s="483"/>
      <c r="B718" s="762" t="s">
        <v>1916</v>
      </c>
      <c r="C718" s="664" t="s">
        <v>533</v>
      </c>
      <c r="D718" s="664"/>
      <c r="E718" s="664"/>
      <c r="F718" s="665"/>
      <c r="G718" s="664" t="s">
        <v>333</v>
      </c>
      <c r="H718" s="664"/>
      <c r="I718" s="664"/>
      <c r="J718" s="727"/>
      <c r="K718" s="664"/>
      <c r="L718" s="666"/>
    </row>
    <row r="719" spans="1:12" outlineLevel="1" x14ac:dyDescent="0.35">
      <c r="A719" s="483"/>
      <c r="B719" s="762" t="s">
        <v>1916</v>
      </c>
      <c r="C719" s="664" t="s">
        <v>534</v>
      </c>
      <c r="D719" s="664"/>
      <c r="E719" s="664"/>
      <c r="F719" s="665"/>
      <c r="G719" s="664" t="s">
        <v>396</v>
      </c>
      <c r="H719" s="664"/>
      <c r="I719" s="664"/>
      <c r="J719" s="727"/>
      <c r="K719" s="664"/>
      <c r="L719" s="666"/>
    </row>
    <row r="720" spans="1:12" outlineLevel="1" x14ac:dyDescent="0.35">
      <c r="A720" s="483"/>
      <c r="B720" s="762" t="s">
        <v>1916</v>
      </c>
      <c r="C720" s="664" t="s">
        <v>535</v>
      </c>
      <c r="D720" s="664"/>
      <c r="E720" s="664"/>
      <c r="F720" s="665"/>
      <c r="G720" s="664" t="s">
        <v>460</v>
      </c>
      <c r="H720" s="664"/>
      <c r="I720" s="664"/>
      <c r="J720" s="727"/>
      <c r="K720" s="664"/>
      <c r="L720" s="666"/>
    </row>
    <row r="721" spans="1:12" outlineLevel="1" x14ac:dyDescent="0.35">
      <c r="A721" s="483"/>
      <c r="B721" s="762" t="s">
        <v>1916</v>
      </c>
      <c r="C721" s="664" t="s">
        <v>536</v>
      </c>
      <c r="D721" s="664"/>
      <c r="E721" s="664"/>
      <c r="F721" s="665"/>
      <c r="G721" s="664" t="s">
        <v>447</v>
      </c>
      <c r="H721" s="664"/>
      <c r="I721" s="664"/>
      <c r="J721" s="727"/>
      <c r="K721" s="664"/>
      <c r="L721" s="666"/>
    </row>
    <row r="722" spans="1:12" outlineLevel="1" x14ac:dyDescent="0.35">
      <c r="A722" s="483"/>
      <c r="B722" s="762" t="s">
        <v>1916</v>
      </c>
      <c r="C722" s="664" t="s">
        <v>537</v>
      </c>
      <c r="D722" s="664"/>
      <c r="E722" s="664"/>
      <c r="F722" s="665"/>
      <c r="G722" s="664" t="s">
        <v>463</v>
      </c>
      <c r="H722" s="664"/>
      <c r="I722" s="664"/>
      <c r="J722" s="727"/>
      <c r="K722" s="664"/>
      <c r="L722" s="666"/>
    </row>
    <row r="723" spans="1:12" outlineLevel="1" x14ac:dyDescent="0.35">
      <c r="A723" s="483"/>
      <c r="B723" s="762" t="s">
        <v>1916</v>
      </c>
      <c r="C723" s="664" t="s">
        <v>538</v>
      </c>
      <c r="D723" s="664"/>
      <c r="E723" s="664"/>
      <c r="F723" s="665"/>
      <c r="G723" s="664" t="s">
        <v>330</v>
      </c>
      <c r="H723" s="664"/>
      <c r="I723" s="664"/>
      <c r="J723" s="727"/>
      <c r="K723" s="664"/>
      <c r="L723" s="666"/>
    </row>
    <row r="724" spans="1:12" outlineLevel="1" x14ac:dyDescent="0.35">
      <c r="A724" s="483"/>
      <c r="B724" s="762" t="s">
        <v>1916</v>
      </c>
      <c r="C724" s="664" t="s">
        <v>539</v>
      </c>
      <c r="D724" s="664"/>
      <c r="E724" s="664"/>
      <c r="F724" s="665"/>
      <c r="G724" s="664" t="s">
        <v>312</v>
      </c>
      <c r="H724" s="664"/>
      <c r="I724" s="664"/>
      <c r="J724" s="727"/>
      <c r="K724" s="664"/>
      <c r="L724" s="666"/>
    </row>
    <row r="725" spans="1:12" outlineLevel="1" x14ac:dyDescent="0.35">
      <c r="A725" s="483"/>
      <c r="B725" s="762" t="s">
        <v>1916</v>
      </c>
      <c r="C725" s="664" t="s">
        <v>540</v>
      </c>
      <c r="D725" s="664"/>
      <c r="E725" s="664"/>
      <c r="F725" s="665"/>
      <c r="G725" s="664" t="s">
        <v>313</v>
      </c>
      <c r="H725" s="664"/>
      <c r="I725" s="664"/>
      <c r="J725" s="727"/>
      <c r="K725" s="664"/>
      <c r="L725" s="666"/>
    </row>
    <row r="726" spans="1:12" outlineLevel="1" x14ac:dyDescent="0.35">
      <c r="A726" s="483"/>
      <c r="B726" s="762" t="s">
        <v>1916</v>
      </c>
      <c r="C726" s="664" t="s">
        <v>541</v>
      </c>
      <c r="D726" s="664"/>
      <c r="E726" s="664"/>
      <c r="F726" s="665"/>
      <c r="G726" s="664" t="s">
        <v>311</v>
      </c>
      <c r="H726" s="664"/>
      <c r="I726" s="664"/>
      <c r="J726" s="727"/>
      <c r="K726" s="664"/>
      <c r="L726" s="666"/>
    </row>
    <row r="727" spans="1:12" outlineLevel="1" x14ac:dyDescent="0.35">
      <c r="A727" s="483"/>
      <c r="B727" s="762" t="s">
        <v>1916</v>
      </c>
      <c r="C727" s="664" t="s">
        <v>542</v>
      </c>
      <c r="D727" s="664"/>
      <c r="E727" s="664"/>
      <c r="F727" s="665"/>
      <c r="G727" s="664" t="s">
        <v>427</v>
      </c>
      <c r="H727" s="664"/>
      <c r="I727" s="664"/>
      <c r="J727" s="727"/>
      <c r="K727" s="664"/>
      <c r="L727" s="666"/>
    </row>
    <row r="728" spans="1:12" outlineLevel="1" x14ac:dyDescent="0.35">
      <c r="A728" s="483"/>
      <c r="B728" s="762" t="s">
        <v>1916</v>
      </c>
      <c r="C728" s="664" t="s">
        <v>543</v>
      </c>
      <c r="D728" s="664"/>
      <c r="E728" s="664"/>
      <c r="F728" s="665"/>
      <c r="G728" s="664" t="s">
        <v>446</v>
      </c>
      <c r="H728" s="664"/>
      <c r="I728" s="664"/>
      <c r="J728" s="727"/>
      <c r="K728" s="664"/>
      <c r="L728" s="666"/>
    </row>
    <row r="729" spans="1:12" outlineLevel="1" x14ac:dyDescent="0.35">
      <c r="A729" s="483"/>
      <c r="B729" s="762" t="s">
        <v>1916</v>
      </c>
      <c r="C729" s="664" t="s">
        <v>544</v>
      </c>
      <c r="D729" s="664"/>
      <c r="E729" s="664"/>
      <c r="F729" s="665"/>
      <c r="G729" s="664" t="s">
        <v>344</v>
      </c>
      <c r="H729" s="664"/>
      <c r="I729" s="664"/>
      <c r="J729" s="727"/>
      <c r="K729" s="664"/>
      <c r="L729" s="666"/>
    </row>
    <row r="730" spans="1:12" outlineLevel="1" x14ac:dyDescent="0.35">
      <c r="A730" s="483"/>
      <c r="B730" s="762" t="s">
        <v>1916</v>
      </c>
      <c r="C730" s="664" t="s">
        <v>545</v>
      </c>
      <c r="D730" s="664"/>
      <c r="E730" s="664"/>
      <c r="F730" s="665"/>
      <c r="G730" s="664" t="s">
        <v>262</v>
      </c>
      <c r="H730" s="664"/>
      <c r="I730" s="664"/>
      <c r="J730" s="727"/>
      <c r="K730" s="664"/>
      <c r="L730" s="666"/>
    </row>
    <row r="731" spans="1:12" outlineLevel="1" x14ac:dyDescent="0.35">
      <c r="A731" s="483"/>
      <c r="B731" s="762" t="s">
        <v>1916</v>
      </c>
      <c r="C731" s="664" t="s">
        <v>546</v>
      </c>
      <c r="D731" s="664"/>
      <c r="E731" s="664"/>
      <c r="F731" s="665"/>
      <c r="G731" s="664" t="s">
        <v>282</v>
      </c>
      <c r="H731" s="664"/>
      <c r="I731" s="664"/>
      <c r="J731" s="727"/>
      <c r="K731" s="664"/>
      <c r="L731" s="666"/>
    </row>
    <row r="732" spans="1:12" outlineLevel="1" x14ac:dyDescent="0.35">
      <c r="A732" s="483"/>
      <c r="B732" s="762" t="s">
        <v>1916</v>
      </c>
      <c r="C732" s="664" t="s">
        <v>547</v>
      </c>
      <c r="D732" s="664"/>
      <c r="E732" s="664"/>
      <c r="F732" s="665"/>
      <c r="G732" s="664" t="s">
        <v>431</v>
      </c>
      <c r="H732" s="664"/>
      <c r="I732" s="664"/>
      <c r="J732" s="727"/>
      <c r="K732" s="664"/>
      <c r="L732" s="666"/>
    </row>
    <row r="733" spans="1:12" outlineLevel="1" x14ac:dyDescent="0.35">
      <c r="A733" s="483"/>
      <c r="B733" s="762" t="s">
        <v>1916</v>
      </c>
      <c r="C733" s="664" t="s">
        <v>548</v>
      </c>
      <c r="D733" s="664"/>
      <c r="E733" s="664"/>
      <c r="F733" s="665"/>
      <c r="G733" s="664" t="s">
        <v>432</v>
      </c>
      <c r="H733" s="664"/>
      <c r="I733" s="664"/>
      <c r="J733" s="727"/>
      <c r="K733" s="664"/>
      <c r="L733" s="666"/>
    </row>
    <row r="734" spans="1:12" outlineLevel="1" x14ac:dyDescent="0.35">
      <c r="A734" s="483"/>
      <c r="B734" s="762" t="s">
        <v>1916</v>
      </c>
      <c r="C734" s="664" t="s">
        <v>549</v>
      </c>
      <c r="D734" s="664"/>
      <c r="E734" s="664"/>
      <c r="F734" s="665"/>
      <c r="G734" s="664" t="s">
        <v>358</v>
      </c>
      <c r="H734" s="664"/>
      <c r="I734" s="664"/>
      <c r="J734" s="727"/>
      <c r="K734" s="664"/>
      <c r="L734" s="666"/>
    </row>
    <row r="735" spans="1:12" outlineLevel="1" x14ac:dyDescent="0.35">
      <c r="A735" s="483"/>
      <c r="B735" s="762" t="s">
        <v>1916</v>
      </c>
      <c r="C735" s="664" t="s">
        <v>550</v>
      </c>
      <c r="D735" s="664"/>
      <c r="E735" s="664"/>
      <c r="F735" s="665"/>
      <c r="G735" s="664" t="s">
        <v>434</v>
      </c>
      <c r="H735" s="664"/>
      <c r="I735" s="664"/>
      <c r="J735" s="727"/>
      <c r="K735" s="664"/>
      <c r="L735" s="666"/>
    </row>
    <row r="736" spans="1:12" outlineLevel="1" x14ac:dyDescent="0.35">
      <c r="A736" s="483"/>
      <c r="B736" s="762" t="s">
        <v>1916</v>
      </c>
      <c r="C736" s="664" t="s">
        <v>551</v>
      </c>
      <c r="D736" s="664"/>
      <c r="E736" s="664"/>
      <c r="F736" s="665"/>
      <c r="G736" s="664" t="s">
        <v>449</v>
      </c>
      <c r="H736" s="664"/>
      <c r="I736" s="664"/>
      <c r="J736" s="727"/>
      <c r="K736" s="664"/>
      <c r="L736" s="666"/>
    </row>
    <row r="737" spans="1:12" outlineLevel="1" x14ac:dyDescent="0.35">
      <c r="A737" s="483"/>
      <c r="B737" s="762" t="s">
        <v>1916</v>
      </c>
      <c r="C737" s="664" t="s">
        <v>552</v>
      </c>
      <c r="D737" s="664"/>
      <c r="E737" s="664"/>
      <c r="F737" s="665"/>
      <c r="G737" s="664" t="s">
        <v>390</v>
      </c>
      <c r="H737" s="664"/>
      <c r="I737" s="664"/>
      <c r="J737" s="727"/>
      <c r="K737" s="664"/>
      <c r="L737" s="666"/>
    </row>
    <row r="738" spans="1:12" outlineLevel="1" x14ac:dyDescent="0.35">
      <c r="A738" s="483"/>
      <c r="B738" s="762" t="s">
        <v>1916</v>
      </c>
      <c r="C738" s="664" t="s">
        <v>553</v>
      </c>
      <c r="D738" s="664"/>
      <c r="E738" s="664"/>
      <c r="F738" s="665"/>
      <c r="G738" s="664" t="s">
        <v>361</v>
      </c>
      <c r="H738" s="664"/>
      <c r="I738" s="664"/>
      <c r="J738" s="727"/>
      <c r="K738" s="664"/>
      <c r="L738" s="666"/>
    </row>
    <row r="739" spans="1:12" outlineLevel="1" x14ac:dyDescent="0.35">
      <c r="A739" s="483"/>
      <c r="B739" s="762" t="s">
        <v>1916</v>
      </c>
      <c r="C739" s="664" t="s">
        <v>554</v>
      </c>
      <c r="D739" s="664"/>
      <c r="E739" s="664"/>
      <c r="F739" s="665"/>
      <c r="G739" s="664" t="s">
        <v>300</v>
      </c>
      <c r="H739" s="664"/>
      <c r="I739" s="664"/>
      <c r="J739" s="727"/>
      <c r="K739" s="664"/>
      <c r="L739" s="666"/>
    </row>
    <row r="740" spans="1:12" outlineLevel="1" x14ac:dyDescent="0.35">
      <c r="A740" s="483"/>
      <c r="B740" s="762" t="s">
        <v>1916</v>
      </c>
      <c r="C740" s="664" t="s">
        <v>555</v>
      </c>
      <c r="D740" s="664"/>
      <c r="E740" s="664"/>
      <c r="F740" s="665"/>
      <c r="G740" s="664" t="s">
        <v>418</v>
      </c>
      <c r="H740" s="664"/>
      <c r="I740" s="664"/>
      <c r="J740" s="727"/>
      <c r="K740" s="664"/>
      <c r="L740" s="666"/>
    </row>
    <row r="741" spans="1:12" outlineLevel="1" x14ac:dyDescent="0.35">
      <c r="A741" s="483"/>
      <c r="B741" s="762" t="s">
        <v>1916</v>
      </c>
      <c r="C741" s="664" t="s">
        <v>556</v>
      </c>
      <c r="D741" s="664"/>
      <c r="E741" s="664"/>
      <c r="F741" s="665"/>
      <c r="G741" s="664" t="s">
        <v>451</v>
      </c>
      <c r="H741" s="664"/>
      <c r="I741" s="664"/>
      <c r="J741" s="727"/>
      <c r="K741" s="664"/>
      <c r="L741" s="666"/>
    </row>
    <row r="742" spans="1:12" outlineLevel="1" x14ac:dyDescent="0.35">
      <c r="A742" s="483"/>
      <c r="B742" s="762" t="s">
        <v>1916</v>
      </c>
      <c r="C742" s="664" t="s">
        <v>557</v>
      </c>
      <c r="D742" s="664"/>
      <c r="E742" s="664"/>
      <c r="F742" s="665"/>
      <c r="G742" s="664" t="s">
        <v>249</v>
      </c>
      <c r="H742" s="664"/>
      <c r="I742" s="664"/>
      <c r="J742" s="727"/>
      <c r="K742" s="664"/>
      <c r="L742" s="666"/>
    </row>
    <row r="743" spans="1:12" outlineLevel="1" x14ac:dyDescent="0.35">
      <c r="A743" s="483"/>
      <c r="B743" s="762" t="s">
        <v>1916</v>
      </c>
      <c r="C743" s="664" t="s">
        <v>558</v>
      </c>
      <c r="D743" s="664"/>
      <c r="E743" s="664"/>
      <c r="F743" s="665"/>
      <c r="G743" s="664" t="s">
        <v>423</v>
      </c>
      <c r="H743" s="664"/>
      <c r="I743" s="664"/>
      <c r="J743" s="727"/>
      <c r="K743" s="664"/>
      <c r="L743" s="666"/>
    </row>
    <row r="744" spans="1:12" outlineLevel="1" x14ac:dyDescent="0.35">
      <c r="A744" s="483"/>
      <c r="B744" s="762" t="s">
        <v>1916</v>
      </c>
      <c r="C744" s="664" t="s">
        <v>559</v>
      </c>
      <c r="D744" s="664"/>
      <c r="E744" s="664"/>
      <c r="F744" s="665"/>
      <c r="G744" s="664" t="s">
        <v>255</v>
      </c>
      <c r="H744" s="664"/>
      <c r="I744" s="664"/>
      <c r="J744" s="727"/>
      <c r="K744" s="664"/>
      <c r="L744" s="666"/>
    </row>
    <row r="745" spans="1:12" outlineLevel="1" x14ac:dyDescent="0.35">
      <c r="A745" s="483"/>
      <c r="B745" s="762" t="s">
        <v>1916</v>
      </c>
      <c r="C745" s="664" t="s">
        <v>560</v>
      </c>
      <c r="D745" s="664"/>
      <c r="E745" s="664"/>
      <c r="F745" s="665"/>
      <c r="G745" s="664" t="s">
        <v>429</v>
      </c>
      <c r="H745" s="664"/>
      <c r="I745" s="664"/>
      <c r="J745" s="727"/>
      <c r="K745" s="664"/>
      <c r="L745" s="666"/>
    </row>
    <row r="746" spans="1:12" outlineLevel="1" x14ac:dyDescent="0.35">
      <c r="A746" s="483"/>
      <c r="B746" s="762" t="s">
        <v>1916</v>
      </c>
      <c r="C746" s="664" t="s">
        <v>561</v>
      </c>
      <c r="D746" s="664"/>
      <c r="E746" s="664"/>
      <c r="F746" s="665"/>
      <c r="G746" s="664" t="s">
        <v>454</v>
      </c>
      <c r="H746" s="664"/>
      <c r="I746" s="664"/>
      <c r="J746" s="727"/>
      <c r="K746" s="664"/>
      <c r="L746" s="666"/>
    </row>
    <row r="747" spans="1:12" outlineLevel="1" x14ac:dyDescent="0.35">
      <c r="A747" s="483"/>
      <c r="B747" s="762" t="s">
        <v>1916</v>
      </c>
      <c r="C747" s="664" t="s">
        <v>562</v>
      </c>
      <c r="D747" s="664"/>
      <c r="E747" s="664"/>
      <c r="F747" s="665"/>
      <c r="G747" s="664" t="s">
        <v>367</v>
      </c>
      <c r="H747" s="664"/>
      <c r="I747" s="664"/>
      <c r="J747" s="727"/>
      <c r="K747" s="664"/>
      <c r="L747" s="666"/>
    </row>
    <row r="748" spans="1:12" outlineLevel="1" x14ac:dyDescent="0.35">
      <c r="A748" s="483"/>
      <c r="B748" s="762" t="s">
        <v>1916</v>
      </c>
      <c r="C748" s="664" t="s">
        <v>563</v>
      </c>
      <c r="D748" s="664"/>
      <c r="E748" s="664"/>
      <c r="F748" s="665"/>
      <c r="G748" s="664" t="s">
        <v>365</v>
      </c>
      <c r="H748" s="664"/>
      <c r="I748" s="664"/>
      <c r="J748" s="727"/>
      <c r="K748" s="664"/>
      <c r="L748" s="666"/>
    </row>
    <row r="749" spans="1:12" outlineLevel="1" x14ac:dyDescent="0.35">
      <c r="A749" s="483"/>
      <c r="B749" s="762" t="s">
        <v>1916</v>
      </c>
      <c r="C749" s="664" t="s">
        <v>564</v>
      </c>
      <c r="D749" s="664"/>
      <c r="E749" s="664"/>
      <c r="F749" s="665"/>
      <c r="G749" s="664" t="s">
        <v>230</v>
      </c>
      <c r="H749" s="664"/>
      <c r="I749" s="664"/>
      <c r="J749" s="727"/>
      <c r="K749" s="664"/>
      <c r="L749" s="666"/>
    </row>
    <row r="750" spans="1:12" outlineLevel="1" x14ac:dyDescent="0.35">
      <c r="A750" s="483"/>
      <c r="B750" s="762" t="s">
        <v>1916</v>
      </c>
      <c r="C750" s="664" t="s">
        <v>565</v>
      </c>
      <c r="D750" s="664"/>
      <c r="E750" s="664"/>
      <c r="F750" s="665"/>
      <c r="G750" s="664" t="s">
        <v>443</v>
      </c>
      <c r="H750" s="664"/>
      <c r="I750" s="664"/>
      <c r="J750" s="727"/>
      <c r="K750" s="664"/>
      <c r="L750" s="666"/>
    </row>
    <row r="751" spans="1:12" outlineLevel="1" x14ac:dyDescent="0.35">
      <c r="A751" s="483"/>
      <c r="B751" s="762" t="s">
        <v>1916</v>
      </c>
      <c r="C751" s="664" t="s">
        <v>566</v>
      </c>
      <c r="D751" s="664"/>
      <c r="E751" s="664"/>
      <c r="F751" s="665"/>
      <c r="G751" s="664" t="s">
        <v>269</v>
      </c>
      <c r="H751" s="664"/>
      <c r="I751" s="664"/>
      <c r="J751" s="727"/>
      <c r="K751" s="664"/>
      <c r="L751" s="666"/>
    </row>
    <row r="752" spans="1:12" outlineLevel="1" x14ac:dyDescent="0.35">
      <c r="A752" s="483"/>
      <c r="B752" s="762" t="s">
        <v>1916</v>
      </c>
      <c r="C752" s="664" t="s">
        <v>567</v>
      </c>
      <c r="D752" s="664"/>
      <c r="E752" s="664"/>
      <c r="F752" s="665"/>
      <c r="G752" s="664" t="s">
        <v>439</v>
      </c>
      <c r="H752" s="664"/>
      <c r="I752" s="664"/>
      <c r="J752" s="727"/>
      <c r="K752" s="664"/>
      <c r="L752" s="666"/>
    </row>
    <row r="753" spans="1:19" outlineLevel="1" x14ac:dyDescent="0.35">
      <c r="A753" s="483"/>
      <c r="B753" s="762" t="s">
        <v>1916</v>
      </c>
      <c r="C753" s="664" t="s">
        <v>568</v>
      </c>
      <c r="D753" s="664"/>
      <c r="E753" s="664"/>
      <c r="F753" s="665"/>
      <c r="G753" s="664" t="s">
        <v>268</v>
      </c>
      <c r="H753" s="664"/>
      <c r="I753" s="664"/>
      <c r="J753" s="727"/>
      <c r="K753" s="664"/>
      <c r="L753" s="666"/>
    </row>
    <row r="754" spans="1:19" outlineLevel="1" x14ac:dyDescent="0.35">
      <c r="A754" s="483"/>
      <c r="B754" s="762" t="s">
        <v>1916</v>
      </c>
      <c r="C754" s="664" t="s">
        <v>569</v>
      </c>
      <c r="D754" s="664"/>
      <c r="E754" s="664"/>
      <c r="F754" s="665"/>
      <c r="G754" s="664" t="s">
        <v>570</v>
      </c>
      <c r="H754" s="664"/>
      <c r="I754" s="664"/>
      <c r="J754" s="727"/>
      <c r="K754" s="664"/>
      <c r="L754" s="666"/>
    </row>
    <row r="755" spans="1:19" outlineLevel="1" x14ac:dyDescent="0.35">
      <c r="A755" s="483"/>
      <c r="B755" s="762" t="s">
        <v>1916</v>
      </c>
      <c r="C755" s="664" t="s">
        <v>571</v>
      </c>
      <c r="D755" s="664"/>
      <c r="E755" s="664"/>
      <c r="F755" s="665"/>
      <c r="G755" s="664" t="s">
        <v>314</v>
      </c>
      <c r="H755" s="664"/>
      <c r="I755" s="664"/>
      <c r="J755" s="727"/>
      <c r="K755" s="664"/>
      <c r="L755" s="666"/>
    </row>
    <row r="756" spans="1:19" outlineLevel="1" x14ac:dyDescent="0.35">
      <c r="A756" s="483"/>
      <c r="B756" s="762" t="s">
        <v>1916</v>
      </c>
      <c r="C756" s="664" t="s">
        <v>572</v>
      </c>
      <c r="D756" s="664"/>
      <c r="E756" s="664"/>
      <c r="F756" s="665"/>
      <c r="G756" s="664" t="s">
        <v>363</v>
      </c>
      <c r="H756" s="664"/>
      <c r="I756" s="664"/>
      <c r="J756" s="727"/>
      <c r="K756" s="664"/>
      <c r="L756" s="666"/>
    </row>
    <row r="757" spans="1:19" outlineLevel="1" x14ac:dyDescent="0.35">
      <c r="A757" s="483"/>
      <c r="B757" s="762" t="s">
        <v>1916</v>
      </c>
      <c r="C757" s="664" t="s">
        <v>573</v>
      </c>
      <c r="D757" s="664"/>
      <c r="E757" s="664"/>
      <c r="F757" s="665"/>
      <c r="G757" s="664" t="s">
        <v>466</v>
      </c>
      <c r="H757" s="664"/>
      <c r="I757" s="664"/>
      <c r="J757" s="727"/>
      <c r="K757" s="664"/>
      <c r="L757" s="666"/>
    </row>
    <row r="758" spans="1:19" outlineLevel="1" x14ac:dyDescent="0.35">
      <c r="A758" s="483"/>
      <c r="B758" s="762" t="s">
        <v>1916</v>
      </c>
      <c r="C758" s="664" t="s">
        <v>574</v>
      </c>
      <c r="D758" s="664"/>
      <c r="E758" s="664"/>
      <c r="F758" s="665"/>
      <c r="G758" s="664" t="s">
        <v>439</v>
      </c>
      <c r="H758" s="664"/>
      <c r="I758" s="664"/>
      <c r="J758" s="727"/>
      <c r="K758" s="664"/>
      <c r="L758" s="666"/>
    </row>
    <row r="759" spans="1:19" outlineLevel="1" x14ac:dyDescent="0.35">
      <c r="A759" s="483"/>
      <c r="B759" s="762" t="s">
        <v>1916</v>
      </c>
      <c r="C759" s="664" t="s">
        <v>575</v>
      </c>
      <c r="D759" s="664"/>
      <c r="E759" s="664"/>
      <c r="F759" s="665"/>
      <c r="G759" s="664" t="s">
        <v>453</v>
      </c>
      <c r="H759" s="664"/>
      <c r="I759" s="664"/>
      <c r="J759" s="727"/>
      <c r="K759" s="664"/>
      <c r="L759" s="666"/>
    </row>
    <row r="760" spans="1:19" outlineLevel="1" x14ac:dyDescent="0.35">
      <c r="A760" s="483"/>
      <c r="B760" s="762" t="s">
        <v>1916</v>
      </c>
      <c r="C760" s="664" t="s">
        <v>576</v>
      </c>
      <c r="D760" s="664"/>
      <c r="E760" s="664"/>
      <c r="F760" s="665"/>
      <c r="G760" s="664" t="s">
        <v>476</v>
      </c>
      <c r="H760" s="664"/>
      <c r="I760" s="664"/>
      <c r="J760" s="727"/>
      <c r="K760" s="664"/>
      <c r="L760" s="666"/>
    </row>
    <row r="761" spans="1:19" outlineLevel="1" x14ac:dyDescent="0.35">
      <c r="A761" s="483"/>
      <c r="B761" s="762" t="s">
        <v>1916</v>
      </c>
      <c r="C761" s="664" t="s">
        <v>521</v>
      </c>
      <c r="D761" s="664"/>
      <c r="E761" s="664"/>
      <c r="F761" s="665"/>
      <c r="G761" s="664" t="s">
        <v>440</v>
      </c>
      <c r="H761" s="664"/>
      <c r="I761" s="664"/>
      <c r="J761" s="727"/>
      <c r="K761" s="664"/>
      <c r="L761" s="666"/>
    </row>
    <row r="762" spans="1:19" outlineLevel="1" x14ac:dyDescent="0.35">
      <c r="A762" s="483"/>
      <c r="B762" s="762" t="s">
        <v>1916</v>
      </c>
      <c r="C762" s="664" t="s">
        <v>2213</v>
      </c>
      <c r="D762" s="664"/>
      <c r="E762" s="664"/>
      <c r="F762" s="665"/>
      <c r="G762" s="664" t="s">
        <v>378</v>
      </c>
      <c r="H762" s="664"/>
      <c r="I762" s="664"/>
      <c r="J762" s="727"/>
      <c r="K762" s="664"/>
      <c r="L762" s="666"/>
    </row>
    <row r="763" spans="1:19" ht="15" outlineLevel="1" thickBot="1" x14ac:dyDescent="0.4">
      <c r="A763" s="483"/>
      <c r="B763" s="761"/>
      <c r="C763" s="670"/>
      <c r="D763" s="670"/>
      <c r="E763" s="670"/>
      <c r="F763" s="671"/>
      <c r="G763" s="670"/>
      <c r="H763" s="670"/>
      <c r="I763" s="670"/>
      <c r="J763" s="728"/>
      <c r="K763" s="670"/>
      <c r="L763" s="711"/>
    </row>
    <row r="764" spans="1:19" ht="15" thickBot="1" x14ac:dyDescent="0.4">
      <c r="B764" s="2"/>
    </row>
    <row r="765" spans="1:19" ht="23" thickBot="1" x14ac:dyDescent="0.4">
      <c r="B765" s="524"/>
      <c r="C765" s="525" t="s">
        <v>577</v>
      </c>
      <c r="D765" s="525"/>
      <c r="E765" s="525"/>
      <c r="F765" s="525"/>
      <c r="G765" s="525"/>
      <c r="H765" s="525"/>
      <c r="I765" s="525"/>
      <c r="J765" s="525"/>
      <c r="K765" s="527"/>
      <c r="L765" s="526"/>
    </row>
    <row r="766" spans="1:19" s="2" customFormat="1" ht="15.5" outlineLevel="1" thickTop="1" thickBot="1" x14ac:dyDescent="0.4">
      <c r="B766" s="721"/>
      <c r="C766" s="719" t="s">
        <v>79</v>
      </c>
      <c r="D766" s="719"/>
      <c r="E766" s="719"/>
      <c r="F766" s="719"/>
      <c r="G766" s="719"/>
      <c r="H766" s="719"/>
      <c r="I766" s="719"/>
      <c r="J766" s="719"/>
      <c r="K766" s="719"/>
      <c r="L766" s="720"/>
      <c r="M766" s="385"/>
      <c r="S766" s="783"/>
    </row>
    <row r="767" spans="1:19" ht="15" outlineLevel="1" thickTop="1" x14ac:dyDescent="0.35">
      <c r="A767" s="483"/>
      <c r="B767" s="759" t="s">
        <v>1917</v>
      </c>
      <c r="C767" s="757" t="s">
        <v>230</v>
      </c>
      <c r="D767" s="664"/>
      <c r="E767" s="664"/>
      <c r="F767" s="665"/>
      <c r="G767" s="664"/>
      <c r="H767" s="664"/>
      <c r="I767" s="664"/>
      <c r="J767" s="727"/>
      <c r="K767" s="664"/>
      <c r="L767" s="666"/>
    </row>
    <row r="768" spans="1:19" outlineLevel="1" x14ac:dyDescent="0.35">
      <c r="A768" s="483"/>
      <c r="B768" s="762" t="s">
        <v>1917</v>
      </c>
      <c r="C768" s="664" t="s">
        <v>231</v>
      </c>
      <c r="D768" s="664"/>
      <c r="E768" s="664"/>
      <c r="F768" s="665"/>
      <c r="G768" s="664"/>
      <c r="H768" s="664"/>
      <c r="I768" s="664"/>
      <c r="J768" s="727"/>
      <c r="K768" s="664"/>
      <c r="L768" s="666"/>
    </row>
    <row r="769" spans="1:12" outlineLevel="1" x14ac:dyDescent="0.35">
      <c r="A769" s="483"/>
      <c r="B769" s="762" t="s">
        <v>1917</v>
      </c>
      <c r="C769" s="664" t="s">
        <v>232</v>
      </c>
      <c r="D769" s="664"/>
      <c r="E769" s="664"/>
      <c r="F769" s="665"/>
      <c r="G769" s="664"/>
      <c r="H769" s="664"/>
      <c r="I769" s="664"/>
      <c r="J769" s="727"/>
      <c r="K769" s="664"/>
      <c r="L769" s="666"/>
    </row>
    <row r="770" spans="1:12" outlineLevel="1" x14ac:dyDescent="0.35">
      <c r="A770" s="483"/>
      <c r="B770" s="762" t="s">
        <v>1917</v>
      </c>
      <c r="C770" s="664" t="s">
        <v>233</v>
      </c>
      <c r="D770" s="664"/>
      <c r="E770" s="664"/>
      <c r="F770" s="665"/>
      <c r="G770" s="664"/>
      <c r="H770" s="664"/>
      <c r="I770" s="664"/>
      <c r="J770" s="727"/>
      <c r="K770" s="664"/>
      <c r="L770" s="666"/>
    </row>
    <row r="771" spans="1:12" outlineLevel="1" x14ac:dyDescent="0.35">
      <c r="A771" s="483"/>
      <c r="B771" s="762" t="s">
        <v>1917</v>
      </c>
      <c r="C771" s="664" t="s">
        <v>234</v>
      </c>
      <c r="D771" s="664"/>
      <c r="E771" s="664"/>
      <c r="F771" s="665"/>
      <c r="G771" s="664"/>
      <c r="H771" s="664"/>
      <c r="I771" s="664"/>
      <c r="J771" s="727"/>
      <c r="K771" s="664"/>
      <c r="L771" s="666"/>
    </row>
    <row r="772" spans="1:12" outlineLevel="1" x14ac:dyDescent="0.35">
      <c r="A772" s="483"/>
      <c r="B772" s="762" t="s">
        <v>1917</v>
      </c>
      <c r="C772" s="664" t="s">
        <v>235</v>
      </c>
      <c r="D772" s="664"/>
      <c r="E772" s="664"/>
      <c r="F772" s="665"/>
      <c r="G772" s="664"/>
      <c r="H772" s="664"/>
      <c r="I772" s="664"/>
      <c r="J772" s="727"/>
      <c r="K772" s="664"/>
      <c r="L772" s="666"/>
    </row>
    <row r="773" spans="1:12" outlineLevel="1" x14ac:dyDescent="0.35">
      <c r="A773" s="483"/>
      <c r="B773" s="762" t="s">
        <v>1917</v>
      </c>
      <c r="C773" s="664" t="s">
        <v>236</v>
      </c>
      <c r="D773" s="664"/>
      <c r="E773" s="664"/>
      <c r="F773" s="665"/>
      <c r="G773" s="664"/>
      <c r="H773" s="664"/>
      <c r="I773" s="664"/>
      <c r="J773" s="727"/>
      <c r="K773" s="664"/>
      <c r="L773" s="666"/>
    </row>
    <row r="774" spans="1:12" outlineLevel="1" x14ac:dyDescent="0.35">
      <c r="A774" s="483"/>
      <c r="B774" s="762" t="s">
        <v>1917</v>
      </c>
      <c r="C774" s="664" t="s">
        <v>237</v>
      </c>
      <c r="D774" s="664"/>
      <c r="E774" s="664"/>
      <c r="F774" s="665"/>
      <c r="G774" s="664"/>
      <c r="H774" s="664"/>
      <c r="I774" s="664"/>
      <c r="J774" s="727"/>
      <c r="K774" s="664"/>
      <c r="L774" s="666"/>
    </row>
    <row r="775" spans="1:12" outlineLevel="1" x14ac:dyDescent="0.35">
      <c r="A775" s="483"/>
      <c r="B775" s="762" t="s">
        <v>1917</v>
      </c>
      <c r="C775" s="664" t="s">
        <v>238</v>
      </c>
      <c r="D775" s="664"/>
      <c r="E775" s="664"/>
      <c r="F775" s="665"/>
      <c r="G775" s="664"/>
      <c r="H775" s="664"/>
      <c r="I775" s="664"/>
      <c r="J775" s="727"/>
      <c r="K775" s="664"/>
      <c r="L775" s="666"/>
    </row>
    <row r="776" spans="1:12" outlineLevel="1" x14ac:dyDescent="0.35">
      <c r="A776" s="483"/>
      <c r="B776" s="762" t="s">
        <v>1917</v>
      </c>
      <c r="C776" s="664" t="s">
        <v>239</v>
      </c>
      <c r="D776" s="664"/>
      <c r="E776" s="664"/>
      <c r="F776" s="665"/>
      <c r="G776" s="664"/>
      <c r="H776" s="664"/>
      <c r="I776" s="664"/>
      <c r="J776" s="727"/>
      <c r="K776" s="664"/>
      <c r="L776" s="666"/>
    </row>
    <row r="777" spans="1:12" outlineLevel="1" x14ac:dyDescent="0.35">
      <c r="A777" s="483"/>
      <c r="B777" s="762" t="s">
        <v>1917</v>
      </c>
      <c r="C777" s="664" t="s">
        <v>240</v>
      </c>
      <c r="D777" s="664"/>
      <c r="E777" s="664"/>
      <c r="F777" s="665"/>
      <c r="G777" s="664"/>
      <c r="H777" s="664"/>
      <c r="I777" s="664"/>
      <c r="J777" s="727"/>
      <c r="K777" s="664"/>
      <c r="L777" s="666"/>
    </row>
    <row r="778" spans="1:12" outlineLevel="1" x14ac:dyDescent="0.35">
      <c r="A778" s="483"/>
      <c r="B778" s="762" t="s">
        <v>1917</v>
      </c>
      <c r="C778" s="664" t="s">
        <v>241</v>
      </c>
      <c r="D778" s="664"/>
      <c r="E778" s="664"/>
      <c r="F778" s="665"/>
      <c r="G778" s="664"/>
      <c r="H778" s="664"/>
      <c r="I778" s="664"/>
      <c r="J778" s="727"/>
      <c r="K778" s="664"/>
      <c r="L778" s="666"/>
    </row>
    <row r="779" spans="1:12" outlineLevel="1" x14ac:dyDescent="0.35">
      <c r="A779" s="483"/>
      <c r="B779" s="762" t="s">
        <v>1917</v>
      </c>
      <c r="C779" s="664" t="s">
        <v>242</v>
      </c>
      <c r="D779" s="664"/>
      <c r="E779" s="664"/>
      <c r="F779" s="665"/>
      <c r="G779" s="664"/>
      <c r="H779" s="664"/>
      <c r="I779" s="664"/>
      <c r="J779" s="727"/>
      <c r="K779" s="664"/>
      <c r="L779" s="666"/>
    </row>
    <row r="780" spans="1:12" outlineLevel="1" x14ac:dyDescent="0.35">
      <c r="A780" s="483"/>
      <c r="B780" s="762" t="s">
        <v>1917</v>
      </c>
      <c r="C780" s="664" t="s">
        <v>243</v>
      </c>
      <c r="D780" s="664"/>
      <c r="E780" s="664"/>
      <c r="F780" s="665"/>
      <c r="G780" s="664"/>
      <c r="H780" s="664"/>
      <c r="I780" s="664"/>
      <c r="J780" s="727"/>
      <c r="K780" s="664"/>
      <c r="L780" s="666"/>
    </row>
    <row r="781" spans="1:12" outlineLevel="1" x14ac:dyDescent="0.35">
      <c r="A781" s="483"/>
      <c r="B781" s="762" t="s">
        <v>1917</v>
      </c>
      <c r="C781" s="664" t="s">
        <v>244</v>
      </c>
      <c r="D781" s="664"/>
      <c r="E781" s="664"/>
      <c r="F781" s="665"/>
      <c r="G781" s="664"/>
      <c r="H781" s="664"/>
      <c r="I781" s="664"/>
      <c r="J781" s="727"/>
      <c r="K781" s="664"/>
      <c r="L781" s="666"/>
    </row>
    <row r="782" spans="1:12" outlineLevel="1" x14ac:dyDescent="0.35">
      <c r="A782" s="483"/>
      <c r="B782" s="762" t="s">
        <v>1917</v>
      </c>
      <c r="C782" s="664" t="s">
        <v>245</v>
      </c>
      <c r="D782" s="664"/>
      <c r="E782" s="664"/>
      <c r="F782" s="665"/>
      <c r="G782" s="664"/>
      <c r="H782" s="664"/>
      <c r="I782" s="664"/>
      <c r="J782" s="727"/>
      <c r="K782" s="664"/>
      <c r="L782" s="666"/>
    </row>
    <row r="783" spans="1:12" outlineLevel="1" x14ac:dyDescent="0.35">
      <c r="A783" s="483"/>
      <c r="B783" s="762" t="s">
        <v>1917</v>
      </c>
      <c r="C783" s="664" t="s">
        <v>246</v>
      </c>
      <c r="D783" s="664"/>
      <c r="E783" s="664"/>
      <c r="F783" s="665"/>
      <c r="G783" s="664"/>
      <c r="H783" s="664"/>
      <c r="I783" s="664"/>
      <c r="J783" s="727"/>
      <c r="K783" s="664"/>
      <c r="L783" s="666"/>
    </row>
    <row r="784" spans="1:12" outlineLevel="1" x14ac:dyDescent="0.35">
      <c r="A784" s="483"/>
      <c r="B784" s="762" t="s">
        <v>1917</v>
      </c>
      <c r="C784" s="664" t="s">
        <v>247</v>
      </c>
      <c r="D784" s="664"/>
      <c r="E784" s="664"/>
      <c r="F784" s="665"/>
      <c r="G784" s="664"/>
      <c r="H784" s="664"/>
      <c r="I784" s="664"/>
      <c r="J784" s="727"/>
      <c r="K784" s="664"/>
      <c r="L784" s="666"/>
    </row>
    <row r="785" spans="1:12" outlineLevel="1" x14ac:dyDescent="0.35">
      <c r="A785" s="483"/>
      <c r="B785" s="762" t="s">
        <v>1917</v>
      </c>
      <c r="C785" s="664" t="s">
        <v>248</v>
      </c>
      <c r="D785" s="664"/>
      <c r="E785" s="664"/>
      <c r="F785" s="665"/>
      <c r="G785" s="664"/>
      <c r="H785" s="664"/>
      <c r="I785" s="664"/>
      <c r="J785" s="727"/>
      <c r="K785" s="664"/>
      <c r="L785" s="666"/>
    </row>
    <row r="786" spans="1:12" outlineLevel="1" x14ac:dyDescent="0.35">
      <c r="A786" s="483"/>
      <c r="B786" s="762" t="s">
        <v>1917</v>
      </c>
      <c r="C786" s="664" t="s">
        <v>249</v>
      </c>
      <c r="D786" s="664"/>
      <c r="E786" s="664"/>
      <c r="F786" s="665"/>
      <c r="G786" s="664"/>
      <c r="H786" s="664"/>
      <c r="I786" s="664"/>
      <c r="J786" s="727"/>
      <c r="K786" s="664"/>
      <c r="L786" s="666"/>
    </row>
    <row r="787" spans="1:12" outlineLevel="1" x14ac:dyDescent="0.35">
      <c r="A787" s="483"/>
      <c r="B787" s="762" t="s">
        <v>1917</v>
      </c>
      <c r="C787" s="664" t="s">
        <v>250</v>
      </c>
      <c r="D787" s="664"/>
      <c r="E787" s="664"/>
      <c r="F787" s="665"/>
      <c r="G787" s="664"/>
      <c r="H787" s="664"/>
      <c r="I787" s="664"/>
      <c r="J787" s="727"/>
      <c r="K787" s="664"/>
      <c r="L787" s="666"/>
    </row>
    <row r="788" spans="1:12" outlineLevel="1" x14ac:dyDescent="0.35">
      <c r="A788" s="483"/>
      <c r="B788" s="762" t="s">
        <v>1917</v>
      </c>
      <c r="C788" s="664" t="s">
        <v>251</v>
      </c>
      <c r="D788" s="664"/>
      <c r="E788" s="664"/>
      <c r="F788" s="665"/>
      <c r="G788" s="664"/>
      <c r="H788" s="664"/>
      <c r="I788" s="664"/>
      <c r="J788" s="727"/>
      <c r="K788" s="664"/>
      <c r="L788" s="666"/>
    </row>
    <row r="789" spans="1:12" outlineLevel="1" x14ac:dyDescent="0.35">
      <c r="A789" s="483"/>
      <c r="B789" s="762" t="s">
        <v>1917</v>
      </c>
      <c r="C789" s="664" t="s">
        <v>252</v>
      </c>
      <c r="D789" s="664"/>
      <c r="E789" s="664"/>
      <c r="F789" s="665"/>
      <c r="G789" s="664"/>
      <c r="H789" s="664"/>
      <c r="I789" s="664"/>
      <c r="J789" s="727"/>
      <c r="K789" s="664"/>
      <c r="L789" s="666"/>
    </row>
    <row r="790" spans="1:12" outlineLevel="1" x14ac:dyDescent="0.35">
      <c r="A790" s="483"/>
      <c r="B790" s="762" t="s">
        <v>1917</v>
      </c>
      <c r="C790" s="664" t="s">
        <v>253</v>
      </c>
      <c r="D790" s="664"/>
      <c r="E790" s="664"/>
      <c r="F790" s="665"/>
      <c r="G790" s="664"/>
      <c r="H790" s="664"/>
      <c r="I790" s="664"/>
      <c r="J790" s="727"/>
      <c r="K790" s="664"/>
      <c r="L790" s="666"/>
    </row>
    <row r="791" spans="1:12" outlineLevel="1" x14ac:dyDescent="0.35">
      <c r="A791" s="483"/>
      <c r="B791" s="762" t="s">
        <v>1917</v>
      </c>
      <c r="C791" s="664" t="s">
        <v>254</v>
      </c>
      <c r="D791" s="664"/>
      <c r="E791" s="664"/>
      <c r="F791" s="665"/>
      <c r="G791" s="664"/>
      <c r="H791" s="664"/>
      <c r="I791" s="664"/>
      <c r="J791" s="727"/>
      <c r="K791" s="664"/>
      <c r="L791" s="666"/>
    </row>
    <row r="792" spans="1:12" outlineLevel="1" x14ac:dyDescent="0.35">
      <c r="A792" s="483"/>
      <c r="B792" s="762" t="s">
        <v>1917</v>
      </c>
      <c r="C792" s="664" t="s">
        <v>255</v>
      </c>
      <c r="D792" s="664"/>
      <c r="E792" s="664"/>
      <c r="F792" s="665"/>
      <c r="G792" s="664"/>
      <c r="H792" s="664"/>
      <c r="I792" s="664"/>
      <c r="J792" s="727"/>
      <c r="K792" s="664"/>
      <c r="L792" s="666"/>
    </row>
    <row r="793" spans="1:12" outlineLevel="1" x14ac:dyDescent="0.35">
      <c r="A793" s="483"/>
      <c r="B793" s="762" t="s">
        <v>1917</v>
      </c>
      <c r="C793" s="664" t="s">
        <v>256</v>
      </c>
      <c r="D793" s="664"/>
      <c r="E793" s="664"/>
      <c r="F793" s="665"/>
      <c r="G793" s="664"/>
      <c r="H793" s="664"/>
      <c r="I793" s="664"/>
      <c r="J793" s="727"/>
      <c r="K793" s="664"/>
      <c r="L793" s="666"/>
    </row>
    <row r="794" spans="1:12" outlineLevel="1" x14ac:dyDescent="0.35">
      <c r="A794" s="483"/>
      <c r="B794" s="762" t="s">
        <v>1917</v>
      </c>
      <c r="C794" s="664" t="s">
        <v>257</v>
      </c>
      <c r="D794" s="664"/>
      <c r="E794" s="664"/>
      <c r="F794" s="665"/>
      <c r="G794" s="664"/>
      <c r="H794" s="664"/>
      <c r="I794" s="664"/>
      <c r="J794" s="727"/>
      <c r="K794" s="664"/>
      <c r="L794" s="666"/>
    </row>
    <row r="795" spans="1:12" outlineLevel="1" x14ac:dyDescent="0.35">
      <c r="A795" s="483"/>
      <c r="B795" s="762" t="s">
        <v>1917</v>
      </c>
      <c r="C795" s="664" t="s">
        <v>258</v>
      </c>
      <c r="D795" s="664"/>
      <c r="E795" s="664"/>
      <c r="F795" s="665"/>
      <c r="G795" s="664"/>
      <c r="H795" s="664"/>
      <c r="I795" s="664"/>
      <c r="J795" s="727"/>
      <c r="K795" s="664"/>
      <c r="L795" s="666"/>
    </row>
    <row r="796" spans="1:12" outlineLevel="1" x14ac:dyDescent="0.35">
      <c r="A796" s="483"/>
      <c r="B796" s="762" t="s">
        <v>1917</v>
      </c>
      <c r="C796" s="664" t="s">
        <v>259</v>
      </c>
      <c r="D796" s="664"/>
      <c r="E796" s="664"/>
      <c r="F796" s="665"/>
      <c r="G796" s="664"/>
      <c r="H796" s="664"/>
      <c r="I796" s="664"/>
      <c r="J796" s="727"/>
      <c r="K796" s="664"/>
      <c r="L796" s="666"/>
    </row>
    <row r="797" spans="1:12" outlineLevel="1" x14ac:dyDescent="0.35">
      <c r="A797" s="483"/>
      <c r="B797" s="762" t="s">
        <v>1917</v>
      </c>
      <c r="C797" s="664" t="s">
        <v>260</v>
      </c>
      <c r="D797" s="664"/>
      <c r="E797" s="664"/>
      <c r="F797" s="665"/>
      <c r="G797" s="664"/>
      <c r="H797" s="664"/>
      <c r="I797" s="664"/>
      <c r="J797" s="727"/>
      <c r="K797" s="664"/>
      <c r="L797" s="666"/>
    </row>
    <row r="798" spans="1:12" outlineLevel="1" x14ac:dyDescent="0.35">
      <c r="A798" s="483"/>
      <c r="B798" s="762" t="s">
        <v>1917</v>
      </c>
      <c r="C798" s="664" t="s">
        <v>261</v>
      </c>
      <c r="D798" s="664"/>
      <c r="E798" s="664"/>
      <c r="F798" s="665"/>
      <c r="G798" s="664"/>
      <c r="H798" s="664"/>
      <c r="I798" s="664"/>
      <c r="J798" s="727"/>
      <c r="K798" s="664"/>
      <c r="L798" s="666"/>
    </row>
    <row r="799" spans="1:12" outlineLevel="1" x14ac:dyDescent="0.35">
      <c r="A799" s="483"/>
      <c r="B799" s="762" t="s">
        <v>1917</v>
      </c>
      <c r="C799" s="664" t="s">
        <v>262</v>
      </c>
      <c r="D799" s="664"/>
      <c r="E799" s="664"/>
      <c r="F799" s="665"/>
      <c r="G799" s="664"/>
      <c r="H799" s="664"/>
      <c r="I799" s="664"/>
      <c r="J799" s="727"/>
      <c r="K799" s="664"/>
      <c r="L799" s="666"/>
    </row>
    <row r="800" spans="1:12" outlineLevel="1" x14ac:dyDescent="0.35">
      <c r="A800" s="483"/>
      <c r="B800" s="762" t="s">
        <v>1917</v>
      </c>
      <c r="C800" s="664" t="s">
        <v>263</v>
      </c>
      <c r="D800" s="664"/>
      <c r="E800" s="664"/>
      <c r="F800" s="665"/>
      <c r="G800" s="664"/>
      <c r="H800" s="664"/>
      <c r="I800" s="664"/>
      <c r="J800" s="727"/>
      <c r="K800" s="664"/>
      <c r="L800" s="666"/>
    </row>
    <row r="801" spans="1:12" outlineLevel="1" x14ac:dyDescent="0.35">
      <c r="A801" s="483"/>
      <c r="B801" s="762" t="s">
        <v>1917</v>
      </c>
      <c r="C801" s="664" t="s">
        <v>264</v>
      </c>
      <c r="D801" s="664"/>
      <c r="E801" s="664"/>
      <c r="F801" s="665"/>
      <c r="G801" s="664"/>
      <c r="H801" s="664"/>
      <c r="I801" s="664"/>
      <c r="J801" s="727"/>
      <c r="K801" s="664"/>
      <c r="L801" s="666"/>
    </row>
    <row r="802" spans="1:12" outlineLevel="1" x14ac:dyDescent="0.35">
      <c r="A802" s="483"/>
      <c r="B802" s="762" t="s">
        <v>1917</v>
      </c>
      <c r="C802" s="664" t="s">
        <v>265</v>
      </c>
      <c r="D802" s="664"/>
      <c r="E802" s="664"/>
      <c r="F802" s="665"/>
      <c r="G802" s="664"/>
      <c r="H802" s="664"/>
      <c r="I802" s="664"/>
      <c r="J802" s="727"/>
      <c r="K802" s="664"/>
      <c r="L802" s="666"/>
    </row>
    <row r="803" spans="1:12" outlineLevel="1" x14ac:dyDescent="0.35">
      <c r="A803" s="483"/>
      <c r="B803" s="762" t="s">
        <v>1917</v>
      </c>
      <c r="C803" s="664" t="s">
        <v>266</v>
      </c>
      <c r="D803" s="664"/>
      <c r="E803" s="664"/>
      <c r="F803" s="665"/>
      <c r="G803" s="664"/>
      <c r="H803" s="664"/>
      <c r="I803" s="664"/>
      <c r="J803" s="727"/>
      <c r="K803" s="664"/>
      <c r="L803" s="666"/>
    </row>
    <row r="804" spans="1:12" outlineLevel="1" x14ac:dyDescent="0.35">
      <c r="A804" s="483"/>
      <c r="B804" s="762" t="s">
        <v>1917</v>
      </c>
      <c r="C804" s="664" t="s">
        <v>267</v>
      </c>
      <c r="D804" s="664"/>
      <c r="E804" s="664"/>
      <c r="F804" s="665"/>
      <c r="G804" s="664"/>
      <c r="H804" s="664"/>
      <c r="I804" s="664"/>
      <c r="J804" s="727"/>
      <c r="K804" s="664"/>
      <c r="L804" s="666"/>
    </row>
    <row r="805" spans="1:12" outlineLevel="1" x14ac:dyDescent="0.35">
      <c r="A805" s="483"/>
      <c r="B805" s="762" t="s">
        <v>1917</v>
      </c>
      <c r="C805" s="664" t="s">
        <v>268</v>
      </c>
      <c r="D805" s="664"/>
      <c r="E805" s="664"/>
      <c r="F805" s="665"/>
      <c r="G805" s="664"/>
      <c r="H805" s="664"/>
      <c r="I805" s="664"/>
      <c r="J805" s="727"/>
      <c r="K805" s="664"/>
      <c r="L805" s="666"/>
    </row>
    <row r="806" spans="1:12" outlineLevel="1" x14ac:dyDescent="0.35">
      <c r="A806" s="483"/>
      <c r="B806" s="762" t="s">
        <v>1917</v>
      </c>
      <c r="C806" s="664" t="s">
        <v>269</v>
      </c>
      <c r="D806" s="664"/>
      <c r="E806" s="664"/>
      <c r="F806" s="665"/>
      <c r="G806" s="664"/>
      <c r="H806" s="664"/>
      <c r="I806" s="664"/>
      <c r="J806" s="727"/>
      <c r="K806" s="664"/>
      <c r="L806" s="666"/>
    </row>
    <row r="807" spans="1:12" outlineLevel="1" x14ac:dyDescent="0.35">
      <c r="A807" s="483"/>
      <c r="B807" s="762" t="s">
        <v>1917</v>
      </c>
      <c r="C807" s="664" t="s">
        <v>270</v>
      </c>
      <c r="D807" s="664"/>
      <c r="E807" s="664"/>
      <c r="F807" s="665"/>
      <c r="G807" s="664"/>
      <c r="H807" s="664"/>
      <c r="I807" s="664"/>
      <c r="J807" s="727"/>
      <c r="K807" s="664"/>
      <c r="L807" s="666"/>
    </row>
    <row r="808" spans="1:12" outlineLevel="1" x14ac:dyDescent="0.35">
      <c r="A808" s="483"/>
      <c r="B808" s="762" t="s">
        <v>1917</v>
      </c>
      <c r="C808" s="664" t="s">
        <v>271</v>
      </c>
      <c r="D808" s="664"/>
      <c r="E808" s="664"/>
      <c r="F808" s="665"/>
      <c r="G808" s="664"/>
      <c r="H808" s="664"/>
      <c r="I808" s="664"/>
      <c r="J808" s="727"/>
      <c r="K808" s="664"/>
      <c r="L808" s="666"/>
    </row>
    <row r="809" spans="1:12" outlineLevel="1" x14ac:dyDescent="0.35">
      <c r="A809" s="483"/>
      <c r="B809" s="762" t="s">
        <v>1917</v>
      </c>
      <c r="C809" s="664" t="s">
        <v>272</v>
      </c>
      <c r="D809" s="664"/>
      <c r="E809" s="664"/>
      <c r="F809" s="665"/>
      <c r="G809" s="664"/>
      <c r="H809" s="664"/>
      <c r="I809" s="664"/>
      <c r="J809" s="727"/>
      <c r="K809" s="664"/>
      <c r="L809" s="666"/>
    </row>
    <row r="810" spans="1:12" outlineLevel="1" x14ac:dyDescent="0.35">
      <c r="A810" s="483"/>
      <c r="B810" s="762" t="s">
        <v>1917</v>
      </c>
      <c r="C810" s="664" t="s">
        <v>273</v>
      </c>
      <c r="D810" s="664"/>
      <c r="E810" s="664"/>
      <c r="F810" s="665"/>
      <c r="G810" s="664"/>
      <c r="H810" s="664"/>
      <c r="I810" s="664"/>
      <c r="J810" s="727"/>
      <c r="K810" s="664"/>
      <c r="L810" s="666"/>
    </row>
    <row r="811" spans="1:12" outlineLevel="1" x14ac:dyDescent="0.35">
      <c r="A811" s="483"/>
      <c r="B811" s="762" t="s">
        <v>1917</v>
      </c>
      <c r="C811" s="664" t="s">
        <v>274</v>
      </c>
      <c r="D811" s="664"/>
      <c r="E811" s="664"/>
      <c r="F811" s="665"/>
      <c r="G811" s="664"/>
      <c r="H811" s="664"/>
      <c r="I811" s="664"/>
      <c r="J811" s="727"/>
      <c r="K811" s="664"/>
      <c r="L811" s="666"/>
    </row>
    <row r="812" spans="1:12" outlineLevel="1" x14ac:dyDescent="0.35">
      <c r="A812" s="483"/>
      <c r="B812" s="762" t="s">
        <v>1917</v>
      </c>
      <c r="C812" s="664" t="s">
        <v>275</v>
      </c>
      <c r="D812" s="664"/>
      <c r="E812" s="664"/>
      <c r="F812" s="665"/>
      <c r="G812" s="664"/>
      <c r="H812" s="664"/>
      <c r="I812" s="664"/>
      <c r="J812" s="727"/>
      <c r="K812" s="664"/>
      <c r="L812" s="666"/>
    </row>
    <row r="813" spans="1:12" outlineLevel="1" x14ac:dyDescent="0.35">
      <c r="A813" s="483"/>
      <c r="B813" s="762" t="s">
        <v>1917</v>
      </c>
      <c r="C813" s="664" t="s">
        <v>276</v>
      </c>
      <c r="D813" s="664"/>
      <c r="E813" s="664"/>
      <c r="F813" s="665"/>
      <c r="G813" s="664"/>
      <c r="H813" s="664"/>
      <c r="I813" s="664"/>
      <c r="J813" s="727"/>
      <c r="K813" s="664"/>
      <c r="L813" s="666"/>
    </row>
    <row r="814" spans="1:12" outlineLevel="1" x14ac:dyDescent="0.35">
      <c r="A814" s="483"/>
      <c r="B814" s="762" t="s">
        <v>1917</v>
      </c>
      <c r="C814" s="664" t="s">
        <v>277</v>
      </c>
      <c r="D814" s="664"/>
      <c r="E814" s="664"/>
      <c r="F814" s="665"/>
      <c r="G814" s="664"/>
      <c r="H814" s="664"/>
      <c r="I814" s="664"/>
      <c r="J814" s="727"/>
      <c r="K814" s="664"/>
      <c r="L814" s="666"/>
    </row>
    <row r="815" spans="1:12" outlineLevel="1" x14ac:dyDescent="0.35">
      <c r="A815" s="483"/>
      <c r="B815" s="762" t="s">
        <v>1917</v>
      </c>
      <c r="C815" s="664" t="s">
        <v>278</v>
      </c>
      <c r="D815" s="664"/>
      <c r="E815" s="664"/>
      <c r="F815" s="665"/>
      <c r="G815" s="664"/>
      <c r="H815" s="664"/>
      <c r="I815" s="664"/>
      <c r="J815" s="727"/>
      <c r="K815" s="664"/>
      <c r="L815" s="666"/>
    </row>
    <row r="816" spans="1:12" outlineLevel="1" x14ac:dyDescent="0.35">
      <c r="A816" s="483"/>
      <c r="B816" s="762" t="s">
        <v>1917</v>
      </c>
      <c r="C816" s="664" t="s">
        <v>279</v>
      </c>
      <c r="D816" s="664"/>
      <c r="E816" s="664"/>
      <c r="F816" s="665"/>
      <c r="G816" s="664"/>
      <c r="H816" s="664"/>
      <c r="I816" s="664"/>
      <c r="J816" s="727"/>
      <c r="K816" s="664"/>
      <c r="L816" s="666"/>
    </row>
    <row r="817" spans="1:12" outlineLevel="1" x14ac:dyDescent="0.35">
      <c r="A817" s="483"/>
      <c r="B817" s="762" t="s">
        <v>1917</v>
      </c>
      <c r="C817" s="664" t="s">
        <v>280</v>
      </c>
      <c r="D817" s="664"/>
      <c r="E817" s="664"/>
      <c r="F817" s="665"/>
      <c r="G817" s="664"/>
      <c r="H817" s="664"/>
      <c r="I817" s="664"/>
      <c r="J817" s="727"/>
      <c r="K817" s="664"/>
      <c r="L817" s="666"/>
    </row>
    <row r="818" spans="1:12" outlineLevel="1" x14ac:dyDescent="0.35">
      <c r="A818" s="483"/>
      <c r="B818" s="762" t="s">
        <v>1917</v>
      </c>
      <c r="C818" s="664" t="s">
        <v>281</v>
      </c>
      <c r="D818" s="664"/>
      <c r="E818" s="664"/>
      <c r="F818" s="665"/>
      <c r="G818" s="664"/>
      <c r="H818" s="664"/>
      <c r="I818" s="664"/>
      <c r="J818" s="727"/>
      <c r="K818" s="664"/>
      <c r="L818" s="666"/>
    </row>
    <row r="819" spans="1:12" outlineLevel="1" x14ac:dyDescent="0.35">
      <c r="A819" s="483"/>
      <c r="B819" s="762" t="s">
        <v>1917</v>
      </c>
      <c r="C819" s="664" t="s">
        <v>282</v>
      </c>
      <c r="D819" s="664"/>
      <c r="E819" s="664"/>
      <c r="F819" s="665"/>
      <c r="G819" s="664"/>
      <c r="H819" s="664"/>
      <c r="I819" s="664"/>
      <c r="J819" s="727"/>
      <c r="K819" s="664"/>
      <c r="L819" s="666"/>
    </row>
    <row r="820" spans="1:12" outlineLevel="1" x14ac:dyDescent="0.35">
      <c r="A820" s="483"/>
      <c r="B820" s="762" t="s">
        <v>1917</v>
      </c>
      <c r="C820" s="664" t="s">
        <v>283</v>
      </c>
      <c r="D820" s="664"/>
      <c r="E820" s="664"/>
      <c r="F820" s="665"/>
      <c r="G820" s="664"/>
      <c r="H820" s="664"/>
      <c r="I820" s="664"/>
      <c r="J820" s="727"/>
      <c r="K820" s="664"/>
      <c r="L820" s="666"/>
    </row>
    <row r="821" spans="1:12" outlineLevel="1" x14ac:dyDescent="0.35">
      <c r="A821" s="483"/>
      <c r="B821" s="762" t="s">
        <v>1917</v>
      </c>
      <c r="C821" s="664" t="s">
        <v>284</v>
      </c>
      <c r="D821" s="664"/>
      <c r="E821" s="664"/>
      <c r="F821" s="665"/>
      <c r="G821" s="664"/>
      <c r="H821" s="664"/>
      <c r="I821" s="664"/>
      <c r="J821" s="727"/>
      <c r="K821" s="664"/>
      <c r="L821" s="666"/>
    </row>
    <row r="822" spans="1:12" outlineLevel="1" x14ac:dyDescent="0.35">
      <c r="A822" s="483"/>
      <c r="B822" s="762" t="s">
        <v>1917</v>
      </c>
      <c r="C822" s="664" t="s">
        <v>285</v>
      </c>
      <c r="D822" s="664"/>
      <c r="E822" s="664"/>
      <c r="F822" s="665"/>
      <c r="G822" s="664"/>
      <c r="H822" s="664"/>
      <c r="I822" s="664"/>
      <c r="J822" s="727"/>
      <c r="K822" s="664"/>
      <c r="L822" s="666"/>
    </row>
    <row r="823" spans="1:12" outlineLevel="1" x14ac:dyDescent="0.35">
      <c r="A823" s="483"/>
      <c r="B823" s="762" t="s">
        <v>1917</v>
      </c>
      <c r="C823" s="664" t="s">
        <v>286</v>
      </c>
      <c r="D823" s="664"/>
      <c r="E823" s="664"/>
      <c r="F823" s="665"/>
      <c r="G823" s="664"/>
      <c r="H823" s="664"/>
      <c r="I823" s="664"/>
      <c r="J823" s="727"/>
      <c r="K823" s="664"/>
      <c r="L823" s="666"/>
    </row>
    <row r="824" spans="1:12" outlineLevel="1" x14ac:dyDescent="0.35">
      <c r="A824" s="483"/>
      <c r="B824" s="762" t="s">
        <v>1917</v>
      </c>
      <c r="C824" s="664" t="s">
        <v>287</v>
      </c>
      <c r="D824" s="664"/>
      <c r="E824" s="664"/>
      <c r="F824" s="665"/>
      <c r="G824" s="664"/>
      <c r="H824" s="664"/>
      <c r="I824" s="664"/>
      <c r="J824" s="727"/>
      <c r="K824" s="664"/>
      <c r="L824" s="666"/>
    </row>
    <row r="825" spans="1:12" outlineLevel="1" x14ac:dyDescent="0.35">
      <c r="A825" s="483"/>
      <c r="B825" s="762" t="s">
        <v>1917</v>
      </c>
      <c r="C825" s="664" t="s">
        <v>288</v>
      </c>
      <c r="D825" s="664"/>
      <c r="E825" s="664"/>
      <c r="F825" s="665"/>
      <c r="G825" s="664"/>
      <c r="H825" s="664"/>
      <c r="I825" s="664"/>
      <c r="J825" s="727"/>
      <c r="K825" s="664"/>
      <c r="L825" s="666"/>
    </row>
    <row r="826" spans="1:12" outlineLevel="1" x14ac:dyDescent="0.35">
      <c r="A826" s="483"/>
      <c r="B826" s="762" t="s">
        <v>1917</v>
      </c>
      <c r="C826" s="664" t="s">
        <v>289</v>
      </c>
      <c r="D826" s="664"/>
      <c r="E826" s="664"/>
      <c r="F826" s="665"/>
      <c r="G826" s="664"/>
      <c r="H826" s="664"/>
      <c r="I826" s="664"/>
      <c r="J826" s="727"/>
      <c r="K826" s="664"/>
      <c r="L826" s="666"/>
    </row>
    <row r="827" spans="1:12" outlineLevel="1" x14ac:dyDescent="0.35">
      <c r="A827" s="483"/>
      <c r="B827" s="762" t="s">
        <v>1917</v>
      </c>
      <c r="C827" s="664" t="s">
        <v>290</v>
      </c>
      <c r="D827" s="664"/>
      <c r="E827" s="664"/>
      <c r="F827" s="665"/>
      <c r="G827" s="664"/>
      <c r="H827" s="664"/>
      <c r="I827" s="664"/>
      <c r="J827" s="727"/>
      <c r="K827" s="664"/>
      <c r="L827" s="666"/>
    </row>
    <row r="828" spans="1:12" outlineLevel="1" x14ac:dyDescent="0.35">
      <c r="A828" s="483"/>
      <c r="B828" s="762" t="s">
        <v>1917</v>
      </c>
      <c r="C828" s="664" t="s">
        <v>291</v>
      </c>
      <c r="D828" s="664"/>
      <c r="E828" s="664"/>
      <c r="F828" s="665"/>
      <c r="G828" s="664"/>
      <c r="H828" s="664"/>
      <c r="I828" s="664"/>
      <c r="J828" s="727"/>
      <c r="K828" s="664"/>
      <c r="L828" s="666"/>
    </row>
    <row r="829" spans="1:12" outlineLevel="1" x14ac:dyDescent="0.35">
      <c r="A829" s="483"/>
      <c r="B829" s="762" t="s">
        <v>1917</v>
      </c>
      <c r="C829" s="664" t="s">
        <v>292</v>
      </c>
      <c r="D829" s="664"/>
      <c r="E829" s="664"/>
      <c r="F829" s="665"/>
      <c r="G829" s="664"/>
      <c r="H829" s="664"/>
      <c r="I829" s="664"/>
      <c r="J829" s="727"/>
      <c r="K829" s="664"/>
      <c r="L829" s="666"/>
    </row>
    <row r="830" spans="1:12" outlineLevel="1" x14ac:dyDescent="0.35">
      <c r="A830" s="483"/>
      <c r="B830" s="762" t="s">
        <v>1917</v>
      </c>
      <c r="C830" s="664" t="s">
        <v>293</v>
      </c>
      <c r="D830" s="664"/>
      <c r="E830" s="664"/>
      <c r="F830" s="665"/>
      <c r="G830" s="664"/>
      <c r="H830" s="664"/>
      <c r="I830" s="664"/>
      <c r="J830" s="727"/>
      <c r="K830" s="664"/>
      <c r="L830" s="666"/>
    </row>
    <row r="831" spans="1:12" outlineLevel="1" x14ac:dyDescent="0.35">
      <c r="A831" s="483"/>
      <c r="B831" s="762" t="s">
        <v>1917</v>
      </c>
      <c r="C831" s="664" t="s">
        <v>294</v>
      </c>
      <c r="D831" s="664"/>
      <c r="E831" s="664"/>
      <c r="F831" s="665"/>
      <c r="G831" s="664"/>
      <c r="H831" s="664"/>
      <c r="I831" s="664"/>
      <c r="J831" s="727"/>
      <c r="K831" s="664"/>
      <c r="L831" s="666"/>
    </row>
    <row r="832" spans="1:12" outlineLevel="1" x14ac:dyDescent="0.35">
      <c r="A832" s="483"/>
      <c r="B832" s="762" t="s">
        <v>1917</v>
      </c>
      <c r="C832" s="664" t="s">
        <v>295</v>
      </c>
      <c r="D832" s="664"/>
      <c r="E832" s="664"/>
      <c r="F832" s="665"/>
      <c r="G832" s="664"/>
      <c r="H832" s="664"/>
      <c r="I832" s="664"/>
      <c r="J832" s="727"/>
      <c r="K832" s="664"/>
      <c r="L832" s="666"/>
    </row>
    <row r="833" spans="1:12" outlineLevel="1" x14ac:dyDescent="0.35">
      <c r="A833" s="483"/>
      <c r="B833" s="762" t="s">
        <v>1917</v>
      </c>
      <c r="C833" s="664" t="s">
        <v>296</v>
      </c>
      <c r="D833" s="664"/>
      <c r="E833" s="664"/>
      <c r="F833" s="665"/>
      <c r="G833" s="664"/>
      <c r="H833" s="664"/>
      <c r="I833" s="664"/>
      <c r="J833" s="727"/>
      <c r="K833" s="664"/>
      <c r="L833" s="666"/>
    </row>
    <row r="834" spans="1:12" outlineLevel="1" x14ac:dyDescent="0.35">
      <c r="A834" s="483"/>
      <c r="B834" s="762" t="s">
        <v>1917</v>
      </c>
      <c r="C834" s="664" t="s">
        <v>297</v>
      </c>
      <c r="D834" s="664"/>
      <c r="E834" s="664"/>
      <c r="F834" s="665"/>
      <c r="G834" s="664"/>
      <c r="H834" s="664"/>
      <c r="I834" s="664"/>
      <c r="J834" s="727"/>
      <c r="K834" s="664"/>
      <c r="L834" s="666"/>
    </row>
    <row r="835" spans="1:12" outlineLevel="1" x14ac:dyDescent="0.35">
      <c r="A835" s="483"/>
      <c r="B835" s="762" t="s">
        <v>1917</v>
      </c>
      <c r="C835" s="664" t="s">
        <v>298</v>
      </c>
      <c r="D835" s="664"/>
      <c r="E835" s="664"/>
      <c r="F835" s="665"/>
      <c r="G835" s="664"/>
      <c r="H835" s="664"/>
      <c r="I835" s="664"/>
      <c r="J835" s="727"/>
      <c r="K835" s="664"/>
      <c r="L835" s="666"/>
    </row>
    <row r="836" spans="1:12" outlineLevel="1" x14ac:dyDescent="0.35">
      <c r="A836" s="483"/>
      <c r="B836" s="762" t="s">
        <v>1917</v>
      </c>
      <c r="C836" s="664" t="s">
        <v>299</v>
      </c>
      <c r="D836" s="664"/>
      <c r="E836" s="664"/>
      <c r="F836" s="665"/>
      <c r="G836" s="664"/>
      <c r="H836" s="664"/>
      <c r="I836" s="664"/>
      <c r="J836" s="727"/>
      <c r="K836" s="664"/>
      <c r="L836" s="666"/>
    </row>
    <row r="837" spans="1:12" outlineLevel="1" x14ac:dyDescent="0.35">
      <c r="A837" s="483"/>
      <c r="B837" s="762" t="s">
        <v>1917</v>
      </c>
      <c r="C837" s="664" t="s">
        <v>300</v>
      </c>
      <c r="D837" s="664"/>
      <c r="E837" s="664"/>
      <c r="F837" s="665"/>
      <c r="G837" s="664"/>
      <c r="H837" s="664"/>
      <c r="I837" s="664"/>
      <c r="J837" s="727"/>
      <c r="K837" s="664"/>
      <c r="L837" s="666"/>
    </row>
    <row r="838" spans="1:12" outlineLevel="1" x14ac:dyDescent="0.35">
      <c r="A838" s="483"/>
      <c r="B838" s="762" t="s">
        <v>1917</v>
      </c>
      <c r="C838" s="664" t="s">
        <v>301</v>
      </c>
      <c r="D838" s="664"/>
      <c r="E838" s="664"/>
      <c r="F838" s="665"/>
      <c r="G838" s="664"/>
      <c r="H838" s="664"/>
      <c r="I838" s="664"/>
      <c r="J838" s="727"/>
      <c r="K838" s="664"/>
      <c r="L838" s="666"/>
    </row>
    <row r="839" spans="1:12" outlineLevel="1" x14ac:dyDescent="0.35">
      <c r="A839" s="483"/>
      <c r="B839" s="762" t="s">
        <v>1917</v>
      </c>
      <c r="C839" s="664" t="s">
        <v>302</v>
      </c>
      <c r="D839" s="664"/>
      <c r="E839" s="664"/>
      <c r="F839" s="665"/>
      <c r="G839" s="664"/>
      <c r="H839" s="664"/>
      <c r="I839" s="664"/>
      <c r="J839" s="727"/>
      <c r="K839" s="664"/>
      <c r="L839" s="666"/>
    </row>
    <row r="840" spans="1:12" outlineLevel="1" x14ac:dyDescent="0.35">
      <c r="A840" s="483"/>
      <c r="B840" s="762" t="s">
        <v>1917</v>
      </c>
      <c r="C840" s="664" t="s">
        <v>303</v>
      </c>
      <c r="D840" s="664"/>
      <c r="E840" s="664"/>
      <c r="F840" s="665"/>
      <c r="G840" s="664"/>
      <c r="H840" s="664"/>
      <c r="I840" s="664"/>
      <c r="J840" s="727"/>
      <c r="K840" s="664"/>
      <c r="L840" s="666"/>
    </row>
    <row r="841" spans="1:12" outlineLevel="1" x14ac:dyDescent="0.35">
      <c r="A841" s="483"/>
      <c r="B841" s="762" t="s">
        <v>1917</v>
      </c>
      <c r="C841" s="664" t="s">
        <v>304</v>
      </c>
      <c r="D841" s="664"/>
      <c r="E841" s="664"/>
      <c r="F841" s="665"/>
      <c r="G841" s="664"/>
      <c r="H841" s="664"/>
      <c r="I841" s="664"/>
      <c r="J841" s="727"/>
      <c r="K841" s="664"/>
      <c r="L841" s="666"/>
    </row>
    <row r="842" spans="1:12" outlineLevel="1" x14ac:dyDescent="0.35">
      <c r="A842" s="483"/>
      <c r="B842" s="762" t="s">
        <v>1917</v>
      </c>
      <c r="C842" s="664" t="s">
        <v>305</v>
      </c>
      <c r="D842" s="664"/>
      <c r="E842" s="664"/>
      <c r="F842" s="665"/>
      <c r="G842" s="664"/>
      <c r="H842" s="664"/>
      <c r="I842" s="664"/>
      <c r="J842" s="727"/>
      <c r="K842" s="664"/>
      <c r="L842" s="666"/>
    </row>
    <row r="843" spans="1:12" outlineLevel="1" x14ac:dyDescent="0.35">
      <c r="A843" s="483"/>
      <c r="B843" s="762" t="s">
        <v>1917</v>
      </c>
      <c r="C843" s="664" t="s">
        <v>306</v>
      </c>
      <c r="D843" s="664"/>
      <c r="E843" s="664"/>
      <c r="F843" s="665"/>
      <c r="G843" s="664"/>
      <c r="H843" s="664"/>
      <c r="I843" s="664"/>
      <c r="J843" s="727"/>
      <c r="K843" s="664"/>
      <c r="L843" s="666"/>
    </row>
    <row r="844" spans="1:12" outlineLevel="1" x14ac:dyDescent="0.35">
      <c r="A844" s="483"/>
      <c r="B844" s="762" t="s">
        <v>1917</v>
      </c>
      <c r="C844" s="664" t="s">
        <v>307</v>
      </c>
      <c r="D844" s="664"/>
      <c r="E844" s="664"/>
      <c r="F844" s="665"/>
      <c r="G844" s="664"/>
      <c r="H844" s="664"/>
      <c r="I844" s="664"/>
      <c r="J844" s="727"/>
      <c r="K844" s="664"/>
      <c r="L844" s="666"/>
    </row>
    <row r="845" spans="1:12" outlineLevel="1" x14ac:dyDescent="0.35">
      <c r="A845" s="483"/>
      <c r="B845" s="762" t="s">
        <v>1917</v>
      </c>
      <c r="C845" s="664" t="s">
        <v>308</v>
      </c>
      <c r="D845" s="664"/>
      <c r="E845" s="664"/>
      <c r="F845" s="665"/>
      <c r="G845" s="664"/>
      <c r="H845" s="664"/>
      <c r="I845" s="664"/>
      <c r="J845" s="727"/>
      <c r="K845" s="664"/>
      <c r="L845" s="666"/>
    </row>
    <row r="846" spans="1:12" outlineLevel="1" x14ac:dyDescent="0.35">
      <c r="A846" s="483"/>
      <c r="B846" s="762" t="s">
        <v>1917</v>
      </c>
      <c r="C846" s="664" t="s">
        <v>309</v>
      </c>
      <c r="D846" s="664"/>
      <c r="E846" s="664"/>
      <c r="F846" s="665"/>
      <c r="G846" s="664"/>
      <c r="H846" s="664"/>
      <c r="I846" s="664"/>
      <c r="J846" s="727"/>
      <c r="K846" s="664"/>
      <c r="L846" s="666"/>
    </row>
    <row r="847" spans="1:12" outlineLevel="1" x14ac:dyDescent="0.35">
      <c r="A847" s="483"/>
      <c r="B847" s="762" t="s">
        <v>1917</v>
      </c>
      <c r="C847" s="664" t="s">
        <v>310</v>
      </c>
      <c r="D847" s="664"/>
      <c r="E847" s="664"/>
      <c r="F847" s="665"/>
      <c r="G847" s="664"/>
      <c r="H847" s="664"/>
      <c r="I847" s="664"/>
      <c r="J847" s="727"/>
      <c r="K847" s="664"/>
      <c r="L847" s="666"/>
    </row>
    <row r="848" spans="1:12" outlineLevel="1" x14ac:dyDescent="0.35">
      <c r="A848" s="483"/>
      <c r="B848" s="762" t="s">
        <v>1917</v>
      </c>
      <c r="C848" s="664" t="s">
        <v>311</v>
      </c>
      <c r="D848" s="664"/>
      <c r="E848" s="664"/>
      <c r="F848" s="665"/>
      <c r="G848" s="664"/>
      <c r="H848" s="664"/>
      <c r="I848" s="664"/>
      <c r="J848" s="727"/>
      <c r="K848" s="664"/>
      <c r="L848" s="666"/>
    </row>
    <row r="849" spans="1:12" outlineLevel="1" x14ac:dyDescent="0.35">
      <c r="A849" s="483"/>
      <c r="B849" s="762" t="s">
        <v>1917</v>
      </c>
      <c r="C849" s="664" t="s">
        <v>312</v>
      </c>
      <c r="D849" s="664"/>
      <c r="E849" s="664"/>
      <c r="F849" s="665"/>
      <c r="G849" s="664"/>
      <c r="H849" s="664"/>
      <c r="I849" s="664"/>
      <c r="J849" s="727"/>
      <c r="K849" s="664"/>
      <c r="L849" s="666"/>
    </row>
    <row r="850" spans="1:12" outlineLevel="1" x14ac:dyDescent="0.35">
      <c r="A850" s="483"/>
      <c r="B850" s="762" t="s">
        <v>1917</v>
      </c>
      <c r="C850" s="664" t="s">
        <v>313</v>
      </c>
      <c r="D850" s="664"/>
      <c r="E850" s="664"/>
      <c r="F850" s="665"/>
      <c r="G850" s="664"/>
      <c r="H850" s="664"/>
      <c r="I850" s="664"/>
      <c r="J850" s="727"/>
      <c r="K850" s="664"/>
      <c r="L850" s="666"/>
    </row>
    <row r="851" spans="1:12" outlineLevel="1" x14ac:dyDescent="0.35">
      <c r="A851" s="483"/>
      <c r="B851" s="762" t="s">
        <v>1917</v>
      </c>
      <c r="C851" s="664" t="s">
        <v>314</v>
      </c>
      <c r="D851" s="664"/>
      <c r="E851" s="664"/>
      <c r="F851" s="665"/>
      <c r="G851" s="664"/>
      <c r="H851" s="664"/>
      <c r="I851" s="664"/>
      <c r="J851" s="727"/>
      <c r="K851" s="664"/>
      <c r="L851" s="666"/>
    </row>
    <row r="852" spans="1:12" outlineLevel="1" x14ac:dyDescent="0.35">
      <c r="A852" s="483"/>
      <c r="B852" s="762" t="s">
        <v>1917</v>
      </c>
      <c r="C852" s="664" t="s">
        <v>315</v>
      </c>
      <c r="D852" s="664"/>
      <c r="E852" s="664"/>
      <c r="F852" s="665"/>
      <c r="G852" s="664"/>
      <c r="H852" s="664"/>
      <c r="I852" s="664"/>
      <c r="J852" s="727"/>
      <c r="K852" s="664"/>
      <c r="L852" s="666"/>
    </row>
    <row r="853" spans="1:12" outlineLevel="1" x14ac:dyDescent="0.35">
      <c r="A853" s="483"/>
      <c r="B853" s="762" t="s">
        <v>1917</v>
      </c>
      <c r="C853" s="664" t="s">
        <v>316</v>
      </c>
      <c r="D853" s="664"/>
      <c r="E853" s="664"/>
      <c r="F853" s="665"/>
      <c r="G853" s="664"/>
      <c r="H853" s="664"/>
      <c r="I853" s="664"/>
      <c r="J853" s="727"/>
      <c r="K853" s="664"/>
      <c r="L853" s="666"/>
    </row>
    <row r="854" spans="1:12" outlineLevel="1" x14ac:dyDescent="0.35">
      <c r="A854" s="483"/>
      <c r="B854" s="762" t="s">
        <v>1917</v>
      </c>
      <c r="C854" s="664" t="s">
        <v>317</v>
      </c>
      <c r="D854" s="664"/>
      <c r="E854" s="664"/>
      <c r="F854" s="665"/>
      <c r="G854" s="664"/>
      <c r="H854" s="664"/>
      <c r="I854" s="664"/>
      <c r="J854" s="727"/>
      <c r="K854" s="664"/>
      <c r="L854" s="666"/>
    </row>
    <row r="855" spans="1:12" outlineLevel="1" x14ac:dyDescent="0.35">
      <c r="A855" s="483"/>
      <c r="B855" s="762" t="s">
        <v>1917</v>
      </c>
      <c r="C855" s="664" t="s">
        <v>318</v>
      </c>
      <c r="D855" s="664"/>
      <c r="E855" s="664"/>
      <c r="F855" s="665"/>
      <c r="G855" s="664"/>
      <c r="H855" s="664"/>
      <c r="I855" s="664"/>
      <c r="J855" s="727"/>
      <c r="K855" s="664"/>
      <c r="L855" s="666"/>
    </row>
    <row r="856" spans="1:12" outlineLevel="1" x14ac:dyDescent="0.35">
      <c r="A856" s="483"/>
      <c r="B856" s="762" t="s">
        <v>1917</v>
      </c>
      <c r="C856" s="664" t="s">
        <v>319</v>
      </c>
      <c r="D856" s="664"/>
      <c r="E856" s="664"/>
      <c r="F856" s="665"/>
      <c r="G856" s="664"/>
      <c r="H856" s="664"/>
      <c r="I856" s="664"/>
      <c r="J856" s="727"/>
      <c r="K856" s="664"/>
      <c r="L856" s="666"/>
    </row>
    <row r="857" spans="1:12" outlineLevel="1" x14ac:dyDescent="0.35">
      <c r="A857" s="483"/>
      <c r="B857" s="762" t="s">
        <v>1917</v>
      </c>
      <c r="C857" s="664" t="s">
        <v>320</v>
      </c>
      <c r="D857" s="664"/>
      <c r="E857" s="664"/>
      <c r="F857" s="665"/>
      <c r="G857" s="664"/>
      <c r="H857" s="664"/>
      <c r="I857" s="664"/>
      <c r="J857" s="727"/>
      <c r="K857" s="664"/>
      <c r="L857" s="666"/>
    </row>
    <row r="858" spans="1:12" outlineLevel="1" x14ac:dyDescent="0.35">
      <c r="A858" s="483"/>
      <c r="B858" s="762" t="s">
        <v>1917</v>
      </c>
      <c r="C858" s="664" t="s">
        <v>321</v>
      </c>
      <c r="D858" s="664"/>
      <c r="E858" s="664"/>
      <c r="F858" s="665"/>
      <c r="G858" s="664"/>
      <c r="H858" s="664"/>
      <c r="I858" s="664"/>
      <c r="J858" s="727"/>
      <c r="K858" s="664"/>
      <c r="L858" s="666"/>
    </row>
    <row r="859" spans="1:12" outlineLevel="1" x14ac:dyDescent="0.35">
      <c r="A859" s="483"/>
      <c r="B859" s="762" t="s">
        <v>1917</v>
      </c>
      <c r="C859" s="664" t="s">
        <v>322</v>
      </c>
      <c r="D859" s="664"/>
      <c r="E859" s="664"/>
      <c r="F859" s="665"/>
      <c r="G859" s="664"/>
      <c r="H859" s="664"/>
      <c r="I859" s="664"/>
      <c r="J859" s="727"/>
      <c r="K859" s="664"/>
      <c r="L859" s="666"/>
    </row>
    <row r="860" spans="1:12" outlineLevel="1" x14ac:dyDescent="0.35">
      <c r="A860" s="483"/>
      <c r="B860" s="762" t="s">
        <v>1917</v>
      </c>
      <c r="C860" s="664" t="s">
        <v>323</v>
      </c>
      <c r="D860" s="664"/>
      <c r="E860" s="664"/>
      <c r="F860" s="665"/>
      <c r="G860" s="664"/>
      <c r="H860" s="664"/>
      <c r="I860" s="664"/>
      <c r="J860" s="727"/>
      <c r="K860" s="664"/>
      <c r="L860" s="666"/>
    </row>
    <row r="861" spans="1:12" outlineLevel="1" x14ac:dyDescent="0.35">
      <c r="A861" s="483"/>
      <c r="B861" s="762" t="s">
        <v>1917</v>
      </c>
      <c r="C861" s="664" t="s">
        <v>324</v>
      </c>
      <c r="D861" s="664"/>
      <c r="E861" s="664"/>
      <c r="F861" s="665"/>
      <c r="G861" s="664"/>
      <c r="H861" s="664"/>
      <c r="I861" s="664"/>
      <c r="J861" s="727"/>
      <c r="K861" s="664"/>
      <c r="L861" s="666"/>
    </row>
    <row r="862" spans="1:12" outlineLevel="1" x14ac:dyDescent="0.35">
      <c r="A862" s="483"/>
      <c r="B862" s="762" t="s">
        <v>1917</v>
      </c>
      <c r="C862" s="664" t="s">
        <v>325</v>
      </c>
      <c r="D862" s="664"/>
      <c r="E862" s="664"/>
      <c r="F862" s="665"/>
      <c r="G862" s="664"/>
      <c r="H862" s="664"/>
      <c r="I862" s="664"/>
      <c r="J862" s="727"/>
      <c r="K862" s="664"/>
      <c r="L862" s="666"/>
    </row>
    <row r="863" spans="1:12" outlineLevel="1" x14ac:dyDescent="0.35">
      <c r="A863" s="483"/>
      <c r="B863" s="762" t="s">
        <v>1917</v>
      </c>
      <c r="C863" s="664" t="s">
        <v>326</v>
      </c>
      <c r="D863" s="664"/>
      <c r="E863" s="664"/>
      <c r="F863" s="665"/>
      <c r="G863" s="664"/>
      <c r="H863" s="664"/>
      <c r="I863" s="664"/>
      <c r="J863" s="727"/>
      <c r="K863" s="664"/>
      <c r="L863" s="666"/>
    </row>
    <row r="864" spans="1:12" outlineLevel="1" x14ac:dyDescent="0.35">
      <c r="A864" s="483"/>
      <c r="B864" s="762" t="s">
        <v>1917</v>
      </c>
      <c r="C864" s="664" t="s">
        <v>327</v>
      </c>
      <c r="D864" s="664"/>
      <c r="E864" s="664"/>
      <c r="F864" s="665"/>
      <c r="G864" s="664"/>
      <c r="H864" s="664"/>
      <c r="I864" s="664"/>
      <c r="J864" s="727"/>
      <c r="K864" s="664"/>
      <c r="L864" s="666"/>
    </row>
    <row r="865" spans="1:12" outlineLevel="1" x14ac:dyDescent="0.35">
      <c r="A865" s="483"/>
      <c r="B865" s="762" t="s">
        <v>1917</v>
      </c>
      <c r="C865" s="664" t="s">
        <v>328</v>
      </c>
      <c r="D865" s="664"/>
      <c r="E865" s="664"/>
      <c r="F865" s="665"/>
      <c r="G865" s="664"/>
      <c r="H865" s="664"/>
      <c r="I865" s="664"/>
      <c r="J865" s="727"/>
      <c r="K865" s="664"/>
      <c r="L865" s="666"/>
    </row>
    <row r="866" spans="1:12" outlineLevel="1" x14ac:dyDescent="0.35">
      <c r="A866" s="483"/>
      <c r="B866" s="762" t="s">
        <v>1917</v>
      </c>
      <c r="C866" s="664" t="s">
        <v>329</v>
      </c>
      <c r="D866" s="664"/>
      <c r="E866" s="664"/>
      <c r="F866" s="665"/>
      <c r="G866" s="664"/>
      <c r="H866" s="664"/>
      <c r="I866" s="664"/>
      <c r="J866" s="727"/>
      <c r="K866" s="664"/>
      <c r="L866" s="666"/>
    </row>
    <row r="867" spans="1:12" outlineLevel="1" x14ac:dyDescent="0.35">
      <c r="A867" s="483"/>
      <c r="B867" s="762" t="s">
        <v>1917</v>
      </c>
      <c r="C867" s="664" t="s">
        <v>330</v>
      </c>
      <c r="D867" s="664"/>
      <c r="E867" s="664"/>
      <c r="F867" s="665"/>
      <c r="G867" s="664"/>
      <c r="H867" s="664"/>
      <c r="I867" s="664"/>
      <c r="J867" s="727"/>
      <c r="K867" s="664"/>
      <c r="L867" s="666"/>
    </row>
    <row r="868" spans="1:12" outlineLevel="1" x14ac:dyDescent="0.35">
      <c r="A868" s="483"/>
      <c r="B868" s="762" t="s">
        <v>1917</v>
      </c>
      <c r="C868" s="664" t="s">
        <v>331</v>
      </c>
      <c r="D868" s="664"/>
      <c r="E868" s="664"/>
      <c r="F868" s="665"/>
      <c r="G868" s="664"/>
      <c r="H868" s="664"/>
      <c r="I868" s="664"/>
      <c r="J868" s="727"/>
      <c r="K868" s="664"/>
      <c r="L868" s="666"/>
    </row>
    <row r="869" spans="1:12" outlineLevel="1" x14ac:dyDescent="0.35">
      <c r="A869" s="483"/>
      <c r="B869" s="762" t="s">
        <v>1917</v>
      </c>
      <c r="C869" s="664" t="s">
        <v>332</v>
      </c>
      <c r="D869" s="664"/>
      <c r="E869" s="664"/>
      <c r="F869" s="665"/>
      <c r="G869" s="664"/>
      <c r="H869" s="664"/>
      <c r="I869" s="664"/>
      <c r="J869" s="727"/>
      <c r="K869" s="664"/>
      <c r="L869" s="666"/>
    </row>
    <row r="870" spans="1:12" outlineLevel="1" x14ac:dyDescent="0.35">
      <c r="A870" s="483"/>
      <c r="B870" s="762" t="s">
        <v>1917</v>
      </c>
      <c r="C870" s="664" t="s">
        <v>333</v>
      </c>
      <c r="D870" s="664"/>
      <c r="E870" s="664"/>
      <c r="F870" s="665"/>
      <c r="G870" s="664"/>
      <c r="H870" s="664"/>
      <c r="I870" s="664"/>
      <c r="J870" s="727"/>
      <c r="K870" s="664"/>
      <c r="L870" s="666"/>
    </row>
    <row r="871" spans="1:12" outlineLevel="1" x14ac:dyDescent="0.35">
      <c r="A871" s="483"/>
      <c r="B871" s="762" t="s">
        <v>1917</v>
      </c>
      <c r="C871" s="664" t="s">
        <v>334</v>
      </c>
      <c r="D871" s="664"/>
      <c r="E871" s="664"/>
      <c r="F871" s="665"/>
      <c r="G871" s="664"/>
      <c r="H871" s="664"/>
      <c r="I871" s="664"/>
      <c r="J871" s="727"/>
      <c r="K871" s="664"/>
      <c r="L871" s="666"/>
    </row>
    <row r="872" spans="1:12" outlineLevel="1" x14ac:dyDescent="0.35">
      <c r="A872" s="483"/>
      <c r="B872" s="762" t="s">
        <v>1917</v>
      </c>
      <c r="C872" s="664" t="s">
        <v>335</v>
      </c>
      <c r="D872" s="664"/>
      <c r="E872" s="664"/>
      <c r="F872" s="665"/>
      <c r="G872" s="664"/>
      <c r="H872" s="664"/>
      <c r="I872" s="664"/>
      <c r="J872" s="727"/>
      <c r="K872" s="664"/>
      <c r="L872" s="666"/>
    </row>
    <row r="873" spans="1:12" outlineLevel="1" x14ac:dyDescent="0.35">
      <c r="A873" s="483"/>
      <c r="B873" s="762" t="s">
        <v>1917</v>
      </c>
      <c r="C873" s="664" t="s">
        <v>336</v>
      </c>
      <c r="D873" s="664"/>
      <c r="E873" s="664"/>
      <c r="F873" s="665"/>
      <c r="G873" s="664"/>
      <c r="H873" s="664"/>
      <c r="I873" s="664"/>
      <c r="J873" s="727"/>
      <c r="K873" s="664"/>
      <c r="L873" s="666"/>
    </row>
    <row r="874" spans="1:12" outlineLevel="1" x14ac:dyDescent="0.35">
      <c r="A874" s="483"/>
      <c r="B874" s="762" t="s">
        <v>1917</v>
      </c>
      <c r="C874" s="664" t="s">
        <v>337</v>
      </c>
      <c r="D874" s="664"/>
      <c r="E874" s="664"/>
      <c r="F874" s="665"/>
      <c r="G874" s="664"/>
      <c r="H874" s="664"/>
      <c r="I874" s="664"/>
      <c r="J874" s="727"/>
      <c r="K874" s="664"/>
      <c r="L874" s="666"/>
    </row>
    <row r="875" spans="1:12" outlineLevel="1" x14ac:dyDescent="0.35">
      <c r="A875" s="483"/>
      <c r="B875" s="762" t="s">
        <v>1917</v>
      </c>
      <c r="C875" s="664" t="s">
        <v>338</v>
      </c>
      <c r="D875" s="664"/>
      <c r="E875" s="664"/>
      <c r="F875" s="665"/>
      <c r="G875" s="664"/>
      <c r="H875" s="664"/>
      <c r="I875" s="664"/>
      <c r="J875" s="727"/>
      <c r="K875" s="664"/>
      <c r="L875" s="666"/>
    </row>
    <row r="876" spans="1:12" outlineLevel="1" x14ac:dyDescent="0.35">
      <c r="A876" s="483"/>
      <c r="B876" s="762" t="s">
        <v>1917</v>
      </c>
      <c r="C876" s="664" t="s">
        <v>339</v>
      </c>
      <c r="D876" s="664"/>
      <c r="E876" s="664"/>
      <c r="F876" s="665"/>
      <c r="G876" s="664"/>
      <c r="H876" s="664"/>
      <c r="I876" s="664"/>
      <c r="J876" s="727"/>
      <c r="K876" s="664"/>
      <c r="L876" s="666"/>
    </row>
    <row r="877" spans="1:12" outlineLevel="1" x14ac:dyDescent="0.35">
      <c r="A877" s="483"/>
      <c r="B877" s="762" t="s">
        <v>1917</v>
      </c>
      <c r="C877" s="664" t="s">
        <v>340</v>
      </c>
      <c r="D877" s="664"/>
      <c r="E877" s="664"/>
      <c r="F877" s="665"/>
      <c r="G877" s="664"/>
      <c r="H877" s="664"/>
      <c r="I877" s="664"/>
      <c r="J877" s="727"/>
      <c r="K877" s="664"/>
      <c r="L877" s="666"/>
    </row>
    <row r="878" spans="1:12" outlineLevel="1" x14ac:dyDescent="0.35">
      <c r="A878" s="483"/>
      <c r="B878" s="762" t="s">
        <v>1917</v>
      </c>
      <c r="C878" s="664" t="s">
        <v>341</v>
      </c>
      <c r="D878" s="664"/>
      <c r="E878" s="664"/>
      <c r="F878" s="665"/>
      <c r="G878" s="664"/>
      <c r="H878" s="664"/>
      <c r="I878" s="664"/>
      <c r="J878" s="727"/>
      <c r="K878" s="664"/>
      <c r="L878" s="666"/>
    </row>
    <row r="879" spans="1:12" outlineLevel="1" x14ac:dyDescent="0.35">
      <c r="A879" s="483"/>
      <c r="B879" s="762" t="s">
        <v>1917</v>
      </c>
      <c r="C879" s="664" t="s">
        <v>342</v>
      </c>
      <c r="D879" s="664"/>
      <c r="E879" s="664"/>
      <c r="F879" s="665"/>
      <c r="G879" s="664"/>
      <c r="H879" s="664"/>
      <c r="I879" s="664"/>
      <c r="J879" s="727"/>
      <c r="K879" s="664"/>
      <c r="L879" s="666"/>
    </row>
    <row r="880" spans="1:12" outlineLevel="1" x14ac:dyDescent="0.35">
      <c r="A880" s="483"/>
      <c r="B880" s="762" t="s">
        <v>1917</v>
      </c>
      <c r="C880" s="664" t="s">
        <v>343</v>
      </c>
      <c r="D880" s="664"/>
      <c r="E880" s="664"/>
      <c r="F880" s="665"/>
      <c r="G880" s="664"/>
      <c r="H880" s="664"/>
      <c r="I880" s="664"/>
      <c r="J880" s="727"/>
      <c r="K880" s="664"/>
      <c r="L880" s="666"/>
    </row>
    <row r="881" spans="1:12" outlineLevel="1" x14ac:dyDescent="0.35">
      <c r="A881" s="483"/>
      <c r="B881" s="762" t="s">
        <v>1917</v>
      </c>
      <c r="C881" s="664" t="s">
        <v>344</v>
      </c>
      <c r="D881" s="664"/>
      <c r="E881" s="664"/>
      <c r="F881" s="665"/>
      <c r="G881" s="664"/>
      <c r="H881" s="664"/>
      <c r="I881" s="664"/>
      <c r="J881" s="727"/>
      <c r="K881" s="664"/>
      <c r="L881" s="666"/>
    </row>
    <row r="882" spans="1:12" outlineLevel="1" x14ac:dyDescent="0.35">
      <c r="A882" s="483"/>
      <c r="B882" s="762" t="s">
        <v>1917</v>
      </c>
      <c r="C882" s="664" t="s">
        <v>345</v>
      </c>
      <c r="D882" s="664"/>
      <c r="E882" s="664"/>
      <c r="F882" s="665"/>
      <c r="G882" s="664"/>
      <c r="H882" s="664"/>
      <c r="I882" s="664"/>
      <c r="J882" s="727"/>
      <c r="K882" s="664"/>
      <c r="L882" s="666"/>
    </row>
    <row r="883" spans="1:12" outlineLevel="1" x14ac:dyDescent="0.35">
      <c r="A883" s="483"/>
      <c r="B883" s="762" t="s">
        <v>1917</v>
      </c>
      <c r="C883" s="664" t="s">
        <v>346</v>
      </c>
      <c r="D883" s="664"/>
      <c r="E883" s="664"/>
      <c r="F883" s="665"/>
      <c r="G883" s="664"/>
      <c r="H883" s="664"/>
      <c r="I883" s="664"/>
      <c r="J883" s="727"/>
      <c r="K883" s="664"/>
      <c r="L883" s="666"/>
    </row>
    <row r="884" spans="1:12" outlineLevel="1" x14ac:dyDescent="0.35">
      <c r="A884" s="483"/>
      <c r="B884" s="762" t="s">
        <v>1917</v>
      </c>
      <c r="C884" s="664" t="s">
        <v>347</v>
      </c>
      <c r="D884" s="664"/>
      <c r="E884" s="664"/>
      <c r="F884" s="665"/>
      <c r="G884" s="664"/>
      <c r="H884" s="664"/>
      <c r="I884" s="664"/>
      <c r="J884" s="727"/>
      <c r="K884" s="664"/>
      <c r="L884" s="666"/>
    </row>
    <row r="885" spans="1:12" outlineLevel="1" x14ac:dyDescent="0.35">
      <c r="A885" s="483"/>
      <c r="B885" s="762" t="s">
        <v>1917</v>
      </c>
      <c r="C885" s="664" t="s">
        <v>348</v>
      </c>
      <c r="D885" s="664"/>
      <c r="E885" s="664"/>
      <c r="F885" s="665"/>
      <c r="G885" s="664"/>
      <c r="H885" s="664"/>
      <c r="I885" s="664"/>
      <c r="J885" s="727"/>
      <c r="K885" s="664"/>
      <c r="L885" s="666"/>
    </row>
    <row r="886" spans="1:12" outlineLevel="1" x14ac:dyDescent="0.35">
      <c r="A886" s="483"/>
      <c r="B886" s="762" t="s">
        <v>1917</v>
      </c>
      <c r="C886" s="664" t="s">
        <v>349</v>
      </c>
      <c r="D886" s="664"/>
      <c r="E886" s="664"/>
      <c r="F886" s="665"/>
      <c r="G886" s="664"/>
      <c r="H886" s="664"/>
      <c r="I886" s="664"/>
      <c r="J886" s="727"/>
      <c r="K886" s="664"/>
      <c r="L886" s="666"/>
    </row>
    <row r="887" spans="1:12" outlineLevel="1" x14ac:dyDescent="0.35">
      <c r="A887" s="483"/>
      <c r="B887" s="762" t="s">
        <v>1917</v>
      </c>
      <c r="C887" s="664" t="s">
        <v>350</v>
      </c>
      <c r="D887" s="664"/>
      <c r="E887" s="664"/>
      <c r="F887" s="665"/>
      <c r="G887" s="664"/>
      <c r="H887" s="664"/>
      <c r="I887" s="664"/>
      <c r="J887" s="727"/>
      <c r="K887" s="664"/>
      <c r="L887" s="666"/>
    </row>
    <row r="888" spans="1:12" outlineLevel="1" x14ac:dyDescent="0.35">
      <c r="A888" s="483"/>
      <c r="B888" s="762" t="s">
        <v>1917</v>
      </c>
      <c r="C888" s="664" t="s">
        <v>351</v>
      </c>
      <c r="D888" s="664"/>
      <c r="E888" s="664"/>
      <c r="F888" s="665"/>
      <c r="G888" s="664"/>
      <c r="H888" s="664"/>
      <c r="I888" s="664"/>
      <c r="J888" s="727"/>
      <c r="K888" s="664"/>
      <c r="L888" s="666"/>
    </row>
    <row r="889" spans="1:12" outlineLevel="1" x14ac:dyDescent="0.35">
      <c r="A889" s="483"/>
      <c r="B889" s="762" t="s">
        <v>1917</v>
      </c>
      <c r="C889" s="664" t="s">
        <v>352</v>
      </c>
      <c r="D889" s="664"/>
      <c r="E889" s="664"/>
      <c r="F889" s="665"/>
      <c r="G889" s="664"/>
      <c r="H889" s="664"/>
      <c r="I889" s="664"/>
      <c r="J889" s="727"/>
      <c r="K889" s="664"/>
      <c r="L889" s="666"/>
    </row>
    <row r="890" spans="1:12" outlineLevel="1" x14ac:dyDescent="0.35">
      <c r="A890" s="483"/>
      <c r="B890" s="762" t="s">
        <v>1917</v>
      </c>
      <c r="C890" s="664" t="s">
        <v>353</v>
      </c>
      <c r="D890" s="664"/>
      <c r="E890" s="664"/>
      <c r="F890" s="665"/>
      <c r="G890" s="664"/>
      <c r="H890" s="664"/>
      <c r="I890" s="664"/>
      <c r="J890" s="727"/>
      <c r="K890" s="664"/>
      <c r="L890" s="666"/>
    </row>
    <row r="891" spans="1:12" outlineLevel="1" x14ac:dyDescent="0.35">
      <c r="A891" s="483"/>
      <c r="B891" s="762" t="s">
        <v>1917</v>
      </c>
      <c r="C891" s="664" t="s">
        <v>354</v>
      </c>
      <c r="D891" s="664"/>
      <c r="E891" s="664"/>
      <c r="F891" s="665"/>
      <c r="G891" s="664"/>
      <c r="H891" s="664"/>
      <c r="I891" s="664"/>
      <c r="J891" s="727"/>
      <c r="K891" s="664"/>
      <c r="L891" s="666"/>
    </row>
    <row r="892" spans="1:12" outlineLevel="1" x14ac:dyDescent="0.35">
      <c r="A892" s="483"/>
      <c r="B892" s="762" t="s">
        <v>1917</v>
      </c>
      <c r="C892" s="664" t="s">
        <v>355</v>
      </c>
      <c r="D892" s="664"/>
      <c r="E892" s="664"/>
      <c r="F892" s="665"/>
      <c r="G892" s="664"/>
      <c r="H892" s="664"/>
      <c r="I892" s="664"/>
      <c r="J892" s="727"/>
      <c r="K892" s="664"/>
      <c r="L892" s="666"/>
    </row>
    <row r="893" spans="1:12" outlineLevel="1" x14ac:dyDescent="0.35">
      <c r="A893" s="483"/>
      <c r="B893" s="762" t="s">
        <v>1917</v>
      </c>
      <c r="C893" s="664" t="s">
        <v>356</v>
      </c>
      <c r="D893" s="664"/>
      <c r="E893" s="664"/>
      <c r="F893" s="665"/>
      <c r="G893" s="664"/>
      <c r="H893" s="664"/>
      <c r="I893" s="664"/>
      <c r="J893" s="727"/>
      <c r="K893" s="664"/>
      <c r="L893" s="666"/>
    </row>
    <row r="894" spans="1:12" outlineLevel="1" x14ac:dyDescent="0.35">
      <c r="A894" s="483"/>
      <c r="B894" s="762" t="s">
        <v>1917</v>
      </c>
      <c r="C894" s="664" t="s">
        <v>357</v>
      </c>
      <c r="D894" s="664"/>
      <c r="E894" s="664"/>
      <c r="F894" s="665"/>
      <c r="G894" s="664"/>
      <c r="H894" s="664"/>
      <c r="I894" s="664"/>
      <c r="J894" s="727"/>
      <c r="K894" s="664"/>
      <c r="L894" s="666"/>
    </row>
    <row r="895" spans="1:12" outlineLevel="1" x14ac:dyDescent="0.35">
      <c r="A895" s="483"/>
      <c r="B895" s="762" t="s">
        <v>1917</v>
      </c>
      <c r="C895" s="664" t="s">
        <v>358</v>
      </c>
      <c r="D895" s="664"/>
      <c r="E895" s="664"/>
      <c r="F895" s="665"/>
      <c r="G895" s="664"/>
      <c r="H895" s="664"/>
      <c r="I895" s="664"/>
      <c r="J895" s="727"/>
      <c r="K895" s="664"/>
      <c r="L895" s="666"/>
    </row>
    <row r="896" spans="1:12" outlineLevel="1" x14ac:dyDescent="0.35">
      <c r="A896" s="483"/>
      <c r="B896" s="762" t="s">
        <v>1917</v>
      </c>
      <c r="C896" s="664" t="s">
        <v>359</v>
      </c>
      <c r="D896" s="664"/>
      <c r="E896" s="664"/>
      <c r="F896" s="665"/>
      <c r="G896" s="664"/>
      <c r="H896" s="664"/>
      <c r="I896" s="664"/>
      <c r="J896" s="727"/>
      <c r="K896" s="664"/>
      <c r="L896" s="666"/>
    </row>
    <row r="897" spans="1:12" outlineLevel="1" x14ac:dyDescent="0.35">
      <c r="A897" s="483"/>
      <c r="B897" s="762" t="s">
        <v>1917</v>
      </c>
      <c r="C897" s="664" t="s">
        <v>360</v>
      </c>
      <c r="D897" s="664"/>
      <c r="E897" s="664"/>
      <c r="F897" s="665"/>
      <c r="G897" s="664"/>
      <c r="H897" s="664"/>
      <c r="I897" s="664"/>
      <c r="J897" s="727"/>
      <c r="K897" s="664"/>
      <c r="L897" s="666"/>
    </row>
    <row r="898" spans="1:12" outlineLevel="1" x14ac:dyDescent="0.35">
      <c r="A898" s="483"/>
      <c r="B898" s="762" t="s">
        <v>1917</v>
      </c>
      <c r="C898" s="664" t="s">
        <v>361</v>
      </c>
      <c r="D898" s="664"/>
      <c r="E898" s="664"/>
      <c r="F898" s="665"/>
      <c r="G898" s="664"/>
      <c r="H898" s="664"/>
      <c r="I898" s="664"/>
      <c r="J898" s="727"/>
      <c r="K898" s="664"/>
      <c r="L898" s="666"/>
    </row>
    <row r="899" spans="1:12" outlineLevel="1" x14ac:dyDescent="0.35">
      <c r="A899" s="483"/>
      <c r="B899" s="762" t="s">
        <v>1917</v>
      </c>
      <c r="C899" s="664" t="s">
        <v>362</v>
      </c>
      <c r="D899" s="664"/>
      <c r="E899" s="664"/>
      <c r="F899" s="665"/>
      <c r="G899" s="664"/>
      <c r="H899" s="664"/>
      <c r="I899" s="664"/>
      <c r="J899" s="727"/>
      <c r="K899" s="664"/>
      <c r="L899" s="666"/>
    </row>
    <row r="900" spans="1:12" outlineLevel="1" x14ac:dyDescent="0.35">
      <c r="A900" s="483"/>
      <c r="B900" s="762" t="s">
        <v>1917</v>
      </c>
      <c r="C900" s="664" t="s">
        <v>363</v>
      </c>
      <c r="D900" s="664"/>
      <c r="E900" s="664"/>
      <c r="F900" s="665"/>
      <c r="G900" s="664"/>
      <c r="H900" s="664"/>
      <c r="I900" s="664"/>
      <c r="J900" s="727"/>
      <c r="K900" s="664"/>
      <c r="L900" s="666"/>
    </row>
    <row r="901" spans="1:12" outlineLevel="1" x14ac:dyDescent="0.35">
      <c r="A901" s="483"/>
      <c r="B901" s="762" t="s">
        <v>1917</v>
      </c>
      <c r="C901" s="664" t="s">
        <v>364</v>
      </c>
      <c r="D901" s="664"/>
      <c r="E901" s="664"/>
      <c r="F901" s="665"/>
      <c r="G901" s="664"/>
      <c r="H901" s="664"/>
      <c r="I901" s="664"/>
      <c r="J901" s="727"/>
      <c r="K901" s="664"/>
      <c r="L901" s="666"/>
    </row>
    <row r="902" spans="1:12" outlineLevel="1" x14ac:dyDescent="0.35">
      <c r="A902" s="483"/>
      <c r="B902" s="762" t="s">
        <v>1917</v>
      </c>
      <c r="C902" s="664" t="s">
        <v>365</v>
      </c>
      <c r="D902" s="664"/>
      <c r="E902" s="664"/>
      <c r="F902" s="665"/>
      <c r="G902" s="664"/>
      <c r="H902" s="664"/>
      <c r="I902" s="664"/>
      <c r="J902" s="727"/>
      <c r="K902" s="664"/>
      <c r="L902" s="666"/>
    </row>
    <row r="903" spans="1:12" outlineLevel="1" x14ac:dyDescent="0.35">
      <c r="A903" s="483"/>
      <c r="B903" s="762" t="s">
        <v>1917</v>
      </c>
      <c r="C903" s="664" t="s">
        <v>366</v>
      </c>
      <c r="D903" s="664"/>
      <c r="E903" s="664"/>
      <c r="F903" s="665"/>
      <c r="G903" s="664"/>
      <c r="H903" s="664"/>
      <c r="I903" s="664"/>
      <c r="J903" s="727"/>
      <c r="K903" s="664"/>
      <c r="L903" s="666"/>
    </row>
    <row r="904" spans="1:12" outlineLevel="1" x14ac:dyDescent="0.35">
      <c r="A904" s="483"/>
      <c r="B904" s="762" t="s">
        <v>1917</v>
      </c>
      <c r="C904" s="664" t="s">
        <v>367</v>
      </c>
      <c r="D904" s="664"/>
      <c r="E904" s="664"/>
      <c r="F904" s="665"/>
      <c r="G904" s="664"/>
      <c r="H904" s="664"/>
      <c r="I904" s="664"/>
      <c r="J904" s="727"/>
      <c r="K904" s="664"/>
      <c r="L904" s="666"/>
    </row>
    <row r="905" spans="1:12" outlineLevel="1" x14ac:dyDescent="0.35">
      <c r="A905" s="483"/>
      <c r="B905" s="762" t="s">
        <v>1917</v>
      </c>
      <c r="C905" s="664" t="s">
        <v>368</v>
      </c>
      <c r="D905" s="664"/>
      <c r="E905" s="664"/>
      <c r="F905" s="665"/>
      <c r="G905" s="664"/>
      <c r="H905" s="664"/>
      <c r="I905" s="664"/>
      <c r="J905" s="727"/>
      <c r="K905" s="664"/>
      <c r="L905" s="666"/>
    </row>
    <row r="906" spans="1:12" outlineLevel="1" x14ac:dyDescent="0.35">
      <c r="A906" s="483"/>
      <c r="B906" s="762" t="s">
        <v>1917</v>
      </c>
      <c r="C906" s="664" t="s">
        <v>369</v>
      </c>
      <c r="D906" s="664"/>
      <c r="E906" s="664"/>
      <c r="F906" s="665"/>
      <c r="G906" s="664"/>
      <c r="H906" s="664"/>
      <c r="I906" s="664"/>
      <c r="J906" s="727"/>
      <c r="K906" s="664"/>
      <c r="L906" s="666"/>
    </row>
    <row r="907" spans="1:12" outlineLevel="1" x14ac:dyDescent="0.35">
      <c r="A907" s="483"/>
      <c r="B907" s="762" t="s">
        <v>1917</v>
      </c>
      <c r="C907" s="664" t="s">
        <v>370</v>
      </c>
      <c r="D907" s="664"/>
      <c r="E907" s="664"/>
      <c r="F907" s="665"/>
      <c r="G907" s="664"/>
      <c r="H907" s="664"/>
      <c r="I907" s="664"/>
      <c r="J907" s="727"/>
      <c r="K907" s="664"/>
      <c r="L907" s="666"/>
    </row>
    <row r="908" spans="1:12" outlineLevel="1" x14ac:dyDescent="0.35">
      <c r="A908" s="483"/>
      <c r="B908" s="762" t="s">
        <v>1917</v>
      </c>
      <c r="C908" s="664" t="s">
        <v>371</v>
      </c>
      <c r="D908" s="664"/>
      <c r="E908" s="664"/>
      <c r="F908" s="665"/>
      <c r="G908" s="664"/>
      <c r="H908" s="664"/>
      <c r="I908" s="664"/>
      <c r="J908" s="727"/>
      <c r="K908" s="664"/>
      <c r="L908" s="666"/>
    </row>
    <row r="909" spans="1:12" outlineLevel="1" x14ac:dyDescent="0.35">
      <c r="A909" s="483"/>
      <c r="B909" s="762" t="s">
        <v>1917</v>
      </c>
      <c r="C909" s="664" t="s">
        <v>372</v>
      </c>
      <c r="D909" s="664"/>
      <c r="E909" s="664"/>
      <c r="F909" s="665"/>
      <c r="G909" s="664"/>
      <c r="H909" s="664"/>
      <c r="I909" s="664"/>
      <c r="J909" s="727"/>
      <c r="K909" s="664"/>
      <c r="L909" s="666"/>
    </row>
    <row r="910" spans="1:12" outlineLevel="1" x14ac:dyDescent="0.35">
      <c r="A910" s="483"/>
      <c r="B910" s="762" t="s">
        <v>1917</v>
      </c>
      <c r="C910" s="664" t="s">
        <v>373</v>
      </c>
      <c r="D910" s="664"/>
      <c r="E910" s="664"/>
      <c r="F910" s="665"/>
      <c r="G910" s="664"/>
      <c r="H910" s="664"/>
      <c r="I910" s="664"/>
      <c r="J910" s="727"/>
      <c r="K910" s="664"/>
      <c r="L910" s="666"/>
    </row>
    <row r="911" spans="1:12" outlineLevel="1" x14ac:dyDescent="0.35">
      <c r="A911" s="483"/>
      <c r="B911" s="762" t="s">
        <v>1917</v>
      </c>
      <c r="C911" s="664" t="s">
        <v>374</v>
      </c>
      <c r="D911" s="664"/>
      <c r="E911" s="664"/>
      <c r="F911" s="665"/>
      <c r="G911" s="664"/>
      <c r="H911" s="664"/>
      <c r="I911" s="664"/>
      <c r="J911" s="727"/>
      <c r="K911" s="664"/>
      <c r="L911" s="666"/>
    </row>
    <row r="912" spans="1:12" outlineLevel="1" x14ac:dyDescent="0.35">
      <c r="A912" s="483"/>
      <c r="B912" s="762" t="s">
        <v>1917</v>
      </c>
      <c r="C912" s="664" t="s">
        <v>375</v>
      </c>
      <c r="D912" s="664"/>
      <c r="E912" s="664"/>
      <c r="F912" s="665"/>
      <c r="G912" s="664"/>
      <c r="H912" s="664"/>
      <c r="I912" s="664"/>
      <c r="J912" s="727"/>
      <c r="K912" s="664"/>
      <c r="L912" s="666"/>
    </row>
    <row r="913" spans="1:12" outlineLevel="1" x14ac:dyDescent="0.35">
      <c r="A913" s="483"/>
      <c r="B913" s="762" t="s">
        <v>1917</v>
      </c>
      <c r="C913" s="664" t="s">
        <v>376</v>
      </c>
      <c r="D913" s="664"/>
      <c r="E913" s="664"/>
      <c r="F913" s="665"/>
      <c r="G913" s="664"/>
      <c r="H913" s="664"/>
      <c r="I913" s="664"/>
      <c r="J913" s="727"/>
      <c r="K913" s="664"/>
      <c r="L913" s="666"/>
    </row>
    <row r="914" spans="1:12" outlineLevel="1" x14ac:dyDescent="0.35">
      <c r="A914" s="483"/>
      <c r="B914" s="762" t="s">
        <v>1917</v>
      </c>
      <c r="C914" s="664" t="s">
        <v>377</v>
      </c>
      <c r="D914" s="664"/>
      <c r="E914" s="664"/>
      <c r="F914" s="665"/>
      <c r="G914" s="664"/>
      <c r="H914" s="664"/>
      <c r="I914" s="664"/>
      <c r="J914" s="727"/>
      <c r="K914" s="664"/>
      <c r="L914" s="666"/>
    </row>
    <row r="915" spans="1:12" outlineLevel="1" x14ac:dyDescent="0.35">
      <c r="A915" s="483"/>
      <c r="B915" s="762" t="s">
        <v>1917</v>
      </c>
      <c r="C915" s="664" t="s">
        <v>378</v>
      </c>
      <c r="D915" s="664"/>
      <c r="E915" s="664"/>
      <c r="F915" s="665"/>
      <c r="G915" s="664"/>
      <c r="H915" s="664"/>
      <c r="I915" s="664"/>
      <c r="J915" s="727"/>
      <c r="K915" s="664"/>
      <c r="L915" s="666"/>
    </row>
    <row r="916" spans="1:12" outlineLevel="1" x14ac:dyDescent="0.35">
      <c r="A916" s="483"/>
      <c r="B916" s="762" t="s">
        <v>1917</v>
      </c>
      <c r="C916" s="664" t="s">
        <v>379</v>
      </c>
      <c r="D916" s="664"/>
      <c r="E916" s="664"/>
      <c r="F916" s="665"/>
      <c r="G916" s="664"/>
      <c r="H916" s="664"/>
      <c r="I916" s="664"/>
      <c r="J916" s="727"/>
      <c r="K916" s="664"/>
      <c r="L916" s="666"/>
    </row>
    <row r="917" spans="1:12" outlineLevel="1" x14ac:dyDescent="0.35">
      <c r="A917" s="483"/>
      <c r="B917" s="762" t="s">
        <v>1917</v>
      </c>
      <c r="C917" s="664" t="s">
        <v>380</v>
      </c>
      <c r="D917" s="664"/>
      <c r="E917" s="664"/>
      <c r="F917" s="665"/>
      <c r="G917" s="664"/>
      <c r="H917" s="664"/>
      <c r="I917" s="664"/>
      <c r="J917" s="727"/>
      <c r="K917" s="664"/>
      <c r="L917" s="666"/>
    </row>
    <row r="918" spans="1:12" outlineLevel="1" x14ac:dyDescent="0.35">
      <c r="A918" s="483"/>
      <c r="B918" s="762" t="s">
        <v>1917</v>
      </c>
      <c r="C918" s="664" t="s">
        <v>381</v>
      </c>
      <c r="D918" s="664"/>
      <c r="E918" s="664"/>
      <c r="F918" s="665"/>
      <c r="G918" s="664"/>
      <c r="H918" s="664"/>
      <c r="I918" s="664"/>
      <c r="J918" s="727"/>
      <c r="K918" s="664"/>
      <c r="L918" s="666"/>
    </row>
    <row r="919" spans="1:12" outlineLevel="1" x14ac:dyDescent="0.35">
      <c r="A919" s="483"/>
      <c r="B919" s="762" t="s">
        <v>1917</v>
      </c>
      <c r="C919" s="664" t="s">
        <v>382</v>
      </c>
      <c r="D919" s="664"/>
      <c r="E919" s="664"/>
      <c r="F919" s="665"/>
      <c r="G919" s="664"/>
      <c r="H919" s="664"/>
      <c r="I919" s="664"/>
      <c r="J919" s="727"/>
      <c r="K919" s="664"/>
      <c r="L919" s="666"/>
    </row>
    <row r="920" spans="1:12" outlineLevel="1" x14ac:dyDescent="0.35">
      <c r="A920" s="483"/>
      <c r="B920" s="762" t="s">
        <v>1917</v>
      </c>
      <c r="C920" s="664" t="s">
        <v>383</v>
      </c>
      <c r="D920" s="664"/>
      <c r="E920" s="664"/>
      <c r="F920" s="665"/>
      <c r="G920" s="664"/>
      <c r="H920" s="664"/>
      <c r="I920" s="664"/>
      <c r="J920" s="727"/>
      <c r="K920" s="664"/>
      <c r="L920" s="666"/>
    </row>
    <row r="921" spans="1:12" outlineLevel="1" x14ac:dyDescent="0.35">
      <c r="A921" s="483"/>
      <c r="B921" s="762" t="s">
        <v>1917</v>
      </c>
      <c r="C921" s="664" t="s">
        <v>384</v>
      </c>
      <c r="D921" s="664"/>
      <c r="E921" s="664"/>
      <c r="F921" s="665"/>
      <c r="G921" s="664"/>
      <c r="H921" s="664"/>
      <c r="I921" s="664"/>
      <c r="J921" s="727"/>
      <c r="K921" s="664"/>
      <c r="L921" s="666"/>
    </row>
    <row r="922" spans="1:12" outlineLevel="1" x14ac:dyDescent="0.35">
      <c r="A922" s="483"/>
      <c r="B922" s="762" t="s">
        <v>1917</v>
      </c>
      <c r="C922" s="664" t="s">
        <v>385</v>
      </c>
      <c r="D922" s="664"/>
      <c r="E922" s="664"/>
      <c r="F922" s="665"/>
      <c r="G922" s="664"/>
      <c r="H922" s="664"/>
      <c r="I922" s="664"/>
      <c r="J922" s="727"/>
      <c r="K922" s="664"/>
      <c r="L922" s="666"/>
    </row>
    <row r="923" spans="1:12" outlineLevel="1" x14ac:dyDescent="0.35">
      <c r="A923" s="483"/>
      <c r="B923" s="762" t="s">
        <v>1917</v>
      </c>
      <c r="C923" s="664" t="s">
        <v>386</v>
      </c>
      <c r="D923" s="664"/>
      <c r="E923" s="664"/>
      <c r="F923" s="665"/>
      <c r="G923" s="664"/>
      <c r="H923" s="664"/>
      <c r="I923" s="664"/>
      <c r="J923" s="727"/>
      <c r="K923" s="664"/>
      <c r="L923" s="666"/>
    </row>
    <row r="924" spans="1:12" outlineLevel="1" x14ac:dyDescent="0.35">
      <c r="A924" s="483"/>
      <c r="B924" s="762" t="s">
        <v>1917</v>
      </c>
      <c r="C924" s="664" t="s">
        <v>387</v>
      </c>
      <c r="D924" s="664"/>
      <c r="E924" s="664"/>
      <c r="F924" s="665"/>
      <c r="G924" s="664"/>
      <c r="H924" s="664"/>
      <c r="I924" s="664"/>
      <c r="J924" s="727"/>
      <c r="K924" s="664"/>
      <c r="L924" s="666"/>
    </row>
    <row r="925" spans="1:12" outlineLevel="1" x14ac:dyDescent="0.35">
      <c r="A925" s="483"/>
      <c r="B925" s="762" t="s">
        <v>1917</v>
      </c>
      <c r="C925" s="664" t="s">
        <v>388</v>
      </c>
      <c r="D925" s="664"/>
      <c r="E925" s="664"/>
      <c r="F925" s="665"/>
      <c r="G925" s="664"/>
      <c r="H925" s="664"/>
      <c r="I925" s="664"/>
      <c r="J925" s="727"/>
      <c r="K925" s="664"/>
      <c r="L925" s="666"/>
    </row>
    <row r="926" spans="1:12" outlineLevel="1" x14ac:dyDescent="0.35">
      <c r="A926" s="483"/>
      <c r="B926" s="762" t="s">
        <v>1917</v>
      </c>
      <c r="C926" s="664" t="s">
        <v>389</v>
      </c>
      <c r="D926" s="664"/>
      <c r="E926" s="664"/>
      <c r="F926" s="665"/>
      <c r="G926" s="664"/>
      <c r="H926" s="664"/>
      <c r="I926" s="664"/>
      <c r="J926" s="727"/>
      <c r="K926" s="664"/>
      <c r="L926" s="666"/>
    </row>
    <row r="927" spans="1:12" outlineLevel="1" x14ac:dyDescent="0.35">
      <c r="A927" s="483"/>
      <c r="B927" s="762" t="s">
        <v>1917</v>
      </c>
      <c r="C927" s="664" t="s">
        <v>390</v>
      </c>
      <c r="D927" s="664"/>
      <c r="E927" s="664"/>
      <c r="F927" s="665"/>
      <c r="G927" s="664"/>
      <c r="H927" s="664"/>
      <c r="I927" s="664"/>
      <c r="J927" s="727"/>
      <c r="K927" s="664"/>
      <c r="L927" s="666"/>
    </row>
    <row r="928" spans="1:12" outlineLevel="1" x14ac:dyDescent="0.35">
      <c r="A928" s="483"/>
      <c r="B928" s="762" t="s">
        <v>1917</v>
      </c>
      <c r="C928" s="664" t="s">
        <v>391</v>
      </c>
      <c r="D928" s="664"/>
      <c r="E928" s="664"/>
      <c r="F928" s="665"/>
      <c r="G928" s="664"/>
      <c r="H928" s="664"/>
      <c r="I928" s="664"/>
      <c r="J928" s="727"/>
      <c r="K928" s="664"/>
      <c r="L928" s="666"/>
    </row>
    <row r="929" spans="1:12" outlineLevel="1" x14ac:dyDescent="0.35">
      <c r="A929" s="483"/>
      <c r="B929" s="762" t="s">
        <v>1917</v>
      </c>
      <c r="C929" s="664" t="s">
        <v>392</v>
      </c>
      <c r="D929" s="664"/>
      <c r="E929" s="664"/>
      <c r="F929" s="665"/>
      <c r="G929" s="664"/>
      <c r="H929" s="664"/>
      <c r="I929" s="664"/>
      <c r="J929" s="727"/>
      <c r="K929" s="664"/>
      <c r="L929" s="666"/>
    </row>
    <row r="930" spans="1:12" outlineLevel="1" x14ac:dyDescent="0.35">
      <c r="A930" s="483"/>
      <c r="B930" s="762" t="s">
        <v>1917</v>
      </c>
      <c r="C930" s="664" t="s">
        <v>393</v>
      </c>
      <c r="D930" s="664"/>
      <c r="E930" s="664"/>
      <c r="F930" s="665"/>
      <c r="G930" s="664"/>
      <c r="H930" s="664"/>
      <c r="I930" s="664"/>
      <c r="J930" s="727"/>
      <c r="K930" s="664"/>
      <c r="L930" s="666"/>
    </row>
    <row r="931" spans="1:12" outlineLevel="1" x14ac:dyDescent="0.35">
      <c r="A931" s="483"/>
      <c r="B931" s="762" t="s">
        <v>1917</v>
      </c>
      <c r="C931" s="664" t="s">
        <v>394</v>
      </c>
      <c r="D931" s="664"/>
      <c r="E931" s="664"/>
      <c r="F931" s="665"/>
      <c r="G931" s="664"/>
      <c r="H931" s="664"/>
      <c r="I931" s="664"/>
      <c r="J931" s="727"/>
      <c r="K931" s="664"/>
      <c r="L931" s="666"/>
    </row>
    <row r="932" spans="1:12" outlineLevel="1" x14ac:dyDescent="0.35">
      <c r="A932" s="483"/>
      <c r="B932" s="762" t="s">
        <v>1917</v>
      </c>
      <c r="C932" s="664" t="s">
        <v>395</v>
      </c>
      <c r="D932" s="664"/>
      <c r="E932" s="664"/>
      <c r="F932" s="665"/>
      <c r="G932" s="664"/>
      <c r="H932" s="664"/>
      <c r="I932" s="664"/>
      <c r="J932" s="727"/>
      <c r="K932" s="664"/>
      <c r="L932" s="666"/>
    </row>
    <row r="933" spans="1:12" outlineLevel="1" x14ac:dyDescent="0.35">
      <c r="A933" s="483"/>
      <c r="B933" s="762" t="s">
        <v>1917</v>
      </c>
      <c r="C933" s="664" t="s">
        <v>396</v>
      </c>
      <c r="D933" s="664"/>
      <c r="E933" s="664"/>
      <c r="F933" s="665"/>
      <c r="G933" s="664"/>
      <c r="H933" s="664"/>
      <c r="I933" s="664"/>
      <c r="J933" s="727"/>
      <c r="K933" s="664"/>
      <c r="L933" s="666"/>
    </row>
    <row r="934" spans="1:12" outlineLevel="1" x14ac:dyDescent="0.35">
      <c r="A934" s="483"/>
      <c r="B934" s="762" t="s">
        <v>1917</v>
      </c>
      <c r="C934" s="664" t="s">
        <v>397</v>
      </c>
      <c r="D934" s="664"/>
      <c r="E934" s="664"/>
      <c r="F934" s="665"/>
      <c r="G934" s="664"/>
      <c r="H934" s="664"/>
      <c r="I934" s="664"/>
      <c r="J934" s="727"/>
      <c r="K934" s="664"/>
      <c r="L934" s="666"/>
    </row>
    <row r="935" spans="1:12" outlineLevel="1" x14ac:dyDescent="0.35">
      <c r="A935" s="483"/>
      <c r="B935" s="762" t="s">
        <v>1917</v>
      </c>
      <c r="C935" s="664" t="s">
        <v>398</v>
      </c>
      <c r="D935" s="664"/>
      <c r="E935" s="664"/>
      <c r="F935" s="665"/>
      <c r="G935" s="664"/>
      <c r="H935" s="664"/>
      <c r="I935" s="664"/>
      <c r="J935" s="727"/>
      <c r="K935" s="664"/>
      <c r="L935" s="666"/>
    </row>
    <row r="936" spans="1:12" outlineLevel="1" x14ac:dyDescent="0.35">
      <c r="A936" s="483"/>
      <c r="B936" s="762" t="s">
        <v>1917</v>
      </c>
      <c r="C936" s="664" t="s">
        <v>399</v>
      </c>
      <c r="D936" s="664"/>
      <c r="E936" s="664"/>
      <c r="F936" s="665"/>
      <c r="G936" s="664"/>
      <c r="H936" s="664"/>
      <c r="I936" s="664"/>
      <c r="J936" s="727"/>
      <c r="K936" s="664"/>
      <c r="L936" s="666"/>
    </row>
    <row r="937" spans="1:12" outlineLevel="1" x14ac:dyDescent="0.35">
      <c r="A937" s="483"/>
      <c r="B937" s="762" t="s">
        <v>1917</v>
      </c>
      <c r="C937" s="664" t="s">
        <v>400</v>
      </c>
      <c r="D937" s="664"/>
      <c r="E937" s="664"/>
      <c r="F937" s="665"/>
      <c r="G937" s="664"/>
      <c r="H937" s="664"/>
      <c r="I937" s="664"/>
      <c r="J937" s="727"/>
      <c r="K937" s="664"/>
      <c r="L937" s="666"/>
    </row>
    <row r="938" spans="1:12" outlineLevel="1" x14ac:dyDescent="0.35">
      <c r="A938" s="483"/>
      <c r="B938" s="762" t="s">
        <v>1917</v>
      </c>
      <c r="C938" s="664" t="s">
        <v>401</v>
      </c>
      <c r="D938" s="664"/>
      <c r="E938" s="664"/>
      <c r="F938" s="665"/>
      <c r="G938" s="664"/>
      <c r="H938" s="664"/>
      <c r="I938" s="664"/>
      <c r="J938" s="727"/>
      <c r="K938" s="664"/>
      <c r="L938" s="666"/>
    </row>
    <row r="939" spans="1:12" outlineLevel="1" x14ac:dyDescent="0.35">
      <c r="A939" s="483"/>
      <c r="B939" s="762" t="s">
        <v>1917</v>
      </c>
      <c r="C939" s="664" t="s">
        <v>402</v>
      </c>
      <c r="D939" s="664"/>
      <c r="E939" s="664"/>
      <c r="F939" s="665"/>
      <c r="G939" s="664"/>
      <c r="H939" s="664"/>
      <c r="I939" s="664"/>
      <c r="J939" s="727"/>
      <c r="K939" s="664"/>
      <c r="L939" s="666"/>
    </row>
    <row r="940" spans="1:12" outlineLevel="1" x14ac:dyDescent="0.35">
      <c r="A940" s="483"/>
      <c r="B940" s="762" t="s">
        <v>1917</v>
      </c>
      <c r="C940" s="664" t="s">
        <v>403</v>
      </c>
      <c r="D940" s="664"/>
      <c r="E940" s="664"/>
      <c r="F940" s="665"/>
      <c r="G940" s="664"/>
      <c r="H940" s="664"/>
      <c r="I940" s="664"/>
      <c r="J940" s="727"/>
      <c r="K940" s="664"/>
      <c r="L940" s="666"/>
    </row>
    <row r="941" spans="1:12" outlineLevel="1" x14ac:dyDescent="0.35">
      <c r="A941" s="483"/>
      <c r="B941" s="762" t="s">
        <v>1917</v>
      </c>
      <c r="C941" s="664" t="s">
        <v>404</v>
      </c>
      <c r="D941" s="664"/>
      <c r="E941" s="664"/>
      <c r="F941" s="665"/>
      <c r="G941" s="664"/>
      <c r="H941" s="664"/>
      <c r="I941" s="664"/>
      <c r="J941" s="727"/>
      <c r="K941" s="664"/>
      <c r="L941" s="666"/>
    </row>
    <row r="942" spans="1:12" outlineLevel="1" x14ac:dyDescent="0.35">
      <c r="A942" s="483"/>
      <c r="B942" s="762" t="s">
        <v>1917</v>
      </c>
      <c r="C942" s="664" t="s">
        <v>405</v>
      </c>
      <c r="D942" s="664"/>
      <c r="E942" s="664"/>
      <c r="F942" s="665"/>
      <c r="G942" s="664"/>
      <c r="H942" s="664"/>
      <c r="I942" s="664"/>
      <c r="J942" s="727"/>
      <c r="K942" s="664"/>
      <c r="L942" s="666"/>
    </row>
    <row r="943" spans="1:12" outlineLevel="1" x14ac:dyDescent="0.35">
      <c r="A943" s="483"/>
      <c r="B943" s="762" t="s">
        <v>1917</v>
      </c>
      <c r="C943" s="664" t="s">
        <v>406</v>
      </c>
      <c r="D943" s="664"/>
      <c r="E943" s="664"/>
      <c r="F943" s="665"/>
      <c r="G943" s="664"/>
      <c r="H943" s="664"/>
      <c r="I943" s="664"/>
      <c r="J943" s="727"/>
      <c r="K943" s="664"/>
      <c r="L943" s="666"/>
    </row>
    <row r="944" spans="1:12" outlineLevel="1" x14ac:dyDescent="0.35">
      <c r="A944" s="483"/>
      <c r="B944" s="762" t="s">
        <v>1917</v>
      </c>
      <c r="C944" s="664" t="s">
        <v>407</v>
      </c>
      <c r="D944" s="664"/>
      <c r="E944" s="664"/>
      <c r="F944" s="665"/>
      <c r="G944" s="664"/>
      <c r="H944" s="664"/>
      <c r="I944" s="664"/>
      <c r="J944" s="727"/>
      <c r="K944" s="664"/>
      <c r="L944" s="666"/>
    </row>
    <row r="945" spans="1:12" outlineLevel="1" x14ac:dyDescent="0.35">
      <c r="A945" s="483"/>
      <c r="B945" s="762" t="s">
        <v>1917</v>
      </c>
      <c r="C945" s="664" t="s">
        <v>408</v>
      </c>
      <c r="D945" s="664"/>
      <c r="E945" s="664"/>
      <c r="F945" s="665"/>
      <c r="G945" s="664"/>
      <c r="H945" s="664"/>
      <c r="I945" s="664"/>
      <c r="J945" s="727"/>
      <c r="K945" s="664"/>
      <c r="L945" s="666"/>
    </row>
    <row r="946" spans="1:12" outlineLevel="1" x14ac:dyDescent="0.35">
      <c r="A946" s="483"/>
      <c r="B946" s="762" t="s">
        <v>1917</v>
      </c>
      <c r="C946" s="664" t="s">
        <v>409</v>
      </c>
      <c r="D946" s="664"/>
      <c r="E946" s="664"/>
      <c r="F946" s="665"/>
      <c r="G946" s="664"/>
      <c r="H946" s="664"/>
      <c r="I946" s="664"/>
      <c r="J946" s="727"/>
      <c r="K946" s="664"/>
      <c r="L946" s="666"/>
    </row>
    <row r="947" spans="1:12" outlineLevel="1" x14ac:dyDescent="0.35">
      <c r="A947" s="483"/>
      <c r="B947" s="762" t="s">
        <v>1917</v>
      </c>
      <c r="C947" s="664" t="s">
        <v>410</v>
      </c>
      <c r="D947" s="664"/>
      <c r="E947" s="664"/>
      <c r="F947" s="665"/>
      <c r="G947" s="664"/>
      <c r="H947" s="664"/>
      <c r="I947" s="664"/>
      <c r="J947" s="727"/>
      <c r="K947" s="664"/>
      <c r="L947" s="666"/>
    </row>
    <row r="948" spans="1:12" outlineLevel="1" x14ac:dyDescent="0.35">
      <c r="A948" s="483"/>
      <c r="B948" s="762" t="s">
        <v>1917</v>
      </c>
      <c r="C948" s="664" t="s">
        <v>411</v>
      </c>
      <c r="D948" s="664"/>
      <c r="E948" s="664"/>
      <c r="F948" s="665"/>
      <c r="G948" s="664"/>
      <c r="H948" s="664"/>
      <c r="I948" s="664"/>
      <c r="J948" s="727"/>
      <c r="K948" s="664"/>
      <c r="L948" s="666"/>
    </row>
    <row r="949" spans="1:12" outlineLevel="1" x14ac:dyDescent="0.35">
      <c r="A949" s="483"/>
      <c r="B949" s="762" t="s">
        <v>1917</v>
      </c>
      <c r="C949" s="664" t="s">
        <v>412</v>
      </c>
      <c r="D949" s="664"/>
      <c r="E949" s="664"/>
      <c r="F949" s="665"/>
      <c r="G949" s="664"/>
      <c r="H949" s="664"/>
      <c r="I949" s="664"/>
      <c r="J949" s="727"/>
      <c r="K949" s="664"/>
      <c r="L949" s="666"/>
    </row>
    <row r="950" spans="1:12" outlineLevel="1" x14ac:dyDescent="0.35">
      <c r="A950" s="483"/>
      <c r="B950" s="762" t="s">
        <v>1917</v>
      </c>
      <c r="C950" s="664" t="s">
        <v>413</v>
      </c>
      <c r="D950" s="664"/>
      <c r="E950" s="664"/>
      <c r="F950" s="665"/>
      <c r="G950" s="664"/>
      <c r="H950" s="664"/>
      <c r="I950" s="664"/>
      <c r="J950" s="727"/>
      <c r="K950" s="664"/>
      <c r="L950" s="666"/>
    </row>
    <row r="951" spans="1:12" outlineLevel="1" x14ac:dyDescent="0.35">
      <c r="A951" s="483"/>
      <c r="B951" s="762" t="s">
        <v>1917</v>
      </c>
      <c r="C951" s="664" t="s">
        <v>414</v>
      </c>
      <c r="D951" s="664"/>
      <c r="E951" s="664"/>
      <c r="F951" s="665"/>
      <c r="G951" s="664"/>
      <c r="H951" s="664"/>
      <c r="I951" s="664"/>
      <c r="J951" s="727"/>
      <c r="K951" s="664"/>
      <c r="L951" s="666"/>
    </row>
    <row r="952" spans="1:12" outlineLevel="1" x14ac:dyDescent="0.35">
      <c r="A952" s="483"/>
      <c r="B952" s="762" t="s">
        <v>1917</v>
      </c>
      <c r="C952" s="664" t="s">
        <v>415</v>
      </c>
      <c r="D952" s="664"/>
      <c r="E952" s="664"/>
      <c r="F952" s="665"/>
      <c r="G952" s="664"/>
      <c r="H952" s="664"/>
      <c r="I952" s="664"/>
      <c r="J952" s="727"/>
      <c r="K952" s="664"/>
      <c r="L952" s="666"/>
    </row>
    <row r="953" spans="1:12" outlineLevel="1" x14ac:dyDescent="0.35">
      <c r="A953" s="483"/>
      <c r="B953" s="762" t="s">
        <v>1917</v>
      </c>
      <c r="C953" s="664" t="s">
        <v>416</v>
      </c>
      <c r="D953" s="664"/>
      <c r="E953" s="664"/>
      <c r="F953" s="665"/>
      <c r="G953" s="664"/>
      <c r="H953" s="664"/>
      <c r="I953" s="664"/>
      <c r="J953" s="727"/>
      <c r="K953" s="664"/>
      <c r="L953" s="666"/>
    </row>
    <row r="954" spans="1:12" outlineLevel="1" x14ac:dyDescent="0.35">
      <c r="A954" s="483"/>
      <c r="B954" s="762" t="s">
        <v>1917</v>
      </c>
      <c r="C954" s="664" t="s">
        <v>417</v>
      </c>
      <c r="D954" s="664"/>
      <c r="E954" s="664"/>
      <c r="F954" s="665"/>
      <c r="G954" s="664"/>
      <c r="H954" s="664"/>
      <c r="I954" s="664"/>
      <c r="J954" s="727"/>
      <c r="K954" s="664"/>
      <c r="L954" s="666"/>
    </row>
    <row r="955" spans="1:12" outlineLevel="1" x14ac:dyDescent="0.35">
      <c r="A955" s="483"/>
      <c r="B955" s="762" t="s">
        <v>1917</v>
      </c>
      <c r="C955" s="664" t="s">
        <v>418</v>
      </c>
      <c r="D955" s="664"/>
      <c r="E955" s="664"/>
      <c r="F955" s="665"/>
      <c r="G955" s="664"/>
      <c r="H955" s="664"/>
      <c r="I955" s="664"/>
      <c r="J955" s="727"/>
      <c r="K955" s="664"/>
      <c r="L955" s="666"/>
    </row>
    <row r="956" spans="1:12" outlineLevel="1" x14ac:dyDescent="0.35">
      <c r="A956" s="483"/>
      <c r="B956" s="762" t="s">
        <v>1917</v>
      </c>
      <c r="C956" s="664" t="s">
        <v>419</v>
      </c>
      <c r="D956" s="664"/>
      <c r="E956" s="664"/>
      <c r="F956" s="665"/>
      <c r="G956" s="664"/>
      <c r="H956" s="664"/>
      <c r="I956" s="664"/>
      <c r="J956" s="727"/>
      <c r="K956" s="664"/>
      <c r="L956" s="666"/>
    </row>
    <row r="957" spans="1:12" outlineLevel="1" x14ac:dyDescent="0.35">
      <c r="A957" s="483"/>
      <c r="B957" s="762" t="s">
        <v>1917</v>
      </c>
      <c r="C957" s="664" t="s">
        <v>420</v>
      </c>
      <c r="D957" s="664"/>
      <c r="E957" s="664"/>
      <c r="F957" s="665"/>
      <c r="G957" s="664"/>
      <c r="H957" s="664"/>
      <c r="I957" s="664"/>
      <c r="J957" s="727"/>
      <c r="K957" s="664"/>
      <c r="L957" s="666"/>
    </row>
    <row r="958" spans="1:12" outlineLevel="1" x14ac:dyDescent="0.35">
      <c r="A958" s="483"/>
      <c r="B958" s="762" t="s">
        <v>1917</v>
      </c>
      <c r="C958" s="664" t="s">
        <v>421</v>
      </c>
      <c r="D958" s="664"/>
      <c r="E958" s="664"/>
      <c r="F958" s="665"/>
      <c r="G958" s="664"/>
      <c r="H958" s="664"/>
      <c r="I958" s="664"/>
      <c r="J958" s="727"/>
      <c r="K958" s="664"/>
      <c r="L958" s="666"/>
    </row>
    <row r="959" spans="1:12" outlineLevel="1" x14ac:dyDescent="0.35">
      <c r="A959" s="483"/>
      <c r="B959" s="762" t="s">
        <v>1917</v>
      </c>
      <c r="C959" s="664" t="s">
        <v>422</v>
      </c>
      <c r="D959" s="664"/>
      <c r="E959" s="664"/>
      <c r="F959" s="665"/>
      <c r="G959" s="664"/>
      <c r="H959" s="664"/>
      <c r="I959" s="664"/>
      <c r="J959" s="727"/>
      <c r="K959" s="664"/>
      <c r="L959" s="666"/>
    </row>
    <row r="960" spans="1:12" outlineLevel="1" x14ac:dyDescent="0.35">
      <c r="A960" s="483"/>
      <c r="B960" s="762" t="s">
        <v>1917</v>
      </c>
      <c r="C960" s="664" t="s">
        <v>423</v>
      </c>
      <c r="D960" s="664"/>
      <c r="E960" s="664"/>
      <c r="F960" s="665"/>
      <c r="G960" s="664"/>
      <c r="H960" s="664"/>
      <c r="I960" s="664"/>
      <c r="J960" s="727"/>
      <c r="K960" s="664"/>
      <c r="L960" s="666"/>
    </row>
    <row r="961" spans="1:12" outlineLevel="1" x14ac:dyDescent="0.35">
      <c r="A961" s="483"/>
      <c r="B961" s="762" t="s">
        <v>1917</v>
      </c>
      <c r="C961" s="664" t="s">
        <v>424</v>
      </c>
      <c r="D961" s="664"/>
      <c r="E961" s="664"/>
      <c r="F961" s="665"/>
      <c r="G961" s="664"/>
      <c r="H961" s="664"/>
      <c r="I961" s="664"/>
      <c r="J961" s="727"/>
      <c r="K961" s="664"/>
      <c r="L961" s="666"/>
    </row>
    <row r="962" spans="1:12" outlineLevel="1" x14ac:dyDescent="0.35">
      <c r="A962" s="483"/>
      <c r="B962" s="762" t="s">
        <v>1917</v>
      </c>
      <c r="C962" s="664" t="s">
        <v>425</v>
      </c>
      <c r="D962" s="664"/>
      <c r="E962" s="664"/>
      <c r="F962" s="665"/>
      <c r="G962" s="664"/>
      <c r="H962" s="664"/>
      <c r="I962" s="664"/>
      <c r="J962" s="727"/>
      <c r="K962" s="664"/>
      <c r="L962" s="666"/>
    </row>
    <row r="963" spans="1:12" outlineLevel="1" x14ac:dyDescent="0.35">
      <c r="A963" s="483"/>
      <c r="B963" s="762" t="s">
        <v>1917</v>
      </c>
      <c r="C963" s="664" t="s">
        <v>426</v>
      </c>
      <c r="D963" s="664"/>
      <c r="E963" s="664"/>
      <c r="F963" s="665"/>
      <c r="G963" s="664"/>
      <c r="H963" s="664"/>
      <c r="I963" s="664"/>
      <c r="J963" s="727"/>
      <c r="K963" s="664"/>
      <c r="L963" s="666"/>
    </row>
    <row r="964" spans="1:12" outlineLevel="1" x14ac:dyDescent="0.35">
      <c r="A964" s="483"/>
      <c r="B964" s="762" t="s">
        <v>1917</v>
      </c>
      <c r="C964" s="664" t="s">
        <v>427</v>
      </c>
      <c r="D964" s="664"/>
      <c r="E964" s="664"/>
      <c r="F964" s="665"/>
      <c r="G964" s="664"/>
      <c r="H964" s="664"/>
      <c r="I964" s="664"/>
      <c r="J964" s="727"/>
      <c r="K964" s="664"/>
      <c r="L964" s="666"/>
    </row>
    <row r="965" spans="1:12" outlineLevel="1" x14ac:dyDescent="0.35">
      <c r="A965" s="483"/>
      <c r="B965" s="762" t="s">
        <v>1917</v>
      </c>
      <c r="C965" s="664" t="s">
        <v>428</v>
      </c>
      <c r="D965" s="664"/>
      <c r="E965" s="664"/>
      <c r="F965" s="665"/>
      <c r="G965" s="664"/>
      <c r="H965" s="664"/>
      <c r="I965" s="664"/>
      <c r="J965" s="727"/>
      <c r="K965" s="664"/>
      <c r="L965" s="666"/>
    </row>
    <row r="966" spans="1:12" outlineLevel="1" x14ac:dyDescent="0.35">
      <c r="A966" s="483"/>
      <c r="B966" s="762" t="s">
        <v>1917</v>
      </c>
      <c r="C966" s="664" t="s">
        <v>429</v>
      </c>
      <c r="D966" s="664"/>
      <c r="E966" s="664"/>
      <c r="F966" s="665"/>
      <c r="G966" s="664"/>
      <c r="H966" s="664"/>
      <c r="I966" s="664"/>
      <c r="J966" s="727"/>
      <c r="K966" s="664"/>
      <c r="L966" s="666"/>
    </row>
    <row r="967" spans="1:12" outlineLevel="1" x14ac:dyDescent="0.35">
      <c r="A967" s="483"/>
      <c r="B967" s="762" t="s">
        <v>1917</v>
      </c>
      <c r="C967" s="664" t="s">
        <v>430</v>
      </c>
      <c r="D967" s="664"/>
      <c r="E967" s="664"/>
      <c r="F967" s="665"/>
      <c r="G967" s="664"/>
      <c r="H967" s="664"/>
      <c r="I967" s="664"/>
      <c r="J967" s="727"/>
      <c r="K967" s="664"/>
      <c r="L967" s="666"/>
    </row>
    <row r="968" spans="1:12" outlineLevel="1" x14ac:dyDescent="0.35">
      <c r="A968" s="483"/>
      <c r="B968" s="762" t="s">
        <v>1917</v>
      </c>
      <c r="C968" s="664" t="s">
        <v>431</v>
      </c>
      <c r="D968" s="664"/>
      <c r="E968" s="664"/>
      <c r="F968" s="665"/>
      <c r="G968" s="664"/>
      <c r="H968" s="664"/>
      <c r="I968" s="664"/>
      <c r="J968" s="727"/>
      <c r="K968" s="664"/>
      <c r="L968" s="666"/>
    </row>
    <row r="969" spans="1:12" outlineLevel="1" x14ac:dyDescent="0.35">
      <c r="A969" s="483"/>
      <c r="B969" s="762" t="s">
        <v>1917</v>
      </c>
      <c r="C969" s="664" t="s">
        <v>432</v>
      </c>
      <c r="D969" s="664"/>
      <c r="E969" s="664"/>
      <c r="F969" s="665"/>
      <c r="G969" s="664"/>
      <c r="H969" s="664"/>
      <c r="I969" s="664"/>
      <c r="J969" s="727"/>
      <c r="K969" s="664"/>
      <c r="L969" s="666"/>
    </row>
    <row r="970" spans="1:12" outlineLevel="1" x14ac:dyDescent="0.35">
      <c r="A970" s="483"/>
      <c r="B970" s="762" t="s">
        <v>1917</v>
      </c>
      <c r="C970" s="664" t="s">
        <v>433</v>
      </c>
      <c r="D970" s="664"/>
      <c r="E970" s="664"/>
      <c r="F970" s="665"/>
      <c r="G970" s="664"/>
      <c r="H970" s="664"/>
      <c r="I970" s="664"/>
      <c r="J970" s="727"/>
      <c r="K970" s="664"/>
      <c r="L970" s="666"/>
    </row>
    <row r="971" spans="1:12" outlineLevel="1" x14ac:dyDescent="0.35">
      <c r="A971" s="483"/>
      <c r="B971" s="762" t="s">
        <v>1917</v>
      </c>
      <c r="C971" s="664" t="s">
        <v>434</v>
      </c>
      <c r="D971" s="664"/>
      <c r="E971" s="664"/>
      <c r="F971" s="665"/>
      <c r="G971" s="664"/>
      <c r="H971" s="664"/>
      <c r="I971" s="664"/>
      <c r="J971" s="727"/>
      <c r="K971" s="664"/>
      <c r="L971" s="666"/>
    </row>
    <row r="972" spans="1:12" outlineLevel="1" x14ac:dyDescent="0.35">
      <c r="A972" s="483"/>
      <c r="B972" s="762" t="s">
        <v>1917</v>
      </c>
      <c r="C972" s="664" t="s">
        <v>435</v>
      </c>
      <c r="D972" s="664"/>
      <c r="E972" s="664"/>
      <c r="F972" s="665"/>
      <c r="G972" s="664"/>
      <c r="H972" s="664"/>
      <c r="I972" s="664"/>
      <c r="J972" s="727"/>
      <c r="K972" s="664"/>
      <c r="L972" s="666"/>
    </row>
    <row r="973" spans="1:12" outlineLevel="1" x14ac:dyDescent="0.35">
      <c r="A973" s="483"/>
      <c r="B973" s="762" t="s">
        <v>1917</v>
      </c>
      <c r="C973" s="664" t="s">
        <v>436</v>
      </c>
      <c r="D973" s="664"/>
      <c r="E973" s="664"/>
      <c r="F973" s="665"/>
      <c r="G973" s="664"/>
      <c r="H973" s="664"/>
      <c r="I973" s="664"/>
      <c r="J973" s="727"/>
      <c r="K973" s="664"/>
      <c r="L973" s="666"/>
    </row>
    <row r="974" spans="1:12" outlineLevel="1" x14ac:dyDescent="0.35">
      <c r="A974" s="483"/>
      <c r="B974" s="762" t="s">
        <v>1917</v>
      </c>
      <c r="C974" s="664" t="s">
        <v>437</v>
      </c>
      <c r="D974" s="664"/>
      <c r="E974" s="664"/>
      <c r="F974" s="665"/>
      <c r="G974" s="664"/>
      <c r="H974" s="664"/>
      <c r="I974" s="664"/>
      <c r="J974" s="727"/>
      <c r="K974" s="664"/>
      <c r="L974" s="666"/>
    </row>
    <row r="975" spans="1:12" outlineLevel="1" x14ac:dyDescent="0.35">
      <c r="A975" s="483"/>
      <c r="B975" s="762" t="s">
        <v>1917</v>
      </c>
      <c r="C975" s="664" t="s">
        <v>438</v>
      </c>
      <c r="D975" s="664"/>
      <c r="E975" s="664"/>
      <c r="F975" s="665"/>
      <c r="G975" s="664"/>
      <c r="H975" s="664"/>
      <c r="I975" s="664"/>
      <c r="J975" s="727"/>
      <c r="K975" s="664"/>
      <c r="L975" s="666"/>
    </row>
    <row r="976" spans="1:12" outlineLevel="1" x14ac:dyDescent="0.35">
      <c r="A976" s="483"/>
      <c r="B976" s="762" t="s">
        <v>1917</v>
      </c>
      <c r="C976" s="664" t="s">
        <v>439</v>
      </c>
      <c r="D976" s="664"/>
      <c r="E976" s="664"/>
      <c r="F976" s="665"/>
      <c r="G976" s="664"/>
      <c r="H976" s="664"/>
      <c r="I976" s="664"/>
      <c r="J976" s="727"/>
      <c r="K976" s="664"/>
      <c r="L976" s="666"/>
    </row>
    <row r="977" spans="1:12" outlineLevel="1" x14ac:dyDescent="0.35">
      <c r="A977" s="483"/>
      <c r="B977" s="762" t="s">
        <v>1917</v>
      </c>
      <c r="C977" s="664" t="s">
        <v>440</v>
      </c>
      <c r="D977" s="664"/>
      <c r="E977" s="664"/>
      <c r="F977" s="665"/>
      <c r="G977" s="664"/>
      <c r="H977" s="664"/>
      <c r="I977" s="664"/>
      <c r="J977" s="727"/>
      <c r="K977" s="664"/>
      <c r="L977" s="666"/>
    </row>
    <row r="978" spans="1:12" outlineLevel="1" x14ac:dyDescent="0.35">
      <c r="A978" s="483"/>
      <c r="B978" s="762" t="s">
        <v>1917</v>
      </c>
      <c r="C978" s="664" t="s">
        <v>441</v>
      </c>
      <c r="D978" s="664"/>
      <c r="E978" s="664"/>
      <c r="F978" s="665"/>
      <c r="G978" s="664"/>
      <c r="H978" s="664"/>
      <c r="I978" s="664"/>
      <c r="J978" s="727"/>
      <c r="K978" s="664"/>
      <c r="L978" s="666"/>
    </row>
    <row r="979" spans="1:12" outlineLevel="1" x14ac:dyDescent="0.35">
      <c r="A979" s="483"/>
      <c r="B979" s="762" t="s">
        <v>1917</v>
      </c>
      <c r="C979" s="664" t="s">
        <v>442</v>
      </c>
      <c r="D979" s="664"/>
      <c r="E979" s="664"/>
      <c r="F979" s="665"/>
      <c r="G979" s="664"/>
      <c r="H979" s="664"/>
      <c r="I979" s="664"/>
      <c r="J979" s="727"/>
      <c r="K979" s="664"/>
      <c r="L979" s="666"/>
    </row>
    <row r="980" spans="1:12" outlineLevel="1" x14ac:dyDescent="0.35">
      <c r="A980" s="483"/>
      <c r="B980" s="762" t="s">
        <v>1917</v>
      </c>
      <c r="C980" s="664" t="s">
        <v>443</v>
      </c>
      <c r="D980" s="664"/>
      <c r="E980" s="664"/>
      <c r="F980" s="665"/>
      <c r="G980" s="664"/>
      <c r="H980" s="664"/>
      <c r="I980" s="664"/>
      <c r="J980" s="727"/>
      <c r="K980" s="664"/>
      <c r="L980" s="666"/>
    </row>
    <row r="981" spans="1:12" outlineLevel="1" x14ac:dyDescent="0.35">
      <c r="A981" s="483"/>
      <c r="B981" s="762" t="s">
        <v>1917</v>
      </c>
      <c r="C981" s="664" t="s">
        <v>444</v>
      </c>
      <c r="D981" s="664"/>
      <c r="E981" s="664"/>
      <c r="F981" s="665"/>
      <c r="G981" s="664"/>
      <c r="H981" s="664"/>
      <c r="I981" s="664"/>
      <c r="J981" s="727"/>
      <c r="K981" s="664"/>
      <c r="L981" s="666"/>
    </row>
    <row r="982" spans="1:12" outlineLevel="1" x14ac:dyDescent="0.35">
      <c r="A982" s="483"/>
      <c r="B982" s="762" t="s">
        <v>1917</v>
      </c>
      <c r="C982" s="664" t="s">
        <v>445</v>
      </c>
      <c r="D982" s="664"/>
      <c r="E982" s="664"/>
      <c r="F982" s="665"/>
      <c r="G982" s="664"/>
      <c r="H982" s="664"/>
      <c r="I982" s="664"/>
      <c r="J982" s="727"/>
      <c r="K982" s="664"/>
      <c r="L982" s="666"/>
    </row>
    <row r="983" spans="1:12" outlineLevel="1" x14ac:dyDescent="0.35">
      <c r="A983" s="483"/>
      <c r="B983" s="762" t="s">
        <v>1917</v>
      </c>
      <c r="C983" s="664" t="s">
        <v>446</v>
      </c>
      <c r="D983" s="664"/>
      <c r="E983" s="664"/>
      <c r="F983" s="665"/>
      <c r="G983" s="664"/>
      <c r="H983" s="664"/>
      <c r="I983" s="664"/>
      <c r="J983" s="727"/>
      <c r="K983" s="664"/>
      <c r="L983" s="666"/>
    </row>
    <row r="984" spans="1:12" outlineLevel="1" x14ac:dyDescent="0.35">
      <c r="A984" s="483"/>
      <c r="B984" s="762" t="s">
        <v>1917</v>
      </c>
      <c r="C984" s="664" t="s">
        <v>447</v>
      </c>
      <c r="D984" s="664"/>
      <c r="E984" s="664"/>
      <c r="F984" s="665"/>
      <c r="G984" s="664"/>
      <c r="H984" s="664"/>
      <c r="I984" s="664"/>
      <c r="J984" s="727"/>
      <c r="K984" s="664"/>
      <c r="L984" s="666"/>
    </row>
    <row r="985" spans="1:12" outlineLevel="1" x14ac:dyDescent="0.35">
      <c r="A985" s="483"/>
      <c r="B985" s="762" t="s">
        <v>1917</v>
      </c>
      <c r="C985" s="664" t="s">
        <v>448</v>
      </c>
      <c r="D985" s="664"/>
      <c r="E985" s="664"/>
      <c r="F985" s="665"/>
      <c r="G985" s="664"/>
      <c r="H985" s="664"/>
      <c r="I985" s="664"/>
      <c r="J985" s="727"/>
      <c r="K985" s="664"/>
      <c r="L985" s="666"/>
    </row>
    <row r="986" spans="1:12" outlineLevel="1" x14ac:dyDescent="0.35">
      <c r="A986" s="483"/>
      <c r="B986" s="762" t="s">
        <v>1917</v>
      </c>
      <c r="C986" s="664" t="s">
        <v>449</v>
      </c>
      <c r="D986" s="664"/>
      <c r="E986" s="664"/>
      <c r="F986" s="665"/>
      <c r="G986" s="664"/>
      <c r="H986" s="664"/>
      <c r="I986" s="664"/>
      <c r="J986" s="727"/>
      <c r="K986" s="664"/>
      <c r="L986" s="666"/>
    </row>
    <row r="987" spans="1:12" outlineLevel="1" x14ac:dyDescent="0.35">
      <c r="A987" s="483"/>
      <c r="B987" s="762" t="s">
        <v>1917</v>
      </c>
      <c r="C987" s="664" t="s">
        <v>450</v>
      </c>
      <c r="D987" s="664"/>
      <c r="E987" s="664"/>
      <c r="F987" s="665"/>
      <c r="G987" s="664"/>
      <c r="H987" s="664"/>
      <c r="I987" s="664"/>
      <c r="J987" s="727"/>
      <c r="K987" s="664"/>
      <c r="L987" s="666"/>
    </row>
    <row r="988" spans="1:12" outlineLevel="1" x14ac:dyDescent="0.35">
      <c r="A988" s="483"/>
      <c r="B988" s="762" t="s">
        <v>1917</v>
      </c>
      <c r="C988" s="664" t="s">
        <v>451</v>
      </c>
      <c r="D988" s="664"/>
      <c r="E988" s="664"/>
      <c r="F988" s="665"/>
      <c r="G988" s="664"/>
      <c r="H988" s="664"/>
      <c r="I988" s="664"/>
      <c r="J988" s="727"/>
      <c r="K988" s="664"/>
      <c r="L988" s="666"/>
    </row>
    <row r="989" spans="1:12" outlineLevel="1" x14ac:dyDescent="0.35">
      <c r="A989" s="483"/>
      <c r="B989" s="762" t="s">
        <v>1917</v>
      </c>
      <c r="C989" s="664" t="s">
        <v>452</v>
      </c>
      <c r="D989" s="664"/>
      <c r="E989" s="664"/>
      <c r="F989" s="665"/>
      <c r="G989" s="664"/>
      <c r="H989" s="664"/>
      <c r="I989" s="664"/>
      <c r="J989" s="727"/>
      <c r="K989" s="664"/>
      <c r="L989" s="666"/>
    </row>
    <row r="990" spans="1:12" outlineLevel="1" x14ac:dyDescent="0.35">
      <c r="A990" s="483"/>
      <c r="B990" s="762" t="s">
        <v>1917</v>
      </c>
      <c r="C990" s="664" t="s">
        <v>453</v>
      </c>
      <c r="D990" s="664"/>
      <c r="E990" s="664"/>
      <c r="F990" s="665"/>
      <c r="G990" s="664"/>
      <c r="H990" s="664"/>
      <c r="I990" s="664"/>
      <c r="J990" s="727"/>
      <c r="K990" s="664"/>
      <c r="L990" s="666"/>
    </row>
    <row r="991" spans="1:12" outlineLevel="1" x14ac:dyDescent="0.35">
      <c r="A991" s="483"/>
      <c r="B991" s="762" t="s">
        <v>1917</v>
      </c>
      <c r="C991" s="664" t="s">
        <v>454</v>
      </c>
      <c r="D991" s="664"/>
      <c r="E991" s="664"/>
      <c r="F991" s="665"/>
      <c r="G991" s="664"/>
      <c r="H991" s="664"/>
      <c r="I991" s="664"/>
      <c r="J991" s="727"/>
      <c r="K991" s="664"/>
      <c r="L991" s="666"/>
    </row>
    <row r="992" spans="1:12" outlineLevel="1" x14ac:dyDescent="0.35">
      <c r="A992" s="483"/>
      <c r="B992" s="762" t="s">
        <v>1917</v>
      </c>
      <c r="C992" s="664" t="s">
        <v>455</v>
      </c>
      <c r="D992" s="664"/>
      <c r="E992" s="664"/>
      <c r="F992" s="665"/>
      <c r="G992" s="664"/>
      <c r="H992" s="664"/>
      <c r="I992" s="664"/>
      <c r="J992" s="727"/>
      <c r="K992" s="664"/>
      <c r="L992" s="666"/>
    </row>
    <row r="993" spans="1:12" outlineLevel="1" x14ac:dyDescent="0.35">
      <c r="A993" s="483"/>
      <c r="B993" s="762" t="s">
        <v>1917</v>
      </c>
      <c r="C993" s="664" t="s">
        <v>456</v>
      </c>
      <c r="D993" s="664"/>
      <c r="E993" s="664"/>
      <c r="F993" s="665"/>
      <c r="G993" s="664"/>
      <c r="H993" s="664"/>
      <c r="I993" s="664"/>
      <c r="J993" s="727"/>
      <c r="K993" s="664"/>
      <c r="L993" s="666"/>
    </row>
    <row r="994" spans="1:12" outlineLevel="1" x14ac:dyDescent="0.35">
      <c r="A994" s="483"/>
      <c r="B994" s="762" t="s">
        <v>1917</v>
      </c>
      <c r="C994" s="664" t="s">
        <v>457</v>
      </c>
      <c r="D994" s="664"/>
      <c r="E994" s="664"/>
      <c r="F994" s="665"/>
      <c r="G994" s="664"/>
      <c r="H994" s="664"/>
      <c r="I994" s="664"/>
      <c r="J994" s="727"/>
      <c r="K994" s="664"/>
      <c r="L994" s="666"/>
    </row>
    <row r="995" spans="1:12" outlineLevel="1" x14ac:dyDescent="0.35">
      <c r="A995" s="483"/>
      <c r="B995" s="762" t="s">
        <v>1917</v>
      </c>
      <c r="C995" s="664" t="s">
        <v>458</v>
      </c>
      <c r="D995" s="664"/>
      <c r="E995" s="664"/>
      <c r="F995" s="665"/>
      <c r="G995" s="664"/>
      <c r="H995" s="664"/>
      <c r="I995" s="664"/>
      <c r="J995" s="727"/>
      <c r="K995" s="664"/>
      <c r="L995" s="666"/>
    </row>
    <row r="996" spans="1:12" outlineLevel="1" x14ac:dyDescent="0.35">
      <c r="A996" s="483"/>
      <c r="B996" s="762" t="s">
        <v>1917</v>
      </c>
      <c r="C996" s="664" t="s">
        <v>459</v>
      </c>
      <c r="D996" s="664"/>
      <c r="E996" s="664"/>
      <c r="F996" s="665"/>
      <c r="G996" s="664"/>
      <c r="H996" s="664"/>
      <c r="I996" s="664"/>
      <c r="J996" s="727"/>
      <c r="K996" s="664"/>
      <c r="L996" s="666"/>
    </row>
    <row r="997" spans="1:12" outlineLevel="1" x14ac:dyDescent="0.35">
      <c r="A997" s="483"/>
      <c r="B997" s="762" t="s">
        <v>1917</v>
      </c>
      <c r="C997" s="664" t="s">
        <v>460</v>
      </c>
      <c r="D997" s="664"/>
      <c r="E997" s="664"/>
      <c r="F997" s="665"/>
      <c r="G997" s="664"/>
      <c r="H997" s="664"/>
      <c r="I997" s="664"/>
      <c r="J997" s="727"/>
      <c r="K997" s="664"/>
      <c r="L997" s="666"/>
    </row>
    <row r="998" spans="1:12" outlineLevel="1" x14ac:dyDescent="0.35">
      <c r="A998" s="483"/>
      <c r="B998" s="762" t="s">
        <v>1917</v>
      </c>
      <c r="C998" s="664" t="s">
        <v>461</v>
      </c>
      <c r="D998" s="664"/>
      <c r="E998" s="664"/>
      <c r="F998" s="665"/>
      <c r="G998" s="664"/>
      <c r="H998" s="664"/>
      <c r="I998" s="664"/>
      <c r="J998" s="727"/>
      <c r="K998" s="664"/>
      <c r="L998" s="666"/>
    </row>
    <row r="999" spans="1:12" outlineLevel="1" x14ac:dyDescent="0.35">
      <c r="A999" s="483"/>
      <c r="B999" s="762" t="s">
        <v>1917</v>
      </c>
      <c r="C999" s="664" t="s">
        <v>462</v>
      </c>
      <c r="D999" s="664"/>
      <c r="E999" s="664"/>
      <c r="F999" s="665"/>
      <c r="G999" s="664"/>
      <c r="H999" s="664"/>
      <c r="I999" s="664"/>
      <c r="J999" s="727"/>
      <c r="K999" s="664"/>
      <c r="L999" s="666"/>
    </row>
    <row r="1000" spans="1:12" outlineLevel="1" x14ac:dyDescent="0.35">
      <c r="A1000" s="483"/>
      <c r="B1000" s="762" t="s">
        <v>1917</v>
      </c>
      <c r="C1000" s="664" t="s">
        <v>463</v>
      </c>
      <c r="D1000" s="664"/>
      <c r="E1000" s="664"/>
      <c r="F1000" s="665"/>
      <c r="G1000" s="664"/>
      <c r="H1000" s="664"/>
      <c r="I1000" s="664"/>
      <c r="J1000" s="727"/>
      <c r="K1000" s="664"/>
      <c r="L1000" s="666"/>
    </row>
    <row r="1001" spans="1:12" outlineLevel="1" x14ac:dyDescent="0.35">
      <c r="A1001" s="483"/>
      <c r="B1001" s="762" t="s">
        <v>1917</v>
      </c>
      <c r="C1001" s="664" t="s">
        <v>464</v>
      </c>
      <c r="D1001" s="664"/>
      <c r="E1001" s="664"/>
      <c r="F1001" s="665"/>
      <c r="G1001" s="664"/>
      <c r="H1001" s="664"/>
      <c r="I1001" s="664"/>
      <c r="J1001" s="727"/>
      <c r="K1001" s="664"/>
      <c r="L1001" s="666"/>
    </row>
    <row r="1002" spans="1:12" outlineLevel="1" x14ac:dyDescent="0.35">
      <c r="A1002" s="483"/>
      <c r="B1002" s="762" t="s">
        <v>1917</v>
      </c>
      <c r="C1002" s="664" t="s">
        <v>465</v>
      </c>
      <c r="D1002" s="664"/>
      <c r="E1002" s="664"/>
      <c r="F1002" s="665"/>
      <c r="G1002" s="664"/>
      <c r="H1002" s="664"/>
      <c r="I1002" s="664"/>
      <c r="J1002" s="727"/>
      <c r="K1002" s="664"/>
      <c r="L1002" s="666"/>
    </row>
    <row r="1003" spans="1:12" outlineLevel="1" x14ac:dyDescent="0.35">
      <c r="A1003" s="483"/>
      <c r="B1003" s="762" t="s">
        <v>1917</v>
      </c>
      <c r="C1003" s="664" t="s">
        <v>466</v>
      </c>
      <c r="D1003" s="664"/>
      <c r="E1003" s="664"/>
      <c r="F1003" s="665"/>
      <c r="G1003" s="664"/>
      <c r="H1003" s="664"/>
      <c r="I1003" s="664"/>
      <c r="J1003" s="727"/>
      <c r="K1003" s="664"/>
      <c r="L1003" s="666"/>
    </row>
    <row r="1004" spans="1:12" outlineLevel="1" x14ac:dyDescent="0.35">
      <c r="A1004" s="483"/>
      <c r="B1004" s="762" t="s">
        <v>1917</v>
      </c>
      <c r="C1004" s="664" t="s">
        <v>467</v>
      </c>
      <c r="D1004" s="664"/>
      <c r="E1004" s="664"/>
      <c r="F1004" s="665"/>
      <c r="G1004" s="664"/>
      <c r="H1004" s="664"/>
      <c r="I1004" s="664"/>
      <c r="J1004" s="727"/>
      <c r="K1004" s="664"/>
      <c r="L1004" s="666"/>
    </row>
    <row r="1005" spans="1:12" outlineLevel="1" x14ac:dyDescent="0.35">
      <c r="A1005" s="483"/>
      <c r="B1005" s="762" t="s">
        <v>1917</v>
      </c>
      <c r="C1005" s="664" t="s">
        <v>468</v>
      </c>
      <c r="D1005" s="664"/>
      <c r="E1005" s="664"/>
      <c r="F1005" s="665"/>
      <c r="G1005" s="664"/>
      <c r="H1005" s="664"/>
      <c r="I1005" s="664"/>
      <c r="J1005" s="727"/>
      <c r="K1005" s="664"/>
      <c r="L1005" s="666"/>
    </row>
    <row r="1006" spans="1:12" outlineLevel="1" x14ac:dyDescent="0.35">
      <c r="A1006" s="483"/>
      <c r="B1006" s="762" t="s">
        <v>1917</v>
      </c>
      <c r="C1006" s="664" t="s">
        <v>469</v>
      </c>
      <c r="D1006" s="664"/>
      <c r="E1006" s="664"/>
      <c r="F1006" s="665"/>
      <c r="G1006" s="664"/>
      <c r="H1006" s="664"/>
      <c r="I1006" s="664"/>
      <c r="J1006" s="727"/>
      <c r="K1006" s="664"/>
      <c r="L1006" s="666"/>
    </row>
    <row r="1007" spans="1:12" outlineLevel="1" x14ac:dyDescent="0.35">
      <c r="A1007" s="483"/>
      <c r="B1007" s="762" t="s">
        <v>1917</v>
      </c>
      <c r="C1007" s="664" t="s">
        <v>470</v>
      </c>
      <c r="D1007" s="664"/>
      <c r="E1007" s="664"/>
      <c r="F1007" s="665"/>
      <c r="G1007" s="664"/>
      <c r="H1007" s="664"/>
      <c r="I1007" s="664"/>
      <c r="J1007" s="727"/>
      <c r="K1007" s="664"/>
      <c r="L1007" s="666"/>
    </row>
    <row r="1008" spans="1:12" outlineLevel="1" x14ac:dyDescent="0.35">
      <c r="A1008" s="483"/>
      <c r="B1008" s="762" t="s">
        <v>1917</v>
      </c>
      <c r="C1008" s="664" t="s">
        <v>471</v>
      </c>
      <c r="D1008" s="664"/>
      <c r="E1008" s="664"/>
      <c r="F1008" s="665"/>
      <c r="G1008" s="664"/>
      <c r="H1008" s="664"/>
      <c r="I1008" s="664"/>
      <c r="J1008" s="727"/>
      <c r="K1008" s="664"/>
      <c r="L1008" s="666"/>
    </row>
    <row r="1009" spans="1:12" outlineLevel="1" x14ac:dyDescent="0.35">
      <c r="A1009" s="483"/>
      <c r="B1009" s="762" t="s">
        <v>1917</v>
      </c>
      <c r="C1009" s="664" t="s">
        <v>472</v>
      </c>
      <c r="D1009" s="664"/>
      <c r="E1009" s="664"/>
      <c r="F1009" s="665"/>
      <c r="G1009" s="664"/>
      <c r="H1009" s="664"/>
      <c r="I1009" s="664"/>
      <c r="J1009" s="727"/>
      <c r="K1009" s="664"/>
      <c r="L1009" s="666"/>
    </row>
    <row r="1010" spans="1:12" outlineLevel="1" x14ac:dyDescent="0.35">
      <c r="A1010" s="483"/>
      <c r="B1010" s="762" t="s">
        <v>1917</v>
      </c>
      <c r="C1010" s="664" t="s">
        <v>473</v>
      </c>
      <c r="D1010" s="664"/>
      <c r="E1010" s="664"/>
      <c r="F1010" s="665"/>
      <c r="G1010" s="664"/>
      <c r="H1010" s="664"/>
      <c r="I1010" s="664"/>
      <c r="J1010" s="727"/>
      <c r="K1010" s="664"/>
      <c r="L1010" s="666"/>
    </row>
    <row r="1011" spans="1:12" outlineLevel="1" x14ac:dyDescent="0.35">
      <c r="A1011" s="483"/>
      <c r="B1011" s="762" t="s">
        <v>1917</v>
      </c>
      <c r="C1011" s="664" t="s">
        <v>474</v>
      </c>
      <c r="D1011" s="664"/>
      <c r="E1011" s="664"/>
      <c r="F1011" s="665"/>
      <c r="G1011" s="664"/>
      <c r="H1011" s="664"/>
      <c r="I1011" s="664"/>
      <c r="J1011" s="727"/>
      <c r="K1011" s="664"/>
      <c r="L1011" s="666"/>
    </row>
    <row r="1012" spans="1:12" outlineLevel="1" x14ac:dyDescent="0.35">
      <c r="A1012" s="483"/>
      <c r="B1012" s="762" t="s">
        <v>1917</v>
      </c>
      <c r="C1012" s="664" t="s">
        <v>475</v>
      </c>
      <c r="D1012" s="664"/>
      <c r="E1012" s="664"/>
      <c r="F1012" s="665"/>
      <c r="G1012" s="664"/>
      <c r="H1012" s="664"/>
      <c r="I1012" s="664"/>
      <c r="J1012" s="727"/>
      <c r="K1012" s="664"/>
      <c r="L1012" s="666"/>
    </row>
    <row r="1013" spans="1:12" outlineLevel="1" x14ac:dyDescent="0.35">
      <c r="A1013" s="483"/>
      <c r="B1013" s="762" t="s">
        <v>1917</v>
      </c>
      <c r="C1013" s="664" t="s">
        <v>476</v>
      </c>
      <c r="D1013" s="664"/>
      <c r="E1013" s="664"/>
      <c r="F1013" s="665"/>
      <c r="G1013" s="664"/>
      <c r="H1013" s="664"/>
      <c r="I1013" s="664"/>
      <c r="J1013" s="727"/>
      <c r="K1013" s="664"/>
      <c r="L1013" s="666"/>
    </row>
    <row r="1014" spans="1:12" outlineLevel="1" x14ac:dyDescent="0.35">
      <c r="A1014" s="483"/>
      <c r="B1014" s="762" t="s">
        <v>1917</v>
      </c>
      <c r="C1014" s="664" t="s">
        <v>477</v>
      </c>
      <c r="D1014" s="664"/>
      <c r="E1014" s="664"/>
      <c r="F1014" s="665"/>
      <c r="G1014" s="664"/>
      <c r="H1014" s="664"/>
      <c r="I1014" s="664"/>
      <c r="J1014" s="727"/>
      <c r="K1014" s="664"/>
      <c r="L1014" s="666"/>
    </row>
    <row r="1015" spans="1:12" outlineLevel="1" x14ac:dyDescent="0.35">
      <c r="A1015" s="483"/>
      <c r="B1015" s="762" t="s">
        <v>1917</v>
      </c>
      <c r="C1015" s="664" t="s">
        <v>478</v>
      </c>
      <c r="D1015" s="664"/>
      <c r="E1015" s="664"/>
      <c r="F1015" s="665"/>
      <c r="G1015" s="664"/>
      <c r="H1015" s="664"/>
      <c r="I1015" s="664"/>
      <c r="J1015" s="727"/>
      <c r="K1015" s="664"/>
      <c r="L1015" s="666"/>
    </row>
    <row r="1016" spans="1:12" outlineLevel="1" x14ac:dyDescent="0.35">
      <c r="A1016" s="483"/>
      <c r="B1016" s="762" t="s">
        <v>1917</v>
      </c>
      <c r="C1016" s="664" t="s">
        <v>479</v>
      </c>
      <c r="D1016" s="664"/>
      <c r="E1016" s="664"/>
      <c r="F1016" s="665"/>
      <c r="G1016" s="664"/>
      <c r="H1016" s="664"/>
      <c r="I1016" s="664"/>
      <c r="J1016" s="727"/>
      <c r="K1016" s="664"/>
      <c r="L1016" s="666"/>
    </row>
    <row r="1017" spans="1:12" outlineLevel="1" x14ac:dyDescent="0.35">
      <c r="A1017" s="483"/>
      <c r="B1017" s="762" t="s">
        <v>1917</v>
      </c>
      <c r="C1017" s="664" t="s">
        <v>480</v>
      </c>
      <c r="D1017" s="664"/>
      <c r="E1017" s="664"/>
      <c r="F1017" s="665"/>
      <c r="G1017" s="664"/>
      <c r="H1017" s="664"/>
      <c r="I1017" s="664"/>
      <c r="J1017" s="727"/>
      <c r="K1017" s="664"/>
      <c r="L1017" s="666"/>
    </row>
    <row r="1018" spans="1:12" outlineLevel="1" x14ac:dyDescent="0.35">
      <c r="A1018" s="483"/>
      <c r="B1018" s="762" t="s">
        <v>1917</v>
      </c>
      <c r="C1018" s="664" t="s">
        <v>481</v>
      </c>
      <c r="D1018" s="664"/>
      <c r="E1018" s="664"/>
      <c r="F1018" s="665"/>
      <c r="G1018" s="664"/>
      <c r="H1018" s="664"/>
      <c r="I1018" s="664"/>
      <c r="J1018" s="727"/>
      <c r="K1018" s="664"/>
      <c r="L1018" s="666"/>
    </row>
    <row r="1019" spans="1:12" outlineLevel="1" x14ac:dyDescent="0.35">
      <c r="A1019" s="483"/>
      <c r="B1019" s="762" t="s">
        <v>1917</v>
      </c>
      <c r="C1019" s="664" t="s">
        <v>482</v>
      </c>
      <c r="D1019" s="664"/>
      <c r="E1019" s="664"/>
      <c r="F1019" s="665"/>
      <c r="G1019" s="664"/>
      <c r="H1019" s="664"/>
      <c r="I1019" s="664"/>
      <c r="J1019" s="727"/>
      <c r="K1019" s="664"/>
      <c r="L1019" s="666"/>
    </row>
    <row r="1020" spans="1:12" outlineLevel="1" x14ac:dyDescent="0.35">
      <c r="A1020" s="483"/>
      <c r="B1020" s="762" t="s">
        <v>1917</v>
      </c>
      <c r="C1020" s="664" t="s">
        <v>483</v>
      </c>
      <c r="D1020" s="664"/>
      <c r="E1020" s="664"/>
      <c r="F1020" s="665"/>
      <c r="G1020" s="664"/>
      <c r="H1020" s="664"/>
      <c r="I1020" s="664"/>
      <c r="J1020" s="727"/>
      <c r="K1020" s="664"/>
      <c r="L1020" s="666"/>
    </row>
    <row r="1021" spans="1:12" outlineLevel="1" x14ac:dyDescent="0.35">
      <c r="A1021" s="483"/>
      <c r="B1021" s="762" t="s">
        <v>1917</v>
      </c>
      <c r="C1021" s="664" t="s">
        <v>484</v>
      </c>
      <c r="D1021" s="664"/>
      <c r="E1021" s="664"/>
      <c r="F1021" s="665"/>
      <c r="G1021" s="664"/>
      <c r="H1021" s="664"/>
      <c r="I1021" s="664"/>
      <c r="J1021" s="727"/>
      <c r="K1021" s="664"/>
      <c r="L1021" s="666"/>
    </row>
    <row r="1022" spans="1:12" outlineLevel="1" x14ac:dyDescent="0.35">
      <c r="A1022" s="483"/>
      <c r="B1022" s="762" t="s">
        <v>1917</v>
      </c>
      <c r="C1022" s="664" t="s">
        <v>485</v>
      </c>
      <c r="D1022" s="664"/>
      <c r="E1022" s="664"/>
      <c r="F1022" s="665"/>
      <c r="G1022" s="664"/>
      <c r="H1022" s="664"/>
      <c r="I1022" s="664"/>
      <c r="J1022" s="727"/>
      <c r="K1022" s="664"/>
      <c r="L1022" s="666"/>
    </row>
    <row r="1023" spans="1:12" outlineLevel="1" x14ac:dyDescent="0.35">
      <c r="A1023" s="483"/>
      <c r="B1023" s="762" t="s">
        <v>1917</v>
      </c>
      <c r="C1023" s="664" t="s">
        <v>486</v>
      </c>
      <c r="D1023" s="664"/>
      <c r="E1023" s="664"/>
      <c r="F1023" s="665"/>
      <c r="G1023" s="664"/>
      <c r="H1023" s="664"/>
      <c r="I1023" s="664"/>
      <c r="J1023" s="727"/>
      <c r="K1023" s="664"/>
      <c r="L1023" s="666"/>
    </row>
    <row r="1024" spans="1:12" outlineLevel="1" x14ac:dyDescent="0.35">
      <c r="A1024" s="483"/>
      <c r="B1024" s="762" t="s">
        <v>1917</v>
      </c>
      <c r="C1024" s="664" t="s">
        <v>487</v>
      </c>
      <c r="D1024" s="664"/>
      <c r="E1024" s="664"/>
      <c r="F1024" s="665"/>
      <c r="G1024" s="664"/>
      <c r="H1024" s="664"/>
      <c r="I1024" s="664"/>
      <c r="J1024" s="727"/>
      <c r="K1024" s="664"/>
      <c r="L1024" s="666"/>
    </row>
    <row r="1025" spans="1:19" ht="15" outlineLevel="1" thickBot="1" x14ac:dyDescent="0.4">
      <c r="A1025" s="483"/>
      <c r="B1025" s="761"/>
      <c r="C1025" s="670"/>
      <c r="D1025" s="670"/>
      <c r="E1025" s="670"/>
      <c r="F1025" s="671"/>
      <c r="G1025" s="670"/>
      <c r="H1025" s="670"/>
      <c r="I1025" s="670"/>
      <c r="J1025" s="728"/>
      <c r="K1025" s="670"/>
      <c r="L1025" s="711"/>
    </row>
    <row r="1026" spans="1:19" ht="15" thickBot="1" x14ac:dyDescent="0.4">
      <c r="B1026" s="2"/>
    </row>
    <row r="1027" spans="1:19" ht="23" thickBot="1" x14ac:dyDescent="0.4">
      <c r="B1027" s="524"/>
      <c r="C1027" s="525" t="s">
        <v>578</v>
      </c>
      <c r="D1027" s="525"/>
      <c r="E1027" s="525"/>
      <c r="F1027" s="525"/>
      <c r="G1027" s="525"/>
      <c r="H1027" s="525"/>
      <c r="I1027" s="525"/>
      <c r="J1027" s="525"/>
      <c r="K1027" s="527"/>
      <c r="L1027" s="526"/>
    </row>
    <row r="1028" spans="1:19" s="2" customFormat="1" ht="15.5" outlineLevel="1" thickTop="1" thickBot="1" x14ac:dyDescent="0.4">
      <c r="B1028" s="721"/>
      <c r="C1028" s="719" t="s">
        <v>0</v>
      </c>
      <c r="D1028" s="719"/>
      <c r="E1028" s="719"/>
      <c r="F1028" s="719"/>
      <c r="G1028" s="719"/>
      <c r="H1028" s="719"/>
      <c r="I1028" s="719"/>
      <c r="J1028" s="719"/>
      <c r="K1028" s="719"/>
      <c r="L1028" s="720"/>
      <c r="M1028" s="385"/>
      <c r="S1028" s="783"/>
    </row>
    <row r="1029" spans="1:19" ht="15" outlineLevel="1" thickTop="1" x14ac:dyDescent="0.35">
      <c r="A1029" s="483"/>
      <c r="B1029" s="759" t="s">
        <v>1018</v>
      </c>
      <c r="C1029" s="757" t="s">
        <v>579</v>
      </c>
      <c r="D1029" s="664"/>
      <c r="E1029" s="664"/>
      <c r="F1029" s="665"/>
      <c r="G1029" s="664"/>
      <c r="H1029" s="664"/>
      <c r="I1029" s="664"/>
      <c r="J1029" s="727"/>
      <c r="K1029" s="664"/>
      <c r="L1029" s="666"/>
    </row>
    <row r="1030" spans="1:19" outlineLevel="1" x14ac:dyDescent="0.35">
      <c r="A1030" s="483"/>
      <c r="B1030" s="762" t="s">
        <v>1018</v>
      </c>
      <c r="C1030" s="664" t="s">
        <v>580</v>
      </c>
      <c r="D1030" s="664"/>
      <c r="E1030" s="664"/>
      <c r="F1030" s="665"/>
      <c r="G1030" s="664"/>
      <c r="H1030" s="664"/>
      <c r="I1030" s="664"/>
      <c r="J1030" s="727"/>
      <c r="K1030" s="664"/>
      <c r="L1030" s="666"/>
    </row>
    <row r="1031" spans="1:19" outlineLevel="1" x14ac:dyDescent="0.35">
      <c r="A1031" s="483"/>
      <c r="B1031" s="762" t="s">
        <v>1018</v>
      </c>
      <c r="C1031" s="664" t="s">
        <v>581</v>
      </c>
      <c r="D1031" s="664"/>
      <c r="E1031" s="664"/>
      <c r="F1031" s="665"/>
      <c r="G1031" s="664"/>
      <c r="H1031" s="664"/>
      <c r="I1031" s="664"/>
      <c r="J1031" s="727"/>
      <c r="K1031" s="664"/>
      <c r="L1031" s="666"/>
    </row>
    <row r="1032" spans="1:19" outlineLevel="1" x14ac:dyDescent="0.35">
      <c r="A1032" s="483"/>
      <c r="B1032" s="762" t="s">
        <v>1018</v>
      </c>
      <c r="C1032" s="664" t="s">
        <v>582</v>
      </c>
      <c r="D1032" s="664"/>
      <c r="E1032" s="664"/>
      <c r="F1032" s="665"/>
      <c r="G1032" s="664"/>
      <c r="H1032" s="664"/>
      <c r="I1032" s="664"/>
      <c r="J1032" s="727"/>
      <c r="K1032" s="664"/>
      <c r="L1032" s="666"/>
    </row>
    <row r="1033" spans="1:19" outlineLevel="1" x14ac:dyDescent="0.35">
      <c r="A1033" s="483"/>
      <c r="B1033" s="762" t="s">
        <v>1018</v>
      </c>
      <c r="C1033" s="664" t="s">
        <v>583</v>
      </c>
      <c r="D1033" s="664"/>
      <c r="E1033" s="664"/>
      <c r="F1033" s="665"/>
      <c r="G1033" s="664"/>
      <c r="H1033" s="664"/>
      <c r="I1033" s="664"/>
      <c r="J1033" s="727"/>
      <c r="K1033" s="664"/>
      <c r="L1033" s="666"/>
    </row>
    <row r="1034" spans="1:19" outlineLevel="1" x14ac:dyDescent="0.35">
      <c r="A1034" s="483"/>
      <c r="B1034" s="762" t="s">
        <v>1018</v>
      </c>
      <c r="C1034" s="664" t="s">
        <v>584</v>
      </c>
      <c r="D1034" s="664"/>
      <c r="E1034" s="664"/>
      <c r="F1034" s="665"/>
      <c r="G1034" s="664"/>
      <c r="H1034" s="664"/>
      <c r="I1034" s="664"/>
      <c r="J1034" s="727"/>
      <c r="K1034" s="664"/>
      <c r="L1034" s="666"/>
    </row>
    <row r="1035" spans="1:19" outlineLevel="1" x14ac:dyDescent="0.35">
      <c r="A1035" s="483"/>
      <c r="B1035" s="762" t="s">
        <v>1018</v>
      </c>
      <c r="C1035" s="664" t="s">
        <v>585</v>
      </c>
      <c r="D1035" s="664"/>
      <c r="E1035" s="664"/>
      <c r="F1035" s="665"/>
      <c r="G1035" s="664"/>
      <c r="H1035" s="664"/>
      <c r="I1035" s="664"/>
      <c r="J1035" s="727"/>
      <c r="K1035" s="664"/>
      <c r="L1035" s="666"/>
    </row>
    <row r="1036" spans="1:19" outlineLevel="1" x14ac:dyDescent="0.35">
      <c r="A1036" s="483"/>
      <c r="B1036" s="762" t="s">
        <v>1018</v>
      </c>
      <c r="C1036" s="664" t="s">
        <v>586</v>
      </c>
      <c r="D1036" s="664"/>
      <c r="E1036" s="664"/>
      <c r="F1036" s="665"/>
      <c r="G1036" s="664"/>
      <c r="H1036" s="664"/>
      <c r="I1036" s="664"/>
      <c r="J1036" s="727"/>
      <c r="K1036" s="664"/>
      <c r="L1036" s="666"/>
    </row>
    <row r="1037" spans="1:19" outlineLevel="1" x14ac:dyDescent="0.35">
      <c r="A1037" s="483"/>
      <c r="B1037" s="762" t="s">
        <v>1018</v>
      </c>
      <c r="C1037" s="664" t="s">
        <v>587</v>
      </c>
      <c r="D1037" s="664"/>
      <c r="E1037" s="664"/>
      <c r="F1037" s="665"/>
      <c r="G1037" s="664"/>
      <c r="H1037" s="664"/>
      <c r="I1037" s="664"/>
      <c r="J1037" s="727"/>
      <c r="K1037" s="664"/>
      <c r="L1037" s="666"/>
    </row>
    <row r="1038" spans="1:19" ht="15" outlineLevel="1" thickBot="1" x14ac:dyDescent="0.4">
      <c r="A1038" s="483"/>
      <c r="B1038" s="761"/>
      <c r="C1038" s="670"/>
      <c r="D1038" s="670"/>
      <c r="E1038" s="670"/>
      <c r="F1038" s="671"/>
      <c r="G1038" s="670"/>
      <c r="H1038" s="670"/>
      <c r="I1038" s="670"/>
      <c r="J1038" s="728"/>
      <c r="K1038" s="670"/>
      <c r="L1038" s="711"/>
    </row>
    <row r="1039" spans="1:19" ht="15" thickBot="1" x14ac:dyDescent="0.4">
      <c r="B1039" s="2"/>
    </row>
    <row r="1040" spans="1:19" ht="23" thickBot="1" x14ac:dyDescent="0.4">
      <c r="B1040" s="524"/>
      <c r="C1040" s="525" t="s">
        <v>588</v>
      </c>
      <c r="D1040" s="525"/>
      <c r="E1040" s="525"/>
      <c r="F1040" s="525"/>
      <c r="G1040" s="525"/>
      <c r="H1040" s="525"/>
      <c r="I1040" s="525"/>
      <c r="J1040" s="525"/>
      <c r="K1040" s="527"/>
      <c r="L1040" s="526"/>
    </row>
    <row r="1041" spans="1:19" s="2" customFormat="1" ht="15.5" outlineLevel="1" thickTop="1" thickBot="1" x14ac:dyDescent="0.4">
      <c r="B1041" s="721"/>
      <c r="C1041" s="719" t="s">
        <v>0</v>
      </c>
      <c r="D1041" s="719"/>
      <c r="E1041" s="719"/>
      <c r="F1041" s="719"/>
      <c r="G1041" s="719"/>
      <c r="H1041" s="719"/>
      <c r="I1041" s="719"/>
      <c r="J1041" s="719"/>
      <c r="K1041" s="719"/>
      <c r="L1041" s="720"/>
      <c r="M1041" s="385"/>
      <c r="S1041" s="783"/>
    </row>
    <row r="1042" spans="1:19" ht="15" outlineLevel="1" thickTop="1" x14ac:dyDescent="0.35">
      <c r="A1042" s="483"/>
      <c r="B1042" s="759" t="s">
        <v>1918</v>
      </c>
      <c r="C1042" s="757" t="s">
        <v>589</v>
      </c>
      <c r="D1042" s="664"/>
      <c r="E1042" s="664"/>
      <c r="F1042" s="665"/>
      <c r="G1042" s="664"/>
      <c r="H1042" s="664"/>
      <c r="I1042" s="664"/>
      <c r="J1042" s="727"/>
      <c r="K1042" s="664"/>
      <c r="L1042" s="666"/>
    </row>
    <row r="1043" spans="1:19" outlineLevel="1" x14ac:dyDescent="0.35">
      <c r="A1043" s="483"/>
      <c r="B1043" s="762" t="s">
        <v>1918</v>
      </c>
      <c r="C1043" s="664" t="s">
        <v>590</v>
      </c>
      <c r="D1043" s="664"/>
      <c r="E1043" s="664"/>
      <c r="F1043" s="665"/>
      <c r="G1043" s="664"/>
      <c r="H1043" s="664"/>
      <c r="I1043" s="664"/>
      <c r="J1043" s="727"/>
      <c r="K1043" s="664"/>
      <c r="L1043" s="666"/>
    </row>
    <row r="1044" spans="1:19" outlineLevel="1" x14ac:dyDescent="0.35">
      <c r="A1044" s="483"/>
      <c r="B1044" s="762" t="s">
        <v>1918</v>
      </c>
      <c r="C1044" s="664" t="s">
        <v>591</v>
      </c>
      <c r="D1044" s="664"/>
      <c r="E1044" s="664"/>
      <c r="F1044" s="665"/>
      <c r="G1044" s="664"/>
      <c r="H1044" s="664"/>
      <c r="I1044" s="664"/>
      <c r="J1044" s="727"/>
      <c r="K1044" s="664"/>
      <c r="L1044" s="666"/>
    </row>
    <row r="1045" spans="1:19" ht="15" outlineLevel="1" thickBot="1" x14ac:dyDescent="0.4">
      <c r="A1045" s="483"/>
      <c r="B1045" s="761"/>
      <c r="C1045" s="670"/>
      <c r="D1045" s="670"/>
      <c r="E1045" s="670"/>
      <c r="F1045" s="671"/>
      <c r="G1045" s="670"/>
      <c r="H1045" s="670"/>
      <c r="I1045" s="670"/>
      <c r="J1045" s="728"/>
      <c r="K1045" s="670"/>
      <c r="L1045" s="711"/>
    </row>
    <row r="1046" spans="1:19" ht="15" thickBot="1" x14ac:dyDescent="0.4">
      <c r="B1046" s="2"/>
    </row>
    <row r="1047" spans="1:19" ht="23" thickBot="1" x14ac:dyDescent="0.4">
      <c r="B1047" s="524"/>
      <c r="C1047" s="525" t="s">
        <v>592</v>
      </c>
      <c r="D1047" s="525"/>
      <c r="E1047" s="525"/>
      <c r="F1047" s="525"/>
      <c r="G1047" s="525"/>
      <c r="H1047" s="525"/>
      <c r="I1047" s="525"/>
      <c r="J1047" s="525"/>
      <c r="K1047" s="527"/>
      <c r="L1047" s="526"/>
    </row>
    <row r="1048" spans="1:19" s="2" customFormat="1" ht="15.5" outlineLevel="1" thickTop="1" thickBot="1" x14ac:dyDescent="0.4">
      <c r="B1048" s="721"/>
      <c r="C1048" s="719" t="s">
        <v>0</v>
      </c>
      <c r="D1048" s="719"/>
      <c r="E1048" s="719"/>
      <c r="F1048" s="719"/>
      <c r="G1048" s="719"/>
      <c r="H1048" s="719"/>
      <c r="I1048" s="719"/>
      <c r="J1048" s="719"/>
      <c r="K1048" s="719"/>
      <c r="L1048" s="720"/>
      <c r="M1048" s="385"/>
      <c r="S1048" s="783"/>
    </row>
    <row r="1049" spans="1:19" ht="15" outlineLevel="1" thickTop="1" x14ac:dyDescent="0.35">
      <c r="A1049" s="483"/>
      <c r="B1049" s="759" t="s">
        <v>1919</v>
      </c>
      <c r="C1049" s="757" t="s">
        <v>593</v>
      </c>
      <c r="D1049" s="664"/>
      <c r="E1049" s="664"/>
      <c r="F1049" s="665"/>
      <c r="G1049" s="664"/>
      <c r="H1049" s="664"/>
      <c r="I1049" s="664"/>
      <c r="J1049" s="727"/>
      <c r="K1049" s="664"/>
      <c r="L1049" s="666"/>
    </row>
    <row r="1050" spans="1:19" outlineLevel="1" x14ac:dyDescent="0.35">
      <c r="A1050" s="483"/>
      <c r="B1050" s="762" t="s">
        <v>1919</v>
      </c>
      <c r="C1050" s="664" t="s">
        <v>594</v>
      </c>
      <c r="D1050" s="664"/>
      <c r="E1050" s="664"/>
      <c r="F1050" s="665"/>
      <c r="G1050" s="664"/>
      <c r="H1050" s="664"/>
      <c r="I1050" s="664"/>
      <c r="J1050" s="727"/>
      <c r="K1050" s="664"/>
      <c r="L1050" s="666"/>
    </row>
    <row r="1051" spans="1:19" outlineLevel="1" x14ac:dyDescent="0.35">
      <c r="A1051" s="483"/>
      <c r="B1051" s="762" t="s">
        <v>1919</v>
      </c>
      <c r="C1051" s="664" t="s">
        <v>595</v>
      </c>
      <c r="D1051" s="664"/>
      <c r="E1051" s="664"/>
      <c r="F1051" s="665"/>
      <c r="G1051" s="664"/>
      <c r="H1051" s="664"/>
      <c r="I1051" s="664"/>
      <c r="J1051" s="727"/>
      <c r="K1051" s="664"/>
      <c r="L1051" s="666"/>
    </row>
    <row r="1052" spans="1:19" outlineLevel="1" x14ac:dyDescent="0.35">
      <c r="A1052" s="483"/>
      <c r="B1052" s="762" t="s">
        <v>1919</v>
      </c>
      <c r="C1052" s="664" t="s">
        <v>596</v>
      </c>
      <c r="D1052" s="664"/>
      <c r="E1052" s="664"/>
      <c r="F1052" s="665"/>
      <c r="G1052" s="664"/>
      <c r="H1052" s="664"/>
      <c r="I1052" s="664"/>
      <c r="J1052" s="727"/>
      <c r="K1052" s="664"/>
      <c r="L1052" s="666"/>
    </row>
    <row r="1053" spans="1:19" outlineLevel="1" x14ac:dyDescent="0.35">
      <c r="A1053" s="483"/>
      <c r="B1053" s="762" t="s">
        <v>1919</v>
      </c>
      <c r="C1053" s="664" t="s">
        <v>597</v>
      </c>
      <c r="D1053" s="664"/>
      <c r="E1053" s="664"/>
      <c r="F1053" s="665"/>
      <c r="G1053" s="664"/>
      <c r="H1053" s="664"/>
      <c r="I1053" s="664"/>
      <c r="J1053" s="727"/>
      <c r="K1053" s="664"/>
      <c r="L1053" s="666"/>
    </row>
    <row r="1054" spans="1:19" outlineLevel="1" x14ac:dyDescent="0.35">
      <c r="A1054" s="483"/>
      <c r="B1054" s="762" t="s">
        <v>1919</v>
      </c>
      <c r="C1054" s="664" t="s">
        <v>598</v>
      </c>
      <c r="D1054" s="664"/>
      <c r="E1054" s="664"/>
      <c r="F1054" s="665"/>
      <c r="G1054" s="664"/>
      <c r="H1054" s="664"/>
      <c r="I1054" s="664"/>
      <c r="J1054" s="727"/>
      <c r="K1054" s="664"/>
      <c r="L1054" s="666"/>
    </row>
    <row r="1055" spans="1:19" outlineLevel="1" x14ac:dyDescent="0.35">
      <c r="A1055" s="483"/>
      <c r="B1055" s="762" t="s">
        <v>1919</v>
      </c>
      <c r="C1055" s="664" t="s">
        <v>599</v>
      </c>
      <c r="D1055" s="664"/>
      <c r="E1055" s="664"/>
      <c r="F1055" s="665"/>
      <c r="G1055" s="664"/>
      <c r="H1055" s="664"/>
      <c r="I1055" s="664"/>
      <c r="J1055" s="727"/>
      <c r="K1055" s="664"/>
      <c r="L1055" s="666"/>
    </row>
    <row r="1056" spans="1:19" outlineLevel="1" x14ac:dyDescent="0.35">
      <c r="A1056" s="483"/>
      <c r="B1056" s="762" t="s">
        <v>1919</v>
      </c>
      <c r="C1056" s="664" t="s">
        <v>600</v>
      </c>
      <c r="D1056" s="664"/>
      <c r="E1056" s="664"/>
      <c r="F1056" s="665"/>
      <c r="G1056" s="664"/>
      <c r="H1056" s="664"/>
      <c r="I1056" s="664"/>
      <c r="J1056" s="727"/>
      <c r="K1056" s="664"/>
      <c r="L1056" s="666"/>
    </row>
    <row r="1057" spans="1:19" outlineLevel="1" x14ac:dyDescent="0.35">
      <c r="A1057" s="483"/>
      <c r="B1057" s="762" t="s">
        <v>1919</v>
      </c>
      <c r="C1057" s="664" t="s">
        <v>601</v>
      </c>
      <c r="D1057" s="664"/>
      <c r="E1057" s="664"/>
      <c r="F1057" s="665"/>
      <c r="G1057" s="664"/>
      <c r="H1057" s="664"/>
      <c r="I1057" s="664"/>
      <c r="J1057" s="727"/>
      <c r="K1057" s="664"/>
      <c r="L1057" s="666"/>
    </row>
    <row r="1058" spans="1:19" outlineLevel="1" x14ac:dyDescent="0.35">
      <c r="A1058" s="483"/>
      <c r="B1058" s="762" t="s">
        <v>1919</v>
      </c>
      <c r="C1058" s="664" t="s">
        <v>602</v>
      </c>
      <c r="D1058" s="664"/>
      <c r="E1058" s="664"/>
      <c r="F1058" s="665"/>
      <c r="G1058" s="664"/>
      <c r="H1058" s="664"/>
      <c r="I1058" s="664"/>
      <c r="J1058" s="727"/>
      <c r="K1058" s="664"/>
      <c r="L1058" s="666"/>
    </row>
    <row r="1059" spans="1:19" outlineLevel="1" x14ac:dyDescent="0.35">
      <c r="A1059" s="483"/>
      <c r="B1059" s="762" t="s">
        <v>1919</v>
      </c>
      <c r="C1059" s="664" t="s">
        <v>603</v>
      </c>
      <c r="D1059" s="664"/>
      <c r="E1059" s="664"/>
      <c r="F1059" s="665"/>
      <c r="G1059" s="664"/>
      <c r="H1059" s="664"/>
      <c r="I1059" s="664"/>
      <c r="J1059" s="727"/>
      <c r="K1059" s="664"/>
      <c r="L1059" s="666"/>
    </row>
    <row r="1060" spans="1:19" outlineLevel="1" x14ac:dyDescent="0.35">
      <c r="A1060" s="483"/>
      <c r="B1060" s="762" t="s">
        <v>1919</v>
      </c>
      <c r="C1060" s="664" t="s">
        <v>604</v>
      </c>
      <c r="D1060" s="664"/>
      <c r="E1060" s="664"/>
      <c r="F1060" s="665"/>
      <c r="G1060" s="664"/>
      <c r="H1060" s="664"/>
      <c r="I1060" s="664"/>
      <c r="J1060" s="727"/>
      <c r="K1060" s="664"/>
      <c r="L1060" s="666"/>
    </row>
    <row r="1061" spans="1:19" outlineLevel="1" x14ac:dyDescent="0.35">
      <c r="A1061" s="483"/>
      <c r="B1061" s="762" t="s">
        <v>1919</v>
      </c>
      <c r="C1061" s="664" t="s">
        <v>605</v>
      </c>
      <c r="D1061" s="664"/>
      <c r="E1061" s="664"/>
      <c r="F1061" s="665"/>
      <c r="G1061" s="664"/>
      <c r="H1061" s="664"/>
      <c r="I1061" s="664"/>
      <c r="J1061" s="727"/>
      <c r="K1061" s="664"/>
      <c r="L1061" s="666"/>
    </row>
    <row r="1062" spans="1:19" outlineLevel="1" x14ac:dyDescent="0.35">
      <c r="A1062" s="483"/>
      <c r="B1062" s="762" t="s">
        <v>1919</v>
      </c>
      <c r="C1062" s="664" t="s">
        <v>606</v>
      </c>
      <c r="D1062" s="664"/>
      <c r="E1062" s="664"/>
      <c r="F1062" s="665"/>
      <c r="G1062" s="664"/>
      <c r="H1062" s="664"/>
      <c r="I1062" s="664"/>
      <c r="J1062" s="727"/>
      <c r="K1062" s="664"/>
      <c r="L1062" s="666"/>
    </row>
    <row r="1063" spans="1:19" ht="15" outlineLevel="1" thickBot="1" x14ac:dyDescent="0.4">
      <c r="A1063" s="483"/>
      <c r="B1063" s="761"/>
      <c r="C1063" s="670"/>
      <c r="D1063" s="670"/>
      <c r="E1063" s="670"/>
      <c r="F1063" s="671"/>
      <c r="G1063" s="670"/>
      <c r="H1063" s="670"/>
      <c r="I1063" s="670"/>
      <c r="J1063" s="728"/>
      <c r="K1063" s="670"/>
      <c r="L1063" s="711"/>
    </row>
    <row r="1064" spans="1:19" ht="15" thickBot="1" x14ac:dyDescent="0.4">
      <c r="B1064" s="2"/>
    </row>
    <row r="1065" spans="1:19" ht="23" thickBot="1" x14ac:dyDescent="0.4">
      <c r="B1065" s="524"/>
      <c r="C1065" s="525" t="s">
        <v>636</v>
      </c>
      <c r="D1065" s="525"/>
      <c r="E1065" s="525"/>
      <c r="F1065" s="525"/>
      <c r="G1065" s="525"/>
      <c r="H1065" s="525"/>
      <c r="I1065" s="525"/>
      <c r="J1065" s="525"/>
      <c r="K1065" s="527"/>
      <c r="L1065" s="526"/>
    </row>
    <row r="1066" spans="1:19" s="2" customFormat="1" ht="15.5" outlineLevel="1" thickTop="1" thickBot="1" x14ac:dyDescent="0.4">
      <c r="B1066" s="721"/>
      <c r="C1066" s="719" t="s">
        <v>0</v>
      </c>
      <c r="D1066" s="719"/>
      <c r="E1066" s="719"/>
      <c r="F1066" s="719"/>
      <c r="G1066" s="719"/>
      <c r="H1066" s="719"/>
      <c r="I1066" s="719"/>
      <c r="J1066" s="719"/>
      <c r="K1066" s="719"/>
      <c r="L1066" s="720"/>
      <c r="M1066" s="385"/>
      <c r="S1066" s="783"/>
    </row>
    <row r="1067" spans="1:19" ht="15" outlineLevel="1" thickTop="1" x14ac:dyDescent="0.35">
      <c r="A1067" s="483"/>
      <c r="B1067" s="759" t="s">
        <v>1920</v>
      </c>
      <c r="C1067" s="757" t="s">
        <v>637</v>
      </c>
      <c r="D1067" s="664"/>
      <c r="E1067" s="664"/>
      <c r="F1067" s="665"/>
      <c r="G1067" s="664"/>
      <c r="H1067" s="664"/>
      <c r="I1067" s="664"/>
      <c r="J1067" s="727"/>
      <c r="K1067" s="664"/>
      <c r="L1067" s="666"/>
    </row>
    <row r="1068" spans="1:19" outlineLevel="1" x14ac:dyDescent="0.35">
      <c r="A1068" s="483"/>
      <c r="B1068" s="762" t="s">
        <v>1920</v>
      </c>
      <c r="C1068" s="664" t="s">
        <v>638</v>
      </c>
      <c r="D1068" s="664"/>
      <c r="E1068" s="664"/>
      <c r="F1068" s="665"/>
      <c r="G1068" s="664"/>
      <c r="H1068" s="664"/>
      <c r="I1068" s="664"/>
      <c r="J1068" s="727"/>
      <c r="K1068" s="664"/>
      <c r="L1068" s="666"/>
    </row>
    <row r="1069" spans="1:19" outlineLevel="1" x14ac:dyDescent="0.35">
      <c r="A1069" s="483"/>
      <c r="B1069" s="762" t="s">
        <v>1920</v>
      </c>
      <c r="C1069" s="664" t="s">
        <v>639</v>
      </c>
      <c r="D1069" s="664"/>
      <c r="E1069" s="664"/>
      <c r="F1069" s="665"/>
      <c r="G1069" s="664"/>
      <c r="H1069" s="664"/>
      <c r="I1069" s="664"/>
      <c r="J1069" s="727"/>
      <c r="K1069" s="664"/>
      <c r="L1069" s="666"/>
    </row>
    <row r="1070" spans="1:19" outlineLevel="1" x14ac:dyDescent="0.35">
      <c r="A1070" s="483"/>
      <c r="B1070" s="762" t="s">
        <v>1920</v>
      </c>
      <c r="C1070" s="664" t="s">
        <v>640</v>
      </c>
      <c r="D1070" s="664"/>
      <c r="E1070" s="664"/>
      <c r="F1070" s="665"/>
      <c r="G1070" s="664"/>
      <c r="H1070" s="664"/>
      <c r="I1070" s="664"/>
      <c r="J1070" s="727"/>
      <c r="K1070" s="664"/>
      <c r="L1070" s="666"/>
    </row>
    <row r="1071" spans="1:19" outlineLevel="1" x14ac:dyDescent="0.35">
      <c r="A1071" s="483"/>
      <c r="B1071" s="762" t="s">
        <v>1920</v>
      </c>
      <c r="C1071" s="664" t="s">
        <v>641</v>
      </c>
      <c r="D1071" s="664"/>
      <c r="E1071" s="664"/>
      <c r="F1071" s="665"/>
      <c r="G1071" s="664"/>
      <c r="H1071" s="664"/>
      <c r="I1071" s="664"/>
      <c r="J1071" s="727"/>
      <c r="K1071" s="664"/>
      <c r="L1071" s="666"/>
    </row>
    <row r="1072" spans="1:19" outlineLevel="1" x14ac:dyDescent="0.35">
      <c r="A1072" s="483"/>
      <c r="B1072" s="762" t="s">
        <v>1920</v>
      </c>
      <c r="C1072" s="664" t="s">
        <v>642</v>
      </c>
      <c r="D1072" s="664"/>
      <c r="E1072" s="664"/>
      <c r="F1072" s="665"/>
      <c r="G1072" s="664"/>
      <c r="H1072" s="664"/>
      <c r="I1072" s="664"/>
      <c r="J1072" s="727"/>
      <c r="K1072" s="664"/>
      <c r="L1072" s="666"/>
    </row>
    <row r="1073" spans="1:12" outlineLevel="1" x14ac:dyDescent="0.35">
      <c r="A1073" s="483"/>
      <c r="B1073" s="762" t="s">
        <v>1920</v>
      </c>
      <c r="C1073" s="664" t="s">
        <v>643</v>
      </c>
      <c r="D1073" s="664"/>
      <c r="E1073" s="664"/>
      <c r="F1073" s="665"/>
      <c r="G1073" s="664"/>
      <c r="H1073" s="664"/>
      <c r="I1073" s="664"/>
      <c r="J1073" s="727"/>
      <c r="K1073" s="664"/>
      <c r="L1073" s="666"/>
    </row>
    <row r="1074" spans="1:12" outlineLevel="1" x14ac:dyDescent="0.35">
      <c r="A1074" s="483"/>
      <c r="B1074" s="762" t="s">
        <v>1920</v>
      </c>
      <c r="C1074" s="664" t="s">
        <v>644</v>
      </c>
      <c r="D1074" s="664"/>
      <c r="E1074" s="664"/>
      <c r="F1074" s="665"/>
      <c r="G1074" s="664"/>
      <c r="H1074" s="664"/>
      <c r="I1074" s="664"/>
      <c r="J1074" s="727"/>
      <c r="K1074" s="664"/>
      <c r="L1074" s="666"/>
    </row>
    <row r="1075" spans="1:12" outlineLevel="1" x14ac:dyDescent="0.35">
      <c r="A1075" s="483"/>
      <c r="B1075" s="762" t="s">
        <v>1920</v>
      </c>
      <c r="C1075" s="664" t="s">
        <v>645</v>
      </c>
      <c r="D1075" s="664"/>
      <c r="E1075" s="664"/>
      <c r="F1075" s="665"/>
      <c r="G1075" s="664"/>
      <c r="H1075" s="664"/>
      <c r="I1075" s="664"/>
      <c r="J1075" s="727"/>
      <c r="K1075" s="664"/>
      <c r="L1075" s="666"/>
    </row>
    <row r="1076" spans="1:12" outlineLevel="1" x14ac:dyDescent="0.35">
      <c r="A1076" s="483"/>
      <c r="B1076" s="762" t="s">
        <v>1920</v>
      </c>
      <c r="C1076" s="664" t="s">
        <v>646</v>
      </c>
      <c r="D1076" s="664"/>
      <c r="E1076" s="664"/>
      <c r="F1076" s="665"/>
      <c r="G1076" s="664"/>
      <c r="H1076" s="664"/>
      <c r="I1076" s="664"/>
      <c r="J1076" s="727"/>
      <c r="K1076" s="664"/>
      <c r="L1076" s="666"/>
    </row>
    <row r="1077" spans="1:12" outlineLevel="1" x14ac:dyDescent="0.35">
      <c r="A1077" s="483"/>
      <c r="B1077" s="762" t="s">
        <v>1920</v>
      </c>
      <c r="C1077" s="664" t="s">
        <v>647</v>
      </c>
      <c r="D1077" s="664"/>
      <c r="E1077" s="664"/>
      <c r="F1077" s="665"/>
      <c r="G1077" s="664"/>
      <c r="H1077" s="664"/>
      <c r="I1077" s="664"/>
      <c r="J1077" s="727"/>
      <c r="K1077" s="664"/>
      <c r="L1077" s="666"/>
    </row>
    <row r="1078" spans="1:12" outlineLevel="1" x14ac:dyDescent="0.35">
      <c r="A1078" s="483"/>
      <c r="B1078" s="762" t="s">
        <v>1920</v>
      </c>
      <c r="C1078" s="664" t="s">
        <v>648</v>
      </c>
      <c r="D1078" s="664"/>
      <c r="E1078" s="664"/>
      <c r="F1078" s="665"/>
      <c r="G1078" s="664"/>
      <c r="H1078" s="664"/>
      <c r="I1078" s="664"/>
      <c r="J1078" s="727"/>
      <c r="K1078" s="664"/>
      <c r="L1078" s="666"/>
    </row>
    <row r="1079" spans="1:12" outlineLevel="1" x14ac:dyDescent="0.35">
      <c r="A1079" s="483"/>
      <c r="B1079" s="762" t="s">
        <v>1920</v>
      </c>
      <c r="C1079" s="664" t="s">
        <v>649</v>
      </c>
      <c r="D1079" s="664"/>
      <c r="E1079" s="664"/>
      <c r="F1079" s="665"/>
      <c r="G1079" s="664"/>
      <c r="H1079" s="664"/>
      <c r="I1079" s="664"/>
      <c r="J1079" s="727"/>
      <c r="K1079" s="664"/>
      <c r="L1079" s="666"/>
    </row>
    <row r="1080" spans="1:12" outlineLevel="1" x14ac:dyDescent="0.35">
      <c r="A1080" s="483"/>
      <c r="B1080" s="762" t="s">
        <v>1920</v>
      </c>
      <c r="C1080" s="664" t="s">
        <v>650</v>
      </c>
      <c r="D1080" s="664"/>
      <c r="E1080" s="664"/>
      <c r="F1080" s="665"/>
      <c r="G1080" s="664"/>
      <c r="H1080" s="664"/>
      <c r="I1080" s="664"/>
      <c r="J1080" s="727"/>
      <c r="K1080" s="664"/>
      <c r="L1080" s="666"/>
    </row>
    <row r="1081" spans="1:12" outlineLevel="1" x14ac:dyDescent="0.35">
      <c r="A1081" s="483"/>
      <c r="B1081" s="762" t="s">
        <v>1920</v>
      </c>
      <c r="C1081" s="664" t="s">
        <v>651</v>
      </c>
      <c r="D1081" s="664"/>
      <c r="E1081" s="664"/>
      <c r="F1081" s="665"/>
      <c r="G1081" s="664"/>
      <c r="H1081" s="664"/>
      <c r="I1081" s="664"/>
      <c r="J1081" s="727"/>
      <c r="K1081" s="664"/>
      <c r="L1081" s="666"/>
    </row>
    <row r="1082" spans="1:12" outlineLevel="1" x14ac:dyDescent="0.35">
      <c r="A1082" s="483"/>
      <c r="B1082" s="762" t="s">
        <v>1920</v>
      </c>
      <c r="C1082" s="664" t="s">
        <v>652</v>
      </c>
      <c r="D1082" s="664"/>
      <c r="E1082" s="664"/>
      <c r="F1082" s="665"/>
      <c r="G1082" s="664"/>
      <c r="H1082" s="664"/>
      <c r="I1082" s="664"/>
      <c r="J1082" s="727"/>
      <c r="K1082" s="664"/>
      <c r="L1082" s="666"/>
    </row>
    <row r="1083" spans="1:12" outlineLevel="1" x14ac:dyDescent="0.35">
      <c r="A1083" s="483"/>
      <c r="B1083" s="762" t="s">
        <v>1920</v>
      </c>
      <c r="C1083" s="664" t="s">
        <v>653</v>
      </c>
      <c r="D1083" s="664"/>
      <c r="E1083" s="664"/>
      <c r="F1083" s="665"/>
      <c r="G1083" s="664"/>
      <c r="H1083" s="664"/>
      <c r="I1083" s="664"/>
      <c r="J1083" s="727"/>
      <c r="K1083" s="664"/>
      <c r="L1083" s="666"/>
    </row>
    <row r="1084" spans="1:12" outlineLevel="1" x14ac:dyDescent="0.35">
      <c r="A1084" s="483"/>
      <c r="B1084" s="762" t="s">
        <v>1920</v>
      </c>
      <c r="C1084" s="664" t="s">
        <v>654</v>
      </c>
      <c r="D1084" s="664"/>
      <c r="E1084" s="664"/>
      <c r="F1084" s="665"/>
      <c r="G1084" s="664"/>
      <c r="H1084" s="664"/>
      <c r="I1084" s="664"/>
      <c r="J1084" s="727"/>
      <c r="K1084" s="664"/>
      <c r="L1084" s="666"/>
    </row>
    <row r="1085" spans="1:12" outlineLevel="1" x14ac:dyDescent="0.35">
      <c r="A1085" s="483"/>
      <c r="B1085" s="762" t="s">
        <v>1920</v>
      </c>
      <c r="C1085" s="664" t="s">
        <v>655</v>
      </c>
      <c r="D1085" s="664"/>
      <c r="E1085" s="664"/>
      <c r="F1085" s="665"/>
      <c r="G1085" s="664"/>
      <c r="H1085" s="664"/>
      <c r="I1085" s="664"/>
      <c r="J1085" s="727"/>
      <c r="K1085" s="664"/>
      <c r="L1085" s="666"/>
    </row>
    <row r="1086" spans="1:12" outlineLevel="1" x14ac:dyDescent="0.35">
      <c r="A1086" s="483"/>
      <c r="B1086" s="762" t="s">
        <v>1920</v>
      </c>
      <c r="C1086" s="664" t="s">
        <v>656</v>
      </c>
      <c r="D1086" s="664"/>
      <c r="E1086" s="664"/>
      <c r="F1086" s="665"/>
      <c r="G1086" s="664"/>
      <c r="H1086" s="664"/>
      <c r="I1086" s="664"/>
      <c r="J1086" s="727"/>
      <c r="K1086" s="664"/>
      <c r="L1086" s="666"/>
    </row>
    <row r="1087" spans="1:12" outlineLevel="1" x14ac:dyDescent="0.35">
      <c r="A1087" s="483"/>
      <c r="B1087" s="762" t="s">
        <v>1920</v>
      </c>
      <c r="C1087" s="664" t="s">
        <v>657</v>
      </c>
      <c r="D1087" s="664"/>
      <c r="E1087" s="664"/>
      <c r="F1087" s="665"/>
      <c r="G1087" s="664"/>
      <c r="H1087" s="664"/>
      <c r="I1087" s="664"/>
      <c r="J1087" s="727"/>
      <c r="K1087" s="664"/>
      <c r="L1087" s="666"/>
    </row>
    <row r="1088" spans="1:12" outlineLevel="1" x14ac:dyDescent="0.35">
      <c r="A1088" s="483"/>
      <c r="B1088" s="762" t="s">
        <v>1920</v>
      </c>
      <c r="C1088" s="664" t="s">
        <v>658</v>
      </c>
      <c r="D1088" s="664"/>
      <c r="E1088" s="664"/>
      <c r="F1088" s="665"/>
      <c r="G1088" s="664"/>
      <c r="H1088" s="664"/>
      <c r="I1088" s="664"/>
      <c r="J1088" s="727"/>
      <c r="K1088" s="664"/>
      <c r="L1088" s="666"/>
    </row>
    <row r="1089" spans="1:12" outlineLevel="1" x14ac:dyDescent="0.35">
      <c r="A1089" s="483"/>
      <c r="B1089" s="762" t="s">
        <v>1920</v>
      </c>
      <c r="C1089" s="664" t="s">
        <v>659</v>
      </c>
      <c r="D1089" s="664"/>
      <c r="E1089" s="664"/>
      <c r="F1089" s="665"/>
      <c r="G1089" s="664"/>
      <c r="H1089" s="664"/>
      <c r="I1089" s="664"/>
      <c r="J1089" s="727"/>
      <c r="K1089" s="664"/>
      <c r="L1089" s="666"/>
    </row>
    <row r="1090" spans="1:12" outlineLevel="1" x14ac:dyDescent="0.35">
      <c r="A1090" s="483"/>
      <c r="B1090" s="762" t="s">
        <v>1920</v>
      </c>
      <c r="C1090" s="664" t="s">
        <v>660</v>
      </c>
      <c r="D1090" s="664"/>
      <c r="E1090" s="664"/>
      <c r="F1090" s="665"/>
      <c r="G1090" s="664"/>
      <c r="H1090" s="664"/>
      <c r="I1090" s="664"/>
      <c r="J1090" s="727"/>
      <c r="K1090" s="664"/>
      <c r="L1090" s="666"/>
    </row>
    <row r="1091" spans="1:12" outlineLevel="1" x14ac:dyDescent="0.35">
      <c r="A1091" s="483"/>
      <c r="B1091" s="762" t="s">
        <v>1920</v>
      </c>
      <c r="C1091" s="664" t="s">
        <v>661</v>
      </c>
      <c r="D1091" s="664"/>
      <c r="E1091" s="664"/>
      <c r="F1091" s="665"/>
      <c r="G1091" s="664"/>
      <c r="H1091" s="664"/>
      <c r="I1091" s="664"/>
      <c r="J1091" s="727"/>
      <c r="K1091" s="664"/>
      <c r="L1091" s="666"/>
    </row>
    <row r="1092" spans="1:12" outlineLevel="1" x14ac:dyDescent="0.35">
      <c r="A1092" s="483"/>
      <c r="B1092" s="762" t="s">
        <v>1920</v>
      </c>
      <c r="C1092" s="664" t="s">
        <v>662</v>
      </c>
      <c r="D1092" s="664"/>
      <c r="E1092" s="664"/>
      <c r="F1092" s="665"/>
      <c r="G1092" s="664"/>
      <c r="H1092" s="664"/>
      <c r="I1092" s="664"/>
      <c r="J1092" s="727"/>
      <c r="K1092" s="664"/>
      <c r="L1092" s="666"/>
    </row>
    <row r="1093" spans="1:12" outlineLevel="1" x14ac:dyDescent="0.35">
      <c r="A1093" s="483"/>
      <c r="B1093" s="762" t="s">
        <v>1920</v>
      </c>
      <c r="C1093" s="664" t="s">
        <v>663</v>
      </c>
      <c r="D1093" s="664"/>
      <c r="E1093" s="664"/>
      <c r="F1093" s="665"/>
      <c r="G1093" s="664"/>
      <c r="H1093" s="664"/>
      <c r="I1093" s="664"/>
      <c r="J1093" s="727"/>
      <c r="K1093" s="664"/>
      <c r="L1093" s="666"/>
    </row>
    <row r="1094" spans="1:12" outlineLevel="1" x14ac:dyDescent="0.35">
      <c r="A1094" s="483"/>
      <c r="B1094" s="762" t="s">
        <v>1920</v>
      </c>
      <c r="C1094" s="664" t="s">
        <v>664</v>
      </c>
      <c r="D1094" s="664"/>
      <c r="E1094" s="664"/>
      <c r="F1094" s="665"/>
      <c r="G1094" s="664"/>
      <c r="H1094" s="664"/>
      <c r="I1094" s="664"/>
      <c r="J1094" s="727"/>
      <c r="K1094" s="664"/>
      <c r="L1094" s="666"/>
    </row>
    <row r="1095" spans="1:12" outlineLevel="1" x14ac:dyDescent="0.35">
      <c r="A1095" s="483"/>
      <c r="B1095" s="762" t="s">
        <v>1920</v>
      </c>
      <c r="C1095" s="664" t="s">
        <v>665</v>
      </c>
      <c r="D1095" s="664"/>
      <c r="E1095" s="664"/>
      <c r="F1095" s="665"/>
      <c r="G1095" s="664"/>
      <c r="H1095" s="664"/>
      <c r="I1095" s="664"/>
      <c r="J1095" s="727"/>
      <c r="K1095" s="664"/>
      <c r="L1095" s="666"/>
    </row>
    <row r="1096" spans="1:12" outlineLevel="1" x14ac:dyDescent="0.35">
      <c r="A1096" s="483"/>
      <c r="B1096" s="762" t="s">
        <v>1920</v>
      </c>
      <c r="C1096" s="664" t="s">
        <v>666</v>
      </c>
      <c r="D1096" s="664"/>
      <c r="E1096" s="664"/>
      <c r="F1096" s="665"/>
      <c r="G1096" s="664"/>
      <c r="H1096" s="664"/>
      <c r="I1096" s="664"/>
      <c r="J1096" s="727"/>
      <c r="K1096" s="664"/>
      <c r="L1096" s="666"/>
    </row>
    <row r="1097" spans="1:12" outlineLevel="1" x14ac:dyDescent="0.35">
      <c r="A1097" s="483"/>
      <c r="B1097" s="762" t="s">
        <v>1920</v>
      </c>
      <c r="C1097" s="664" t="s">
        <v>667</v>
      </c>
      <c r="D1097" s="664"/>
      <c r="E1097" s="664"/>
      <c r="F1097" s="665"/>
      <c r="G1097" s="664"/>
      <c r="H1097" s="664"/>
      <c r="I1097" s="664"/>
      <c r="J1097" s="727"/>
      <c r="K1097" s="664"/>
      <c r="L1097" s="666"/>
    </row>
    <row r="1098" spans="1:12" outlineLevel="1" x14ac:dyDescent="0.35">
      <c r="A1098" s="483"/>
      <c r="B1098" s="762" t="s">
        <v>1920</v>
      </c>
      <c r="C1098" s="664" t="s">
        <v>668</v>
      </c>
      <c r="D1098" s="664"/>
      <c r="E1098" s="664"/>
      <c r="F1098" s="665"/>
      <c r="G1098" s="664"/>
      <c r="H1098" s="664"/>
      <c r="I1098" s="664"/>
      <c r="J1098" s="727"/>
      <c r="K1098" s="664"/>
      <c r="L1098" s="666"/>
    </row>
    <row r="1099" spans="1:12" outlineLevel="1" x14ac:dyDescent="0.35">
      <c r="A1099" s="483"/>
      <c r="B1099" s="762" t="s">
        <v>1920</v>
      </c>
      <c r="C1099" s="664" t="s">
        <v>669</v>
      </c>
      <c r="D1099" s="664"/>
      <c r="E1099" s="664"/>
      <c r="F1099" s="665"/>
      <c r="G1099" s="664"/>
      <c r="H1099" s="664"/>
      <c r="I1099" s="664"/>
      <c r="J1099" s="727"/>
      <c r="K1099" s="664"/>
      <c r="L1099" s="666"/>
    </row>
    <row r="1100" spans="1:12" outlineLevel="1" x14ac:dyDescent="0.35">
      <c r="A1100" s="483"/>
      <c r="B1100" s="762" t="s">
        <v>1920</v>
      </c>
      <c r="C1100" s="664" t="s">
        <v>670</v>
      </c>
      <c r="D1100" s="664"/>
      <c r="E1100" s="664"/>
      <c r="F1100" s="665"/>
      <c r="G1100" s="664"/>
      <c r="H1100" s="664"/>
      <c r="I1100" s="664"/>
      <c r="J1100" s="727"/>
      <c r="K1100" s="664"/>
      <c r="L1100" s="666"/>
    </row>
    <row r="1101" spans="1:12" outlineLevel="1" x14ac:dyDescent="0.35">
      <c r="A1101" s="483"/>
      <c r="B1101" s="762" t="s">
        <v>1920</v>
      </c>
      <c r="C1101" s="664" t="s">
        <v>671</v>
      </c>
      <c r="D1101" s="664"/>
      <c r="E1101" s="664"/>
      <c r="F1101" s="665"/>
      <c r="G1101" s="664"/>
      <c r="H1101" s="664"/>
      <c r="I1101" s="664"/>
      <c r="J1101" s="727"/>
      <c r="K1101" s="664"/>
      <c r="L1101" s="666"/>
    </row>
    <row r="1102" spans="1:12" outlineLevel="1" x14ac:dyDescent="0.35">
      <c r="A1102" s="483"/>
      <c r="B1102" s="762" t="s">
        <v>1920</v>
      </c>
      <c r="C1102" s="664" t="s">
        <v>672</v>
      </c>
      <c r="D1102" s="664"/>
      <c r="E1102" s="664"/>
      <c r="F1102" s="665"/>
      <c r="G1102" s="664"/>
      <c r="H1102" s="664"/>
      <c r="I1102" s="664"/>
      <c r="J1102" s="727"/>
      <c r="K1102" s="664"/>
      <c r="L1102" s="666"/>
    </row>
    <row r="1103" spans="1:12" outlineLevel="1" x14ac:dyDescent="0.35">
      <c r="A1103" s="483"/>
      <c r="B1103" s="762" t="s">
        <v>1920</v>
      </c>
      <c r="C1103" s="664" t="s">
        <v>673</v>
      </c>
      <c r="D1103" s="664"/>
      <c r="E1103" s="664"/>
      <c r="F1103" s="665"/>
      <c r="G1103" s="664"/>
      <c r="H1103" s="664"/>
      <c r="I1103" s="664"/>
      <c r="J1103" s="727"/>
      <c r="K1103" s="664"/>
      <c r="L1103" s="666"/>
    </row>
    <row r="1104" spans="1:12" outlineLevel="1" x14ac:dyDescent="0.35">
      <c r="A1104" s="483"/>
      <c r="B1104" s="762" t="s">
        <v>1920</v>
      </c>
      <c r="C1104" s="664" t="s">
        <v>674</v>
      </c>
      <c r="D1104" s="664"/>
      <c r="E1104" s="664"/>
      <c r="F1104" s="665"/>
      <c r="G1104" s="664"/>
      <c r="H1104" s="664"/>
      <c r="I1104" s="664"/>
      <c r="J1104" s="727"/>
      <c r="K1104" s="664"/>
      <c r="L1104" s="666"/>
    </row>
    <row r="1105" spans="1:19" outlineLevel="1" x14ac:dyDescent="0.35">
      <c r="A1105" s="483"/>
      <c r="B1105" s="762" t="s">
        <v>1920</v>
      </c>
      <c r="C1105" s="664" t="s">
        <v>675</v>
      </c>
      <c r="D1105" s="664"/>
      <c r="E1105" s="664"/>
      <c r="F1105" s="665"/>
      <c r="G1105" s="664"/>
      <c r="H1105" s="664"/>
      <c r="I1105" s="664"/>
      <c r="J1105" s="727"/>
      <c r="K1105" s="664"/>
      <c r="L1105" s="666"/>
    </row>
    <row r="1106" spans="1:19" ht="15" outlineLevel="1" thickBot="1" x14ac:dyDescent="0.4">
      <c r="A1106" s="483"/>
      <c r="B1106" s="761"/>
      <c r="C1106" s="670"/>
      <c r="D1106" s="670"/>
      <c r="E1106" s="670"/>
      <c r="F1106" s="671"/>
      <c r="G1106" s="670"/>
      <c r="H1106" s="670"/>
      <c r="I1106" s="670"/>
      <c r="J1106" s="728"/>
      <c r="K1106" s="670"/>
      <c r="L1106" s="711"/>
    </row>
    <row r="1107" spans="1:19" ht="15" thickBot="1" x14ac:dyDescent="0.4"/>
    <row r="1108" spans="1:19" ht="23" thickBot="1" x14ac:dyDescent="0.4">
      <c r="B1108" s="524"/>
      <c r="C1108" s="525" t="s">
        <v>1768</v>
      </c>
      <c r="D1108" s="525"/>
      <c r="E1108" s="525"/>
      <c r="F1108" s="525"/>
      <c r="G1108" s="525"/>
      <c r="H1108" s="525"/>
      <c r="I1108" s="525"/>
      <c r="J1108" s="525"/>
      <c r="K1108" s="527"/>
      <c r="L1108" s="526"/>
    </row>
    <row r="1109" spans="1:19" s="2" customFormat="1" ht="15.5" outlineLevel="1" thickTop="1" thickBot="1" x14ac:dyDescent="0.4">
      <c r="B1109" s="721"/>
      <c r="C1109" s="719" t="s">
        <v>1033</v>
      </c>
      <c r="D1109" s="719" t="s">
        <v>0</v>
      </c>
      <c r="E1109" s="719"/>
      <c r="F1109" s="719"/>
      <c r="G1109" s="719"/>
      <c r="H1109" s="719" t="s">
        <v>1984</v>
      </c>
      <c r="I1109" s="719" t="s">
        <v>1781</v>
      </c>
      <c r="J1109" s="719" t="s">
        <v>1782</v>
      </c>
      <c r="K1109" s="719"/>
      <c r="L1109" s="720"/>
      <c r="M1109" s="385"/>
      <c r="S1109" s="783"/>
    </row>
    <row r="1110" spans="1:19" ht="15" outlineLevel="1" thickTop="1" x14ac:dyDescent="0.35">
      <c r="A1110" s="483"/>
      <c r="B1110" s="759" t="s">
        <v>1921</v>
      </c>
      <c r="C1110" s="758">
        <v>3011</v>
      </c>
      <c r="D1110" s="664" t="s">
        <v>1771</v>
      </c>
      <c r="E1110" s="664"/>
      <c r="F1110" s="665"/>
      <c r="G1110" s="664"/>
      <c r="H1110" s="665" t="s">
        <v>744</v>
      </c>
      <c r="I1110" s="722">
        <v>0</v>
      </c>
      <c r="J1110" s="727">
        <v>0</v>
      </c>
      <c r="K1110" s="664"/>
      <c r="L1110" s="666"/>
    </row>
    <row r="1111" spans="1:19" outlineLevel="1" x14ac:dyDescent="0.35">
      <c r="A1111" s="483"/>
      <c r="B1111" s="760" t="s">
        <v>1921</v>
      </c>
      <c r="C1111" s="731">
        <v>3021</v>
      </c>
      <c r="D1111" s="730" t="s">
        <v>1772</v>
      </c>
      <c r="E1111" s="730"/>
      <c r="F1111" s="731"/>
      <c r="G1111" s="730"/>
      <c r="H1111" s="731" t="s">
        <v>744</v>
      </c>
      <c r="I1111" s="734">
        <v>0</v>
      </c>
      <c r="J1111" s="732">
        <v>0</v>
      </c>
      <c r="K1111" s="730"/>
      <c r="L1111" s="733"/>
    </row>
    <row r="1112" spans="1:19" outlineLevel="1" x14ac:dyDescent="0.35">
      <c r="A1112" s="483"/>
      <c r="B1112" s="760" t="s">
        <v>1921</v>
      </c>
      <c r="C1112" s="731">
        <v>3023</v>
      </c>
      <c r="D1112" s="730" t="s">
        <v>1773</v>
      </c>
      <c r="E1112" s="730"/>
      <c r="F1112" s="731"/>
      <c r="G1112" s="730"/>
      <c r="H1112" s="731" t="s">
        <v>744</v>
      </c>
      <c r="I1112" s="734">
        <v>0</v>
      </c>
      <c r="J1112" s="732">
        <v>0.15</v>
      </c>
      <c r="K1112" s="730"/>
      <c r="L1112" s="733"/>
    </row>
    <row r="1113" spans="1:19" outlineLevel="1" x14ac:dyDescent="0.35">
      <c r="A1113" s="483"/>
      <c r="B1113" s="760" t="s">
        <v>1921</v>
      </c>
      <c r="C1113" s="731">
        <v>3031</v>
      </c>
      <c r="D1113" s="730" t="s">
        <v>1774</v>
      </c>
      <c r="E1113" s="730"/>
      <c r="F1113" s="731"/>
      <c r="G1113" s="730"/>
      <c r="H1113" s="731" t="s">
        <v>744</v>
      </c>
      <c r="I1113" s="734">
        <v>0</v>
      </c>
      <c r="J1113" s="732">
        <v>0.75</v>
      </c>
      <c r="K1113" s="730"/>
      <c r="L1113" s="733"/>
    </row>
    <row r="1114" spans="1:19" outlineLevel="1" x14ac:dyDescent="0.35">
      <c r="A1114" s="483"/>
      <c r="B1114" s="760" t="s">
        <v>1921</v>
      </c>
      <c r="C1114" s="731">
        <v>3033</v>
      </c>
      <c r="D1114" s="730" t="s">
        <v>1775</v>
      </c>
      <c r="E1114" s="730"/>
      <c r="F1114" s="731"/>
      <c r="G1114" s="730"/>
      <c r="H1114" s="731" t="s">
        <v>744</v>
      </c>
      <c r="I1114" s="734">
        <v>0</v>
      </c>
      <c r="J1114" s="732">
        <v>0.75</v>
      </c>
      <c r="K1114" s="730"/>
      <c r="L1114" s="733"/>
    </row>
    <row r="1115" spans="1:19" outlineLevel="1" x14ac:dyDescent="0.35">
      <c r="A1115" s="483"/>
      <c r="B1115" s="760" t="s">
        <v>1921</v>
      </c>
      <c r="C1115" s="731">
        <v>3041</v>
      </c>
      <c r="D1115" s="730" t="s">
        <v>1776</v>
      </c>
      <c r="E1115" s="730"/>
      <c r="F1115" s="731"/>
      <c r="G1115" s="730"/>
      <c r="H1115" s="731" t="s">
        <v>744</v>
      </c>
      <c r="I1115" s="734">
        <v>0</v>
      </c>
      <c r="J1115" s="732">
        <v>0.75</v>
      </c>
      <c r="K1115" s="730"/>
      <c r="L1115" s="733"/>
    </row>
    <row r="1116" spans="1:19" outlineLevel="1" x14ac:dyDescent="0.35">
      <c r="A1116" s="483"/>
      <c r="B1116" s="760" t="s">
        <v>1921</v>
      </c>
      <c r="C1116" s="731">
        <v>3043</v>
      </c>
      <c r="D1116" s="730" t="s">
        <v>1777</v>
      </c>
      <c r="E1116" s="730"/>
      <c r="F1116" s="731"/>
      <c r="G1116" s="730"/>
      <c r="H1116" s="731" t="s">
        <v>744</v>
      </c>
      <c r="I1116" s="734">
        <v>0</v>
      </c>
      <c r="J1116" s="732">
        <v>0</v>
      </c>
      <c r="K1116" s="730"/>
      <c r="L1116" s="733"/>
    </row>
    <row r="1117" spans="1:19" outlineLevel="1" x14ac:dyDescent="0.35">
      <c r="A1117" s="483"/>
      <c r="B1117" s="760" t="s">
        <v>1921</v>
      </c>
      <c r="C1117" s="731">
        <v>3051</v>
      </c>
      <c r="D1117" s="730" t="s">
        <v>1778</v>
      </c>
      <c r="E1117" s="730"/>
      <c r="F1117" s="731"/>
      <c r="G1117" s="730"/>
      <c r="H1117" s="731" t="s">
        <v>744</v>
      </c>
      <c r="I1117" s="734">
        <v>0</v>
      </c>
      <c r="J1117" s="732">
        <v>0</v>
      </c>
      <c r="K1117" s="730"/>
      <c r="L1117" s="733"/>
    </row>
    <row r="1118" spans="1:19" outlineLevel="1" x14ac:dyDescent="0.35">
      <c r="A1118" s="483"/>
      <c r="B1118" s="760" t="s">
        <v>1921</v>
      </c>
      <c r="C1118" s="731">
        <v>3053</v>
      </c>
      <c r="D1118" s="730" t="s">
        <v>1779</v>
      </c>
      <c r="E1118" s="730"/>
      <c r="F1118" s="731"/>
      <c r="G1118" s="730"/>
      <c r="H1118" s="731" t="s">
        <v>744</v>
      </c>
      <c r="I1118" s="734">
        <v>0</v>
      </c>
      <c r="J1118" s="732">
        <v>0</v>
      </c>
      <c r="K1118" s="730"/>
      <c r="L1118" s="733"/>
    </row>
    <row r="1119" spans="1:19" outlineLevel="1" x14ac:dyDescent="0.35">
      <c r="A1119" s="483"/>
      <c r="B1119" s="760" t="s">
        <v>1921</v>
      </c>
      <c r="C1119" s="731">
        <v>3054</v>
      </c>
      <c r="D1119" s="730" t="s">
        <v>1780</v>
      </c>
      <c r="E1119" s="730"/>
      <c r="F1119" s="731"/>
      <c r="G1119" s="730"/>
      <c r="H1119" s="731" t="s">
        <v>744</v>
      </c>
      <c r="I1119" s="734">
        <v>0</v>
      </c>
      <c r="J1119" s="732">
        <v>0.1</v>
      </c>
      <c r="K1119" s="730"/>
      <c r="L1119" s="733"/>
    </row>
    <row r="1120" spans="1:19" outlineLevel="1" x14ac:dyDescent="0.35">
      <c r="A1120" s="483"/>
      <c r="B1120" s="760" t="s">
        <v>1921</v>
      </c>
      <c r="C1120" s="731">
        <v>3680</v>
      </c>
      <c r="D1120" s="730" t="s">
        <v>1769</v>
      </c>
      <c r="E1120" s="730"/>
      <c r="F1120" s="731"/>
      <c r="G1120" s="730"/>
      <c r="H1120" s="731" t="s">
        <v>744</v>
      </c>
      <c r="I1120" s="734">
        <v>0.04</v>
      </c>
      <c r="J1120" s="732">
        <v>0</v>
      </c>
      <c r="K1120" s="730"/>
      <c r="L1120" s="733"/>
    </row>
    <row r="1121" spans="1:19" ht="15" outlineLevel="1" thickBot="1" x14ac:dyDescent="0.4">
      <c r="A1121" s="483"/>
      <c r="B1121" s="761"/>
      <c r="C1121" s="671"/>
      <c r="D1121" s="670"/>
      <c r="E1121" s="670"/>
      <c r="F1121" s="671"/>
      <c r="G1121" s="670"/>
      <c r="H1121" s="671"/>
      <c r="I1121" s="723"/>
      <c r="J1121" s="728"/>
      <c r="K1121" s="670"/>
      <c r="L1121" s="711"/>
    </row>
    <row r="1122" spans="1:19" ht="15" thickBot="1" x14ac:dyDescent="0.4"/>
    <row r="1123" spans="1:19" ht="23" thickBot="1" x14ac:dyDescent="0.4">
      <c r="B1123" s="524"/>
      <c r="C1123" s="525" t="s">
        <v>1770</v>
      </c>
      <c r="D1123" s="525"/>
      <c r="E1123" s="525"/>
      <c r="F1123" s="525"/>
      <c r="G1123" s="525"/>
      <c r="H1123" s="525"/>
      <c r="I1123" s="525"/>
      <c r="J1123" s="525"/>
      <c r="K1123" s="527"/>
      <c r="L1123" s="526"/>
    </row>
    <row r="1124" spans="1:19" s="2" customFormat="1" ht="15.5" outlineLevel="1" thickTop="1" thickBot="1" x14ac:dyDescent="0.4">
      <c r="B1124" s="721"/>
      <c r="C1124" s="719" t="s">
        <v>1033</v>
      </c>
      <c r="D1124" s="719" t="s">
        <v>0</v>
      </c>
      <c r="E1124" s="719"/>
      <c r="F1124" s="719"/>
      <c r="G1124" s="719"/>
      <c r="H1124" s="719"/>
      <c r="I1124" s="719" t="s">
        <v>1781</v>
      </c>
      <c r="J1124" s="719" t="s">
        <v>1782</v>
      </c>
      <c r="K1124" s="719"/>
      <c r="L1124" s="720"/>
      <c r="M1124" s="385"/>
      <c r="S1124" s="783"/>
    </row>
    <row r="1125" spans="1:19" ht="15" outlineLevel="1" thickTop="1" x14ac:dyDescent="0.35">
      <c r="A1125" s="483"/>
      <c r="B1125" s="759" t="s">
        <v>1922</v>
      </c>
      <c r="C1125" s="758">
        <v>5001</v>
      </c>
      <c r="D1125" s="664" t="s">
        <v>1783</v>
      </c>
      <c r="E1125" s="664"/>
      <c r="F1125" s="665"/>
      <c r="G1125" s="664"/>
      <c r="H1125" s="665"/>
      <c r="I1125" s="722">
        <v>0</v>
      </c>
      <c r="J1125" s="727">
        <v>0.05</v>
      </c>
      <c r="K1125" s="664"/>
      <c r="L1125" s="666"/>
    </row>
    <row r="1126" spans="1:19" ht="15" outlineLevel="1" thickBot="1" x14ac:dyDescent="0.4">
      <c r="A1126" s="483"/>
      <c r="B1126" s="768"/>
      <c r="C1126" s="736"/>
      <c r="D1126" s="735"/>
      <c r="E1126" s="735"/>
      <c r="F1126" s="736"/>
      <c r="G1126" s="735"/>
      <c r="H1126" s="736"/>
      <c r="I1126" s="737"/>
      <c r="J1126" s="738"/>
      <c r="K1126" s="735"/>
      <c r="L1126" s="739"/>
    </row>
    <row r="1127" spans="1:19" ht="15" thickBot="1" x14ac:dyDescent="0.4"/>
    <row r="1128" spans="1:19" ht="23" thickBot="1" x14ac:dyDescent="0.4">
      <c r="B1128" s="524"/>
      <c r="C1128" s="525" t="s">
        <v>1848</v>
      </c>
      <c r="D1128" s="525"/>
      <c r="E1128" s="525"/>
      <c r="F1128" s="525"/>
      <c r="G1128" s="525"/>
      <c r="H1128" s="525"/>
      <c r="I1128" s="525"/>
      <c r="J1128" s="525"/>
      <c r="K1128" s="527"/>
      <c r="L1128" s="526"/>
    </row>
    <row r="1129" spans="1:19" s="2" customFormat="1" ht="27" outlineLevel="1" thickTop="1" thickBot="1" x14ac:dyDescent="0.4">
      <c r="B1129" s="721"/>
      <c r="C1129" s="719" t="s">
        <v>1619</v>
      </c>
      <c r="D1129" s="719"/>
      <c r="E1129" s="719" t="s">
        <v>1846</v>
      </c>
      <c r="F1129" s="719" t="s">
        <v>1847</v>
      </c>
      <c r="G1129" s="719"/>
      <c r="H1129" s="719"/>
      <c r="I1129" s="719"/>
      <c r="J1129" s="719"/>
      <c r="K1129" s="719"/>
      <c r="L1129" s="720"/>
      <c r="M1129" s="385"/>
      <c r="S1129" s="783"/>
    </row>
    <row r="1130" spans="1:19" ht="15" outlineLevel="1" thickTop="1" x14ac:dyDescent="0.35">
      <c r="A1130" s="483"/>
      <c r="B1130" s="769" t="s">
        <v>1859</v>
      </c>
      <c r="C1130" s="746" t="s">
        <v>1855</v>
      </c>
      <c r="D1130" s="741"/>
      <c r="E1130" s="740"/>
      <c r="F1130" s="740"/>
      <c r="G1130" s="743"/>
      <c r="H1130" s="746"/>
      <c r="I1130" s="744"/>
      <c r="J1130" s="745"/>
      <c r="K1130" s="746"/>
      <c r="L1130" s="747"/>
    </row>
    <row r="1131" spans="1:19" outlineLevel="1" x14ac:dyDescent="0.35">
      <c r="A1131" s="483"/>
      <c r="B1131" s="770" t="s">
        <v>1860</v>
      </c>
      <c r="C1131" s="730" t="s">
        <v>1856</v>
      </c>
      <c r="D1131" s="742"/>
      <c r="E1131" s="729"/>
      <c r="F1131" s="729"/>
      <c r="G1131" s="748"/>
      <c r="H1131" s="730"/>
      <c r="I1131" s="734"/>
      <c r="J1131" s="732"/>
      <c r="K1131" s="730"/>
      <c r="L1131" s="733"/>
    </row>
    <row r="1132" spans="1:19" outlineLevel="1" x14ac:dyDescent="0.35">
      <c r="A1132" s="483"/>
      <c r="B1132" s="770" t="s">
        <v>1861</v>
      </c>
      <c r="C1132" s="730" t="s">
        <v>1857</v>
      </c>
      <c r="D1132" s="742"/>
      <c r="E1132" s="729"/>
      <c r="F1132" s="729"/>
      <c r="G1132" s="748"/>
      <c r="H1132" s="730"/>
      <c r="I1132" s="734"/>
      <c r="J1132" s="732"/>
      <c r="K1132" s="730"/>
      <c r="L1132" s="733"/>
    </row>
    <row r="1133" spans="1:19" outlineLevel="1" x14ac:dyDescent="0.35">
      <c r="A1133" s="483"/>
      <c r="B1133" s="770" t="s">
        <v>1862</v>
      </c>
      <c r="C1133" s="730" t="s">
        <v>1858</v>
      </c>
      <c r="D1133" s="742"/>
      <c r="E1133" s="729"/>
      <c r="F1133" s="729"/>
      <c r="G1133" s="748"/>
      <c r="H1133" s="730"/>
      <c r="I1133" s="734"/>
      <c r="J1133" s="732"/>
      <c r="K1133" s="730"/>
      <c r="L1133" s="733"/>
    </row>
    <row r="1134" spans="1:19" ht="15" outlineLevel="1" thickBot="1" x14ac:dyDescent="0.4">
      <c r="A1134" s="483"/>
      <c r="B1134" s="771"/>
      <c r="C1134" s="735"/>
      <c r="D1134" s="749"/>
      <c r="E1134" s="750"/>
      <c r="F1134" s="750"/>
      <c r="G1134" s="751"/>
      <c r="H1134" s="735"/>
      <c r="I1134" s="737"/>
      <c r="J1134" s="738"/>
      <c r="K1134" s="735"/>
      <c r="L1134" s="739"/>
    </row>
    <row r="1135" spans="1:19" ht="15" thickBot="1" x14ac:dyDescent="0.4"/>
    <row r="1136" spans="1:19" ht="23" thickBot="1" x14ac:dyDescent="0.4">
      <c r="B1136" s="524"/>
      <c r="C1136" s="525" t="s">
        <v>1849</v>
      </c>
      <c r="D1136" s="525"/>
      <c r="E1136" s="525"/>
      <c r="F1136" s="525"/>
      <c r="G1136" s="525"/>
      <c r="H1136" s="525"/>
      <c r="I1136" s="525"/>
      <c r="J1136" s="525"/>
      <c r="K1136" s="527"/>
      <c r="L1136" s="526"/>
    </row>
    <row r="1137" spans="1:19" ht="27" outlineLevel="1" thickTop="1" thickBot="1" x14ac:dyDescent="0.4">
      <c r="B1137" s="721"/>
      <c r="C1137" s="719" t="s">
        <v>1619</v>
      </c>
      <c r="D1137" s="719"/>
      <c r="E1137" s="719" t="s">
        <v>1846</v>
      </c>
      <c r="F1137" s="719" t="s">
        <v>1847</v>
      </c>
      <c r="G1137" s="719"/>
      <c r="H1137" s="719"/>
      <c r="I1137" s="719"/>
      <c r="J1137" s="719"/>
      <c r="K1137" s="719"/>
      <c r="L1137" s="720"/>
    </row>
    <row r="1138" spans="1:19" s="2" customFormat="1" ht="15" outlineLevel="1" thickTop="1" x14ac:dyDescent="0.35">
      <c r="B1138" s="769" t="s">
        <v>2115</v>
      </c>
      <c r="C1138" s="746" t="s">
        <v>1851</v>
      </c>
      <c r="D1138" s="741"/>
      <c r="E1138" s="740"/>
      <c r="F1138" s="740"/>
      <c r="G1138" s="743"/>
      <c r="H1138" s="746"/>
      <c r="I1138" s="744"/>
      <c r="J1138" s="745"/>
      <c r="K1138" s="746"/>
      <c r="L1138" s="747"/>
      <c r="M1138" s="385"/>
      <c r="S1138" s="783"/>
    </row>
    <row r="1139" spans="1:19" outlineLevel="1" x14ac:dyDescent="0.35">
      <c r="A1139" s="483"/>
      <c r="B1139" s="770" t="s">
        <v>2115</v>
      </c>
      <c r="C1139" s="730" t="s">
        <v>1816</v>
      </c>
      <c r="D1139" s="742"/>
      <c r="E1139" s="729"/>
      <c r="F1139" s="729"/>
      <c r="G1139" s="748"/>
      <c r="H1139" s="730"/>
      <c r="I1139" s="734"/>
      <c r="J1139" s="732"/>
      <c r="K1139" s="730"/>
      <c r="L1139" s="733"/>
    </row>
    <row r="1140" spans="1:19" outlineLevel="1" x14ac:dyDescent="0.35">
      <c r="A1140" s="483"/>
      <c r="B1140" s="770" t="s">
        <v>2115</v>
      </c>
      <c r="C1140" s="730" t="s">
        <v>1817</v>
      </c>
      <c r="D1140" s="742"/>
      <c r="E1140" s="729"/>
      <c r="F1140" s="729"/>
      <c r="G1140" s="748"/>
      <c r="H1140" s="730"/>
      <c r="I1140" s="734"/>
      <c r="J1140" s="732"/>
      <c r="K1140" s="730"/>
      <c r="L1140" s="733"/>
    </row>
    <row r="1141" spans="1:19" outlineLevel="1" x14ac:dyDescent="0.35">
      <c r="A1141" s="483"/>
      <c r="B1141" s="770" t="s">
        <v>2115</v>
      </c>
      <c r="C1141" s="730" t="s">
        <v>1285</v>
      </c>
      <c r="D1141" s="742"/>
      <c r="E1141" s="729"/>
      <c r="F1141" s="729"/>
      <c r="G1141" s="748"/>
      <c r="H1141" s="730"/>
      <c r="I1141" s="734"/>
      <c r="J1141" s="732"/>
      <c r="K1141" s="730"/>
      <c r="L1141" s="733"/>
    </row>
    <row r="1142" spans="1:19" ht="15" outlineLevel="1" thickBot="1" x14ac:dyDescent="0.4">
      <c r="A1142" s="483"/>
      <c r="B1142" s="771"/>
      <c r="C1142" s="735"/>
      <c r="D1142" s="749"/>
      <c r="E1142" s="750"/>
      <c r="F1142" s="750"/>
      <c r="G1142" s="751"/>
      <c r="H1142" s="735"/>
      <c r="I1142" s="737"/>
      <c r="J1142" s="738"/>
      <c r="K1142" s="735"/>
      <c r="L1142" s="739"/>
    </row>
    <row r="1143" spans="1:19" ht="15" thickBot="1" x14ac:dyDescent="0.4">
      <c r="B1143" s="2"/>
    </row>
    <row r="1144" spans="1:19" ht="23" thickBot="1" x14ac:dyDescent="0.4">
      <c r="B1144" s="524"/>
      <c r="C1144" s="525" t="s">
        <v>1850</v>
      </c>
      <c r="D1144" s="525"/>
      <c r="E1144" s="525"/>
      <c r="F1144" s="525"/>
      <c r="G1144" s="525"/>
      <c r="H1144" s="525"/>
      <c r="I1144" s="525"/>
      <c r="J1144" s="525"/>
      <c r="K1144" s="527"/>
      <c r="L1144" s="526"/>
    </row>
    <row r="1145" spans="1:19" ht="27" outlineLevel="1" thickTop="1" thickBot="1" x14ac:dyDescent="0.4">
      <c r="B1145" s="721"/>
      <c r="C1145" s="719" t="s">
        <v>1619</v>
      </c>
      <c r="D1145" s="719"/>
      <c r="E1145" s="719" t="s">
        <v>1846</v>
      </c>
      <c r="F1145" s="719" t="s">
        <v>1847</v>
      </c>
      <c r="G1145" s="719"/>
      <c r="H1145" s="719"/>
      <c r="I1145" s="719"/>
      <c r="J1145" s="719" t="s">
        <v>1668</v>
      </c>
      <c r="K1145" s="719"/>
      <c r="L1145" s="720"/>
    </row>
    <row r="1146" spans="1:19" s="2" customFormat="1" ht="15" outlineLevel="1" thickTop="1" x14ac:dyDescent="0.35">
      <c r="B1146" s="769" t="s">
        <v>2116</v>
      </c>
      <c r="C1146" s="746" t="s">
        <v>1845</v>
      </c>
      <c r="D1146" s="741"/>
      <c r="E1146" s="740" t="s">
        <v>1854</v>
      </c>
      <c r="F1146" s="740"/>
      <c r="G1146" s="743"/>
      <c r="H1146" s="746"/>
      <c r="I1146" s="744"/>
      <c r="J1146" s="745"/>
      <c r="K1146" s="746"/>
      <c r="L1146" s="747"/>
      <c r="M1146" s="385"/>
      <c r="S1146" s="783"/>
    </row>
    <row r="1147" spans="1:19" outlineLevel="1" x14ac:dyDescent="0.35">
      <c r="A1147" s="483"/>
      <c r="B1147" s="770" t="s">
        <v>2116</v>
      </c>
      <c r="C1147" s="730" t="s">
        <v>1852</v>
      </c>
      <c r="D1147" s="742"/>
      <c r="E1147" s="729"/>
      <c r="F1147" s="729"/>
      <c r="G1147" s="748"/>
      <c r="H1147" s="730"/>
      <c r="I1147" s="734"/>
      <c r="J1147" s="732"/>
      <c r="K1147" s="730"/>
      <c r="L1147" s="733"/>
    </row>
    <row r="1148" spans="1:19" outlineLevel="1" x14ac:dyDescent="0.35">
      <c r="A1148" s="483"/>
      <c r="B1148" s="770" t="s">
        <v>2116</v>
      </c>
      <c r="C1148" s="730" t="s">
        <v>1853</v>
      </c>
      <c r="D1148" s="742"/>
      <c r="E1148" s="729" t="s">
        <v>1882</v>
      </c>
      <c r="F1148" s="729"/>
      <c r="G1148" s="748"/>
      <c r="H1148" s="730"/>
      <c r="I1148" s="734"/>
      <c r="J1148" s="732"/>
      <c r="K1148" s="730"/>
      <c r="L1148" s="733"/>
    </row>
    <row r="1149" spans="1:19" outlineLevel="1" x14ac:dyDescent="0.35">
      <c r="A1149" s="483"/>
      <c r="B1149" s="770" t="s">
        <v>2116</v>
      </c>
      <c r="C1149" s="730" t="s">
        <v>1667</v>
      </c>
      <c r="D1149" s="742"/>
      <c r="E1149" s="729"/>
      <c r="F1149" s="729"/>
      <c r="G1149" s="748"/>
      <c r="H1149" s="730"/>
      <c r="I1149" s="734"/>
      <c r="J1149" s="732"/>
      <c r="K1149" s="730"/>
      <c r="L1149" s="733"/>
    </row>
    <row r="1150" spans="1:19" outlineLevel="1" x14ac:dyDescent="0.35">
      <c r="A1150" s="483"/>
      <c r="B1150" s="770" t="s">
        <v>2116</v>
      </c>
      <c r="C1150" s="730"/>
      <c r="D1150" s="742"/>
      <c r="E1150" s="729"/>
      <c r="F1150" s="729"/>
      <c r="G1150" s="748"/>
      <c r="H1150" s="730"/>
      <c r="I1150" s="734"/>
      <c r="J1150" s="732"/>
      <c r="K1150" s="730"/>
      <c r="L1150" s="733"/>
    </row>
    <row r="1151" spans="1:19" outlineLevel="1" x14ac:dyDescent="0.35">
      <c r="A1151" s="483"/>
      <c r="B1151" s="770" t="s">
        <v>2116</v>
      </c>
      <c r="C1151" s="730"/>
      <c r="D1151" s="742"/>
      <c r="E1151" s="729"/>
      <c r="F1151" s="729"/>
      <c r="G1151" s="748"/>
      <c r="H1151" s="730"/>
      <c r="I1151" s="734"/>
      <c r="J1151" s="732"/>
      <c r="K1151" s="730"/>
      <c r="L1151" s="733"/>
    </row>
    <row r="1152" spans="1:19" outlineLevel="1" x14ac:dyDescent="0.35">
      <c r="A1152" s="483"/>
      <c r="B1152" s="770" t="s">
        <v>2116</v>
      </c>
      <c r="C1152" s="730"/>
      <c r="D1152" s="742"/>
      <c r="E1152" s="729"/>
      <c r="F1152" s="729"/>
      <c r="G1152" s="748"/>
      <c r="H1152" s="730"/>
      <c r="I1152" s="734"/>
      <c r="J1152" s="732"/>
      <c r="K1152" s="730"/>
      <c r="L1152" s="733"/>
    </row>
    <row r="1153" spans="1:12" outlineLevel="1" x14ac:dyDescent="0.35">
      <c r="A1153" s="483"/>
      <c r="B1153" s="770" t="s">
        <v>2116</v>
      </c>
      <c r="C1153" s="730"/>
      <c r="D1153" s="742"/>
      <c r="E1153" s="729"/>
      <c r="F1153" s="729"/>
      <c r="G1153" s="748"/>
      <c r="H1153" s="730"/>
      <c r="I1153" s="734"/>
      <c r="J1153" s="732"/>
      <c r="K1153" s="730"/>
      <c r="L1153" s="733"/>
    </row>
    <row r="1154" spans="1:12" outlineLevel="1" x14ac:dyDescent="0.35">
      <c r="A1154" s="483"/>
      <c r="B1154" s="770" t="s">
        <v>2116</v>
      </c>
      <c r="C1154" s="730"/>
      <c r="D1154" s="742"/>
      <c r="E1154" s="729"/>
      <c r="F1154" s="729"/>
      <c r="G1154" s="748"/>
      <c r="H1154" s="730"/>
      <c r="I1154" s="734"/>
      <c r="J1154" s="732"/>
      <c r="K1154" s="730"/>
      <c r="L1154" s="733"/>
    </row>
    <row r="1155" spans="1:12" outlineLevel="1" x14ac:dyDescent="0.35">
      <c r="A1155" s="483"/>
      <c r="B1155" s="770" t="s">
        <v>2116</v>
      </c>
      <c r="C1155" s="730"/>
      <c r="D1155" s="742"/>
      <c r="E1155" s="729"/>
      <c r="F1155" s="729"/>
      <c r="G1155" s="748"/>
      <c r="H1155" s="730"/>
      <c r="I1155" s="734"/>
      <c r="J1155" s="732"/>
      <c r="K1155" s="730"/>
      <c r="L1155" s="733"/>
    </row>
    <row r="1156" spans="1:12" outlineLevel="1" x14ac:dyDescent="0.35">
      <c r="A1156" s="483"/>
      <c r="B1156" s="770" t="s">
        <v>2116</v>
      </c>
      <c r="C1156" s="730"/>
      <c r="D1156" s="742"/>
      <c r="E1156" s="729"/>
      <c r="F1156" s="729"/>
      <c r="G1156" s="748"/>
      <c r="H1156" s="730"/>
      <c r="I1156" s="734"/>
      <c r="J1156" s="732"/>
      <c r="K1156" s="730"/>
      <c r="L1156" s="733"/>
    </row>
    <row r="1157" spans="1:12" outlineLevel="1" x14ac:dyDescent="0.35">
      <c r="A1157" s="483"/>
      <c r="B1157" s="770" t="s">
        <v>2116</v>
      </c>
      <c r="C1157" s="730"/>
      <c r="D1157" s="742"/>
      <c r="E1157" s="729"/>
      <c r="F1157" s="729"/>
      <c r="G1157" s="748"/>
      <c r="H1157" s="730"/>
      <c r="I1157" s="734"/>
      <c r="J1157" s="732"/>
      <c r="K1157" s="730"/>
      <c r="L1157" s="733"/>
    </row>
    <row r="1158" spans="1:12" outlineLevel="1" x14ac:dyDescent="0.35">
      <c r="A1158" s="483"/>
      <c r="B1158" s="770" t="s">
        <v>2116</v>
      </c>
      <c r="C1158" s="730"/>
      <c r="D1158" s="742"/>
      <c r="E1158" s="729"/>
      <c r="F1158" s="729"/>
      <c r="G1158" s="748"/>
      <c r="H1158" s="730"/>
      <c r="I1158" s="734"/>
      <c r="J1158" s="732"/>
      <c r="K1158" s="730"/>
      <c r="L1158" s="733"/>
    </row>
    <row r="1159" spans="1:12" outlineLevel="1" x14ac:dyDescent="0.35">
      <c r="A1159" s="483"/>
      <c r="B1159" s="770" t="s">
        <v>2116</v>
      </c>
      <c r="C1159" s="730"/>
      <c r="D1159" s="742"/>
      <c r="E1159" s="729"/>
      <c r="F1159" s="729"/>
      <c r="G1159" s="748"/>
      <c r="H1159" s="730"/>
      <c r="I1159" s="734"/>
      <c r="J1159" s="732"/>
      <c r="K1159" s="730"/>
      <c r="L1159" s="733"/>
    </row>
    <row r="1160" spans="1:12" outlineLevel="1" x14ac:dyDescent="0.35">
      <c r="A1160" s="483"/>
      <c r="B1160" s="770" t="s">
        <v>2116</v>
      </c>
      <c r="C1160" s="730"/>
      <c r="D1160" s="742"/>
      <c r="E1160" s="729"/>
      <c r="F1160" s="729"/>
      <c r="G1160" s="748"/>
      <c r="H1160" s="730"/>
      <c r="I1160" s="734"/>
      <c r="J1160" s="732"/>
      <c r="K1160" s="730"/>
      <c r="L1160" s="733"/>
    </row>
    <row r="1161" spans="1:12" outlineLevel="1" x14ac:dyDescent="0.35">
      <c r="A1161" s="483"/>
      <c r="B1161" s="770" t="s">
        <v>2116</v>
      </c>
      <c r="C1161" s="730"/>
      <c r="D1161" s="742"/>
      <c r="E1161" s="729"/>
      <c r="F1161" s="729"/>
      <c r="G1161" s="748"/>
      <c r="H1161" s="730"/>
      <c r="I1161" s="734"/>
      <c r="J1161" s="732"/>
      <c r="K1161" s="730"/>
      <c r="L1161" s="733"/>
    </row>
    <row r="1162" spans="1:12" outlineLevel="1" x14ac:dyDescent="0.35">
      <c r="A1162" s="483"/>
      <c r="B1162" s="770" t="s">
        <v>2116</v>
      </c>
      <c r="C1162" s="730"/>
      <c r="D1162" s="742"/>
      <c r="E1162" s="729"/>
      <c r="F1162" s="729"/>
      <c r="G1162" s="748"/>
      <c r="H1162" s="730"/>
      <c r="I1162" s="734"/>
      <c r="J1162" s="732"/>
      <c r="K1162" s="730"/>
      <c r="L1162" s="733"/>
    </row>
    <row r="1163" spans="1:12" outlineLevel="1" x14ac:dyDescent="0.35">
      <c r="A1163" s="483"/>
      <c r="B1163" s="770" t="s">
        <v>2116</v>
      </c>
      <c r="C1163" s="730"/>
      <c r="D1163" s="742"/>
      <c r="E1163" s="729"/>
      <c r="F1163" s="729"/>
      <c r="G1163" s="748"/>
      <c r="H1163" s="730"/>
      <c r="I1163" s="734"/>
      <c r="J1163" s="732"/>
      <c r="K1163" s="730"/>
      <c r="L1163" s="733"/>
    </row>
    <row r="1164" spans="1:12" outlineLevel="1" x14ac:dyDescent="0.35">
      <c r="A1164" s="483"/>
      <c r="B1164" s="770" t="s">
        <v>2116</v>
      </c>
      <c r="C1164" s="730"/>
      <c r="D1164" s="742"/>
      <c r="E1164" s="729"/>
      <c r="F1164" s="729"/>
      <c r="G1164" s="748"/>
      <c r="H1164" s="730"/>
      <c r="I1164" s="734"/>
      <c r="J1164" s="732"/>
      <c r="K1164" s="730"/>
      <c r="L1164" s="733"/>
    </row>
    <row r="1165" spans="1:12" outlineLevel="1" x14ac:dyDescent="0.35">
      <c r="A1165" s="483"/>
      <c r="B1165" s="770" t="s">
        <v>2116</v>
      </c>
      <c r="C1165" s="730"/>
      <c r="D1165" s="742"/>
      <c r="E1165" s="729"/>
      <c r="F1165" s="729"/>
      <c r="G1165" s="748"/>
      <c r="H1165" s="730"/>
      <c r="I1165" s="734"/>
      <c r="J1165" s="732"/>
      <c r="K1165" s="730"/>
      <c r="L1165" s="733"/>
    </row>
    <row r="1166" spans="1:12" outlineLevel="1" x14ac:dyDescent="0.35">
      <c r="A1166" s="483"/>
      <c r="B1166" s="770" t="s">
        <v>2116</v>
      </c>
      <c r="C1166" s="730"/>
      <c r="D1166" s="742"/>
      <c r="E1166" s="729"/>
      <c r="F1166" s="729"/>
      <c r="G1166" s="748"/>
      <c r="H1166" s="730"/>
      <c r="I1166" s="734"/>
      <c r="J1166" s="732"/>
      <c r="K1166" s="730"/>
      <c r="L1166" s="733"/>
    </row>
    <row r="1167" spans="1:12" outlineLevel="1" x14ac:dyDescent="0.35">
      <c r="A1167" s="483"/>
      <c r="B1167" s="770" t="s">
        <v>2116</v>
      </c>
      <c r="C1167" s="730"/>
      <c r="D1167" s="742"/>
      <c r="E1167" s="729"/>
      <c r="F1167" s="729"/>
      <c r="G1167" s="748"/>
      <c r="H1167" s="730"/>
      <c r="I1167" s="734"/>
      <c r="J1167" s="732"/>
      <c r="K1167" s="730"/>
      <c r="L1167" s="733"/>
    </row>
    <row r="1168" spans="1:12" outlineLevel="1" x14ac:dyDescent="0.35">
      <c r="A1168" s="483"/>
      <c r="B1168" s="770" t="s">
        <v>2116</v>
      </c>
      <c r="C1168" s="730"/>
      <c r="D1168" s="742"/>
      <c r="E1168" s="729"/>
      <c r="F1168" s="729"/>
      <c r="G1168" s="748"/>
      <c r="H1168" s="730"/>
      <c r="I1168" s="734"/>
      <c r="J1168" s="732"/>
      <c r="K1168" s="730"/>
      <c r="L1168" s="733"/>
    </row>
    <row r="1169" spans="1:12" outlineLevel="1" x14ac:dyDescent="0.35">
      <c r="A1169" s="483"/>
      <c r="B1169" s="770" t="s">
        <v>2116</v>
      </c>
      <c r="C1169" s="730"/>
      <c r="D1169" s="742"/>
      <c r="E1169" s="729"/>
      <c r="F1169" s="729"/>
      <c r="G1169" s="748"/>
      <c r="H1169" s="730"/>
      <c r="I1169" s="734"/>
      <c r="J1169" s="732"/>
      <c r="K1169" s="730"/>
      <c r="L1169" s="733"/>
    </row>
    <row r="1170" spans="1:12" outlineLevel="1" x14ac:dyDescent="0.35">
      <c r="A1170" s="483"/>
      <c r="B1170" s="770" t="s">
        <v>2116</v>
      </c>
      <c r="C1170" s="730"/>
      <c r="D1170" s="742"/>
      <c r="E1170" s="729"/>
      <c r="F1170" s="729"/>
      <c r="G1170" s="748"/>
      <c r="H1170" s="730"/>
      <c r="I1170" s="734"/>
      <c r="J1170" s="732"/>
      <c r="K1170" s="730"/>
      <c r="L1170" s="733"/>
    </row>
    <row r="1171" spans="1:12" outlineLevel="1" x14ac:dyDescent="0.35">
      <c r="A1171" s="483"/>
      <c r="B1171" s="770" t="s">
        <v>2116</v>
      </c>
      <c r="C1171" s="730"/>
      <c r="D1171" s="742"/>
      <c r="E1171" s="729"/>
      <c r="F1171" s="729"/>
      <c r="G1171" s="748"/>
      <c r="H1171" s="730"/>
      <c r="I1171" s="734"/>
      <c r="J1171" s="732"/>
      <c r="K1171" s="730"/>
      <c r="L1171" s="733"/>
    </row>
    <row r="1172" spans="1:12" ht="15" outlineLevel="1" thickBot="1" x14ac:dyDescent="0.4">
      <c r="A1172" s="483"/>
      <c r="B1172" s="771" t="s">
        <v>2116</v>
      </c>
      <c r="C1172" s="735"/>
      <c r="D1172" s="749"/>
      <c r="E1172" s="750"/>
      <c r="F1172" s="750"/>
      <c r="G1172" s="751"/>
      <c r="H1172" s="735"/>
      <c r="I1172" s="737"/>
      <c r="J1172" s="738"/>
      <c r="K1172" s="735"/>
      <c r="L1172" s="739"/>
    </row>
    <row r="1173" spans="1:12" x14ac:dyDescent="0.35">
      <c r="B1173" s="2"/>
    </row>
  </sheetData>
  <mergeCells count="5">
    <mergeCell ref="S2:U2"/>
    <mergeCell ref="S3:U3"/>
    <mergeCell ref="N2:Q2"/>
    <mergeCell ref="N3:Q3"/>
    <mergeCell ref="C74:I74"/>
  </mergeCells>
  <phoneticPr fontId="55" type="noConversion"/>
  <dataValidations count="37">
    <dataValidation type="textLength" errorStyle="warning" operator="equal" allowBlank="1" showInputMessage="1" showErrorMessage="1" errorTitle="Validación de datos" error="Debe ingresar los 3 caracteres correspondientes, que indiquen sus establecimientos activos en el SRI" sqref="D10:I19 H21:I21 E21:F21 D22:I22" xr:uid="{00000000-0002-0000-0500-000000000000}">
      <formula1>3</formula1>
    </dataValidation>
    <dataValidation type="list" allowBlank="1" showInputMessage="1" showErrorMessage="1" sqref="D24" xr:uid="{00000000-0002-0000-0500-000001000000}">
      <formula1>"SERVER_1,SERVER_2,SERVER_3"</formula1>
    </dataValidation>
    <dataValidation type="list" allowBlank="1" showInputMessage="1" showErrorMessage="1" errorTitle="SRI Anexos" error="Debe ingresar un valor correcto para el Tipo de Ambiente" sqref="D46" xr:uid="{00000000-0002-0000-0500-000002000000}">
      <formula1>"1-PRUEBAS,2-PRODUCCION"</formula1>
    </dataValidation>
    <dataValidation type="textLength" operator="lessThanOrEqual" allowBlank="1" showInputMessage="1" showErrorMessage="1" errorTitle="FactelExcel" error="Debe ingresar un valor correcto para el Nombre Comercial" sqref="D35:I35" xr:uid="{00000000-0002-0000-0500-000003000000}">
      <formula1>300</formula1>
    </dataValidation>
    <dataValidation type="list" allowBlank="1" showInputMessage="1" showErrorMessage="1" sqref="JC99:JE99 SY99:TA99 ACU99:ACW99 AMQ99:AMS99 AWM99:AWO99 BGI99:BGK99 BQE99:BQG99 CAA99:CAC99 CJW99:CJY99 CTS99:CTU99 DDO99:DDQ99 DNK99:DNM99 DXG99:DXI99 EHC99:EHE99 EQY99:ERA99 FAU99:FAW99 FKQ99:FKS99 FUM99:FUO99 GEI99:GEK99 GOE99:GOG99 GYA99:GYC99 HHW99:HHY99 HRS99:HRU99 IBO99:IBQ99 ILK99:ILM99 IVG99:IVI99 JFC99:JFE99 JOY99:JPA99 JYU99:JYW99 KIQ99:KIS99 KSM99:KSO99 LCI99:LCK99 LME99:LMG99 LWA99:LWC99 MFW99:MFY99 MPS99:MPU99 MZO99:MZQ99 NJK99:NJM99 NTG99:NTI99 ODC99:ODE99 OMY99:ONA99 OWU99:OWW99 PGQ99:PGS99 PQM99:PQO99 QAI99:QAK99 QKE99:QKG99 QUA99:QUC99 RDW99:RDY99 RNS99:RNU99 RXO99:RXQ99 SHK99:SHM99 SRG99:SRI99 TBC99:TBE99 TKY99:TLA99 TUU99:TUW99 UEQ99:UES99 UOM99:UOO99 UYI99:UYK99 VIE99:VIG99 VSA99:VSC99 WBW99:WBY99 WLS99:WLU99 WLS63:WLU75 WVO99:WVQ99 WBW89:WBY95 VSA89:VSC95 VIE89:VIG95 UYI89:UYK95 UOM89:UOO95 UEQ89:UES95 TUU89:TUW95 TKY89:TLA95 TBC89:TBE95 SRG89:SRI95 SHK89:SHM95 RXO89:RXQ95 RNS89:RNU95 RDW89:RDY95 QUA89:QUC95 QKE89:QKG95 QAI89:QAK95 PQM89:PQO95 PGQ89:PGS95 OWU89:OWW95 OMY89:ONA95 ODC89:ODE95 NTG89:NTI95 NJK89:NJM95 MZO89:MZQ95 MPS89:MPU95 MFW89:MFY95 LWA89:LWC95 LME89:LMG95 LCI89:LCK95 KSM89:KSO95 KIQ89:KIS95 JYU89:JYW95 JOY89:JPA95 JFC89:JFE95 IVG89:IVI95 ILK89:ILM95 IBO89:IBQ95 HRS89:HRU95 HHW89:HHY95 GYA89:GYC95 GOE89:GOG95 GEI89:GEK95 FUM89:FUO95 FKQ89:FKS95 FAU89:FAW95 EQY89:ERA95 EHC89:EHE95 DXG89:DXI95 DNK89:DNM95 DDO89:DDQ95 CTS89:CTU95 CJW89:CJY95 CAA89:CAC95 BQE89:BQG95 BGI89:BGK95 AWM89:AWO95 AMQ89:AMS95 ACU89:ACW95 SY89:TA95 JC89:JE95 WVO89:WVQ95 WLS89:WLU95 WVO63:WVQ75 JC63:JE75 SY63:TA75 ACU63:ACW75 AMQ63:AMS75 AWM63:AWO75 BGI63:BGK75 BQE63:BQG75 CAA63:CAC75 CJW63:CJY75 CTS63:CTU75 DDO63:DDQ75 DNK63:DNM75 DXG63:DXI75 EHC63:EHE75 EQY63:ERA75 FAU63:FAW75 FKQ63:FKS75 FUM63:FUO75 GEI63:GEK75 GOE63:GOG75 GYA63:GYC75 HHW63:HHY75 HRS63:HRU75 IBO63:IBQ75 ILK63:ILM75 IVG63:IVI75 JFC63:JFE75 JOY63:JPA75 JYU63:JYW75 KIQ63:KIS75 KSM63:KSO75 LCI63:LCK75 LME63:LMG75 LWA63:LWC75 MFW63:MFY75 MPS63:MPU75 MZO63:MZQ75 NJK63:NJM75 NTG63:NTI75 ODC63:ODE75 OMY63:ONA75 OWU63:OWW75 PGQ63:PGS75 PQM63:PQO75 QAI63:QAK75 QKE63:QKG75 QUA63:QUC75 RDW63:RDY75 RNS63:RNU75 RXO63:RXQ75 SHK63:SHM75 SRG63:SRI75 TBC63:TBE75 TKY63:TLA75 TUU63:TUW75 UEQ63:UES75 UOM63:UOO75 UYI63:UYK75 VIE63:VIG75 VSA63:VSC75 WBW63:WBY75 WBW80:WBY82 VSA80:VSC82 VIE80:VIG82 UYI80:UYK82 UOM80:UOO82 UEQ80:UES82 TUU80:TUW82 TKY80:TLA82 TBC80:TBE82 SRG80:SRI82 SHK80:SHM82 RXO80:RXQ82 RNS80:RNU82 RDW80:RDY82 QUA80:QUC82 QKE80:QKG82 QAI80:QAK82 PQM80:PQO82 PGQ80:PGS82 OWU80:OWW82 OMY80:ONA82 ODC80:ODE82 NTG80:NTI82 NJK80:NJM82 MZO80:MZQ82 MPS80:MPU82 MFW80:MFY82 LWA80:LWC82 LME80:LMG82 LCI80:LCK82 KSM80:KSO82 KIQ80:KIS82 JYU80:JYW82 JOY80:JPA82 JFC80:JFE82 IVG80:IVI82 ILK80:ILM82 IBO80:IBQ82 HRS80:HRU82 HHW80:HHY82 GYA80:GYC82 GOE80:GOG82 GEI80:GEK82 FUM80:FUO82 FKQ80:FKS82 FAU80:FAW82 EQY80:ERA82 EHC80:EHE82 DXG80:DXI82 DNK80:DNM82 DDO80:DDQ82 CTS80:CTU82 CJW80:CJY82 CAA80:CAC82 BQE80:BQG82 BGI80:BGK82 AWM80:AWO82 AMQ80:AMS82 ACU80:ACW82 SY80:TA82 JC80:JE82 WVO80:WVQ82 WLS80:WLU82" xr:uid="{00000000-0002-0000-0500-000004000000}">
      <formula1>"1-Guardar XML,2-Guardar y Firmar XML,3-Guardar Firmar y Enviar al SRI"</formula1>
    </dataValidation>
    <dataValidation type="list" allowBlank="1" showInputMessage="1" showErrorMessage="1" sqref="D83:D84" xr:uid="{00000000-0002-0000-0500-000005000000}">
      <formula1>pagos</formula1>
    </dataValidation>
    <dataValidation type="list" allowBlank="1" showInputMessage="1" showErrorMessage="1" sqref="D20" xr:uid="{00000000-0002-0000-0500-000006000000}">
      <formula1>"2016,2017,2018,2019,2020,2021,2022,2023,2024,2025,2026"</formula1>
    </dataValidation>
    <dataValidation type="textLength" allowBlank="1" showInputMessage="1" showErrorMessage="1" errorTitle="FactelExcel" error="Debe ingresar un valor correcto para No. Resolucion Contribuyente Especial" sqref="D46" xr:uid="{00000000-0002-0000-0500-000007000000}">
      <formula1>3</formula1>
      <formula2>5</formula2>
    </dataValidation>
    <dataValidation type="list" allowBlank="1" showInputMessage="1" showErrorMessage="1" errorTitle="FactelExcel" error="Debe ingresar un valor correcto para esta celda" sqref="D46" xr:uid="{00000000-0002-0000-0500-000008000000}">
      <formula1>"SI,NO"</formula1>
    </dataValidation>
    <dataValidation type="textLength" operator="lessThanOrEqual" allowBlank="1" showInputMessage="1" showErrorMessage="1" errorTitle="FactelExcel" error="Debe ingresar un valor correcto para la Direccion Matriz" sqref="D46 D67 D36:I38" xr:uid="{00000000-0002-0000-0500-000009000000}">
      <formula1>300</formula1>
    </dataValidation>
    <dataValidation type="list" allowBlank="1" showInputMessage="1" showErrorMessage="1" errorTitle="SRI Anexos" error="Debe ingresar un valor correcto para esta celda" sqref="D92:D94 D72 D66 D42:D43 D64 D79:D82" xr:uid="{00000000-0002-0000-0500-00000A000000}">
      <formula1>"SI,NO"</formula1>
    </dataValidation>
    <dataValidation type="list" operator="lessThanOrEqual" allowBlank="1" showInputMessage="1" showErrorMessage="1" errorTitle="FactelExcel" error="Debe ingresar un valor correcto para la Direccion Matriz" sqref="D92:D94 D72 D66 D42:D43 D64 D79:D82" xr:uid="{00000000-0002-0000-0500-00000B000000}">
      <formula1>"SI, NO"</formula1>
    </dataValidation>
    <dataValidation type="list" allowBlank="1" showInputMessage="1" showErrorMessage="1" errorTitle="SRI Anexos" error="Debe ingresar un valor correcto para esta celda" sqref="D92 D83:D84" xr:uid="{00000000-0002-0000-0500-00000C000000}">
      <formula1>"Version 1.0.0, Version 2.0.0"</formula1>
    </dataValidation>
    <dataValidation type="list" operator="lessThanOrEqual" allowBlank="1" showInputMessage="1" showErrorMessage="1" errorTitle="FactelExcel" error="Debe ingresar un valor correcto para la Direccion Matriz" sqref="D92 D83:D84" xr:uid="{00000000-0002-0000-0500-00000D000000}">
      <formula1>"Version1.0,Version2.0"</formula1>
    </dataValidation>
    <dataValidation type="list" allowBlank="1" showInputMessage="1" showErrorMessage="1" sqref="D76:D77" xr:uid="{00000000-0002-0000-0500-00000E000000}">
      <formula1>"2,3,4,5,6"</formula1>
    </dataValidation>
    <dataValidation type="list" allowBlank="1" showInputMessage="1" showErrorMessage="1" errorTitle="SRI Anexos" error="Debe ingresar un valor correcto para esta celda" sqref="D78" xr:uid="{00000000-0002-0000-0500-00000F000000}">
      <formula1>"SI,NO,Preguntar,Previsualizar"</formula1>
    </dataValidation>
    <dataValidation type="list" operator="lessThanOrEqual" allowBlank="1" showInputMessage="1" showErrorMessage="1" errorTitle="SRI Anexos" error="Debe ingresar un valor correcto para la Direccion Matriz" sqref="D78" xr:uid="{00000000-0002-0000-0500-000010000000}">
      <formula1>"SI, NO, Preguntar"</formula1>
    </dataValidation>
    <dataValidation type="textLength" operator="equal" allowBlank="1" showInputMessage="1" showErrorMessage="1" errorTitle="FactelExcel" error="Debe ingresar un valor correcto para el Codigo de Establecimiento" sqref="D46" xr:uid="{00000000-0002-0000-0500-000011000000}">
      <formula1>7</formula1>
    </dataValidation>
    <dataValidation type="list" allowBlank="1" showInputMessage="1" showErrorMessage="1" errorTitle="SRI Anexos" error="Debe ingresar un valor correcto para esta celda" sqref="D65" xr:uid="{00000000-0002-0000-0500-000012000000}">
      <formula1>"MS-OUTLOOK,EMPRESARIAL"</formula1>
    </dataValidation>
    <dataValidation type="list" operator="lessThanOrEqual" allowBlank="1" showInputMessage="1" showErrorMessage="1" errorTitle="FactelExcel" error="Debe ingresar un valor correcto para la Direccion Matriz" sqref="D65" xr:uid="{00000000-0002-0000-0500-000013000000}">
      <formula1>"CorreoOutlook,ServidorEmpresarial"</formula1>
    </dataValidation>
    <dataValidation type="list" allowBlank="1" showInputMessage="1" showErrorMessage="1" sqref="D49" xr:uid="{00000000-0002-0000-0500-000014000000}">
      <formula1>"NORMAL01a,NORMAL01b,NORMAL01c"</formula1>
    </dataValidation>
    <dataValidation type="list" allowBlank="1" showInputMessage="1" showErrorMessage="1" sqref="D50" xr:uid="{00000000-0002-0000-0500-000015000000}">
      <formula1>"RIDE01a,RIDE01b,RIDE01c"</formula1>
    </dataValidation>
    <dataValidation type="list" allowBlank="1" showInputMessage="1" showErrorMessage="1" sqref="E49" xr:uid="{00000000-0002-0000-0500-000016000000}">
      <formula1>"NORMAL03a,NORMAL03b,NORMAL03c"</formula1>
    </dataValidation>
    <dataValidation type="list" allowBlank="1" showInputMessage="1" showErrorMessage="1" sqref="E50" xr:uid="{00000000-0002-0000-0500-000017000000}">
      <formula1>"RIDE03a,RIDE03b,RIDE03c"</formula1>
    </dataValidation>
    <dataValidation type="list" allowBlank="1" showInputMessage="1" showErrorMessage="1" sqref="F49" xr:uid="{00000000-0002-0000-0500-000018000000}">
      <formula1>"NORMAL04a,NORMAL04b,NORMAL04c"</formula1>
    </dataValidation>
    <dataValidation type="list" allowBlank="1" showInputMessage="1" showErrorMessage="1" sqref="F50" xr:uid="{00000000-0002-0000-0500-000019000000}">
      <formula1>"RIDE04a,RIDE04b,RIDE04c"</formula1>
    </dataValidation>
    <dataValidation type="list" allowBlank="1" showInputMessage="1" showErrorMessage="1" sqref="G49" xr:uid="{00000000-0002-0000-0500-00001A000000}">
      <formula1>"NORMAL05a,NORMAL05b,NORMAL05c"</formula1>
    </dataValidation>
    <dataValidation type="list" allowBlank="1" showInputMessage="1" showErrorMessage="1" sqref="G50" xr:uid="{00000000-0002-0000-0500-00001B000000}">
      <formula1>"RIDE05a,RIDE05b,RIDE05c"</formula1>
    </dataValidation>
    <dataValidation type="list" allowBlank="1" showInputMessage="1" showErrorMessage="1" sqref="H49" xr:uid="{00000000-0002-0000-0500-00001C000000}">
      <formula1>"NORMAL07a,NORMAL07b,NORMAL07c"</formula1>
    </dataValidation>
    <dataValidation type="list" allowBlank="1" showInputMessage="1" showErrorMessage="1" sqref="H50" xr:uid="{00000000-0002-0000-0500-00001D000000}">
      <formula1>"RIDE07a,RIDE07b,RIDE07c"</formula1>
    </dataValidation>
    <dataValidation type="list" allowBlank="1" showInputMessage="1" showErrorMessage="1" sqref="I49" xr:uid="{00000000-0002-0000-0500-00001E000000}">
      <formula1>"NORMAL06a,NORMAL06b,NORMAL06c"</formula1>
    </dataValidation>
    <dataValidation type="list" allowBlank="1" showInputMessage="1" showErrorMessage="1" sqref="I50" xr:uid="{00000000-0002-0000-0500-00001F000000}">
      <formula1>"RIDE06a,RIDE06b,RIDE06c"</formula1>
    </dataValidation>
    <dataValidation type="list" allowBlank="1" showInputMessage="1" showErrorMessage="1" sqref="D21" xr:uid="{00000000-0002-0000-0500-000020000000}">
      <formula1>"MENSUAL,SEMESTRAL"</formula1>
    </dataValidation>
    <dataValidation type="list" allowBlank="1" showInputMessage="1" showErrorMessage="1" errorTitle="SRI Anexos" error="Debe ingresar un valor correcto para esta celda" sqref="D39 D42:D43" xr:uid="{00000000-0002-0000-0500-000021000000}">
      <formula1>"GENERAL,RIMPE EMPRENDEDOR,RIMPE NEGOCIO POPULAR,MICROEMPRESA"</formula1>
    </dataValidation>
    <dataValidation type="list" operator="lessThanOrEqual" allowBlank="1" showInputMessage="1" showErrorMessage="1" errorTitle="FactelExcel" error="Debe ingresar un valor correcto para la Direccion Matriz" sqref="D39 D42:D43" xr:uid="{00000000-0002-0000-0500-000022000000}">
      <formula1>"GENERAL,RIMPE,MICROEMPRESA"</formula1>
    </dataValidation>
    <dataValidation type="list" allowBlank="1" showInputMessage="1" showErrorMessage="1" sqref="H1110:H1121" xr:uid="{00000000-0002-0000-0500-000023000000}">
      <formula1>"SI,NO"</formula1>
    </dataValidation>
    <dataValidation type="list" allowBlank="1" showInputMessage="1" showErrorMessage="1" sqref="F125:F134" xr:uid="{00000000-0002-0000-0500-000024000000}">
      <formula1>"IVA-NOR,IVA-NOR*,IVA-ESP,IVA-ESP*,IVA-CONS,IVA-CONS*"</formula1>
    </dataValidation>
  </dataValidations>
  <hyperlinks>
    <hyperlink ref="D67" r:id="rId1" xr:uid="{00000000-0004-0000-0500-000000000000}"/>
    <hyperlink ref="D70" r:id="rId2" xr:uid="{00000000-0004-0000-0500-000001000000}"/>
    <hyperlink ref="D38" r:id="rId3" xr:uid="{00000000-0004-0000-0500-000002000000}"/>
    <hyperlink ref="D25" r:id="rId4" xr:uid="{00000000-0004-0000-0500-000003000000}"/>
  </hyperlinks>
  <pageMargins left="0.7" right="0.7" top="0.75" bottom="0.75" header="0.3" footer="0.3"/>
  <pageSetup paperSize="9"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7">
    <pageSetUpPr fitToPage="1"/>
  </sheetPr>
  <dimension ref="A1:AW414"/>
  <sheetViews>
    <sheetView showGridLines="0" zoomScale="85" zoomScaleNormal="85" workbookViewId="0">
      <pane xSplit="6" ySplit="3" topLeftCell="U4" activePane="bottomRight" state="frozen"/>
      <selection activeCell="T11" sqref="T11"/>
      <selection pane="topRight" activeCell="T11" sqref="T11"/>
      <selection pane="bottomLeft" activeCell="T11" sqref="T11"/>
      <selection pane="bottomRight" activeCell="G4" sqref="G4"/>
    </sheetView>
  </sheetViews>
  <sheetFormatPr baseColWidth="10" defaultColWidth="11.453125" defaultRowHeight="12.5" outlineLevelRow="1" outlineLevelCol="2" x14ac:dyDescent="0.25"/>
  <cols>
    <col min="1" max="1" width="1.08984375" style="263" customWidth="1"/>
    <col min="2" max="2" width="10.54296875" style="263" customWidth="1"/>
    <col min="3" max="3" width="10" style="263" customWidth="1"/>
    <col min="4" max="4" width="0.54296875" style="263" customWidth="1"/>
    <col min="5" max="5" width="11.08984375" style="263" hidden="1" customWidth="1" outlineLevel="1"/>
    <col min="6" max="6" width="11.90625" style="263" hidden="1" customWidth="1" outlineLevel="1"/>
    <col min="7" max="7" width="13.90625" style="263" customWidth="1" collapsed="1"/>
    <col min="8" max="8" width="12" style="263" hidden="1" customWidth="1" outlineLevel="1"/>
    <col min="9" max="9" width="10.453125" style="263" hidden="1" customWidth="1" outlineLevel="1"/>
    <col min="10" max="10" width="11.453125" style="263" customWidth="1" collapsed="1"/>
    <col min="11" max="11" width="13.90625" style="263" customWidth="1"/>
    <col min="12" max="12" width="12.6328125" style="263" hidden="1" customWidth="1" outlineLevel="1"/>
    <col min="13" max="13" width="10.90625" style="263" hidden="1" customWidth="1" outlineLevel="1"/>
    <col min="14" max="14" width="2" style="263" customWidth="1" collapsed="1"/>
    <col min="15" max="15" width="10.90625" style="263" hidden="1" customWidth="1" outlineLevel="1"/>
    <col min="16" max="16" width="12.453125" style="263" hidden="1" customWidth="1" outlineLevel="1"/>
    <col min="17" max="17" width="13.90625" style="263" customWidth="1" collapsed="1"/>
    <col min="18" max="18" width="12.54296875" style="263" hidden="1" customWidth="1" outlineLevel="1"/>
    <col min="19" max="20" width="10.90625" style="263" hidden="1" customWidth="1" outlineLevel="1"/>
    <col min="21" max="21" width="12.08984375" style="263" customWidth="1" collapsed="1"/>
    <col min="22" max="22" width="13.90625" style="263" customWidth="1"/>
    <col min="23" max="23" width="10.90625" style="263" customWidth="1" outlineLevel="1"/>
    <col min="24" max="25" width="9.54296875" style="263" customWidth="1" outlineLevel="1"/>
    <col min="26" max="26" width="2.08984375" style="263" customWidth="1"/>
    <col min="27" max="27" width="8.90625" style="263" customWidth="1" outlineLevel="1"/>
    <col min="28" max="28" width="12.08984375" style="263" customWidth="1" outlineLevel="1"/>
    <col min="29" max="30" width="12.08984375" style="263" customWidth="1" outlineLevel="2"/>
    <col min="31" max="32" width="10.90625" style="263" customWidth="1" outlineLevel="1"/>
    <col min="33" max="33" width="11.453125" style="263" customWidth="1" outlineLevel="1"/>
    <col min="34" max="35" width="10.36328125" style="263" customWidth="1" outlineLevel="1"/>
    <col min="36" max="36" width="2" style="263" customWidth="1"/>
    <col min="37" max="37" width="11.453125" style="263"/>
    <col min="38" max="38" width="10.54296875" style="263" customWidth="1"/>
    <col min="39" max="39" width="11.453125" style="263"/>
    <col min="40" max="40" width="2.08984375" style="263" customWidth="1"/>
    <col min="41" max="41" width="12.08984375" style="263" customWidth="1"/>
    <col min="42" max="42" width="10.6328125" style="263" customWidth="1"/>
    <col min="43" max="43" width="11.453125" style="263"/>
    <col min="44" max="44" width="11.90625" style="263" bestFit="1" customWidth="1"/>
    <col min="45" max="16384" width="11.453125" style="263"/>
  </cols>
  <sheetData>
    <row r="1" spans="2:49" ht="27.75" customHeight="1" x14ac:dyDescent="0.45">
      <c r="B1" s="283" t="str">
        <f>Parametros!D4&amp;" - " &amp; Parametros!D5</f>
        <v>0917809451001 - GARCIA RODRIGUEZ CHARLES MILTON</v>
      </c>
      <c r="C1" s="284"/>
      <c r="D1" s="284"/>
      <c r="E1" s="284"/>
      <c r="F1" s="284"/>
      <c r="G1" s="284"/>
      <c r="H1" s="284"/>
      <c r="I1" s="284"/>
      <c r="J1" s="284"/>
      <c r="K1" s="284"/>
      <c r="L1" s="284"/>
      <c r="M1" s="284"/>
      <c r="N1" s="285"/>
      <c r="O1" s="284"/>
      <c r="AO1" s="959" t="s">
        <v>1514</v>
      </c>
      <c r="AP1" s="959"/>
    </row>
    <row r="2" spans="2:49" s="286" customFormat="1" ht="22.5" customHeight="1" x14ac:dyDescent="0.45">
      <c r="B2" s="284"/>
      <c r="C2" s="284"/>
      <c r="D2" s="284"/>
      <c r="E2" s="967" t="s">
        <v>1186</v>
      </c>
      <c r="F2" s="967"/>
      <c r="G2" s="967"/>
      <c r="H2" s="967"/>
      <c r="I2" s="967"/>
      <c r="J2" s="967"/>
      <c r="K2" s="967"/>
      <c r="L2" s="968" t="s">
        <v>1187</v>
      </c>
      <c r="M2" s="962" t="s">
        <v>1188</v>
      </c>
      <c r="N2" s="284"/>
      <c r="O2" s="967" t="s">
        <v>1189</v>
      </c>
      <c r="P2" s="967"/>
      <c r="Q2" s="967"/>
      <c r="R2" s="967"/>
      <c r="S2" s="967"/>
      <c r="T2" s="967"/>
      <c r="U2" s="967"/>
      <c r="V2" s="967"/>
      <c r="W2" s="962" t="s">
        <v>1190</v>
      </c>
      <c r="X2" s="962" t="s">
        <v>1191</v>
      </c>
      <c r="Y2" s="962" t="s">
        <v>2080</v>
      </c>
      <c r="Z2" s="263"/>
      <c r="AA2" s="970" t="s">
        <v>1192</v>
      </c>
      <c r="AB2" s="970" t="s">
        <v>1193</v>
      </c>
      <c r="AC2" s="970" t="s">
        <v>1194</v>
      </c>
      <c r="AD2" s="962" t="s">
        <v>1195</v>
      </c>
      <c r="AE2" s="972" t="s">
        <v>1196</v>
      </c>
      <c r="AF2" s="973"/>
      <c r="AG2" s="962" t="s">
        <v>1197</v>
      </c>
      <c r="AH2" s="960" t="s">
        <v>1198</v>
      </c>
      <c r="AI2" s="961"/>
      <c r="AJ2" s="263"/>
      <c r="AK2" s="962" t="s">
        <v>1199</v>
      </c>
      <c r="AL2" s="962" t="s">
        <v>1200</v>
      </c>
      <c r="AM2" s="962" t="s">
        <v>1201</v>
      </c>
      <c r="AN2" s="263"/>
      <c r="AO2" s="964" t="s">
        <v>1505</v>
      </c>
      <c r="AP2" s="965"/>
      <c r="AQ2" s="966"/>
      <c r="AW2"/>
    </row>
    <row r="3" spans="2:49" s="286" customFormat="1" ht="63.9" customHeight="1" thickBot="1" x14ac:dyDescent="0.5">
      <c r="B3" s="287" t="s">
        <v>1202</v>
      </c>
      <c r="C3" s="288" t="s">
        <v>1203</v>
      </c>
      <c r="D3" s="284"/>
      <c r="E3" s="289" t="s">
        <v>1513</v>
      </c>
      <c r="F3" s="289" t="s">
        <v>1204</v>
      </c>
      <c r="G3" s="289" t="s">
        <v>1205</v>
      </c>
      <c r="H3" s="289" t="s">
        <v>1510</v>
      </c>
      <c r="I3" s="289" t="s">
        <v>1511</v>
      </c>
      <c r="J3" s="290" t="s">
        <v>1512</v>
      </c>
      <c r="K3" s="289" t="s">
        <v>1206</v>
      </c>
      <c r="L3" s="969"/>
      <c r="M3" s="963"/>
      <c r="N3" s="284"/>
      <c r="O3" s="290" t="s">
        <v>1207</v>
      </c>
      <c r="P3" s="290" t="s">
        <v>1208</v>
      </c>
      <c r="Q3" s="290" t="s">
        <v>1209</v>
      </c>
      <c r="R3" s="290" t="s">
        <v>1508</v>
      </c>
      <c r="S3" s="290" t="s">
        <v>1210</v>
      </c>
      <c r="T3" s="290" t="s">
        <v>1211</v>
      </c>
      <c r="U3" s="290" t="s">
        <v>1212</v>
      </c>
      <c r="V3" s="290" t="s">
        <v>1213</v>
      </c>
      <c r="W3" s="963"/>
      <c r="X3" s="963"/>
      <c r="Y3" s="963"/>
      <c r="Z3" s="263"/>
      <c r="AA3" s="971"/>
      <c r="AB3" s="971"/>
      <c r="AC3" s="971"/>
      <c r="AD3" s="963"/>
      <c r="AE3" s="291" t="s">
        <v>1214</v>
      </c>
      <c r="AF3" s="291" t="s">
        <v>1215</v>
      </c>
      <c r="AG3" s="963"/>
      <c r="AH3" s="291" t="s">
        <v>1214</v>
      </c>
      <c r="AI3" s="292" t="s">
        <v>1215</v>
      </c>
      <c r="AJ3" s="263"/>
      <c r="AK3" s="963"/>
      <c r="AL3" s="963"/>
      <c r="AM3" s="963"/>
      <c r="AN3" s="263"/>
      <c r="AO3" s="290" t="s">
        <v>1506</v>
      </c>
      <c r="AP3" s="290" t="s">
        <v>1507</v>
      </c>
      <c r="AQ3" s="461" t="s">
        <v>1509</v>
      </c>
    </row>
    <row r="4" spans="2:49" ht="15" thickBot="1" x14ac:dyDescent="0.4">
      <c r="B4" s="293"/>
      <c r="C4" s="294"/>
      <c r="E4" s="295"/>
      <c r="F4" s="295"/>
      <c r="G4" s="295"/>
      <c r="H4" s="295"/>
      <c r="I4" s="295"/>
      <c r="J4" s="295"/>
      <c r="K4" s="295"/>
      <c r="L4" s="295"/>
      <c r="M4" s="294"/>
      <c r="O4" s="295"/>
      <c r="P4" s="295"/>
      <c r="Q4" s="295"/>
      <c r="R4" s="295"/>
      <c r="S4" s="295"/>
      <c r="T4" s="546"/>
      <c r="U4" s="295"/>
      <c r="V4" s="295"/>
      <c r="W4" s="294"/>
      <c r="X4" s="294"/>
      <c r="Y4" s="294"/>
      <c r="AA4" s="295"/>
      <c r="AB4" s="295"/>
      <c r="AC4" s="295"/>
      <c r="AD4" s="294"/>
      <c r="AE4" s="296">
        <v>0</v>
      </c>
      <c r="AF4" s="296">
        <v>0</v>
      </c>
      <c r="AG4" s="464" t="s">
        <v>1521</v>
      </c>
      <c r="AH4" s="266"/>
      <c r="AI4" s="266"/>
      <c r="AK4" s="266"/>
      <c r="AL4" s="294"/>
      <c r="AM4" s="294"/>
      <c r="AO4" s="295"/>
      <c r="AP4" s="295"/>
      <c r="AQ4" s="294"/>
      <c r="AW4"/>
    </row>
    <row r="5" spans="2:49" ht="14.5" x14ac:dyDescent="0.35">
      <c r="B5" s="297">
        <f>VALUE("01/01/"&amp;XLSperiodo)</f>
        <v>46023</v>
      </c>
      <c r="C5" s="298">
        <f>IF(Parametros!D21="SEMESTRAL","I-Semestre",1)</f>
        <v>1</v>
      </c>
      <c r="D5" s="263">
        <f>SUMIF(VENTAS!BE:BE,MONTH(B5),VENTAS!CA:CA)</f>
        <v>0</v>
      </c>
      <c r="E5" s="299">
        <f>SUMIF(VENTAS!BE:BE,MONTH(B5),VENTAS!BJ:BJ)+SUMIF(EXPORTACIONES!AL:AL,MONTH(B5),EXPORTACIONES!AF:AF)</f>
        <v>0</v>
      </c>
      <c r="F5" s="299">
        <f>SUMIF(VENTAS!BE:BE,MONTH(B5),VENTAS!P:P)+SUMIF(VENTAS!BE:BE,MONTH(B5),VENTAS!S:S)+SUMIF(VENTAS!BE:BE,MONTH(B5),VENTAS!V:V)</f>
        <v>0</v>
      </c>
      <c r="G5" s="300">
        <f t="shared" ref="G5:G16" si="0">E5+F5</f>
        <v>0</v>
      </c>
      <c r="H5" s="300">
        <f>ROUND(SUMIF(VENTAS!BE:BE,MONTH(B5),VENTAS!BK:BK),2)</f>
        <v>0</v>
      </c>
      <c r="I5" s="301">
        <f>ROUND(SUMIF(VENTAS!BE:BE,MONTH(B5),VENTAS!BL:BL),2)</f>
        <v>0</v>
      </c>
      <c r="J5" s="301">
        <f>SUM(H5:I5)</f>
        <v>0</v>
      </c>
      <c r="K5" s="302">
        <f>G5+J5</f>
        <v>0</v>
      </c>
      <c r="L5" s="299">
        <f>SUMIF(VENTAS!BE:BE,MONTH(B5),VENTAS!AR:AR)</f>
        <v>0</v>
      </c>
      <c r="M5" s="299">
        <f>SUMIF(VENTAS!BE:BE,MONTH(B5),VENTAS!AS:AS)</f>
        <v>0</v>
      </c>
      <c r="O5" s="299">
        <f>SUMIF(COMPRAS!DB:DB,MONTH(B5),COMPRAS!DH:DH)</f>
        <v>0</v>
      </c>
      <c r="P5" s="299">
        <f>SUMIF(COMPRAS!DB:DB,MONTH(B5),COMPRAS!X:X)+SUMIF(COMPRAS!DB:DB,MONTH(B5),COMPRAS!AA:AA)+SUMIF(COMPRAS!DB:DB,MONTH(B5),COMPRAS!AD:AD)</f>
        <v>0</v>
      </c>
      <c r="Q5" s="300">
        <f t="shared" ref="Q5:Q16" si="1">O5+P5</f>
        <v>0</v>
      </c>
      <c r="R5" s="299">
        <f>ROUND(SUMIF(COMPRAS!DB:DB,MONTH(B5),COMPRAS!DI:DI),2)</f>
        <v>0</v>
      </c>
      <c r="S5" s="299">
        <f>ROUND(SUMIF(COMPRAS!DB:DB,MONTH(B5),COMPRAS!DJ:DJ),2)</f>
        <v>0</v>
      </c>
      <c r="T5" s="299">
        <f>ROUND(SUMIF(COMPRAS!DB:DB,MONTH(B5),COMPRAS!DK:DK),2)</f>
        <v>0</v>
      </c>
      <c r="U5" s="300">
        <f>SUM(R5:T5)</f>
        <v>0</v>
      </c>
      <c r="V5" s="302">
        <f t="shared" ref="V5:V16" si="2">Q5+U5</f>
        <v>0</v>
      </c>
      <c r="W5" s="299">
        <f>ROUND(SUMIF(COMPRAS!DB:DB,MONTH(B5),COMPRAS!DL:DL),2)</f>
        <v>0</v>
      </c>
      <c r="X5" s="299">
        <f>ROUND(SUMIF(COMPRAS!DB:DB,MONTH(B5),COMPRAS!DN:DN),2)</f>
        <v>0</v>
      </c>
      <c r="Y5" s="299">
        <f>ROUND(SUMIF(COMPRAS!DB:DB,MONTH(B5),COMPRAS!DM:DM),2)</f>
        <v>0</v>
      </c>
      <c r="AA5" s="303">
        <f>IF(C5&lt;&gt;C6,IF(SUMIF(C$5:C5,C5,I$5:I5)&gt;0,ROUND(((SUMIF(C$5:C5,C5,G$5:G5)-SUMIF(C$5:C5,C5,D$5:D5))/SUMIF(C$5:C5,C5,G$5:G5)),4),1),0)</f>
        <v>1</v>
      </c>
      <c r="AB5" s="304">
        <f>IF(C5&lt;&gt;C6,ROUND(SUMIF(C$5:C5,C5,T$5:T5)*AA5,2),0)</f>
        <v>0</v>
      </c>
      <c r="AC5" s="299">
        <f>IF(C5&lt;&gt;C6,IF((SUMIF(C$5:C5,C5,I$5:I5)-SUMIF(C$5:C5,C5,AB$5:AB5))&gt;0,(SUMIF(C$5:C5,C5,I$5:I5)-SUMIF(C$5:C5,C5,AB$5:AB5)),0),0)</f>
        <v>0</v>
      </c>
      <c r="AD5" s="299">
        <f>IF(C5&lt;&gt;C6,IF((SUMIF(C$5:C5,C5,I$5:I5)-SUMIF(C$5:C5,C5,AB$5:AB5))&gt;0,0,(SUMIF(C$5:C5,C5,I$5:I5)-SUMIF(C$5:C5,C5,AB$5:AB5))),0)</f>
        <v>0</v>
      </c>
      <c r="AE5" s="305">
        <f>IF(C5&lt;&gt;C6,AE4,0)</f>
        <v>0</v>
      </c>
      <c r="AF5" s="299">
        <f>IF(C5&lt;&gt;C6,AF4,0)</f>
        <v>0</v>
      </c>
      <c r="AG5" s="299">
        <f>-IF(C5&lt;&gt;C6,SUMIF(C$5:C5,C5,L$5:L5),0)</f>
        <v>0</v>
      </c>
      <c r="AH5" s="299">
        <f>IF(C5&lt;&gt;C6,IF(SUM(AC5:AE5)&lt;0,SUM(AC5:AE5),0),AE4)</f>
        <v>0</v>
      </c>
      <c r="AI5" s="299">
        <f>IF(C5&lt;&gt;C6,IF(SUM(AC5:AE5)&gt;0,IF(SUM(AC5:AG5)&gt;0,0,SUM(AC5:AG5)),SUM(AF5:AG5)),AF4)</f>
        <v>0</v>
      </c>
      <c r="AK5" s="299">
        <f t="shared" ref="AK5:AK16" si="3">IF(C5&lt;&gt;C6,IF(SUM(AC5:AG5)&gt;0,SUM(AC5:AG5),0),0)</f>
        <v>0</v>
      </c>
      <c r="AL5" s="299">
        <f>IF(C5&lt;&gt;C6,SUMIF(C$5:C5,C5,W$5:W5),0)</f>
        <v>0</v>
      </c>
      <c r="AM5" s="300">
        <f t="shared" ref="AM5:AM16" si="4">AK5+AL5</f>
        <v>0</v>
      </c>
      <c r="AO5" s="301">
        <v>0</v>
      </c>
      <c r="AP5" s="301">
        <v>0</v>
      </c>
      <c r="AQ5" s="300">
        <f t="shared" ref="AQ5:AQ16" si="5">AP5+X5</f>
        <v>0</v>
      </c>
      <c r="AW5"/>
    </row>
    <row r="6" spans="2:49" ht="14.5" x14ac:dyDescent="0.35">
      <c r="B6" s="306">
        <f>VALUE("01/02/"&amp;XLSperiodo)</f>
        <v>46054</v>
      </c>
      <c r="C6" s="307">
        <f>IF(ISNUMBER(C5),C5+1,C5)</f>
        <v>2</v>
      </c>
      <c r="D6" s="263">
        <f>SUMIF(VENTAS!BE:BE,MONTH(B6),VENTAS!CA:CA)</f>
        <v>0</v>
      </c>
      <c r="E6" s="308">
        <f>SUMIF(VENTAS!BE:BE,MONTH(B6),VENTAS!BJ:BJ)+SUMIF(EXPORTACIONES!AL:AL,MONTH(B6),EXPORTACIONES!AF:AF)</f>
        <v>0</v>
      </c>
      <c r="F6" s="308">
        <f>SUMIF(VENTAS!BE:BE,MONTH(B6),VENTAS!P:P)+SUMIF(VENTAS!BE:BE,MONTH(B6),VENTAS!S:S)+SUMIF(VENTAS!BE:BE,MONTH(B6),VENTAS!V:V)</f>
        <v>0</v>
      </c>
      <c r="G6" s="309">
        <f t="shared" si="0"/>
        <v>0</v>
      </c>
      <c r="H6" s="309">
        <f>ROUND(SUMIF(VENTAS!BE:BE,MONTH(B6),VENTAS!BK:BK),2)</f>
        <v>0</v>
      </c>
      <c r="I6" s="310">
        <f>ROUND(SUMIF(VENTAS!BE:BE,MONTH(B6),VENTAS!BL:BL),2)</f>
        <v>0</v>
      </c>
      <c r="J6" s="310">
        <f t="shared" ref="J6:J16" si="6">SUM(H6:I6)</f>
        <v>0</v>
      </c>
      <c r="K6" s="311">
        <f t="shared" ref="K6:K16" si="7">G6+J6</f>
        <v>0</v>
      </c>
      <c r="L6" s="308">
        <f>SUMIF(VENTAS!BE:BE,MONTH(B6),VENTAS!AR:AR)</f>
        <v>0</v>
      </c>
      <c r="M6" s="308">
        <f>SUMIF(VENTAS!BE:BE,MONTH(B6),VENTAS!AS:AS)</f>
        <v>0</v>
      </c>
      <c r="O6" s="308">
        <f>SUMIF(COMPRAS!DB:DB,MONTH(B6),COMPRAS!DH:DH)</f>
        <v>0</v>
      </c>
      <c r="P6" s="308">
        <f>SUMIF(COMPRAS!DB:DB,MONTH(B6),COMPRAS!X:X)+SUMIF(COMPRAS!DB:DB,MONTH(B6),COMPRAS!AA:AA)+SUMIF(COMPRAS!DB:DB,MONTH(B6),COMPRAS!AD:AD)</f>
        <v>0</v>
      </c>
      <c r="Q6" s="309">
        <f t="shared" si="1"/>
        <v>0</v>
      </c>
      <c r="R6" s="308">
        <f>ROUND(SUMIF(COMPRAS!DB:DB,MONTH(B6),COMPRAS!DI:DI),2)</f>
        <v>0</v>
      </c>
      <c r="S6" s="308">
        <f>ROUND(SUMIF(COMPRAS!DB:DB,MONTH(B6),COMPRAS!DJ:DJ),2)</f>
        <v>0</v>
      </c>
      <c r="T6" s="308">
        <f>ROUND(SUMIF(COMPRAS!DB:DB,MONTH(B6),COMPRAS!DK:DK),2)</f>
        <v>0</v>
      </c>
      <c r="U6" s="309">
        <f t="shared" ref="U6:U16" si="8">SUM(R6:T6)</f>
        <v>0</v>
      </c>
      <c r="V6" s="311">
        <f t="shared" si="2"/>
        <v>0</v>
      </c>
      <c r="W6" s="308">
        <f>ROUND(SUMIF(COMPRAS!DB:DB,MONTH(B6),COMPRAS!DL:DL),2)</f>
        <v>0</v>
      </c>
      <c r="X6" s="308">
        <f>ROUND(SUMIF(COMPRAS!DB:DB,MONTH(B6),COMPRAS!DN:DN),2)</f>
        <v>0</v>
      </c>
      <c r="Y6" s="308">
        <f>ROUND(SUMIF(COMPRAS!DB:DB,MONTH(B6),COMPRAS!DM:DM),2)</f>
        <v>0</v>
      </c>
      <c r="AA6" s="312">
        <f>IF(C6&lt;&gt;C7,IF(SUMIF(C$5:C6,C6,I$5:I6)&gt;0,ROUND(((SUMIF(C$5:C6,C6,G$5:G6)-SUMIF(C$5:C6,C6,D$5:D6))/SUMIF(C$5:C6,C6,G$5:G6)),4),1),0)</f>
        <v>1</v>
      </c>
      <c r="AB6" s="313">
        <f>IF(C6&lt;&gt;C7,ROUND(SUMIF(C$5:C6,C6,T$5:T6)*AA6,2),0)</f>
        <v>0</v>
      </c>
      <c r="AC6" s="308">
        <f>IF(C6&lt;&gt;C7,IF((SUMIF(C$5:C6,C6,I$5:I6)-SUMIF(C$5:C6,C6,AB$5:AB6))&gt;0,(SUMIF(C$5:C6,C6,I$5:I6)-SUMIF(C$5:C6,C6,AB$5:AB6)),0),0)</f>
        <v>0</v>
      </c>
      <c r="AD6" s="308">
        <f>IF(C6&lt;&gt;C7,IF((SUMIF(C$5:C6,C6,I$5:I6)-SUMIF(C$5:C6,C6,AB$5:AB6))&gt;0,0,(SUMIF(C$5:C6,C6,I$5:I6)-SUMIF(C$5:C6,C6,AB$5:AB6))),0)</f>
        <v>0</v>
      </c>
      <c r="AE6" s="308">
        <f t="shared" ref="AE6:AE16" si="9">IF(C6&lt;&gt;C7,IF(AH5&lt;0,AH5,0),0)</f>
        <v>0</v>
      </c>
      <c r="AF6" s="308">
        <f t="shared" ref="AF6:AF16" si="10">IF(C6&lt;&gt;C7,IF(AI5&lt;0,AI5,0),0)</f>
        <v>0</v>
      </c>
      <c r="AG6" s="308">
        <f>-IF(C6&lt;&gt;C7,SUMIF(C$5:C6,C6,L$5:L6),0)</f>
        <v>0</v>
      </c>
      <c r="AH6" s="308">
        <f t="shared" ref="AH6:AH16" si="11">IF(C6&lt;&gt;C7,IF(SUM(AC6:AE6)&lt;0,SUM(AC6:AE6),0),AH5)</f>
        <v>0</v>
      </c>
      <c r="AI6" s="308">
        <f t="shared" ref="AI6:AI16" si="12">IF(C6&lt;&gt;C7,IF(SUM(AC6:AE6)&gt;0,IF(SUM(AC6:AG6)&gt;0,0,SUM(AC6:AG6)),SUM(AF6:AG6)),AI5)</f>
        <v>0</v>
      </c>
      <c r="AK6" s="308">
        <f t="shared" si="3"/>
        <v>0</v>
      </c>
      <c r="AL6" s="308">
        <f>IF(C6&lt;&gt;C7,SUMIF(C$5:C6,C6,W$5:W6),0)</f>
        <v>0</v>
      </c>
      <c r="AM6" s="309">
        <f t="shared" si="4"/>
        <v>0</v>
      </c>
      <c r="AO6" s="310">
        <v>0</v>
      </c>
      <c r="AP6" s="310">
        <v>0</v>
      </c>
      <c r="AQ6" s="309">
        <f t="shared" si="5"/>
        <v>0</v>
      </c>
      <c r="AW6"/>
    </row>
    <row r="7" spans="2:49" ht="14.5" x14ac:dyDescent="0.35">
      <c r="B7" s="297">
        <f>VALUE("01/03/"&amp;XLSperiodo)</f>
        <v>46082</v>
      </c>
      <c r="C7" s="298">
        <f t="shared" ref="C7:C16" si="13">IF(ISNUMBER(C6),C6+1,C6)</f>
        <v>3</v>
      </c>
      <c r="D7" s="263">
        <f>SUMIF(VENTAS!BE:BE,MONTH(B7),VENTAS!CA:CA)</f>
        <v>0</v>
      </c>
      <c r="E7" s="299">
        <f>SUMIF(VENTAS!BE:BE,MONTH(B7),VENTAS!BJ:BJ)+SUMIF(EXPORTACIONES!AL:AL,MONTH(B7),EXPORTACIONES!AF:AF)</f>
        <v>0</v>
      </c>
      <c r="F7" s="299">
        <f>SUMIF(VENTAS!BE:BE,MONTH(B7),VENTAS!P:P)+SUMIF(VENTAS!BE:BE,MONTH(B7),VENTAS!S:S)+SUMIF(VENTAS!BE:BE,MONTH(B7),VENTAS!V:V)</f>
        <v>0</v>
      </c>
      <c r="G7" s="300">
        <f t="shared" si="0"/>
        <v>0</v>
      </c>
      <c r="H7" s="300">
        <f>ROUND(SUMIF(VENTAS!BE:BE,MONTH(B7),VENTAS!BK:BK),2)</f>
        <v>0</v>
      </c>
      <c r="I7" s="301">
        <f>ROUND(SUMIF(VENTAS!BE:BE,MONTH(B7),VENTAS!BL:BL),2)</f>
        <v>0</v>
      </c>
      <c r="J7" s="301">
        <f t="shared" si="6"/>
        <v>0</v>
      </c>
      <c r="K7" s="302">
        <f t="shared" si="7"/>
        <v>0</v>
      </c>
      <c r="L7" s="299">
        <f>SUMIF(VENTAS!BE:BE,MONTH(B7),VENTAS!AR:AR)</f>
        <v>0</v>
      </c>
      <c r="M7" s="299">
        <f>SUMIF(VENTAS!BE:BE,MONTH(B7),VENTAS!AS:AS)</f>
        <v>0</v>
      </c>
      <c r="O7" s="299">
        <f>SUMIF(COMPRAS!DB:DB,MONTH(B7),COMPRAS!DH:DH)</f>
        <v>0</v>
      </c>
      <c r="P7" s="299">
        <f>SUMIF(COMPRAS!DB:DB,MONTH(B7),COMPRAS!X:X)+SUMIF(COMPRAS!DB:DB,MONTH(B7),COMPRAS!AA:AA)+SUMIF(COMPRAS!DB:DB,MONTH(B7),COMPRAS!AD:AD)</f>
        <v>0</v>
      </c>
      <c r="Q7" s="300">
        <f t="shared" si="1"/>
        <v>0</v>
      </c>
      <c r="R7" s="299">
        <f>ROUND(SUMIF(COMPRAS!DB:DB,MONTH(B7),COMPRAS!DI:DI),2)</f>
        <v>0</v>
      </c>
      <c r="S7" s="299">
        <f>ROUND(SUMIF(COMPRAS!DB:DB,MONTH(B7),COMPRAS!DJ:DJ),2)</f>
        <v>0</v>
      </c>
      <c r="T7" s="299">
        <f>ROUND(SUMIF(COMPRAS!DB:DB,MONTH(B7),COMPRAS!DK:DK),2)</f>
        <v>0</v>
      </c>
      <c r="U7" s="300">
        <f t="shared" si="8"/>
        <v>0</v>
      </c>
      <c r="V7" s="302">
        <f t="shared" si="2"/>
        <v>0</v>
      </c>
      <c r="W7" s="299">
        <f>ROUND(SUMIF(COMPRAS!DB:DB,MONTH(B7),COMPRAS!DL:DL),2)</f>
        <v>0</v>
      </c>
      <c r="X7" s="299">
        <f>ROUND(SUMIF(COMPRAS!DB:DB,MONTH(B7),COMPRAS!DN:DN),2)</f>
        <v>0</v>
      </c>
      <c r="Y7" s="299">
        <f>ROUND(SUMIF(COMPRAS!DB:DB,MONTH(B7),COMPRAS!DM:DM),2)</f>
        <v>0</v>
      </c>
      <c r="AA7" s="303">
        <f>IF(C7&lt;&gt;C8,IF(SUMIF(C$5:C7,C7,I$5:I7)&gt;0,ROUND(((SUMIF(C$5:C7,C7,G$5:G7)-SUMIF(C$5:C7,C7,D$5:D7))/SUMIF(C$5:C7,C7,G$5:G7)),4),1),0)</f>
        <v>1</v>
      </c>
      <c r="AB7" s="304">
        <f>IF(C7&lt;&gt;C8,ROUND(SUMIF(C$5:C7,C7,T$5:T7)*AA7,2),0)</f>
        <v>0</v>
      </c>
      <c r="AC7" s="299">
        <f>IF(C7&lt;&gt;C8,IF((SUMIF(C$5:C7,C7,I$5:I7)-SUMIF(C$5:C7,C7,AB$5:AB7))&gt;0,(SUMIF(C$5:C7,C7,I$5:I7)-SUMIF(C$5:C7,C7,AB$5:AB7)),0),0)</f>
        <v>0</v>
      </c>
      <c r="AD7" s="299">
        <f>IF(C7&lt;&gt;C8,IF((SUMIF(C$5:C7,C7,I$5:I7)-SUMIF(C$5:C7,C7,AB$5:AB7))&gt;0,0,(SUMIF(C$5:C7,C7,I$5:I7)-SUMIF(C$5:C7,C7,AB$5:AB7))),0)</f>
        <v>0</v>
      </c>
      <c r="AE7" s="299">
        <f t="shared" si="9"/>
        <v>0</v>
      </c>
      <c r="AF7" s="299">
        <f t="shared" si="10"/>
        <v>0</v>
      </c>
      <c r="AG7" s="299">
        <f>-IF(C7&lt;&gt;C8,SUMIF(C$5:C7,C7,L$5:L7),0)</f>
        <v>0</v>
      </c>
      <c r="AH7" s="299">
        <f t="shared" si="11"/>
        <v>0</v>
      </c>
      <c r="AI7" s="299">
        <f t="shared" si="12"/>
        <v>0</v>
      </c>
      <c r="AK7" s="299">
        <f t="shared" si="3"/>
        <v>0</v>
      </c>
      <c r="AL7" s="299">
        <f>IF(C7&lt;&gt;C8,SUMIF(C$5:C7,C7,W$5:W7),0)</f>
        <v>0</v>
      </c>
      <c r="AM7" s="300">
        <f t="shared" si="4"/>
        <v>0</v>
      </c>
      <c r="AO7" s="301">
        <v>0</v>
      </c>
      <c r="AP7" s="301">
        <v>0</v>
      </c>
      <c r="AQ7" s="300">
        <f t="shared" si="5"/>
        <v>0</v>
      </c>
      <c r="AW7"/>
    </row>
    <row r="8" spans="2:49" ht="14.5" x14ac:dyDescent="0.35">
      <c r="B8" s="306">
        <f>VALUE("01/04/"&amp;XLSperiodo)</f>
        <v>46113</v>
      </c>
      <c r="C8" s="307">
        <f t="shared" si="13"/>
        <v>4</v>
      </c>
      <c r="D8" s="263">
        <f>SUMIF(VENTAS!BE:BE,MONTH(B8),VENTAS!CA:CA)</f>
        <v>0</v>
      </c>
      <c r="E8" s="308">
        <f>SUMIF(VENTAS!BE:BE,MONTH(B8),VENTAS!BJ:BJ)+SUMIF(EXPORTACIONES!AL:AL,MONTH(B8),EXPORTACIONES!AF:AF)</f>
        <v>0</v>
      </c>
      <c r="F8" s="308">
        <f>SUMIF(VENTAS!BE:BE,MONTH(B8),VENTAS!P:P)+SUMIF(VENTAS!BE:BE,MONTH(B8),VENTAS!S:S)+SUMIF(VENTAS!BE:BE,MONTH(B8),VENTAS!V:V)</f>
        <v>23234.98000000001</v>
      </c>
      <c r="G8" s="309">
        <f t="shared" si="0"/>
        <v>23234.98000000001</v>
      </c>
      <c r="H8" s="309">
        <f>ROUND(SUMIF(VENTAS!BE:BE,MONTH(B8),VENTAS!BK:BK),2)</f>
        <v>0</v>
      </c>
      <c r="I8" s="310">
        <f>ROUND(SUMIF(VENTAS!BE:BE,MONTH(B8),VENTAS!BL:BL),2)</f>
        <v>3485.73</v>
      </c>
      <c r="J8" s="310">
        <f t="shared" si="6"/>
        <v>3485.73</v>
      </c>
      <c r="K8" s="311">
        <f t="shared" si="7"/>
        <v>26720.71000000001</v>
      </c>
      <c r="L8" s="308">
        <f>SUMIF(VENTAS!BE:BE,MONTH(B8),VENTAS!AR:AR)</f>
        <v>89.29</v>
      </c>
      <c r="M8" s="308">
        <f>SUMIF(VENTAS!BE:BE,MONTH(B8),VENTAS!AS:AS)</f>
        <v>25.500000000000004</v>
      </c>
      <c r="O8" s="308">
        <f>SUMIF(COMPRAS!DB:DB,MONTH(B8),COMPRAS!DH:DH)</f>
        <v>76.760000000000005</v>
      </c>
      <c r="P8" s="308">
        <f>SUMIF(COMPRAS!DB:DB,MONTH(B8),COMPRAS!X:X)+SUMIF(COMPRAS!DB:DB,MONTH(B8),COMPRAS!AA:AA)+SUMIF(COMPRAS!DB:DB,MONTH(B8),COMPRAS!AD:AD)</f>
        <v>36472.820000000014</v>
      </c>
      <c r="Q8" s="309">
        <f t="shared" si="1"/>
        <v>36549.580000000016</v>
      </c>
      <c r="R8" s="308">
        <f>ROUND(SUMIF(COMPRAS!DB:DB,MONTH(B8),COMPRAS!DI:DI),2)</f>
        <v>0</v>
      </c>
      <c r="S8" s="308">
        <f>ROUND(SUMIF(COMPRAS!DB:DB,MONTH(B8),COMPRAS!DJ:DJ),2)</f>
        <v>0</v>
      </c>
      <c r="T8" s="308">
        <f>ROUND(SUMIF(COMPRAS!DB:DB,MONTH(B8),COMPRAS!DK:DK),2)</f>
        <v>5200.72</v>
      </c>
      <c r="U8" s="309">
        <f t="shared" si="8"/>
        <v>5200.72</v>
      </c>
      <c r="V8" s="311">
        <f t="shared" si="2"/>
        <v>41750.300000000017</v>
      </c>
      <c r="W8" s="308">
        <f>ROUND(SUMIF(COMPRAS!DB:DB,MONTH(B8),COMPRAS!DL:DL),2)</f>
        <v>1031.3499999999999</v>
      </c>
      <c r="X8" s="308">
        <f>ROUND(SUMIF(COMPRAS!DB:DB,MONTH(B8),COMPRAS!DN:DN),2)</f>
        <v>353.92</v>
      </c>
      <c r="Y8" s="308">
        <f>ROUND(SUMIF(COMPRAS!DB:DB,MONTH(B8),COMPRAS!DM:DM),2)</f>
        <v>0</v>
      </c>
      <c r="AA8" s="312">
        <f>IF(C8&lt;&gt;C9,IF(SUMIF(C$5:C8,C8,I$5:I8)&gt;0,ROUND(((SUMIF(C$5:C8,C8,G$5:G8)-SUMIF(C$5:C8,C8,D$5:D8))/SUMIF(C$5:C8,C8,G$5:G8)),4),1),0)</f>
        <v>1</v>
      </c>
      <c r="AB8" s="313">
        <f>IF(C8&lt;&gt;C9,ROUND(SUMIF(C$5:C8,C8,T$5:T8)*AA8,2),0)</f>
        <v>5200.72</v>
      </c>
      <c r="AC8" s="308">
        <f>IF(C8&lt;&gt;C9,IF((SUMIF(C$5:C8,C8,I$5:I8)-SUMIF(C$5:C8,C8,AB$5:AB8))&gt;0,(SUMIF(C$5:C8,C8,I$5:I8)-SUMIF(C$5:C8,C8,AB$5:AB8)),0),0)</f>
        <v>0</v>
      </c>
      <c r="AD8" s="308">
        <f>IF(C8&lt;&gt;C9,IF((SUMIF(C$5:C8,C8,I$5:I8)-SUMIF(C$5:C8,C8,AB$5:AB8))&gt;0,0,(SUMIF(C$5:C8,C8,I$5:I8)-SUMIF(C$5:C8,C8,AB$5:AB8))),0)</f>
        <v>-1714.9900000000002</v>
      </c>
      <c r="AE8" s="308">
        <f t="shared" si="9"/>
        <v>0</v>
      </c>
      <c r="AF8" s="308">
        <f t="shared" si="10"/>
        <v>0</v>
      </c>
      <c r="AG8" s="308">
        <f>-IF(C8&lt;&gt;C9,SUMIF(C$5:C8,C8,L$5:L8),0)</f>
        <v>-89.29</v>
      </c>
      <c r="AH8" s="308">
        <f t="shared" si="11"/>
        <v>-1714.9900000000002</v>
      </c>
      <c r="AI8" s="308">
        <f t="shared" si="12"/>
        <v>-89.29</v>
      </c>
      <c r="AK8" s="308">
        <f t="shared" si="3"/>
        <v>0</v>
      </c>
      <c r="AL8" s="308">
        <f>IF(C8&lt;&gt;C9,SUMIF(C$5:C8,C8,W$5:W8),0)</f>
        <v>1031.3499999999999</v>
      </c>
      <c r="AM8" s="309">
        <f t="shared" si="4"/>
        <v>1031.3499999999999</v>
      </c>
      <c r="AO8" s="310">
        <v>0</v>
      </c>
      <c r="AP8" s="310">
        <v>0</v>
      </c>
      <c r="AQ8" s="309">
        <f t="shared" si="5"/>
        <v>353.92</v>
      </c>
      <c r="AW8"/>
    </row>
    <row r="9" spans="2:49" ht="14.5" x14ac:dyDescent="0.35">
      <c r="B9" s="297">
        <f>VALUE("01/05/"&amp;XLSperiodo)</f>
        <v>46143</v>
      </c>
      <c r="C9" s="298">
        <f t="shared" si="13"/>
        <v>5</v>
      </c>
      <c r="D9" s="263">
        <f>SUMIF(VENTAS!BE:BE,MONTH(B9),VENTAS!CA:CA)</f>
        <v>0</v>
      </c>
      <c r="E9" s="299">
        <f>SUMIF(VENTAS!BE:BE,MONTH(B9),VENTAS!BJ:BJ)+SUMIF(EXPORTACIONES!AL:AL,MONTH(B9),EXPORTACIONES!AF:AF)</f>
        <v>0</v>
      </c>
      <c r="F9" s="299">
        <f>SUMIF(VENTAS!BE:BE,MONTH(B9),VENTAS!P:P)+SUMIF(VENTAS!BE:BE,MONTH(B9),VENTAS!S:S)+SUMIF(VENTAS!BE:BE,MONTH(B9),VENTAS!V:V)</f>
        <v>0</v>
      </c>
      <c r="G9" s="300">
        <f t="shared" si="0"/>
        <v>0</v>
      </c>
      <c r="H9" s="300">
        <f>ROUND(SUMIF(VENTAS!BE:BE,MONTH(B9),VENTAS!BK:BK),2)</f>
        <v>0</v>
      </c>
      <c r="I9" s="301">
        <f>ROUND(SUMIF(VENTAS!BE:BE,MONTH(B9),VENTAS!BL:BL),2)</f>
        <v>0</v>
      </c>
      <c r="J9" s="301">
        <f t="shared" si="6"/>
        <v>0</v>
      </c>
      <c r="K9" s="302">
        <f t="shared" si="7"/>
        <v>0</v>
      </c>
      <c r="L9" s="299">
        <f>SUMIF(VENTAS!BE:BE,MONTH(B9),VENTAS!AR:AR)</f>
        <v>0</v>
      </c>
      <c r="M9" s="299">
        <f>SUMIF(VENTAS!BE:BE,MONTH(B9),VENTAS!AS:AS)</f>
        <v>0</v>
      </c>
      <c r="O9" s="299">
        <f>SUMIF(COMPRAS!DB:DB,MONTH(B9),COMPRAS!DH:DH)</f>
        <v>0</v>
      </c>
      <c r="P9" s="299">
        <f>SUMIF(COMPRAS!DB:DB,MONTH(B9),COMPRAS!X:X)+SUMIF(COMPRAS!DB:DB,MONTH(B9),COMPRAS!AA:AA)+SUMIF(COMPRAS!DB:DB,MONTH(B9),COMPRAS!AD:AD)</f>
        <v>0</v>
      </c>
      <c r="Q9" s="300">
        <f t="shared" si="1"/>
        <v>0</v>
      </c>
      <c r="R9" s="299">
        <f>ROUND(SUMIF(COMPRAS!DB:DB,MONTH(B9),COMPRAS!DI:DI),2)</f>
        <v>0</v>
      </c>
      <c r="S9" s="299">
        <f>ROUND(SUMIF(COMPRAS!DB:DB,MONTH(B9),COMPRAS!DJ:DJ),2)</f>
        <v>0</v>
      </c>
      <c r="T9" s="299">
        <f>ROUND(SUMIF(COMPRAS!DB:DB,MONTH(B9),COMPRAS!DK:DK),2)</f>
        <v>0</v>
      </c>
      <c r="U9" s="300">
        <f t="shared" si="8"/>
        <v>0</v>
      </c>
      <c r="V9" s="302">
        <f t="shared" si="2"/>
        <v>0</v>
      </c>
      <c r="W9" s="299">
        <f>ROUND(SUMIF(COMPRAS!DB:DB,MONTH(B9),COMPRAS!DL:DL),2)</f>
        <v>0</v>
      </c>
      <c r="X9" s="299">
        <f>ROUND(SUMIF(COMPRAS!DB:DB,MONTH(B9),COMPRAS!DN:DN),2)</f>
        <v>0</v>
      </c>
      <c r="Y9" s="299">
        <f>ROUND(SUMIF(COMPRAS!DB:DB,MONTH(B9),COMPRAS!DM:DM),2)</f>
        <v>0</v>
      </c>
      <c r="AA9" s="303">
        <f>IF(C9&lt;&gt;C10,IF(SUMIF(C$5:C9,C9,I$5:I9)&gt;0,ROUND(((SUMIF(C$5:C9,C9,G$5:G9)-SUMIF(C$5:C9,C9,D$5:D9))/SUMIF(C$5:C9,C9,G$5:G9)),4),1),0)</f>
        <v>1</v>
      </c>
      <c r="AB9" s="304">
        <f>IF(C9&lt;&gt;C10,ROUND(SUMIF(C$5:C9,C9,T$5:T9)*AA9,2),0)</f>
        <v>0</v>
      </c>
      <c r="AC9" s="299">
        <f>IF(C9&lt;&gt;C10,IF((SUMIF(C$5:C9,C9,I$5:I9)-SUMIF(C$5:C9,C9,AB$5:AB9))&gt;0,(SUMIF(C$5:C9,C9,I$5:I9)-SUMIF(C$5:C9,C9,AB$5:AB9)),0),0)</f>
        <v>0</v>
      </c>
      <c r="AD9" s="299">
        <f>IF(C9&lt;&gt;C10,IF((SUMIF(C$5:C9,C9,I$5:I9)-SUMIF(C$5:C9,C9,AB$5:AB9))&gt;0,0,(SUMIF(C$5:C9,C9,I$5:I9)-SUMIF(C$5:C9,C9,AB$5:AB9))),0)</f>
        <v>0</v>
      </c>
      <c r="AE9" s="299">
        <f t="shared" si="9"/>
        <v>-1714.9900000000002</v>
      </c>
      <c r="AF9" s="299">
        <f t="shared" si="10"/>
        <v>-89.29</v>
      </c>
      <c r="AG9" s="299">
        <f>-IF(C9&lt;&gt;C10,SUMIF(C$5:C9,C9,L$5:L9),0)</f>
        <v>0</v>
      </c>
      <c r="AH9" s="299">
        <f t="shared" si="11"/>
        <v>-1714.9900000000002</v>
      </c>
      <c r="AI9" s="299">
        <f t="shared" si="12"/>
        <v>-89.29</v>
      </c>
      <c r="AK9" s="299">
        <f t="shared" si="3"/>
        <v>0</v>
      </c>
      <c r="AL9" s="299">
        <f>IF(C9&lt;&gt;C10,SUMIF(C$5:C9,C9,W$5:W9),0)</f>
        <v>0</v>
      </c>
      <c r="AM9" s="300">
        <f t="shared" si="4"/>
        <v>0</v>
      </c>
      <c r="AO9" s="301">
        <v>0</v>
      </c>
      <c r="AP9" s="301">
        <v>0</v>
      </c>
      <c r="AQ9" s="300">
        <f t="shared" si="5"/>
        <v>0</v>
      </c>
      <c r="AW9"/>
    </row>
    <row r="10" spans="2:49" ht="14.5" x14ac:dyDescent="0.35">
      <c r="B10" s="306">
        <f>VALUE("01/06/"&amp;XLSperiodo)</f>
        <v>46174</v>
      </c>
      <c r="C10" s="307">
        <f t="shared" si="13"/>
        <v>6</v>
      </c>
      <c r="D10" s="263">
        <f>SUMIF(VENTAS!BE:BE,MONTH(B10),VENTAS!CA:CA)</f>
        <v>0</v>
      </c>
      <c r="E10" s="308">
        <f>SUMIF(VENTAS!BE:BE,MONTH(B10),VENTAS!BJ:BJ)+SUMIF(EXPORTACIONES!AL:AL,MONTH(B10),EXPORTACIONES!AF:AF)</f>
        <v>0</v>
      </c>
      <c r="F10" s="308">
        <f>SUMIF(VENTAS!BE:BE,MONTH(B10),VENTAS!P:P)+SUMIF(VENTAS!BE:BE,MONTH(B10),VENTAS!S:S)+SUMIF(VENTAS!BE:BE,MONTH(B10),VENTAS!V:V)</f>
        <v>0</v>
      </c>
      <c r="G10" s="309">
        <f t="shared" si="0"/>
        <v>0</v>
      </c>
      <c r="H10" s="309">
        <f>ROUND(SUMIF(VENTAS!BE:BE,MONTH(B10),VENTAS!BK:BK),2)</f>
        <v>0</v>
      </c>
      <c r="I10" s="310">
        <f>ROUND(SUMIF(VENTAS!BE:BE,MONTH(B10),VENTAS!BL:BL),2)</f>
        <v>0</v>
      </c>
      <c r="J10" s="310">
        <f t="shared" si="6"/>
        <v>0</v>
      </c>
      <c r="K10" s="311">
        <f t="shared" si="7"/>
        <v>0</v>
      </c>
      <c r="L10" s="308">
        <f>SUMIF(VENTAS!BE:BE,MONTH(B10),VENTAS!AR:AR)</f>
        <v>0</v>
      </c>
      <c r="M10" s="308">
        <f>SUMIF(VENTAS!BE:BE,MONTH(B10),VENTAS!AS:AS)</f>
        <v>0</v>
      </c>
      <c r="O10" s="308">
        <f>SUMIF(COMPRAS!DB:DB,MONTH(B10),COMPRAS!DH:DH)</f>
        <v>0</v>
      </c>
      <c r="P10" s="308">
        <f>SUMIF(COMPRAS!DB:DB,MONTH(B10),COMPRAS!X:X)+SUMIF(COMPRAS!DB:DB,MONTH(B10),COMPRAS!AA:AA)+SUMIF(COMPRAS!DB:DB,MONTH(B10),COMPRAS!AD:AD)</f>
        <v>0</v>
      </c>
      <c r="Q10" s="309">
        <f t="shared" si="1"/>
        <v>0</v>
      </c>
      <c r="R10" s="308">
        <f>ROUND(SUMIF(COMPRAS!DB:DB,MONTH(B10),COMPRAS!DI:DI),2)</f>
        <v>0</v>
      </c>
      <c r="S10" s="308">
        <f>ROUND(SUMIF(COMPRAS!DB:DB,MONTH(B10),COMPRAS!DJ:DJ),2)</f>
        <v>0</v>
      </c>
      <c r="T10" s="308">
        <f>ROUND(SUMIF(COMPRAS!DB:DB,MONTH(B10),COMPRAS!DK:DK),2)</f>
        <v>0</v>
      </c>
      <c r="U10" s="309">
        <f t="shared" si="8"/>
        <v>0</v>
      </c>
      <c r="V10" s="311">
        <f t="shared" si="2"/>
        <v>0</v>
      </c>
      <c r="W10" s="308">
        <f>ROUND(SUMIF(COMPRAS!DB:DB,MONTH(B10),COMPRAS!DL:DL),2)</f>
        <v>0</v>
      </c>
      <c r="X10" s="308">
        <f>ROUND(SUMIF(COMPRAS!DB:DB,MONTH(B10),COMPRAS!DN:DN),2)</f>
        <v>0</v>
      </c>
      <c r="Y10" s="308">
        <f>ROUND(SUMIF(COMPRAS!DB:DB,MONTH(B10),COMPRAS!DM:DM),2)</f>
        <v>0</v>
      </c>
      <c r="AA10" s="312">
        <f>IF(C10&lt;&gt;C11,IF(SUMIF(C$5:C10,C10,I$5:I10)&gt;0,ROUND(((SUMIF(C$5:C10,C10,G$5:G10)-SUMIF(C$5:C10,C10,D$5:D10))/SUMIF(C$5:C10,C10,G$5:G10)),4),1),0)</f>
        <v>1</v>
      </c>
      <c r="AB10" s="313">
        <f>IF(C10&lt;&gt;C11,ROUND(SUMIF(C$5:C10,C10,T$5:T10)*AA10,2),0)</f>
        <v>0</v>
      </c>
      <c r="AC10" s="308">
        <f>IF(C10&lt;&gt;C11,IF((SUMIF(C$5:C10,C10,I$5:I10)-SUMIF(C$5:C10,C10,AB$5:AB10))&gt;0,(SUMIF(C$5:C10,C10,I$5:I10)-SUMIF(C$5:C10,C10,AB$5:AB10)),0),0)</f>
        <v>0</v>
      </c>
      <c r="AD10" s="308">
        <f>IF(C10&lt;&gt;C11,IF((SUMIF(C$5:C10,C10,I$5:I10)-SUMIF(C$5:C10,C10,AB$5:AB10))&gt;0,0,(SUMIF(C$5:C10,C10,I$5:I10)-SUMIF(C$5:C10,C10,AB$5:AB10))),0)</f>
        <v>0</v>
      </c>
      <c r="AE10" s="308">
        <f t="shared" si="9"/>
        <v>-1714.9900000000002</v>
      </c>
      <c r="AF10" s="308">
        <f t="shared" si="10"/>
        <v>-89.29</v>
      </c>
      <c r="AG10" s="308">
        <f>-IF(C10&lt;&gt;C11,SUMIF(C$5:C10,C10,L$5:L10),0)</f>
        <v>0</v>
      </c>
      <c r="AH10" s="308">
        <f t="shared" si="11"/>
        <v>-1714.9900000000002</v>
      </c>
      <c r="AI10" s="308">
        <f t="shared" si="12"/>
        <v>-89.29</v>
      </c>
      <c r="AK10" s="308">
        <f t="shared" si="3"/>
        <v>0</v>
      </c>
      <c r="AL10" s="308">
        <f>IF(C10&lt;&gt;C11,SUMIF(C$5:C10,C10,W$5:W10),0)</f>
        <v>0</v>
      </c>
      <c r="AM10" s="309">
        <f t="shared" si="4"/>
        <v>0</v>
      </c>
      <c r="AO10" s="310">
        <v>0</v>
      </c>
      <c r="AP10" s="310">
        <v>0</v>
      </c>
      <c r="AQ10" s="309">
        <f t="shared" si="5"/>
        <v>0</v>
      </c>
      <c r="AW10"/>
    </row>
    <row r="11" spans="2:49" ht="14.5" x14ac:dyDescent="0.35">
      <c r="B11" s="297">
        <f>VALUE("01/07/"&amp;XLSperiodo)</f>
        <v>46204</v>
      </c>
      <c r="C11" s="298">
        <f>IF(Parametros!D21="SEMESTRAL","II-Semestre",7)</f>
        <v>7</v>
      </c>
      <c r="D11" s="263">
        <f>SUMIF(VENTAS!BE:BE,MONTH(B11),VENTAS!CA:CA)</f>
        <v>0</v>
      </c>
      <c r="E11" s="299">
        <f>SUMIF(VENTAS!BE:BE,MONTH(B11),VENTAS!BJ:BJ)+SUMIF(EXPORTACIONES!AL:AL,MONTH(B11),EXPORTACIONES!AF:AF)</f>
        <v>0</v>
      </c>
      <c r="F11" s="299">
        <f>SUMIF(VENTAS!BE:BE,MONTH(B11),VENTAS!P:P)+SUMIF(VENTAS!BE:BE,MONTH(B11),VENTAS!S:S)+SUMIF(VENTAS!BE:BE,MONTH(B11),VENTAS!V:V)</f>
        <v>0</v>
      </c>
      <c r="G11" s="300">
        <f t="shared" si="0"/>
        <v>0</v>
      </c>
      <c r="H11" s="300">
        <f>ROUND(SUMIF(VENTAS!BE:BE,MONTH(B11),VENTAS!BK:BK),2)</f>
        <v>0</v>
      </c>
      <c r="I11" s="301">
        <f>ROUND(SUMIF(VENTAS!BE:BE,MONTH(B11),VENTAS!BL:BL),2)</f>
        <v>0</v>
      </c>
      <c r="J11" s="301">
        <f t="shared" si="6"/>
        <v>0</v>
      </c>
      <c r="K11" s="302">
        <f t="shared" si="7"/>
        <v>0</v>
      </c>
      <c r="L11" s="299">
        <f>SUMIF(VENTAS!BE:BE,MONTH(B11),VENTAS!AR:AR)</f>
        <v>0</v>
      </c>
      <c r="M11" s="299">
        <f>SUMIF(VENTAS!BE:BE,MONTH(B11),VENTAS!AS:AS)</f>
        <v>0</v>
      </c>
      <c r="O11" s="299">
        <f>SUMIF(COMPRAS!DB:DB,MONTH(B11),COMPRAS!DH:DH)</f>
        <v>0</v>
      </c>
      <c r="P11" s="299">
        <f>SUMIF(COMPRAS!DB:DB,MONTH(B11),COMPRAS!X:X)+SUMIF(COMPRAS!DB:DB,MONTH(B11),COMPRAS!AA:AA)+SUMIF(COMPRAS!DB:DB,MONTH(B11),COMPRAS!AD:AD)</f>
        <v>0</v>
      </c>
      <c r="Q11" s="300">
        <f t="shared" si="1"/>
        <v>0</v>
      </c>
      <c r="R11" s="299">
        <f>ROUND(SUMIF(COMPRAS!DB:DB,MONTH(B11),COMPRAS!DI:DI),2)</f>
        <v>0</v>
      </c>
      <c r="S11" s="299">
        <f>ROUND(SUMIF(COMPRAS!DB:DB,MONTH(B11),COMPRAS!DJ:DJ),2)</f>
        <v>0</v>
      </c>
      <c r="T11" s="299">
        <f>ROUND(SUMIF(COMPRAS!DB:DB,MONTH(B11),COMPRAS!DK:DK),2)</f>
        <v>0</v>
      </c>
      <c r="U11" s="300">
        <f t="shared" si="8"/>
        <v>0</v>
      </c>
      <c r="V11" s="302">
        <f t="shared" si="2"/>
        <v>0</v>
      </c>
      <c r="W11" s="299">
        <f>ROUND(SUMIF(COMPRAS!DB:DB,MONTH(B11),COMPRAS!DL:DL),2)</f>
        <v>0</v>
      </c>
      <c r="X11" s="299">
        <f>ROUND(SUMIF(COMPRAS!DB:DB,MONTH(B11),COMPRAS!DN:DN),2)</f>
        <v>0</v>
      </c>
      <c r="Y11" s="299">
        <f>ROUND(SUMIF(COMPRAS!DB:DB,MONTH(B11),COMPRAS!DM:DM),2)</f>
        <v>0</v>
      </c>
      <c r="AA11" s="303">
        <f>IF(C11&lt;&gt;C12,IF(SUMIF(C$5:C11,C11,I$5:I11)&gt;0,ROUND(((SUMIF(C$5:C11,C11,G$5:G11)-SUMIF(C$5:C11,C11,D$5:D11))/SUMIF(C$5:C11,C11,G$5:G11)),4),1),0)</f>
        <v>1</v>
      </c>
      <c r="AB11" s="304">
        <f>IF(C11&lt;&gt;C12,ROUND(SUMIF(C$5:C11,C11,T$5:T11)*AA11,2),0)</f>
        <v>0</v>
      </c>
      <c r="AC11" s="299">
        <f>IF(C11&lt;&gt;C12,IF((SUMIF(C$5:C11,C11,I$5:I11)-SUMIF(C$5:C11,C11,AB$5:AB11))&gt;0,(SUMIF(C$5:C11,C11,I$5:I11)-SUMIF(C$5:C11,C11,AB$5:AB11)),0),0)</f>
        <v>0</v>
      </c>
      <c r="AD11" s="299">
        <f>IF(C11&lt;&gt;C12,IF((SUMIF(C$5:C11,C11,I$5:I11)-SUMIF(C$5:C11,C11,AB$5:AB11))&gt;0,0,(SUMIF(C$5:C11,C11,I$5:I11)-SUMIF(C$5:C11,C11,AB$5:AB11))),0)</f>
        <v>0</v>
      </c>
      <c r="AE11" s="299">
        <f t="shared" si="9"/>
        <v>-1714.9900000000002</v>
      </c>
      <c r="AF11" s="299">
        <f t="shared" si="10"/>
        <v>-89.29</v>
      </c>
      <c r="AG11" s="299">
        <f>-IF(C11&lt;&gt;C12,SUMIF(C$5:C11,C11,L$5:L11),0)</f>
        <v>0</v>
      </c>
      <c r="AH11" s="299">
        <f t="shared" si="11"/>
        <v>-1714.9900000000002</v>
      </c>
      <c r="AI11" s="299">
        <f t="shared" si="12"/>
        <v>-89.29</v>
      </c>
      <c r="AK11" s="299">
        <f t="shared" si="3"/>
        <v>0</v>
      </c>
      <c r="AL11" s="299">
        <f>IF(C11&lt;&gt;C12,SUMIF(C$5:C11,C11,W$5:W11),0)</f>
        <v>0</v>
      </c>
      <c r="AM11" s="300">
        <f t="shared" si="4"/>
        <v>0</v>
      </c>
      <c r="AO11" s="301">
        <v>0</v>
      </c>
      <c r="AP11" s="301">
        <v>0</v>
      </c>
      <c r="AQ11" s="300">
        <f t="shared" si="5"/>
        <v>0</v>
      </c>
      <c r="AW11"/>
    </row>
    <row r="12" spans="2:49" ht="14.5" x14ac:dyDescent="0.35">
      <c r="B12" s="306">
        <f>VALUE("01/08/"&amp;XLSperiodo)</f>
        <v>46235</v>
      </c>
      <c r="C12" s="307">
        <f t="shared" si="13"/>
        <v>8</v>
      </c>
      <c r="D12" s="263">
        <f>SUMIF(VENTAS!BE:BE,MONTH(B12),VENTAS!CA:CA)</f>
        <v>0</v>
      </c>
      <c r="E12" s="308">
        <f>SUMIF(VENTAS!BE:BE,MONTH(B12),VENTAS!BJ:BJ)+SUMIF(EXPORTACIONES!AL:AL,MONTH(B12),EXPORTACIONES!AF:AF)</f>
        <v>0</v>
      </c>
      <c r="F12" s="308">
        <f>SUMIF(VENTAS!BE:BE,MONTH(B12),VENTAS!P:P)+SUMIF(VENTAS!BE:BE,MONTH(B12),VENTAS!S:S)+SUMIF(VENTAS!BE:BE,MONTH(B12),VENTAS!V:V)</f>
        <v>0</v>
      </c>
      <c r="G12" s="309">
        <f t="shared" si="0"/>
        <v>0</v>
      </c>
      <c r="H12" s="309">
        <f>ROUND(SUMIF(VENTAS!BE:BE,MONTH(B12),VENTAS!BK:BK),2)</f>
        <v>0</v>
      </c>
      <c r="I12" s="310">
        <f>ROUND(SUMIF(VENTAS!BE:BE,MONTH(B12),VENTAS!BL:BL),2)</f>
        <v>0</v>
      </c>
      <c r="J12" s="310">
        <f t="shared" si="6"/>
        <v>0</v>
      </c>
      <c r="K12" s="311">
        <f t="shared" si="7"/>
        <v>0</v>
      </c>
      <c r="L12" s="308">
        <f>SUMIF(VENTAS!BE:BE,MONTH(B12),VENTAS!AR:AR)</f>
        <v>0</v>
      </c>
      <c r="M12" s="308">
        <f>SUMIF(VENTAS!BE:BE,MONTH(B12),VENTAS!AS:AS)</f>
        <v>0</v>
      </c>
      <c r="O12" s="308">
        <f>SUMIF(COMPRAS!DB:DB,MONTH(B12),COMPRAS!DH:DH)</f>
        <v>0</v>
      </c>
      <c r="P12" s="308">
        <f>SUMIF(COMPRAS!DB:DB,MONTH(B12),COMPRAS!X:X)+SUMIF(COMPRAS!DB:DB,MONTH(B12),COMPRAS!AA:AA)+SUMIF(COMPRAS!DB:DB,MONTH(B12),COMPRAS!AD:AD)</f>
        <v>0</v>
      </c>
      <c r="Q12" s="309">
        <f t="shared" si="1"/>
        <v>0</v>
      </c>
      <c r="R12" s="308">
        <f>ROUND(SUMIF(COMPRAS!DB:DB,MONTH(B12),COMPRAS!DI:DI),2)</f>
        <v>0</v>
      </c>
      <c r="S12" s="308">
        <f>ROUND(SUMIF(COMPRAS!DB:DB,MONTH(B12),COMPRAS!DJ:DJ),2)</f>
        <v>0</v>
      </c>
      <c r="T12" s="308">
        <f>ROUND(SUMIF(COMPRAS!DB:DB,MONTH(B12),COMPRAS!DK:DK),2)</f>
        <v>0</v>
      </c>
      <c r="U12" s="309">
        <f t="shared" si="8"/>
        <v>0</v>
      </c>
      <c r="V12" s="311">
        <f t="shared" si="2"/>
        <v>0</v>
      </c>
      <c r="W12" s="308">
        <f>ROUND(SUMIF(COMPRAS!DB:DB,MONTH(B12),COMPRAS!DL:DL),2)</f>
        <v>0</v>
      </c>
      <c r="X12" s="308">
        <f>ROUND(SUMIF(COMPRAS!DB:DB,MONTH(B12),COMPRAS!DN:DN),2)</f>
        <v>0</v>
      </c>
      <c r="Y12" s="308">
        <f>ROUND(SUMIF(COMPRAS!DB:DB,MONTH(B12),COMPRAS!DM:DM),2)</f>
        <v>0</v>
      </c>
      <c r="AA12" s="312">
        <f>IF(C12&lt;&gt;C13,IF(SUMIF(C$5:C12,C12,I$5:I12)&gt;0,ROUND(((SUMIF(C$5:C12,C12,G$5:G12)-SUMIF(C$5:C12,C12,D$5:D12))/SUMIF(C$5:C12,C12,G$5:G12)),4),1),0)</f>
        <v>1</v>
      </c>
      <c r="AB12" s="313">
        <f>IF(C12&lt;&gt;C13,ROUND(SUMIF(C$5:C12,C12,T$5:T12)*AA12,2),0)</f>
        <v>0</v>
      </c>
      <c r="AC12" s="308">
        <f>IF(C12&lt;&gt;C13,IF((SUMIF(C$5:C12,C12,I$5:I12)-SUMIF(C$5:C12,C12,AB$5:AB12))&gt;0,(SUMIF(C$5:C12,C12,I$5:I12)-SUMIF(C$5:C12,C12,AB$5:AB12)),0),0)</f>
        <v>0</v>
      </c>
      <c r="AD12" s="308">
        <f>IF(C12&lt;&gt;C13,IF((SUMIF(C$5:C12,C12,I$5:I12)-SUMIF(C$5:C12,C12,AB$5:AB12))&gt;0,0,(SUMIF(C$5:C12,C12,I$5:I12)-SUMIF(C$5:C12,C12,AB$5:AB12))),0)</f>
        <v>0</v>
      </c>
      <c r="AE12" s="308">
        <f t="shared" si="9"/>
        <v>-1714.9900000000002</v>
      </c>
      <c r="AF12" s="308">
        <f t="shared" si="10"/>
        <v>-89.29</v>
      </c>
      <c r="AG12" s="308">
        <f>-IF(C12&lt;&gt;C13,SUMIF(C$5:C12,C12,L$5:L12),0)</f>
        <v>0</v>
      </c>
      <c r="AH12" s="308">
        <f t="shared" si="11"/>
        <v>-1714.9900000000002</v>
      </c>
      <c r="AI12" s="308">
        <f t="shared" si="12"/>
        <v>-89.29</v>
      </c>
      <c r="AK12" s="308">
        <f t="shared" si="3"/>
        <v>0</v>
      </c>
      <c r="AL12" s="308">
        <f>IF(C12&lt;&gt;C13,SUMIF(C$5:C12,C12,W$5:W12),0)</f>
        <v>0</v>
      </c>
      <c r="AM12" s="309">
        <f t="shared" si="4"/>
        <v>0</v>
      </c>
      <c r="AO12" s="310">
        <v>0</v>
      </c>
      <c r="AP12" s="310">
        <v>0</v>
      </c>
      <c r="AQ12" s="309">
        <f t="shared" si="5"/>
        <v>0</v>
      </c>
      <c r="AW12"/>
    </row>
    <row r="13" spans="2:49" ht="14.5" x14ac:dyDescent="0.35">
      <c r="B13" s="297">
        <f>VALUE("01/09/"&amp;XLSperiodo)</f>
        <v>46266</v>
      </c>
      <c r="C13" s="298">
        <f t="shared" si="13"/>
        <v>9</v>
      </c>
      <c r="D13" s="263">
        <f>SUMIF(VENTAS!BE:BE,MONTH(B13),VENTAS!CA:CA)</f>
        <v>0</v>
      </c>
      <c r="E13" s="299">
        <f>SUMIF(VENTAS!BE:BE,MONTH(B13),VENTAS!BJ:BJ)+SUMIF(EXPORTACIONES!AL:AL,MONTH(B13),EXPORTACIONES!AF:AF)</f>
        <v>0</v>
      </c>
      <c r="F13" s="299">
        <f>SUMIF(VENTAS!BE:BE,MONTH(B13),VENTAS!P:P)+SUMIF(VENTAS!BE:BE,MONTH(B13),VENTAS!S:S)+SUMIF(VENTAS!BE:BE,MONTH(B13),VENTAS!V:V)</f>
        <v>0</v>
      </c>
      <c r="G13" s="300">
        <f t="shared" si="0"/>
        <v>0</v>
      </c>
      <c r="H13" s="300">
        <f>ROUND(SUMIF(VENTAS!BE:BE,MONTH(B13),VENTAS!BK:BK),2)</f>
        <v>0</v>
      </c>
      <c r="I13" s="301">
        <f>ROUND(SUMIF(VENTAS!BE:BE,MONTH(B13),VENTAS!BL:BL),2)</f>
        <v>0</v>
      </c>
      <c r="J13" s="301">
        <f t="shared" si="6"/>
        <v>0</v>
      </c>
      <c r="K13" s="302">
        <f t="shared" si="7"/>
        <v>0</v>
      </c>
      <c r="L13" s="299">
        <f>SUMIF(VENTAS!BE:BE,MONTH(B13),VENTAS!AR:AR)</f>
        <v>0</v>
      </c>
      <c r="M13" s="299">
        <f>SUMIF(VENTAS!BE:BE,MONTH(B13),VENTAS!AS:AS)</f>
        <v>0</v>
      </c>
      <c r="O13" s="299">
        <f>SUMIF(COMPRAS!DB:DB,MONTH(B13),COMPRAS!DH:DH)</f>
        <v>0</v>
      </c>
      <c r="P13" s="299">
        <f>SUMIF(COMPRAS!DB:DB,MONTH(B13),COMPRAS!X:X)+SUMIF(COMPRAS!DB:DB,MONTH(B13),COMPRAS!AA:AA)+SUMIF(COMPRAS!DB:DB,MONTH(B13),COMPRAS!AD:AD)</f>
        <v>0</v>
      </c>
      <c r="Q13" s="300">
        <f t="shared" si="1"/>
        <v>0</v>
      </c>
      <c r="R13" s="299">
        <f>ROUND(SUMIF(COMPRAS!DB:DB,MONTH(B13),COMPRAS!DI:DI),2)</f>
        <v>0</v>
      </c>
      <c r="S13" s="299">
        <f>ROUND(SUMIF(COMPRAS!DB:DB,MONTH(B13),COMPRAS!DJ:DJ),2)</f>
        <v>0</v>
      </c>
      <c r="T13" s="299">
        <f>ROUND(SUMIF(COMPRAS!DB:DB,MONTH(B13),COMPRAS!DK:DK),2)</f>
        <v>0</v>
      </c>
      <c r="U13" s="300">
        <f t="shared" si="8"/>
        <v>0</v>
      </c>
      <c r="V13" s="302">
        <f t="shared" si="2"/>
        <v>0</v>
      </c>
      <c r="W13" s="299">
        <f>ROUND(SUMIF(COMPRAS!DB:DB,MONTH(B13),COMPRAS!DL:DL),2)</f>
        <v>0</v>
      </c>
      <c r="X13" s="299">
        <f>ROUND(SUMIF(COMPRAS!DB:DB,MONTH(B13),COMPRAS!DN:DN),2)</f>
        <v>0</v>
      </c>
      <c r="Y13" s="299">
        <f>ROUND(SUMIF(COMPRAS!DB:DB,MONTH(B13),COMPRAS!DM:DM),2)</f>
        <v>0</v>
      </c>
      <c r="AA13" s="303">
        <f>IF(C13&lt;&gt;C14,IF(SUMIF(C$5:C13,C13,I$5:I13)&gt;0,ROUND(((SUMIF(C$5:C13,C13,G$5:G13)-SUMIF(C$5:C13,C13,D$5:D13))/SUMIF(C$5:C13,C13,G$5:G13)),4),1),0)</f>
        <v>1</v>
      </c>
      <c r="AB13" s="304">
        <f>IF(C13&lt;&gt;C14,ROUND(SUMIF(C$5:C13,C13,T$5:T13)*AA13,2),0)</f>
        <v>0</v>
      </c>
      <c r="AC13" s="299">
        <f>IF(C13&lt;&gt;C14,IF((SUMIF(C$5:C13,C13,I$5:I13)-SUMIF(C$5:C13,C13,AB$5:AB13))&gt;0,(SUMIF(C$5:C13,C13,I$5:I13)-SUMIF(C$5:C13,C13,AB$5:AB13)),0),0)</f>
        <v>0</v>
      </c>
      <c r="AD13" s="299">
        <f>IF(C13&lt;&gt;C14,IF((SUMIF(C$5:C13,C13,I$5:I13)-SUMIF(C$5:C13,C13,AB$5:AB13))&gt;0,0,(SUMIF(C$5:C13,C13,I$5:I13)-SUMIF(C$5:C13,C13,AB$5:AB13))),0)</f>
        <v>0</v>
      </c>
      <c r="AE13" s="299">
        <f t="shared" si="9"/>
        <v>-1714.9900000000002</v>
      </c>
      <c r="AF13" s="299">
        <f t="shared" si="10"/>
        <v>-89.29</v>
      </c>
      <c r="AG13" s="299">
        <f>-IF(C13&lt;&gt;C14,SUMIF(C$5:C13,C13,L$5:L13),0)</f>
        <v>0</v>
      </c>
      <c r="AH13" s="299">
        <f t="shared" si="11"/>
        <v>-1714.9900000000002</v>
      </c>
      <c r="AI13" s="299">
        <f t="shared" si="12"/>
        <v>-89.29</v>
      </c>
      <c r="AK13" s="299">
        <f t="shared" si="3"/>
        <v>0</v>
      </c>
      <c r="AL13" s="299">
        <f>IF(C13&lt;&gt;C14,SUMIF(C$5:C13,C13,W$5:W13),0)</f>
        <v>0</v>
      </c>
      <c r="AM13" s="300">
        <f t="shared" si="4"/>
        <v>0</v>
      </c>
      <c r="AO13" s="301">
        <v>0</v>
      </c>
      <c r="AP13" s="301">
        <v>0</v>
      </c>
      <c r="AQ13" s="300">
        <f t="shared" si="5"/>
        <v>0</v>
      </c>
      <c r="AW13"/>
    </row>
    <row r="14" spans="2:49" ht="14.5" x14ac:dyDescent="0.35">
      <c r="B14" s="306">
        <f>VALUE("01/10/"&amp;XLSperiodo)</f>
        <v>46296</v>
      </c>
      <c r="C14" s="307">
        <f t="shared" si="13"/>
        <v>10</v>
      </c>
      <c r="D14" s="263">
        <f>SUMIF(VENTAS!BE:BE,MONTH(B14),VENTAS!CA:CA)</f>
        <v>0</v>
      </c>
      <c r="E14" s="308">
        <f>SUMIF(VENTAS!BE:BE,MONTH(B14),VENTAS!BJ:BJ)+SUMIF(EXPORTACIONES!AL:AL,MONTH(B14),EXPORTACIONES!AF:AF)</f>
        <v>0</v>
      </c>
      <c r="F14" s="308">
        <f>SUMIF(VENTAS!BE:BE,MONTH(B14),VENTAS!P:P)+SUMIF(VENTAS!BE:BE,MONTH(B14),VENTAS!S:S)+SUMIF(VENTAS!BE:BE,MONTH(B14),VENTAS!V:V)</f>
        <v>0</v>
      </c>
      <c r="G14" s="309">
        <f t="shared" si="0"/>
        <v>0</v>
      </c>
      <c r="H14" s="309">
        <f>ROUND(SUMIF(VENTAS!BE:BE,MONTH(B14),VENTAS!BK:BK),2)</f>
        <v>0</v>
      </c>
      <c r="I14" s="310">
        <f>ROUND(SUMIF(VENTAS!BE:BE,MONTH(B14),VENTAS!BL:BL),2)</f>
        <v>0</v>
      </c>
      <c r="J14" s="310">
        <f t="shared" si="6"/>
        <v>0</v>
      </c>
      <c r="K14" s="311">
        <f t="shared" si="7"/>
        <v>0</v>
      </c>
      <c r="L14" s="308">
        <f>SUMIF(VENTAS!BE:BE,MONTH(B14),VENTAS!AR:AR)</f>
        <v>0</v>
      </c>
      <c r="M14" s="308">
        <f>SUMIF(VENTAS!BE:BE,MONTH(B14),VENTAS!AS:AS)</f>
        <v>0</v>
      </c>
      <c r="O14" s="308">
        <f>SUMIF(COMPRAS!DB:DB,MONTH(B14),COMPRAS!DH:DH)</f>
        <v>0</v>
      </c>
      <c r="P14" s="308">
        <f>SUMIF(COMPRAS!DB:DB,MONTH(B14),COMPRAS!X:X)+SUMIF(COMPRAS!DB:DB,MONTH(B14),COMPRAS!AA:AA)+SUMIF(COMPRAS!DB:DB,MONTH(B14),COMPRAS!AD:AD)</f>
        <v>0</v>
      </c>
      <c r="Q14" s="309">
        <f t="shared" si="1"/>
        <v>0</v>
      </c>
      <c r="R14" s="308">
        <f>ROUND(SUMIF(COMPRAS!DB:DB,MONTH(B14),COMPRAS!DI:DI),2)</f>
        <v>0</v>
      </c>
      <c r="S14" s="308">
        <f>ROUND(SUMIF(COMPRAS!DB:DB,MONTH(B14),COMPRAS!DJ:DJ),2)</f>
        <v>0</v>
      </c>
      <c r="T14" s="308">
        <f>ROUND(SUMIF(COMPRAS!DB:DB,MONTH(B14),COMPRAS!DK:DK),2)</f>
        <v>0</v>
      </c>
      <c r="U14" s="309">
        <f t="shared" si="8"/>
        <v>0</v>
      </c>
      <c r="V14" s="311">
        <f t="shared" si="2"/>
        <v>0</v>
      </c>
      <c r="W14" s="308">
        <f>ROUND(SUMIF(COMPRAS!DB:DB,MONTH(B14),COMPRAS!DL:DL),2)</f>
        <v>0</v>
      </c>
      <c r="X14" s="308">
        <f>ROUND(SUMIF(COMPRAS!DB:DB,MONTH(B14),COMPRAS!DN:DN),2)</f>
        <v>0</v>
      </c>
      <c r="Y14" s="308">
        <f>ROUND(SUMIF(COMPRAS!DB:DB,MONTH(B14),COMPRAS!DM:DM),2)</f>
        <v>0</v>
      </c>
      <c r="AA14" s="312">
        <f>IF(C14&lt;&gt;C15,IF(SUMIF(C$5:C14,C14,I$5:I14)&gt;0,ROUND(((SUMIF(C$5:C14,C14,G$5:G14)-SUMIF(C$5:C14,C14,D$5:D14))/SUMIF(C$5:C14,C14,G$5:G14)),4),1),0)</f>
        <v>1</v>
      </c>
      <c r="AB14" s="313">
        <f>IF(C14&lt;&gt;C15,ROUND(SUMIF(C$5:C14,C14,T$5:T14)*AA14,2),0)</f>
        <v>0</v>
      </c>
      <c r="AC14" s="308">
        <f>IF(C14&lt;&gt;C15,IF((SUMIF(C$5:C14,C14,I$5:I14)-SUMIF(C$5:C14,C14,AB$5:AB14))&gt;0,(SUMIF(C$5:C14,C14,I$5:I14)-SUMIF(C$5:C14,C14,AB$5:AB14)),0),0)</f>
        <v>0</v>
      </c>
      <c r="AD14" s="308">
        <f>IF(C14&lt;&gt;C15,IF((SUMIF(C$5:C14,C14,I$5:I14)-SUMIF(C$5:C14,C14,AB$5:AB14))&gt;0,0,(SUMIF(C$5:C14,C14,I$5:I14)-SUMIF(C$5:C14,C14,AB$5:AB14))),0)</f>
        <v>0</v>
      </c>
      <c r="AE14" s="308">
        <f t="shared" si="9"/>
        <v>-1714.9900000000002</v>
      </c>
      <c r="AF14" s="308">
        <f t="shared" si="10"/>
        <v>-89.29</v>
      </c>
      <c r="AG14" s="308">
        <f>-IF(C14&lt;&gt;C15,SUMIF(C$5:C14,C14,L$5:L14),0)</f>
        <v>0</v>
      </c>
      <c r="AH14" s="308">
        <f t="shared" si="11"/>
        <v>-1714.9900000000002</v>
      </c>
      <c r="AI14" s="308">
        <f t="shared" si="12"/>
        <v>-89.29</v>
      </c>
      <c r="AK14" s="308">
        <f t="shared" si="3"/>
        <v>0</v>
      </c>
      <c r="AL14" s="308">
        <f>IF(C14&lt;&gt;C15,SUMIF(C$5:C14,C14,W$5:W14),0)</f>
        <v>0</v>
      </c>
      <c r="AM14" s="309">
        <f t="shared" si="4"/>
        <v>0</v>
      </c>
      <c r="AO14" s="310">
        <v>0</v>
      </c>
      <c r="AP14" s="310">
        <v>0</v>
      </c>
      <c r="AQ14" s="309">
        <f t="shared" si="5"/>
        <v>0</v>
      </c>
      <c r="AW14"/>
    </row>
    <row r="15" spans="2:49" ht="14.5" x14ac:dyDescent="0.35">
      <c r="B15" s="297">
        <f>VALUE("01/11/"&amp;XLSperiodo)</f>
        <v>46327</v>
      </c>
      <c r="C15" s="298">
        <f t="shared" si="13"/>
        <v>11</v>
      </c>
      <c r="D15" s="263">
        <f>SUMIF(VENTAS!BE:BE,MONTH(B15),VENTAS!CA:CA)</f>
        <v>0</v>
      </c>
      <c r="E15" s="299">
        <f>SUMIF(VENTAS!BE:BE,MONTH(B15),VENTAS!BJ:BJ)+SUMIF(EXPORTACIONES!AL:AL,MONTH(B15),EXPORTACIONES!AF:AF)</f>
        <v>0</v>
      </c>
      <c r="F15" s="299">
        <f>SUMIF(VENTAS!BE:BE,MONTH(B15),VENTAS!P:P)+SUMIF(VENTAS!BE:BE,MONTH(B15),VENTAS!S:S)+SUMIF(VENTAS!BE:BE,MONTH(B15),VENTAS!V:V)</f>
        <v>0</v>
      </c>
      <c r="G15" s="300">
        <f t="shared" si="0"/>
        <v>0</v>
      </c>
      <c r="H15" s="300">
        <f>ROUND(SUMIF(VENTAS!BE:BE,MONTH(B15),VENTAS!BK:BK),2)</f>
        <v>0</v>
      </c>
      <c r="I15" s="301">
        <f>ROUND(SUMIF(VENTAS!BE:BE,MONTH(B15),VENTAS!BL:BL),2)</f>
        <v>0</v>
      </c>
      <c r="J15" s="301">
        <f t="shared" si="6"/>
        <v>0</v>
      </c>
      <c r="K15" s="302">
        <f t="shared" si="7"/>
        <v>0</v>
      </c>
      <c r="L15" s="299">
        <f>SUMIF(VENTAS!BE:BE,MONTH(B15),VENTAS!AR:AR)</f>
        <v>0</v>
      </c>
      <c r="M15" s="299">
        <f>SUMIF(VENTAS!BE:BE,MONTH(B15),VENTAS!AS:AS)</f>
        <v>0</v>
      </c>
      <c r="O15" s="299">
        <f>SUMIF(COMPRAS!DB:DB,MONTH(B15),COMPRAS!DH:DH)</f>
        <v>0</v>
      </c>
      <c r="P15" s="299">
        <f>SUMIF(COMPRAS!DB:DB,MONTH(B15),COMPRAS!X:X)+SUMIF(COMPRAS!DB:DB,MONTH(B15),COMPRAS!AA:AA)+SUMIF(COMPRAS!DB:DB,MONTH(B15),COMPRAS!AD:AD)</f>
        <v>0</v>
      </c>
      <c r="Q15" s="300">
        <f t="shared" si="1"/>
        <v>0</v>
      </c>
      <c r="R15" s="299">
        <f>ROUND(SUMIF(COMPRAS!DB:DB,MONTH(B15),COMPRAS!DI:DI),2)</f>
        <v>0</v>
      </c>
      <c r="S15" s="299">
        <f>ROUND(SUMIF(COMPRAS!DB:DB,MONTH(B15),COMPRAS!DJ:DJ),2)</f>
        <v>0</v>
      </c>
      <c r="T15" s="299">
        <f>ROUND(SUMIF(COMPRAS!DB:DB,MONTH(B15),COMPRAS!DK:DK),2)</f>
        <v>0</v>
      </c>
      <c r="U15" s="300">
        <f t="shared" si="8"/>
        <v>0</v>
      </c>
      <c r="V15" s="302">
        <f t="shared" si="2"/>
        <v>0</v>
      </c>
      <c r="W15" s="299">
        <f>ROUND(SUMIF(COMPRAS!DB:DB,MONTH(B15),COMPRAS!DL:DL),2)</f>
        <v>0</v>
      </c>
      <c r="X15" s="299">
        <f>ROUND(SUMIF(COMPRAS!DB:DB,MONTH(B15),COMPRAS!DN:DN),2)</f>
        <v>0</v>
      </c>
      <c r="Y15" s="299">
        <f>ROUND(SUMIF(COMPRAS!DB:DB,MONTH(B15),COMPRAS!DM:DM),2)</f>
        <v>0</v>
      </c>
      <c r="AA15" s="303">
        <f>IF(C15&lt;&gt;C16,IF(SUMIF(C$5:C15,C15,I$5:I15)&gt;0,ROUND(((SUMIF(C$5:C15,C15,G$5:G15)-SUMIF(C$5:C15,C15,D$5:D15))/SUMIF(C$5:C15,C15,G$5:G15)),4),1),0)</f>
        <v>1</v>
      </c>
      <c r="AB15" s="304">
        <f>IF(C15&lt;&gt;C16,ROUND(SUMIF(C$5:C15,C15,T$5:T15)*AA15,2),0)</f>
        <v>0</v>
      </c>
      <c r="AC15" s="299">
        <f>IF(C15&lt;&gt;C16,IF((SUMIF(C$5:C15,C15,I$5:I15)-SUMIF(C$5:C15,C15,AB$5:AB15))&gt;0,(SUMIF(C$5:C15,C15,I$5:I15)-SUMIF(C$5:C15,C15,AB$5:AB15)),0),0)</f>
        <v>0</v>
      </c>
      <c r="AD15" s="299">
        <f>IF(C15&lt;&gt;C16,IF((SUMIF(C$5:C15,C15,I$5:I15)-SUMIF(C$5:C15,C15,AB$5:AB15))&gt;0,0,(SUMIF(C$5:C15,C15,I$5:I15)-SUMIF(C$5:C15,C15,AB$5:AB15))),0)</f>
        <v>0</v>
      </c>
      <c r="AE15" s="299">
        <f t="shared" si="9"/>
        <v>-1714.9900000000002</v>
      </c>
      <c r="AF15" s="299">
        <f t="shared" si="10"/>
        <v>-89.29</v>
      </c>
      <c r="AG15" s="299">
        <f>-IF(C15&lt;&gt;C16,SUMIF(C$5:C15,C15,L$5:L15),0)</f>
        <v>0</v>
      </c>
      <c r="AH15" s="299">
        <f t="shared" si="11"/>
        <v>-1714.9900000000002</v>
      </c>
      <c r="AI15" s="299">
        <f t="shared" si="12"/>
        <v>-89.29</v>
      </c>
      <c r="AK15" s="299">
        <f t="shared" si="3"/>
        <v>0</v>
      </c>
      <c r="AL15" s="299">
        <f>IF(C15&lt;&gt;C16,SUMIF(C$5:C15,C15,W$5:W15),0)</f>
        <v>0</v>
      </c>
      <c r="AM15" s="300">
        <f t="shared" si="4"/>
        <v>0</v>
      </c>
      <c r="AO15" s="301">
        <v>0</v>
      </c>
      <c r="AP15" s="301">
        <v>0</v>
      </c>
      <c r="AQ15" s="300">
        <f t="shared" si="5"/>
        <v>0</v>
      </c>
      <c r="AW15"/>
    </row>
    <row r="16" spans="2:49" ht="14.5" x14ac:dyDescent="0.35">
      <c r="B16" s="306">
        <f>VALUE("01/12/"&amp;XLSperiodo)</f>
        <v>46357</v>
      </c>
      <c r="C16" s="307">
        <f t="shared" si="13"/>
        <v>12</v>
      </c>
      <c r="D16" s="263">
        <f>SUMIF(VENTAS!BE:BE,MONTH(B16),VENTAS!CA:CA)</f>
        <v>0</v>
      </c>
      <c r="E16" s="308">
        <f>SUMIF(VENTAS!BE:BE,MONTH(B16),VENTAS!BJ:BJ)+SUMIF(EXPORTACIONES!AL:AL,MONTH(B16),EXPORTACIONES!AF:AF)</f>
        <v>0</v>
      </c>
      <c r="F16" s="308">
        <f>SUMIF(VENTAS!BE:BE,MONTH(B16),VENTAS!P:P)+SUMIF(VENTAS!BE:BE,MONTH(B16),VENTAS!S:S)+SUMIF(VENTAS!BE:BE,MONTH(B16),VENTAS!V:V)</f>
        <v>0</v>
      </c>
      <c r="G16" s="309">
        <f t="shared" si="0"/>
        <v>0</v>
      </c>
      <c r="H16" s="309">
        <f>ROUND(SUMIF(VENTAS!BE:BE,MONTH(B16),VENTAS!BK:BK),2)</f>
        <v>0</v>
      </c>
      <c r="I16" s="310">
        <f>ROUND(SUMIF(VENTAS!BE:BE,MONTH(B16),VENTAS!BL:BL),2)</f>
        <v>0</v>
      </c>
      <c r="J16" s="310">
        <f t="shared" si="6"/>
        <v>0</v>
      </c>
      <c r="K16" s="311">
        <f t="shared" si="7"/>
        <v>0</v>
      </c>
      <c r="L16" s="308">
        <f>SUMIF(VENTAS!BE:BE,MONTH(B16),VENTAS!AR:AR)</f>
        <v>0</v>
      </c>
      <c r="M16" s="308">
        <f>SUMIF(VENTAS!BE:BE,MONTH(B16),VENTAS!AS:AS)</f>
        <v>0</v>
      </c>
      <c r="O16" s="308">
        <f>SUMIF(COMPRAS!DB:DB,MONTH(B16),COMPRAS!DH:DH)</f>
        <v>0</v>
      </c>
      <c r="P16" s="308">
        <f>SUMIF(COMPRAS!DB:DB,MONTH(B16),COMPRAS!X:X)+SUMIF(COMPRAS!DB:DB,MONTH(B16),COMPRAS!AA:AA)+SUMIF(COMPRAS!DB:DB,MONTH(B16),COMPRAS!AD:AD)</f>
        <v>0</v>
      </c>
      <c r="Q16" s="309">
        <f t="shared" si="1"/>
        <v>0</v>
      </c>
      <c r="R16" s="308">
        <f>ROUND(SUMIF(COMPRAS!DB:DB,MONTH(B16),COMPRAS!DI:DI),2)</f>
        <v>0</v>
      </c>
      <c r="S16" s="308">
        <f>ROUND(SUMIF(COMPRAS!DB:DB,MONTH(B16),COMPRAS!DJ:DJ),2)</f>
        <v>0</v>
      </c>
      <c r="T16" s="308">
        <f>ROUND(SUMIF(COMPRAS!DB:DB,MONTH(B16),COMPRAS!DK:DK),2)</f>
        <v>0</v>
      </c>
      <c r="U16" s="309">
        <f t="shared" si="8"/>
        <v>0</v>
      </c>
      <c r="V16" s="311">
        <f t="shared" si="2"/>
        <v>0</v>
      </c>
      <c r="W16" s="308">
        <f>ROUND(SUMIF(COMPRAS!DB:DB,MONTH(B16),COMPRAS!DL:DL),2)</f>
        <v>0</v>
      </c>
      <c r="X16" s="308">
        <f>ROUND(SUMIF(COMPRAS!DB:DB,MONTH(B16),COMPRAS!DN:DN),2)</f>
        <v>0</v>
      </c>
      <c r="Y16" s="308">
        <f>ROUND(SUMIF(COMPRAS!DB:DB,MONTH(B16),COMPRAS!DM:DM),2)</f>
        <v>0</v>
      </c>
      <c r="AA16" s="312">
        <f>IF(C16&lt;&gt;C17,IF(SUMIF(C$5:C16,C16,I$5:I16)&gt;0,ROUND(((SUMIF(C$5:C16,C16,G$5:G16)-SUMIF(C$5:C16,C16,D$5:D16))/SUMIF(C$5:C16,C16,G$5:G16)),4),1),0)</f>
        <v>1</v>
      </c>
      <c r="AB16" s="313">
        <f>ROUND(SUMIF(C$5:C16,C16,T$5:T16)*AA16,2)</f>
        <v>0</v>
      </c>
      <c r="AC16" s="308">
        <f>IF(C16&lt;&gt;C17,IF((SUMIF(C$5:C16,C16,I$5:I16)-SUMIF(C$5:C16,C16,AB$5:AB16))&gt;0,(SUMIF(C$5:C16,C16,I$5:I16)-SUMIF(C$5:C16,C16,AB$5:AB16)),0),0)</f>
        <v>0</v>
      </c>
      <c r="AD16" s="308">
        <f>IF(C16&lt;&gt;C17,IF((SUMIF(C$5:C16,C16,I$5:I16)-SUMIF(C$5:C16,C16,AB$5:AB16))&gt;0,0,(SUMIF(C$5:C16,C16,I$5:I16)-SUMIF(C$5:C16,C16,AB$5:AB16))),0)</f>
        <v>0</v>
      </c>
      <c r="AE16" s="308">
        <f t="shared" si="9"/>
        <v>-1714.9900000000002</v>
      </c>
      <c r="AF16" s="308">
        <f t="shared" si="10"/>
        <v>-89.29</v>
      </c>
      <c r="AG16" s="308">
        <f>-IF(C16&lt;&gt;C17,SUMIF(C$5:C16,C16,L$5:L16),0)</f>
        <v>0</v>
      </c>
      <c r="AH16" s="308">
        <f t="shared" si="11"/>
        <v>-1714.9900000000002</v>
      </c>
      <c r="AI16" s="308">
        <f t="shared" si="12"/>
        <v>-89.29</v>
      </c>
      <c r="AK16" s="308">
        <f t="shared" si="3"/>
        <v>0</v>
      </c>
      <c r="AL16" s="308">
        <f>IF(C16&lt;&gt;C17,SUMIF(C$5:C16,C16,W$5:W16),0)</f>
        <v>0</v>
      </c>
      <c r="AM16" s="309">
        <f t="shared" si="4"/>
        <v>0</v>
      </c>
      <c r="AO16" s="310">
        <v>0</v>
      </c>
      <c r="AP16" s="310">
        <v>0</v>
      </c>
      <c r="AQ16" s="309">
        <f t="shared" si="5"/>
        <v>0</v>
      </c>
      <c r="AW16"/>
    </row>
    <row r="17" spans="1:49" ht="5.15" customHeight="1" x14ac:dyDescent="0.35">
      <c r="B17" s="314"/>
      <c r="E17" s="315"/>
      <c r="F17" s="315"/>
      <c r="G17" s="315"/>
      <c r="H17" s="315"/>
      <c r="I17" s="316"/>
      <c r="J17" s="316"/>
      <c r="K17" s="315"/>
      <c r="L17" s="315"/>
      <c r="M17" s="315"/>
      <c r="O17" s="315"/>
      <c r="P17" s="315"/>
      <c r="Q17" s="315"/>
      <c r="R17" s="315"/>
      <c r="S17" s="315"/>
      <c r="T17" s="315"/>
      <c r="U17" s="315"/>
      <c r="V17" s="315"/>
      <c r="W17" s="315"/>
      <c r="X17" s="315"/>
      <c r="Y17" s="315"/>
      <c r="AA17" s="315"/>
      <c r="AB17" s="315"/>
      <c r="AC17" s="315"/>
      <c r="AD17" s="315"/>
      <c r="AE17" s="315"/>
      <c r="AF17" s="315"/>
      <c r="AG17" s="315"/>
      <c r="AH17" s="315"/>
      <c r="AI17" s="315"/>
      <c r="AK17" s="315"/>
      <c r="AL17" s="315"/>
      <c r="AM17" s="315"/>
      <c r="AO17" s="315"/>
      <c r="AP17" s="315"/>
      <c r="AQ17" s="315"/>
      <c r="AW17"/>
    </row>
    <row r="18" spans="1:49" s="317" customFormat="1" ht="14.5" x14ac:dyDescent="0.35">
      <c r="B18" s="314"/>
      <c r="C18" s="263"/>
      <c r="D18" s="263"/>
      <c r="E18" s="302">
        <f t="shared" ref="E18:M18" si="14">SUM(E5:E17)</f>
        <v>0</v>
      </c>
      <c r="F18" s="302">
        <f t="shared" si="14"/>
        <v>23234.98000000001</v>
      </c>
      <c r="G18" s="302">
        <f t="shared" si="14"/>
        <v>23234.98000000001</v>
      </c>
      <c r="H18" s="302">
        <f t="shared" si="14"/>
        <v>0</v>
      </c>
      <c r="I18" s="302">
        <f t="shared" si="14"/>
        <v>3485.73</v>
      </c>
      <c r="J18" s="302">
        <f t="shared" si="14"/>
        <v>3485.73</v>
      </c>
      <c r="K18" s="302">
        <f t="shared" si="14"/>
        <v>26720.71000000001</v>
      </c>
      <c r="L18" s="302">
        <f t="shared" si="14"/>
        <v>89.29</v>
      </c>
      <c r="M18" s="302">
        <f t="shared" si="14"/>
        <v>25.500000000000004</v>
      </c>
      <c r="N18" s="263"/>
      <c r="O18" s="302">
        <f t="shared" ref="O18:X18" si="15">SUM(O5:O17)</f>
        <v>76.760000000000005</v>
      </c>
      <c r="P18" s="302">
        <f t="shared" si="15"/>
        <v>36472.820000000014</v>
      </c>
      <c r="Q18" s="302">
        <f t="shared" si="15"/>
        <v>36549.580000000016</v>
      </c>
      <c r="R18" s="302">
        <f t="shared" si="15"/>
        <v>0</v>
      </c>
      <c r="S18" s="302">
        <f>SUM(S5:S17)</f>
        <v>0</v>
      </c>
      <c r="T18" s="302">
        <f t="shared" si="15"/>
        <v>5200.72</v>
      </c>
      <c r="U18" s="302">
        <f t="shared" si="15"/>
        <v>5200.72</v>
      </c>
      <c r="V18" s="302">
        <f t="shared" si="15"/>
        <v>41750.300000000017</v>
      </c>
      <c r="W18" s="302">
        <f t="shared" si="15"/>
        <v>1031.3499999999999</v>
      </c>
      <c r="X18" s="302">
        <f t="shared" si="15"/>
        <v>353.92</v>
      </c>
      <c r="Y18" s="302">
        <f t="shared" ref="Y18" si="16">SUM(Y5:Y17)</f>
        <v>0</v>
      </c>
      <c r="Z18" s="263"/>
      <c r="AA18" s="302"/>
      <c r="AB18" s="302">
        <f t="shared" ref="AB18:AI18" si="17">SUM(AB5:AB17)</f>
        <v>5200.72</v>
      </c>
      <c r="AC18" s="302">
        <f t="shared" si="17"/>
        <v>0</v>
      </c>
      <c r="AD18" s="302">
        <f t="shared" si="17"/>
        <v>-1714.9900000000002</v>
      </c>
      <c r="AE18" s="302">
        <f t="shared" si="17"/>
        <v>-13719.92</v>
      </c>
      <c r="AF18" s="302">
        <f t="shared" si="17"/>
        <v>-714.31999999999994</v>
      </c>
      <c r="AG18" s="302">
        <f t="shared" si="17"/>
        <v>-89.29</v>
      </c>
      <c r="AH18" s="302">
        <f t="shared" si="17"/>
        <v>-15434.91</v>
      </c>
      <c r="AI18" s="302">
        <f t="shared" si="17"/>
        <v>-803.6099999999999</v>
      </c>
      <c r="AJ18" s="263"/>
      <c r="AK18" s="302">
        <f>SUM(AK5:AK17)</f>
        <v>0</v>
      </c>
      <c r="AL18" s="302">
        <f>SUM(AL5:AL17)</f>
        <v>1031.3499999999999</v>
      </c>
      <c r="AM18" s="302">
        <f>SUM(AM5:AM17)</f>
        <v>1031.3499999999999</v>
      </c>
      <c r="AN18" s="263"/>
      <c r="AO18" s="302">
        <f>SUM(AO5:AO17)</f>
        <v>0</v>
      </c>
      <c r="AP18" s="302">
        <f>SUM(AP5:AP17)</f>
        <v>0</v>
      </c>
      <c r="AQ18" s="302">
        <f>SUM(AQ5:AQ17)</f>
        <v>353.92</v>
      </c>
      <c r="AU18" s="263"/>
      <c r="AV18" s="263"/>
      <c r="AW18"/>
    </row>
    <row r="19" spans="1:49" s="548" customFormat="1" ht="15" thickBot="1" x14ac:dyDescent="0.4">
      <c r="B19" s="549"/>
      <c r="D19" s="550"/>
      <c r="E19" s="551"/>
      <c r="F19" s="551"/>
      <c r="G19" s="551"/>
      <c r="H19" s="551"/>
      <c r="I19" s="551"/>
      <c r="J19" s="551"/>
      <c r="K19" s="551"/>
      <c r="L19" s="551"/>
      <c r="M19" s="551"/>
      <c r="N19" s="551"/>
      <c r="O19" s="551"/>
      <c r="P19" s="550"/>
      <c r="Q19" s="551"/>
      <c r="R19" s="551"/>
      <c r="S19" s="551"/>
      <c r="T19" s="551"/>
      <c r="U19" s="551"/>
      <c r="V19" s="551"/>
      <c r="W19" s="551"/>
      <c r="X19" s="551"/>
      <c r="Y19" s="551"/>
      <c r="Z19" s="550"/>
      <c r="AB19" s="550"/>
      <c r="AR19" s="552"/>
      <c r="AS19" s="552"/>
      <c r="AT19" s="552"/>
      <c r="AU19" s="552"/>
      <c r="AV19" s="552"/>
      <c r="AW19" s="552"/>
    </row>
    <row r="20" spans="1:49" s="784" customFormat="1" ht="15.5" x14ac:dyDescent="0.35">
      <c r="B20" s="785" t="s">
        <v>2192</v>
      </c>
      <c r="D20" s="786"/>
      <c r="E20" s="787"/>
      <c r="F20" s="787"/>
      <c r="H20" s="787"/>
      <c r="I20" s="787"/>
      <c r="J20" s="787"/>
      <c r="K20" s="787"/>
      <c r="L20" s="787"/>
      <c r="M20" s="787"/>
      <c r="N20" s="787"/>
      <c r="O20" s="787"/>
      <c r="P20" s="786"/>
      <c r="Q20" s="787"/>
      <c r="R20" s="787"/>
      <c r="S20" s="787"/>
      <c r="T20" s="787"/>
      <c r="U20" s="787"/>
      <c r="V20" s="787"/>
      <c r="W20" s="787"/>
      <c r="X20" s="787"/>
      <c r="Y20" s="787"/>
      <c r="Z20" s="786"/>
      <c r="AB20" s="786"/>
      <c r="AR20" s="788"/>
      <c r="AS20" s="788"/>
      <c r="AT20" s="788"/>
      <c r="AU20" s="788"/>
      <c r="AV20" s="788"/>
      <c r="AW20" s="788"/>
    </row>
    <row r="21" spans="1:49" s="784" customFormat="1" ht="15.5" x14ac:dyDescent="0.35">
      <c r="B21" s="957" t="s">
        <v>1934</v>
      </c>
      <c r="C21" s="957"/>
      <c r="D21" s="957"/>
      <c r="E21" s="957"/>
      <c r="F21" s="957"/>
      <c r="G21" s="957"/>
      <c r="H21" s="787"/>
      <c r="I21" s="787"/>
      <c r="J21" s="787"/>
      <c r="K21" s="787"/>
      <c r="L21" s="787"/>
      <c r="M21" s="787"/>
      <c r="N21" s="787"/>
      <c r="O21" s="787"/>
      <c r="P21" s="786"/>
      <c r="Q21" s="787"/>
      <c r="R21" s="787"/>
      <c r="S21" s="787"/>
      <c r="T21" s="787"/>
      <c r="U21" s="787"/>
      <c r="V21" s="787"/>
      <c r="W21" s="787"/>
      <c r="X21" s="787"/>
      <c r="Y21" s="787"/>
      <c r="Z21" s="786"/>
      <c r="AB21" s="786"/>
      <c r="AR21" s="788"/>
      <c r="AS21" s="788"/>
      <c r="AT21" s="788"/>
      <c r="AU21" s="788"/>
      <c r="AV21" s="788"/>
      <c r="AW21" s="788"/>
    </row>
    <row r="22" spans="1:49" s="265" customFormat="1" ht="39" x14ac:dyDescent="0.3">
      <c r="A22" s="435" t="str">
        <f>+Parametros!C139</f>
        <v>RIMPE</v>
      </c>
      <c r="K22" s="436" t="s">
        <v>1485</v>
      </c>
      <c r="L22" s="436" t="s">
        <v>1488</v>
      </c>
      <c r="M22" s="553" t="s">
        <v>1976</v>
      </c>
    </row>
    <row r="23" spans="1:49" s="317" customFormat="1" ht="13" x14ac:dyDescent="0.3">
      <c r="A23" s="317" t="s">
        <v>1487</v>
      </c>
      <c r="G23" s="556"/>
      <c r="H23" s="556"/>
      <c r="J23" s="555"/>
      <c r="K23" s="585">
        <f>SUM(K24:K26)</f>
        <v>0</v>
      </c>
      <c r="L23" s="585">
        <f>SUM(L24:L26)</f>
        <v>0</v>
      </c>
      <c r="M23" s="586">
        <f>SUM(M24:M26)</f>
        <v>0</v>
      </c>
    </row>
    <row r="24" spans="1:49" hidden="1" outlineLevel="1" x14ac:dyDescent="0.25">
      <c r="B24" s="958" t="s">
        <v>19</v>
      </c>
      <c r="C24" s="958"/>
      <c r="D24" s="958"/>
      <c r="E24" s="958"/>
      <c r="F24" s="958"/>
      <c r="G24" s="958"/>
      <c r="J24" s="265"/>
      <c r="K24" s="318">
        <f>SUMIFS(VENTAS!$M:$M,VENTAS!$AI:$AI,$A$22,VENTAS!$H:$H,$B24,VENTAS!$BE:$BE,"&lt;7")+SUMIFS(VENTAS!$O:$O,VENTAS!$AI:$AI,$A$22,VENTAS!$H:$H,$B24,VENTAS!$BE:$BE,"&lt;7")+SUMIFS(VENTAS!$P:$P,VENTAS!$AI:$AI,$A$22,VENTAS!$H:$H,$B24,VENTAS!$BE:$BE,"&lt;7")+SUMIFS(VENTAS!$S:$S,VENTAS!$AI:$AI,$A$22,VENTAS!$H:$H,$B24,VENTAS!$BE:$BE,"&lt;7")+SUMIFS(VENTAS!$V:$V,VENTAS!$AI:$AI,$A$22,VENTAS!$H:$H,$B24,VENTAS!$BE:$BE,"&lt;7")</f>
        <v>0</v>
      </c>
      <c r="L24" s="318">
        <f>SUMIFS(VENTAS!$M:$M,VENTAS!$AI:$AI,$A$22,VENTAS!$H:$H,$B24,VENTAS!$BE:$BE,"&gt;6")+SUMIFS(VENTAS!$O:$O,VENTAS!$AI:$AI,$A$22,VENTAS!$H:$H,$B24,VENTAS!$BE:$BE,"&gt;6")+SUMIFS(VENTAS!$P:$P,VENTAS!$AI:$AI,$A$22,VENTAS!$H:$H,$B24,VENTAS!$BE:$BE,"&gt;6")+SUMIFS(VENTAS!$S:$S,VENTAS!$AI:$AI,$A$22,VENTAS!$H:$H,$B24,VENTAS!$BE:$BE,"&gt;6")+SUMIFS(VENTAS!$V:$V,VENTAS!$AI:$AI,$A$22,VENTAS!$H:$H,$B24,VENTAS!$BE:$BE,"&gt;6")</f>
        <v>0</v>
      </c>
      <c r="M24" s="438">
        <f t="shared" ref="M24:M30" si="18">K24+L24</f>
        <v>0</v>
      </c>
    </row>
    <row r="25" spans="1:49" hidden="1" outlineLevel="1" x14ac:dyDescent="0.25">
      <c r="B25" s="958" t="s">
        <v>1070</v>
      </c>
      <c r="C25" s="958"/>
      <c r="D25" s="958"/>
      <c r="E25" s="958"/>
      <c r="F25" s="958"/>
      <c r="G25" s="958"/>
      <c r="J25" s="265"/>
      <c r="K25" s="318">
        <f>SUMIFS(VENTAS!$M:$M,VENTAS!$AI:$AI,$A$22,VENTAS!$H:$H,$B25,VENTAS!$BE:$BE,"&lt;7")+SUMIFS(VENTAS!$O:$O,VENTAS!$AI:$AI,$A$22,VENTAS!$H:$H,$B25,VENTAS!$BE:$BE,"&lt;7")+SUMIFS(VENTAS!$P:$P,VENTAS!$AI:$AI,$A$22,VENTAS!$H:$H,$B25,VENTAS!$BE:$BE,"&lt;7")+SUMIFS(VENTAS!$S:$S,VENTAS!$AI:$AI,$A$22,VENTAS!$H:$H,$B25,VENTAS!$BE:$BE,"&lt;7")+SUMIFS(VENTAS!$V:$V,VENTAS!$AI:$AI,$A$22,VENTAS!$H:$H,$B25,VENTAS!$BE:$BE,"&lt;7")</f>
        <v>0</v>
      </c>
      <c r="L25" s="318">
        <f>SUMIFS(VENTAS!$M:$M,VENTAS!$AI:$AI,$A$22,VENTAS!$H:$H,$B25,VENTAS!$BE:$BE,"&gt;6")+SUMIFS(VENTAS!$O:$O,VENTAS!$AI:$AI,$A$22,VENTAS!$H:$H,$B25,VENTAS!$BE:$BE,"&gt;6")+SUMIFS(VENTAS!$P:$P,VENTAS!$AI:$AI,$A$22,VENTAS!$H:$H,$B25,VENTAS!$BE:$BE,"&gt;6")+SUMIFS(VENTAS!$S:$S,VENTAS!$AI:$AI,$A$22,VENTAS!$H:$H,$B25,VENTAS!$BE:$BE,"&gt;6")+SUMIFS(VENTAS!$V:$V,VENTAS!$AI:$AI,$A$22,VENTAS!$H:$H,$B25,VENTAS!$BE:$BE,"&gt;6")</f>
        <v>0</v>
      </c>
      <c r="M25" s="438">
        <f t="shared" si="18"/>
        <v>0</v>
      </c>
    </row>
    <row r="26" spans="1:49" hidden="1" outlineLevel="1" x14ac:dyDescent="0.25">
      <c r="B26" s="958"/>
      <c r="C26" s="958"/>
      <c r="D26" s="958"/>
      <c r="E26" s="958"/>
      <c r="F26" s="958"/>
      <c r="G26" s="958"/>
      <c r="J26" s="265"/>
      <c r="K26" s="318">
        <f>SUMIFS(VENTAS!$M:$M,VENTAS!$AI:$AI,$A$22,VENTAS!$H:$H,$B26,VENTAS!$BE:$BE,"&lt;7")+SUMIFS(VENTAS!$O:$O,VENTAS!$AI:$AI,$A$22,VENTAS!$H:$H,$B26,VENTAS!$BE:$BE,"&lt;7")+SUMIFS(VENTAS!$P:$P,VENTAS!$AI:$AI,$A$22,VENTAS!$H:$H,$B26,VENTAS!$BE:$BE,"&lt;7")+SUMIFS(VENTAS!$S:$S,VENTAS!$AI:$AI,$A$22,VENTAS!$H:$H,$B26,VENTAS!$BE:$BE,"&lt;7")+SUMIFS(VENTAS!$V:$V,VENTAS!$AI:$AI,$A$22,VENTAS!$H:$H,$B26,VENTAS!$BE:$BE,"&lt;7")</f>
        <v>0</v>
      </c>
      <c r="L26" s="318">
        <f>SUMIFS(VENTAS!$M:$M,VENTAS!$AI:$AI,$A$22,VENTAS!$H:$H,$B26,VENTAS!$BE:$BE,"&gt;6")+SUMIFS(VENTAS!$O:$O,VENTAS!$AI:$AI,$A$22,VENTAS!$H:$H,$B26,VENTAS!$BE:$BE,"&gt;6")+SUMIFS(VENTAS!$P:$P,VENTAS!$AI:$AI,$A$22,VENTAS!$H:$H,$B26,VENTAS!$BE:$BE,"&gt;6")+SUMIFS(VENTAS!$S:$S,VENTAS!$AI:$AI,$A$22,VENTAS!$H:$H,$B26,VENTAS!$BE:$BE,"&gt;6")+SUMIFS(VENTAS!$V:$V,VENTAS!$AI:$AI,$A$22,VENTAS!$H:$H,$B26,VENTAS!$BE:$BE,"&gt;6")</f>
        <v>0</v>
      </c>
      <c r="M26" s="438">
        <f t="shared" si="18"/>
        <v>0</v>
      </c>
    </row>
    <row r="27" spans="1:49" s="317" customFormat="1" ht="13" collapsed="1" x14ac:dyDescent="0.3">
      <c r="A27" s="317" t="s">
        <v>1486</v>
      </c>
      <c r="J27" s="555"/>
      <c r="K27" s="585">
        <f>SUM(K28:K30)</f>
        <v>0</v>
      </c>
      <c r="L27" s="585">
        <f>SUM(L28:L30)</f>
        <v>0</v>
      </c>
      <c r="M27" s="585">
        <f>SUM(M28:M30)</f>
        <v>0</v>
      </c>
    </row>
    <row r="28" spans="1:49" hidden="1" outlineLevel="1" x14ac:dyDescent="0.25">
      <c r="B28" s="958" t="s">
        <v>12</v>
      </c>
      <c r="C28" s="958"/>
      <c r="D28" s="958"/>
      <c r="E28" s="958"/>
      <c r="F28" s="958"/>
      <c r="G28" s="958"/>
      <c r="J28" s="265"/>
      <c r="K28" s="441">
        <f>SUMIFS(VENTAS!$M:$M,VENTAS!$AI:$AI,$A$22,VENTAS!$H:$H,$B28,VENTAS!$BE:$BE,"&lt;7")+SUMIFS(VENTAS!$O:$O,VENTAS!$AI:$AI,$A$22,VENTAS!$H:$H,$B28,VENTAS!$BE:$BE,"&lt;7")+SUMIFS(VENTAS!$P:$P,VENTAS!$AI:$AI,$A$22,VENTAS!$H:$H,$B28,VENTAS!$BE:$BE,"&lt;7")+SUMIFS(VENTAS!$S:$S,VENTAS!$AI:$AI,$A$22,VENTAS!$H:$H,$B28,VENTAS!$BE:$BE,"&lt;7")+SUMIFS(VENTAS!$V:$V,VENTAS!$AI:$AI,$A$22,VENTAS!$H:$H,$B28,VENTAS!$BE:$BE,"&lt;7")</f>
        <v>0</v>
      </c>
      <c r="L28" s="441">
        <f>SUMIFS(VENTAS!$M:$M,VENTAS!$AI:$AI,$A$22,VENTAS!$H:$H,$B28,VENTAS!$BE:$BE,"&gt;6")+SUMIFS(VENTAS!$O:$O,VENTAS!$AI:$AI,$A$22,VENTAS!$H:$H,$B28,VENTAS!$BE:$BE,"&gt;6")+SUMIFS(VENTAS!$P:$P,VENTAS!$AI:$AI,$A$22,VENTAS!$H:$H,$B28,VENTAS!$BE:$BE,"&gt;6")+SUMIFS(VENTAS!$S:$S,VENTAS!$AI:$AI,$A$22,VENTAS!$H:$H,$B28,VENTAS!$BE:$BE,"&gt;6")+SUMIFS(VENTAS!$V:$V,VENTAS!$AI:$AI,$A$22,VENTAS!$H:$H,$B28,VENTAS!$BE:$BE,"&gt;6")</f>
        <v>0</v>
      </c>
      <c r="M28" s="438">
        <f t="shared" si="18"/>
        <v>0</v>
      </c>
    </row>
    <row r="29" spans="1:49" hidden="1" outlineLevel="1" x14ac:dyDescent="0.25">
      <c r="B29" s="958" t="s">
        <v>1073</v>
      </c>
      <c r="C29" s="958"/>
      <c r="D29" s="958"/>
      <c r="E29" s="958"/>
      <c r="F29" s="958"/>
      <c r="G29" s="958"/>
      <c r="J29" s="265"/>
      <c r="K29" s="318">
        <f>SUMIFS(VENTAS!$M:$M,VENTAS!$AI:$AI,$A$22,VENTAS!$H:$H,$B29,VENTAS!$BE:$BE,"&lt;7")+SUMIFS(VENTAS!$O:$O,VENTAS!$AI:$AI,$A$22,VENTAS!$H:$H,$B29,VENTAS!$BE:$BE,"&lt;7")+SUMIFS(VENTAS!$P:$P,VENTAS!$AI:$AI,$A$22,VENTAS!$H:$H,$B29,VENTAS!$BE:$BE,"&lt;7")+SUMIFS(VENTAS!$S:$S,VENTAS!$AI:$AI,$A$22,VENTAS!$H:$H,$B29,VENTAS!$BE:$BE,"&lt;7")+SUMIFS(VENTAS!$V:$V,VENTAS!$AI:$AI,$A$22,VENTAS!$H:$H,$B29,VENTAS!$BE:$BE,"&lt;7")</f>
        <v>0</v>
      </c>
      <c r="L29" s="318">
        <f>SUMIFS(VENTAS!$M:$M,VENTAS!$AI:$AI,$A$22,VENTAS!$H:$H,$B29,VENTAS!$BE:$BE,"&gt;6")+SUMIFS(VENTAS!$O:$O,VENTAS!$AI:$AI,$A$22,VENTAS!$H:$H,$B29,VENTAS!$BE:$BE,"&gt;6")+SUMIFS(VENTAS!$P:$P,VENTAS!$AI:$AI,$A$22,VENTAS!$H:$H,$B29,VENTAS!$BE:$BE,"&gt;6")+SUMIFS(VENTAS!$S:$S,VENTAS!$AI:$AI,$A$22,VENTAS!$H:$H,$B29,VENTAS!$BE:$BE,"&gt;6")+SUMIFS(VENTAS!$V:$V,VENTAS!$AI:$AI,$A$22,VENTAS!$H:$H,$B29,VENTAS!$BE:$BE,"&gt;6")</f>
        <v>0</v>
      </c>
      <c r="M29" s="438">
        <f t="shared" si="18"/>
        <v>0</v>
      </c>
    </row>
    <row r="30" spans="1:49" hidden="1" outlineLevel="1" x14ac:dyDescent="0.25">
      <c r="B30" s="958"/>
      <c r="C30" s="958"/>
      <c r="D30" s="958"/>
      <c r="E30" s="958"/>
      <c r="F30" s="958"/>
      <c r="G30" s="958"/>
      <c r="J30" s="265"/>
      <c r="K30" s="441">
        <f>SUMIFS(VENTAS!$M:$M,VENTAS!$AI:$AI,$A$22,VENTAS!$H:$H,$B30,VENTAS!$BE:$BE,"&lt;7")+SUMIFS(VENTAS!$O:$O,VENTAS!$AI:$AI,$A$22,VENTAS!$H:$H,$B30,VENTAS!$BE:$BE,"&lt;7")+SUMIFS(VENTAS!$P:$P,VENTAS!$AI:$AI,$A$22,VENTAS!$H:$H,$B30,VENTAS!$BE:$BE,"&lt;7")+SUMIFS(VENTAS!$S:$S,VENTAS!$AI:$AI,$A$22,VENTAS!$H:$H,$B30,VENTAS!$BE:$BE,"&lt;7")+SUMIFS(VENTAS!$V:$V,VENTAS!$AI:$AI,$A$22,VENTAS!$H:$H,$B30,VENTAS!$BE:$BE,"&lt;7")</f>
        <v>0</v>
      </c>
      <c r="L30" s="441">
        <f>SUMIFS(VENTAS!$M:$M,VENTAS!$AI:$AI,$A$22,VENTAS!$H:$H,$B30,VENTAS!$BE:$BE,"&gt;6")+SUMIFS(VENTAS!$O:$O,VENTAS!$AI:$AI,$A$22,VENTAS!$H:$H,$B30,VENTAS!$BE:$BE,"&gt;6")+SUMIFS(VENTAS!$P:$P,VENTAS!$AI:$AI,$A$22,VENTAS!$H:$H,$B30,VENTAS!$BE:$BE,"&gt;6")+SUMIFS(VENTAS!$S:$S,VENTAS!$AI:$AI,$A$22,VENTAS!$H:$H,$B30,VENTAS!$BE:$BE,"&gt;6")+SUMIFS(VENTAS!$V:$V,VENTAS!$AI:$AI,$A$22,VENTAS!$H:$H,$B30,VENTAS!$BE:$BE,"&gt;6")</f>
        <v>0</v>
      </c>
      <c r="M30" s="441">
        <f t="shared" si="18"/>
        <v>0</v>
      </c>
    </row>
    <row r="31" spans="1:49" s="317" customFormat="1" ht="13.5" collapsed="1" thickBot="1" x14ac:dyDescent="0.35">
      <c r="A31" s="317" t="s">
        <v>988</v>
      </c>
      <c r="B31" s="547"/>
      <c r="C31" s="547"/>
      <c r="D31" s="547"/>
      <c r="E31" s="547"/>
      <c r="F31" s="547"/>
      <c r="G31" s="547"/>
      <c r="H31" s="547"/>
      <c r="I31" s="547"/>
      <c r="J31" s="265"/>
      <c r="K31" s="554">
        <f>K23+K27</f>
        <v>0</v>
      </c>
      <c r="L31" s="554">
        <f>L23+L27</f>
        <v>0</v>
      </c>
      <c r="M31" s="554">
        <f>K31+L31</f>
        <v>0</v>
      </c>
    </row>
    <row r="32" spans="1:49" ht="13.5" thickTop="1" x14ac:dyDescent="0.3">
      <c r="A32" s="263" t="s">
        <v>1977</v>
      </c>
      <c r="K32" s="438"/>
      <c r="L32" s="438"/>
      <c r="M32" s="437">
        <f>IF(B21="RIMPE EMPRENDEDOR",VLOOKUP(M31,tbl_Empre,3,1),IF(B21="RIMPE NEGOCIO POPULAR",VLOOKUP(M31,tbl_NegPop,3,1),0))</f>
        <v>0</v>
      </c>
    </row>
    <row r="33" spans="1:27" ht="13" x14ac:dyDescent="0.3">
      <c r="A33" s="263" t="s">
        <v>1978</v>
      </c>
      <c r="H33" s="439"/>
      <c r="J33" s="463"/>
      <c r="K33" s="438"/>
      <c r="L33" s="438"/>
      <c r="M33" s="437">
        <f>IF(B21="RIMPE EMPRENDEDOR",(M31-VLOOKUP(M31,tbl_Empre,1,1))*VLOOKUP(M31,tbl_Empre,4,1),0)</f>
        <v>0</v>
      </c>
    </row>
    <row r="34" spans="1:27" ht="13" x14ac:dyDescent="0.3">
      <c r="A34" s="263" t="s">
        <v>1517</v>
      </c>
      <c r="K34" s="441">
        <f>-SUMIFS(VENTAS!$AS:$AS,VENTAS!$AI:$AI,$A$22,VENTAS!$BE:$BE,"&lt;7")</f>
        <v>0</v>
      </c>
      <c r="L34" s="441">
        <f>-SUMIFS(VENTAS!$AS:$AS,VENTAS!$AI:$AI,$A$22,VENTAS!$BE:$BE,"&gt;6")</f>
        <v>0</v>
      </c>
      <c r="M34" s="437">
        <f>SUM(K34:L34)</f>
        <v>0</v>
      </c>
    </row>
    <row r="35" spans="1:27" ht="13.5" thickBot="1" x14ac:dyDescent="0.35">
      <c r="A35" s="317" t="s">
        <v>1489</v>
      </c>
      <c r="K35" s="554">
        <f t="shared" ref="K35:L35" si="19">SUM(K32:K34)</f>
        <v>0</v>
      </c>
      <c r="L35" s="554">
        <f t="shared" si="19"/>
        <v>0</v>
      </c>
      <c r="M35" s="554">
        <f>SUM(M32:M34)</f>
        <v>0</v>
      </c>
    </row>
    <row r="36" spans="1:27" s="548" customFormat="1" ht="14" thickTop="1" thickBot="1" x14ac:dyDescent="0.35">
      <c r="A36" s="557"/>
      <c r="K36" s="558"/>
      <c r="L36" s="558"/>
      <c r="M36" s="558"/>
    </row>
    <row r="37" spans="1:27" s="265" customFormat="1" ht="39" x14ac:dyDescent="0.3">
      <c r="A37" s="435" t="str">
        <f>Parametros!C140</f>
        <v>MICROEMPRESA Y ACTIVIDADES  INCLUYENTES</v>
      </c>
      <c r="K37" s="436" t="s">
        <v>1485</v>
      </c>
      <c r="L37" s="436" t="s">
        <v>1488</v>
      </c>
      <c r="M37" s="553" t="s">
        <v>1976</v>
      </c>
    </row>
    <row r="38" spans="1:27" s="317" customFormat="1" ht="13" x14ac:dyDescent="0.3">
      <c r="A38" s="317" t="s">
        <v>1487</v>
      </c>
      <c r="G38" s="556"/>
      <c r="H38" s="556"/>
      <c r="J38" s="555"/>
      <c r="K38" s="585">
        <f>SUM(K39:K41)</f>
        <v>0</v>
      </c>
      <c r="L38" s="585">
        <f>SUM(L39:L41)</f>
        <v>0</v>
      </c>
      <c r="M38" s="555"/>
    </row>
    <row r="39" spans="1:27" hidden="1" outlineLevel="1" x14ac:dyDescent="0.25">
      <c r="B39" s="958" t="s">
        <v>19</v>
      </c>
      <c r="C39" s="958"/>
      <c r="D39" s="958"/>
      <c r="E39" s="958"/>
      <c r="F39" s="958"/>
      <c r="G39" s="958"/>
      <c r="J39" s="265"/>
      <c r="K39" s="318">
        <f>SUMIFS(VENTAS!$M:$M,VENTAS!$AI:$AI,$A$22,VENTAS!$H:$H,$B39,VENTAS!$BE:$BE,"&lt;7")+SUMIFS(VENTAS!$O:$O,VENTAS!$AI:$AI,$A$22,VENTAS!$H:$H,$B39,VENTAS!$BE:$BE,"&lt;7")+SUMIFS(VENTAS!$P:$P,VENTAS!$AI:$AI,$A$22,VENTAS!$H:$H,$B39,VENTAS!$BE:$BE,"&lt;7")+SUMIFS(VENTAS!$S:$S,VENTAS!$AI:$AI,$A$22,VENTAS!$H:$H,$B39,VENTAS!$BE:$BE,"&lt;7")+SUMIFS(VENTAS!$V:$V,VENTAS!$AI:$AI,$A$22,VENTAS!$H:$H,$B39,VENTAS!$BE:$BE,"&lt;7")</f>
        <v>0</v>
      </c>
      <c r="L39" s="318">
        <f>SUMIFS(VENTAS!$M:$M,VENTAS!$AI:$AI,$A$22,VENTAS!$H:$H,$B39,VENTAS!$BE:$BE,"&gt;6")+SUMIFS(VENTAS!$O:$O,VENTAS!$AI:$AI,$A$22,VENTAS!$H:$H,$B39,VENTAS!$BE:$BE,"&gt;6")+SUMIFS(VENTAS!$P:$P,VENTAS!$AI:$AI,$A$22,VENTAS!$H:$H,$B39,VENTAS!$BE:$BE,"&gt;6")+SUMIFS(VENTAS!$S:$S,VENTAS!$AI:$AI,$A$22,VENTAS!$H:$H,$B39,VENTAS!$BE:$BE,"&gt;6")+SUMIFS(VENTAS!$V:$V,VENTAS!$AI:$AI,$A$22,VENTAS!$H:$H,$B39,VENTAS!$BE:$BE,"&gt;6")</f>
        <v>0</v>
      </c>
      <c r="M39" s="265"/>
    </row>
    <row r="40" spans="1:27" hidden="1" outlineLevel="1" x14ac:dyDescent="0.25">
      <c r="B40" s="958" t="s">
        <v>1070</v>
      </c>
      <c r="C40" s="958"/>
      <c r="D40" s="958"/>
      <c r="E40" s="958"/>
      <c r="F40" s="958"/>
      <c r="G40" s="958"/>
      <c r="J40" s="265"/>
      <c r="K40" s="318">
        <f>SUMIFS(VENTAS!$M:$M,VENTAS!$AI:$AI,$A$22,VENTAS!$H:$H,$B40,VENTAS!$BE:$BE,"&lt;7")+SUMIFS(VENTAS!$O:$O,VENTAS!$AI:$AI,$A$22,VENTAS!$H:$H,$B40,VENTAS!$BE:$BE,"&lt;7")+SUMIFS(VENTAS!$P:$P,VENTAS!$AI:$AI,$A$22,VENTAS!$H:$H,$B40,VENTAS!$BE:$BE,"&lt;7")+SUMIFS(VENTAS!$S:$S,VENTAS!$AI:$AI,$A$22,VENTAS!$H:$H,$B40,VENTAS!$BE:$BE,"&lt;7")+SUMIFS(VENTAS!$V:$V,VENTAS!$AI:$AI,$A$22,VENTAS!$H:$H,$B40,VENTAS!$BE:$BE,"&lt;7")</f>
        <v>0</v>
      </c>
      <c r="L40" s="318">
        <f>SUMIFS(VENTAS!$M:$M,VENTAS!$AI:$AI,$A$22,VENTAS!$H:$H,$B40,VENTAS!$BE:$BE,"&gt;6")+SUMIFS(VENTAS!$O:$O,VENTAS!$AI:$AI,$A$22,VENTAS!$H:$H,$B40,VENTAS!$BE:$BE,"&gt;6")+SUMIFS(VENTAS!$P:$P,VENTAS!$AI:$AI,$A$22,VENTAS!$H:$H,$B40,VENTAS!$BE:$BE,"&gt;6")+SUMIFS(VENTAS!$S:$S,VENTAS!$AI:$AI,$A$22,VENTAS!$H:$H,$B40,VENTAS!$BE:$BE,"&gt;6")+SUMIFS(VENTAS!$V:$V,VENTAS!$AI:$AI,$A$22,VENTAS!$H:$H,$B40,VENTAS!$BE:$BE,"&gt;6")</f>
        <v>0</v>
      </c>
      <c r="M40" s="265"/>
    </row>
    <row r="41" spans="1:27" hidden="1" outlineLevel="1" x14ac:dyDescent="0.25">
      <c r="B41" s="958"/>
      <c r="C41" s="958"/>
      <c r="D41" s="958"/>
      <c r="E41" s="958"/>
      <c r="F41" s="958"/>
      <c r="G41" s="958"/>
      <c r="J41" s="265"/>
      <c r="K41" s="318">
        <f>SUMIFS(VENTAS!$M:$M,VENTAS!$AI:$AI,$A$22,VENTAS!$H:$H,$B41,VENTAS!$BE:$BE,"&lt;7")+SUMIFS(VENTAS!$O:$O,VENTAS!$AI:$AI,$A$22,VENTAS!$H:$H,$B41,VENTAS!$BE:$BE,"&lt;7")+SUMIFS(VENTAS!$P:$P,VENTAS!$AI:$AI,$A$22,VENTAS!$H:$H,$B41,VENTAS!$BE:$BE,"&lt;7")+SUMIFS(VENTAS!$S:$S,VENTAS!$AI:$AI,$A$22,VENTAS!$H:$H,$B41,VENTAS!$BE:$BE,"&lt;7")+SUMIFS(VENTAS!$V:$V,VENTAS!$AI:$AI,$A$22,VENTAS!$H:$H,$B41,VENTAS!$BE:$BE,"&lt;7")</f>
        <v>0</v>
      </c>
      <c r="L41" s="318">
        <f>SUMIFS(VENTAS!$M:$M,VENTAS!$AI:$AI,$A$22,VENTAS!$H:$H,$B41,VENTAS!$BE:$BE,"&gt;6")+SUMIFS(VENTAS!$O:$O,VENTAS!$AI:$AI,$A$22,VENTAS!$H:$H,$B41,VENTAS!$BE:$BE,"&gt;6")+SUMIFS(VENTAS!$P:$P,VENTAS!$AI:$AI,$A$22,VENTAS!$H:$H,$B41,VENTAS!$BE:$BE,"&gt;6")+SUMIFS(VENTAS!$S:$S,VENTAS!$AI:$AI,$A$22,VENTAS!$H:$H,$B41,VENTAS!$BE:$BE,"&gt;6")+SUMIFS(VENTAS!$V:$V,VENTAS!$AI:$AI,$A$22,VENTAS!$H:$H,$B41,VENTAS!$BE:$BE,"&gt;6")</f>
        <v>0</v>
      </c>
      <c r="M41" s="265"/>
    </row>
    <row r="42" spans="1:27" s="317" customFormat="1" ht="13" collapsed="1" x14ac:dyDescent="0.3">
      <c r="A42" s="317" t="s">
        <v>1486</v>
      </c>
      <c r="J42" s="555"/>
      <c r="K42" s="585">
        <f>SUM(K43:K45)</f>
        <v>0</v>
      </c>
      <c r="L42" s="585">
        <f>SUM(L43:L45)</f>
        <v>0</v>
      </c>
      <c r="M42" s="555"/>
    </row>
    <row r="43" spans="1:27" hidden="1" outlineLevel="1" x14ac:dyDescent="0.25">
      <c r="B43" s="958" t="s">
        <v>12</v>
      </c>
      <c r="C43" s="958"/>
      <c r="D43" s="958"/>
      <c r="E43" s="958"/>
      <c r="F43" s="958"/>
      <c r="G43" s="958"/>
      <c r="J43" s="265"/>
      <c r="K43" s="318">
        <f>SUMIFS(VENTAS!$M:$M,VENTAS!$AI:$AI,$A$22,VENTAS!$H:$H,$B43,VENTAS!$BE:$BE,"&lt;7")+SUMIFS(VENTAS!$O:$O,VENTAS!$AI:$AI,$A$22,VENTAS!$H:$H,$B43,VENTAS!$BE:$BE,"&lt;7")+SUMIFS(VENTAS!$P:$P,VENTAS!$AI:$AI,$A$22,VENTAS!$H:$H,$B43,VENTAS!$BE:$BE,"&lt;7")+SUMIFS(VENTAS!$S:$S,VENTAS!$AI:$AI,$A$22,VENTAS!$H:$H,$B43,VENTAS!$BE:$BE,"&lt;7")+SUMIFS(VENTAS!$V:$V,VENTAS!$AI:$AI,$A$22,VENTAS!$H:$H,$B43,VENTAS!$BE:$BE,"&lt;7")</f>
        <v>0</v>
      </c>
      <c r="L43" s="318">
        <f>SUMIFS(VENTAS!$M:$M,VENTAS!$AI:$AI,$A$22,VENTAS!$H:$H,$B43,VENTAS!$BE:$BE,"&gt;6")+SUMIFS(VENTAS!$O:$O,VENTAS!$AI:$AI,$A$22,VENTAS!$H:$H,$B43,VENTAS!$BE:$BE,"&gt;6")+SUMIFS(VENTAS!$P:$P,VENTAS!$AI:$AI,$A$22,VENTAS!$H:$H,$B43,VENTAS!$BE:$BE,"&gt;6")+SUMIFS(VENTAS!$S:$S,VENTAS!$AI:$AI,$A$22,VENTAS!$H:$H,$B43,VENTAS!$BE:$BE,"&gt;6")+SUMIFS(VENTAS!$V:$V,VENTAS!$AI:$AI,$A$22,VENTAS!$H:$H,$B43,VENTAS!$BE:$BE,"&gt;6")</f>
        <v>0</v>
      </c>
      <c r="M43" s="265"/>
    </row>
    <row r="44" spans="1:27" hidden="1" outlineLevel="1" x14ac:dyDescent="0.25">
      <c r="B44" s="958" t="s">
        <v>1073</v>
      </c>
      <c r="C44" s="958"/>
      <c r="D44" s="958"/>
      <c r="E44" s="958"/>
      <c r="F44" s="958"/>
      <c r="G44" s="958"/>
      <c r="J44" s="265"/>
      <c r="K44" s="318">
        <f>SUMIFS(VENTAS!$M:$M,VENTAS!$AI:$AI,$A$22,VENTAS!$H:$H,$B44,VENTAS!$BE:$BE,"&lt;7")+SUMIFS(VENTAS!$O:$O,VENTAS!$AI:$AI,$A$22,VENTAS!$H:$H,$B44,VENTAS!$BE:$BE,"&lt;7")+SUMIFS(VENTAS!$P:$P,VENTAS!$AI:$AI,$A$22,VENTAS!$H:$H,$B44,VENTAS!$BE:$BE,"&lt;7")+SUMIFS(VENTAS!$S:$S,VENTAS!$AI:$AI,$A$22,VENTAS!$H:$H,$B44,VENTAS!$BE:$BE,"&lt;7")+SUMIFS(VENTAS!$V:$V,VENTAS!$AI:$AI,$A$22,VENTAS!$H:$H,$B44,VENTAS!$BE:$BE,"&lt;7")</f>
        <v>0</v>
      </c>
      <c r="L44" s="318">
        <f>SUMIFS(VENTAS!$M:$M,VENTAS!$AI:$AI,$A$22,VENTAS!$H:$H,$B44,VENTAS!$BE:$BE,"&gt;6")+SUMIFS(VENTAS!$O:$O,VENTAS!$AI:$AI,$A$22,VENTAS!$H:$H,$B44,VENTAS!$BE:$BE,"&gt;6")+SUMIFS(VENTAS!$P:$P,VENTAS!$AI:$AI,$A$22,VENTAS!$H:$H,$B44,VENTAS!$BE:$BE,"&gt;6")+SUMIFS(VENTAS!$S:$S,VENTAS!$AI:$AI,$A$22,VENTAS!$H:$H,$B44,VENTAS!$BE:$BE,"&gt;6")+SUMIFS(VENTAS!$V:$V,VENTAS!$AI:$AI,$A$22,VENTAS!$H:$H,$B44,VENTAS!$BE:$BE,"&gt;6")</f>
        <v>0</v>
      </c>
      <c r="M44" s="265"/>
    </row>
    <row r="45" spans="1:27" hidden="1" outlineLevel="1" x14ac:dyDescent="0.25">
      <c r="B45" s="958"/>
      <c r="C45" s="958"/>
      <c r="D45" s="958"/>
      <c r="E45" s="958"/>
      <c r="F45" s="958"/>
      <c r="G45" s="958"/>
      <c r="J45" s="265"/>
      <c r="K45" s="318">
        <f>SUMIFS(VENTAS!$M:$M,VENTAS!$AI:$AI,$A$22,VENTAS!$H:$H,$B45,VENTAS!$BE:$BE,"&lt;7")+SUMIFS(VENTAS!$O:$O,VENTAS!$AI:$AI,$A$22,VENTAS!$H:$H,$B45,VENTAS!$BE:$BE,"&lt;7")+SUMIFS(VENTAS!$P:$P,VENTAS!$AI:$AI,$A$22,VENTAS!$H:$H,$B45,VENTAS!$BE:$BE,"&lt;7")+SUMIFS(VENTAS!$S:$S,VENTAS!$AI:$AI,$A$22,VENTAS!$H:$H,$B45,VENTAS!$BE:$BE,"&lt;7")+SUMIFS(VENTAS!$V:$V,VENTAS!$AI:$AI,$A$22,VENTAS!$H:$H,$B45,VENTAS!$BE:$BE,"&lt;7")</f>
        <v>0</v>
      </c>
      <c r="L45" s="318">
        <f>SUMIFS(VENTAS!$M:$M,VENTAS!$AI:$AI,$A$22,VENTAS!$H:$H,$B45,VENTAS!$BE:$BE,"&gt;6")+SUMIFS(VENTAS!$O:$O,VENTAS!$AI:$AI,$A$22,VENTAS!$H:$H,$B45,VENTAS!$BE:$BE,"&gt;6")+SUMIFS(VENTAS!$P:$P,VENTAS!$AI:$AI,$A$22,VENTAS!$H:$H,$B45,VENTAS!$BE:$BE,"&gt;6")+SUMIFS(VENTAS!$S:$S,VENTAS!$AI:$AI,$A$22,VENTAS!$H:$H,$B45,VENTAS!$BE:$BE,"&gt;6")+SUMIFS(VENTAS!$V:$V,VENTAS!$AI:$AI,$A$22,VENTAS!$H:$H,$B45,VENTAS!$BE:$BE,"&gt;6")</f>
        <v>0</v>
      </c>
      <c r="M45" s="265"/>
    </row>
    <row r="46" spans="1:27" s="317" customFormat="1" ht="13.5" hidden="1" outlineLevel="1" thickBot="1" x14ac:dyDescent="0.35">
      <c r="A46" s="317" t="s">
        <v>988</v>
      </c>
      <c r="K46" s="554">
        <f>K38+K42</f>
        <v>0</v>
      </c>
      <c r="L46" s="554">
        <f>L38+L42</f>
        <v>0</v>
      </c>
      <c r="M46" s="554">
        <f>SUM(K46:L46)</f>
        <v>0</v>
      </c>
    </row>
    <row r="47" spans="1:27" ht="13" collapsed="1" x14ac:dyDescent="0.3">
      <c r="A47" s="263" t="s">
        <v>1516</v>
      </c>
      <c r="H47" s="439"/>
      <c r="J47" s="463">
        <v>0.02</v>
      </c>
      <c r="K47" s="438">
        <f>K46*J47</f>
        <v>0</v>
      </c>
      <c r="L47" s="438">
        <f>L46*J47</f>
        <v>0</v>
      </c>
      <c r="M47" s="437">
        <f>SUM(K47:L47)</f>
        <v>0</v>
      </c>
      <c r="T47" s="317"/>
      <c r="U47" s="317"/>
      <c r="V47" s="317"/>
      <c r="W47" s="317"/>
      <c r="X47" s="317"/>
      <c r="Y47" s="317"/>
      <c r="Z47" s="317"/>
      <c r="AA47" s="317"/>
    </row>
    <row r="48" spans="1:27" ht="13" x14ac:dyDescent="0.3">
      <c r="A48" s="263" t="s">
        <v>1517</v>
      </c>
      <c r="K48" s="441">
        <f>-SUMIFS(VENTAS!$AS:$AS,VENTAS!$AI:$AI,$A$37,VENTAS!$BE:$BE,"&lt;7")</f>
        <v>0</v>
      </c>
      <c r="L48" s="441">
        <f>-SUMIFS(VENTAS!$AS:$AS,VENTAS!$AI:$AI,$A$37,VENTAS!$BE:$BE,"&gt;6")</f>
        <v>0</v>
      </c>
      <c r="M48" s="437">
        <f>SUM(K48:L48)</f>
        <v>0</v>
      </c>
    </row>
    <row r="49" spans="1:24" ht="13.5" thickBot="1" x14ac:dyDescent="0.35">
      <c r="A49" s="317" t="s">
        <v>1489</v>
      </c>
      <c r="K49" s="554">
        <f>SUM(K47:K48)</f>
        <v>0</v>
      </c>
      <c r="L49" s="554">
        <f>SUM(L47:L48)</f>
        <v>0</v>
      </c>
      <c r="M49" s="554">
        <f>SUM(M47:M48)</f>
        <v>0</v>
      </c>
    </row>
    <row r="50" spans="1:24" s="548" customFormat="1" ht="13.5" thickTop="1" thickBot="1" x14ac:dyDescent="0.3"/>
    <row r="52" spans="1:24" ht="13" x14ac:dyDescent="0.3">
      <c r="J52" s="436"/>
      <c r="K52" s="436" t="s">
        <v>1982</v>
      </c>
      <c r="L52" s="436" t="s">
        <v>1490</v>
      </c>
      <c r="M52" s="436" t="s">
        <v>1503</v>
      </c>
      <c r="N52" s="436"/>
      <c r="O52" s="436"/>
      <c r="P52" s="436"/>
      <c r="Q52" s="436"/>
      <c r="R52" s="436"/>
      <c r="S52" s="436"/>
      <c r="U52" s="317" t="s">
        <v>1499</v>
      </c>
    </row>
    <row r="53" spans="1:24" ht="13" x14ac:dyDescent="0.25">
      <c r="A53" s="958" t="str">
        <f>A22</f>
        <v>RIMPE</v>
      </c>
      <c r="B53" s="958"/>
      <c r="C53" s="958"/>
      <c r="D53" s="958"/>
      <c r="E53" s="958"/>
      <c r="F53" s="958"/>
      <c r="G53" s="958"/>
      <c r="H53" s="958"/>
      <c r="I53" s="958"/>
      <c r="J53" s="436"/>
      <c r="K53" s="441">
        <f>M31</f>
        <v>0</v>
      </c>
      <c r="L53" s="441">
        <f>SUMIF(COMPRAS!AR:AR,A53,COMPRAS!U:U)+SUMIF(COMPRAS!AR:AR,A53,COMPRAS!W:W)+SUMIF(COMPRAS!AR:AR,A53,COMPRAS!X:X)+SUMIF(COMPRAS!AR:AR,A53,COMPRAS!AA:AA)+SUMIF(COMPRAS!AR:AR,A53,COMPRAS!AD:AD)</f>
        <v>0</v>
      </c>
      <c r="M53" s="438">
        <f>ABS(M34)</f>
        <v>0</v>
      </c>
      <c r="N53" s="436"/>
      <c r="O53" s="436"/>
      <c r="P53" s="436"/>
      <c r="Q53" s="436"/>
      <c r="R53" s="438"/>
      <c r="S53" s="438"/>
      <c r="T53" s="436"/>
      <c r="U53" s="448" t="s">
        <v>1500</v>
      </c>
      <c r="V53" s="444" t="s">
        <v>1007</v>
      </c>
      <c r="W53" s="444" t="s">
        <v>1222</v>
      </c>
      <c r="X53" s="449" t="s">
        <v>1504</v>
      </c>
    </row>
    <row r="54" spans="1:24" ht="13" thickBot="1" x14ac:dyDescent="0.3">
      <c r="A54" s="976" t="str">
        <f>A37</f>
        <v>MICROEMPRESA Y ACTIVIDADES  INCLUYENTES</v>
      </c>
      <c r="B54" s="976"/>
      <c r="C54" s="976"/>
      <c r="D54" s="976"/>
      <c r="E54" s="976"/>
      <c r="F54" s="976"/>
      <c r="G54" s="976"/>
      <c r="H54" s="976"/>
      <c r="I54" s="976"/>
      <c r="J54" s="440"/>
      <c r="K54" s="440">
        <f>M46</f>
        <v>0</v>
      </c>
      <c r="L54" s="440">
        <f>SUMIF(COMPRAS!AR:AR,A54,COMPRAS!U:U)+SUMIF(COMPRAS!AR:AR,A54,COMPRAS!W:W)+SUMIF(COMPRAS!AR:AR,A54,COMPRAS!X:X)+SUMIF(COMPRAS!AR:AR,A54,COMPRAS!AA:AA)+SUMIF(COMPRAS!AR:AR,A54,COMPRAS!AD:AD)</f>
        <v>0</v>
      </c>
      <c r="M54" s="440">
        <f>ABS(M48)</f>
        <v>0</v>
      </c>
      <c r="N54" s="438"/>
      <c r="O54" s="438"/>
      <c r="P54" s="438"/>
      <c r="Q54" s="438"/>
      <c r="R54" s="438"/>
      <c r="S54" s="438"/>
      <c r="T54" s="438"/>
      <c r="U54" s="443" t="s">
        <v>1216</v>
      </c>
      <c r="V54" s="445">
        <f>SUMIF(GASTOSP!D:D,V$53,GASTOSP!O:O)</f>
        <v>0</v>
      </c>
      <c r="W54" s="445">
        <f>SUMIF(GASTOSP!D:D,W$53,GASTOSP!O:O)</f>
        <v>0</v>
      </c>
      <c r="X54" s="446">
        <f t="shared" ref="X54:X59" si="20">SUM(V54:W54)</f>
        <v>0</v>
      </c>
    </row>
    <row r="55" spans="1:24" ht="13" thickTop="1" x14ac:dyDescent="0.25">
      <c r="A55" s="958" t="s">
        <v>1492</v>
      </c>
      <c r="B55" s="958"/>
      <c r="C55" s="958"/>
      <c r="D55" s="958"/>
      <c r="E55" s="958"/>
      <c r="F55" s="958"/>
      <c r="G55" s="958"/>
      <c r="H55" s="958"/>
      <c r="I55" s="958"/>
      <c r="J55" s="318"/>
      <c r="K55" s="318">
        <f>G18-K54</f>
        <v>23234.98000000001</v>
      </c>
      <c r="L55" s="318">
        <f>Q18+R18-L54</f>
        <v>36549.580000000016</v>
      </c>
      <c r="M55" s="318">
        <f>M18-M53-M54</f>
        <v>25.500000000000004</v>
      </c>
      <c r="N55" s="438"/>
      <c r="O55" s="438"/>
      <c r="P55" s="438"/>
      <c r="Q55" s="438"/>
      <c r="T55" s="438"/>
      <c r="U55" s="443" t="s">
        <v>1217</v>
      </c>
      <c r="V55" s="445">
        <f>SUMIF(GASTOSP!D:D,V$53,GASTOSP!P:P)</f>
        <v>0</v>
      </c>
      <c r="W55" s="445">
        <f>SUMIF(GASTOSP!D:D,W$53,GASTOSP!P:P)</f>
        <v>0</v>
      </c>
      <c r="X55" s="446">
        <f t="shared" si="20"/>
        <v>0</v>
      </c>
    </row>
    <row r="56" spans="1:24" x14ac:dyDescent="0.25">
      <c r="A56" s="958" t="s">
        <v>1244</v>
      </c>
      <c r="B56" s="958"/>
      <c r="C56" s="958"/>
      <c r="D56" s="958"/>
      <c r="E56" s="958"/>
      <c r="F56" s="958"/>
      <c r="G56" s="958"/>
      <c r="H56" s="958"/>
      <c r="I56" s="958"/>
      <c r="J56" s="318"/>
      <c r="K56" s="450">
        <v>0</v>
      </c>
      <c r="L56" s="450">
        <v>0</v>
      </c>
      <c r="M56" s="451">
        <v>0</v>
      </c>
      <c r="U56" s="443" t="s">
        <v>1218</v>
      </c>
      <c r="V56" s="445">
        <f>SUMIF(GASTOSP!D:D,V$53,GASTOSP!Q:Q)</f>
        <v>0</v>
      </c>
      <c r="W56" s="445">
        <f>SUMIF(GASTOSP!D:D,W$53,GASTOSP!Q:Q)</f>
        <v>0</v>
      </c>
      <c r="X56" s="446">
        <f t="shared" si="20"/>
        <v>0</v>
      </c>
    </row>
    <row r="57" spans="1:24" x14ac:dyDescent="0.25">
      <c r="A57" s="958" t="s">
        <v>972</v>
      </c>
      <c r="B57" s="958"/>
      <c r="C57" s="958"/>
      <c r="D57" s="958"/>
      <c r="E57" s="958"/>
      <c r="F57" s="958"/>
      <c r="G57" s="958"/>
      <c r="H57" s="958"/>
      <c r="I57" s="958"/>
      <c r="J57" s="318"/>
      <c r="K57" s="450">
        <v>0</v>
      </c>
      <c r="L57" s="450">
        <v>0</v>
      </c>
      <c r="M57" s="451">
        <v>0</v>
      </c>
      <c r="U57" s="443" t="s">
        <v>1219</v>
      </c>
      <c r="V57" s="445">
        <f>SUMIF(GASTOSP!D:D,V$53,GASTOSP!R:R)</f>
        <v>0</v>
      </c>
      <c r="W57" s="445">
        <f>SUMIF(GASTOSP!D:D,W$53,GASTOSP!R:R)</f>
        <v>0</v>
      </c>
      <c r="X57" s="446">
        <f t="shared" si="20"/>
        <v>0</v>
      </c>
    </row>
    <row r="58" spans="1:24" x14ac:dyDescent="0.25">
      <c r="A58" s="958" t="s">
        <v>1251</v>
      </c>
      <c r="B58" s="958"/>
      <c r="C58" s="958"/>
      <c r="D58" s="958"/>
      <c r="E58" s="958"/>
      <c r="F58" s="958"/>
      <c r="G58" s="958"/>
      <c r="H58" s="958"/>
      <c r="I58" s="958"/>
      <c r="J58" s="318"/>
      <c r="K58" s="450">
        <v>0</v>
      </c>
      <c r="L58" s="450">
        <v>0</v>
      </c>
      <c r="M58" s="451">
        <v>0</v>
      </c>
      <c r="R58" s="441"/>
      <c r="S58" s="441"/>
      <c r="U58" s="443" t="s">
        <v>1220</v>
      </c>
      <c r="V58" s="445">
        <f>SUMIF(GASTOSP!D:D,V$53,GASTOSP!S:S)</f>
        <v>0</v>
      </c>
      <c r="W58" s="445">
        <f>SUMIF(GASTOSP!D:D,W$53,GASTOSP!S:S)</f>
        <v>0</v>
      </c>
      <c r="X58" s="446">
        <f t="shared" si="20"/>
        <v>0</v>
      </c>
    </row>
    <row r="59" spans="1:24" ht="13.5" thickBot="1" x14ac:dyDescent="0.35">
      <c r="A59" s="976" t="s">
        <v>1501</v>
      </c>
      <c r="B59" s="976"/>
      <c r="C59" s="976"/>
      <c r="D59" s="976"/>
      <c r="E59" s="976"/>
      <c r="F59" s="976"/>
      <c r="G59" s="976"/>
      <c r="H59" s="976"/>
      <c r="I59" s="976"/>
      <c r="J59" s="440"/>
      <c r="K59" s="452">
        <v>0</v>
      </c>
      <c r="L59" s="452"/>
      <c r="M59" s="452"/>
      <c r="N59" s="441"/>
      <c r="O59" s="441"/>
      <c r="P59" s="441"/>
      <c r="Q59" s="441"/>
      <c r="R59" s="437"/>
      <c r="S59" s="437"/>
      <c r="T59" s="441"/>
      <c r="U59" s="443" t="s">
        <v>1482</v>
      </c>
      <c r="V59" s="445">
        <f>SUMIF(GASTOSP!D:D,V$53,GASTOSP!T:T)</f>
        <v>0</v>
      </c>
      <c r="W59" s="445">
        <f>SUMIF(GASTOSP!D:D,W$53,GASTOSP!T:T)</f>
        <v>0</v>
      </c>
      <c r="X59" s="446">
        <f t="shared" si="20"/>
        <v>0</v>
      </c>
    </row>
    <row r="60" spans="1:24" ht="14" thickTop="1" thickBot="1" x14ac:dyDescent="0.35">
      <c r="I60" s="442" t="s">
        <v>1983</v>
      </c>
      <c r="J60" s="437"/>
      <c r="K60" s="437">
        <f>SUM(K55:K59)</f>
        <v>23234.98000000001</v>
      </c>
      <c r="L60" s="437">
        <f>SUM(L55:L59)</f>
        <v>36549.580000000016</v>
      </c>
      <c r="M60" s="437">
        <f>SUM(M55:M59)</f>
        <v>25.500000000000004</v>
      </c>
      <c r="N60" s="437"/>
      <c r="O60" s="437"/>
      <c r="P60" s="437"/>
      <c r="Q60" s="437"/>
      <c r="T60" s="437"/>
      <c r="U60" s="448" t="s">
        <v>1272</v>
      </c>
      <c r="V60" s="446">
        <f>GASTOSP!O5</f>
        <v>0</v>
      </c>
      <c r="W60" s="446">
        <f>SUM(W54:W59)</f>
        <v>0</v>
      </c>
      <c r="X60" s="446">
        <f>SUM(X54:X59)</f>
        <v>0</v>
      </c>
    </row>
    <row r="61" spans="1:24" ht="13.5" thickBot="1" x14ac:dyDescent="0.35">
      <c r="I61" s="442"/>
      <c r="J61" s="442"/>
      <c r="K61" s="447">
        <f>K60-L60</f>
        <v>-13314.600000000006</v>
      </c>
      <c r="L61" s="437"/>
    </row>
    <row r="62" spans="1:24" ht="13" x14ac:dyDescent="0.3">
      <c r="A62" s="975" t="s">
        <v>1491</v>
      </c>
      <c r="B62" s="975"/>
      <c r="C62" s="975"/>
      <c r="D62" s="975"/>
      <c r="E62" s="975"/>
      <c r="F62" s="975"/>
      <c r="G62" s="975"/>
      <c r="H62" s="975"/>
      <c r="I62" s="975"/>
      <c r="J62" s="317"/>
    </row>
    <row r="63" spans="1:24" x14ac:dyDescent="0.25">
      <c r="A63" s="974" t="s">
        <v>972</v>
      </c>
      <c r="B63" s="974"/>
      <c r="C63" s="974"/>
      <c r="D63" s="974"/>
      <c r="E63" s="974"/>
      <c r="F63" s="974"/>
      <c r="G63" s="974"/>
      <c r="H63" s="974"/>
      <c r="I63" s="974"/>
      <c r="J63" s="460"/>
      <c r="K63" s="453">
        <v>0</v>
      </c>
      <c r="L63" s="318"/>
    </row>
    <row r="64" spans="1:24" x14ac:dyDescent="0.25">
      <c r="A64" s="974" t="s">
        <v>1251</v>
      </c>
      <c r="B64" s="974"/>
      <c r="C64" s="974"/>
      <c r="D64" s="974"/>
      <c r="E64" s="974"/>
      <c r="F64" s="974"/>
      <c r="G64" s="974"/>
      <c r="H64" s="974"/>
      <c r="I64" s="974"/>
      <c r="J64" s="460"/>
      <c r="K64" s="456">
        <f>SUM(J65:J69)</f>
        <v>0</v>
      </c>
      <c r="L64" s="318"/>
    </row>
    <row r="65" spans="1:12" x14ac:dyDescent="0.25">
      <c r="B65" s="958" t="s">
        <v>1494</v>
      </c>
      <c r="C65" s="958"/>
      <c r="D65" s="958"/>
      <c r="E65" s="958"/>
      <c r="F65" s="958"/>
      <c r="G65" s="958"/>
      <c r="J65" s="454">
        <v>0</v>
      </c>
      <c r="K65" s="441"/>
      <c r="L65" s="318"/>
    </row>
    <row r="66" spans="1:12" x14ac:dyDescent="0.25">
      <c r="B66" s="958" t="s">
        <v>1495</v>
      </c>
      <c r="C66" s="958"/>
      <c r="D66" s="958"/>
      <c r="E66" s="958"/>
      <c r="F66" s="958"/>
      <c r="G66" s="958"/>
      <c r="J66" s="454">
        <v>0</v>
      </c>
      <c r="K66" s="441"/>
      <c r="L66" s="318"/>
    </row>
    <row r="67" spans="1:12" x14ac:dyDescent="0.25">
      <c r="B67" s="958" t="s">
        <v>1496</v>
      </c>
      <c r="C67" s="958"/>
      <c r="D67" s="958"/>
      <c r="E67" s="958"/>
      <c r="F67" s="958"/>
      <c r="G67" s="958"/>
      <c r="J67" s="454">
        <v>0</v>
      </c>
      <c r="K67" s="441"/>
      <c r="L67" s="318"/>
    </row>
    <row r="68" spans="1:12" x14ac:dyDescent="0.25">
      <c r="B68" s="958" t="s">
        <v>1497</v>
      </c>
      <c r="C68" s="958"/>
      <c r="D68" s="958"/>
      <c r="E68" s="958"/>
      <c r="F68" s="958"/>
      <c r="G68" s="958"/>
      <c r="J68" s="454">
        <v>0</v>
      </c>
      <c r="K68" s="441"/>
      <c r="L68" s="318"/>
    </row>
    <row r="69" spans="1:12" x14ac:dyDescent="0.25">
      <c r="B69" s="958" t="s">
        <v>1518</v>
      </c>
      <c r="C69" s="958"/>
      <c r="D69" s="958"/>
      <c r="E69" s="958"/>
      <c r="F69" s="958"/>
      <c r="G69" s="958"/>
      <c r="J69" s="454">
        <v>0</v>
      </c>
      <c r="K69" s="441"/>
      <c r="L69" s="318"/>
    </row>
    <row r="70" spans="1:12" x14ac:dyDescent="0.25">
      <c r="A70" s="974" t="s">
        <v>1493</v>
      </c>
      <c r="B70" s="974"/>
      <c r="C70" s="974"/>
      <c r="D70" s="974"/>
      <c r="E70" s="974"/>
      <c r="F70" s="974"/>
      <c r="G70" s="974"/>
      <c r="H70" s="974"/>
      <c r="I70" s="974"/>
      <c r="J70" s="460"/>
      <c r="K70" s="456">
        <f>SUM(J71:J73)</f>
        <v>0</v>
      </c>
      <c r="L70" s="318"/>
    </row>
    <row r="71" spans="1:12" x14ac:dyDescent="0.25">
      <c r="B71" s="263" t="s">
        <v>1502</v>
      </c>
      <c r="J71" s="454">
        <v>0</v>
      </c>
      <c r="K71" s="441"/>
      <c r="L71" s="318"/>
    </row>
    <row r="72" spans="1:12" x14ac:dyDescent="0.25">
      <c r="B72" s="263" t="s">
        <v>1519</v>
      </c>
      <c r="J72" s="454">
        <v>0</v>
      </c>
      <c r="K72" s="441"/>
      <c r="L72" s="318"/>
    </row>
    <row r="73" spans="1:12" ht="13" thickBot="1" x14ac:dyDescent="0.3">
      <c r="B73" s="263" t="s">
        <v>1520</v>
      </c>
      <c r="J73" s="455"/>
      <c r="K73" s="440"/>
      <c r="L73" s="440"/>
    </row>
    <row r="74" spans="1:12" ht="13.5" thickTop="1" x14ac:dyDescent="0.3">
      <c r="J74" s="442" t="s">
        <v>1498</v>
      </c>
      <c r="K74" s="437">
        <f>SUM(K63:K73)</f>
        <v>0</v>
      </c>
      <c r="L74" s="437">
        <f>SUM(L63:L73)</f>
        <v>0</v>
      </c>
    </row>
    <row r="367" spans="44:46" x14ac:dyDescent="0.25">
      <c r="AR367" s="318"/>
      <c r="AS367" s="318"/>
      <c r="AT367" s="318"/>
    </row>
    <row r="368" spans="44:46" x14ac:dyDescent="0.25">
      <c r="AR368" s="318"/>
      <c r="AS368" s="318"/>
      <c r="AT368" s="318"/>
    </row>
    <row r="369" spans="44:46" x14ac:dyDescent="0.25">
      <c r="AR369" s="318"/>
      <c r="AS369" s="318"/>
      <c r="AT369" s="318"/>
    </row>
    <row r="370" spans="44:46" x14ac:dyDescent="0.25">
      <c r="AR370" s="318"/>
      <c r="AS370" s="318"/>
      <c r="AT370" s="318"/>
    </row>
    <row r="371" spans="44:46" x14ac:dyDescent="0.25">
      <c r="AR371" s="318"/>
      <c r="AS371" s="318"/>
      <c r="AT371" s="318"/>
    </row>
    <row r="372" spans="44:46" x14ac:dyDescent="0.25">
      <c r="AR372" s="318"/>
      <c r="AS372" s="318"/>
      <c r="AT372" s="318"/>
    </row>
    <row r="373" spans="44:46" x14ac:dyDescent="0.25">
      <c r="AR373" s="318"/>
      <c r="AS373" s="318"/>
      <c r="AT373" s="318"/>
    </row>
    <row r="374" spans="44:46" x14ac:dyDescent="0.25">
      <c r="AR374" s="318"/>
      <c r="AS374" s="318"/>
      <c r="AT374" s="318"/>
    </row>
    <row r="375" spans="44:46" x14ac:dyDescent="0.25">
      <c r="AR375" s="318"/>
      <c r="AS375" s="318"/>
      <c r="AT375" s="318"/>
    </row>
    <row r="376" spans="44:46" x14ac:dyDescent="0.25">
      <c r="AR376" s="318"/>
      <c r="AS376" s="318"/>
      <c r="AT376" s="318"/>
    </row>
    <row r="377" spans="44:46" x14ac:dyDescent="0.25">
      <c r="AR377" s="318"/>
      <c r="AS377" s="318"/>
      <c r="AT377" s="318"/>
    </row>
    <row r="378" spans="44:46" x14ac:dyDescent="0.25">
      <c r="AR378" s="318"/>
      <c r="AS378" s="318"/>
      <c r="AT378" s="318"/>
    </row>
    <row r="379" spans="44:46" x14ac:dyDescent="0.25">
      <c r="AR379" s="318"/>
      <c r="AS379" s="318"/>
      <c r="AT379" s="318"/>
    </row>
    <row r="380" spans="44:46" x14ac:dyDescent="0.25">
      <c r="AR380" s="318"/>
      <c r="AS380" s="318"/>
      <c r="AT380" s="318"/>
    </row>
    <row r="381" spans="44:46" x14ac:dyDescent="0.25">
      <c r="AR381" s="318"/>
      <c r="AS381" s="318"/>
      <c r="AT381" s="318"/>
    </row>
    <row r="382" spans="44:46" x14ac:dyDescent="0.25">
      <c r="AR382" s="318"/>
      <c r="AS382" s="318"/>
      <c r="AT382" s="318"/>
    </row>
    <row r="383" spans="44:46" x14ac:dyDescent="0.25">
      <c r="AR383" s="318"/>
      <c r="AS383" s="318"/>
      <c r="AT383" s="318"/>
    </row>
    <row r="384" spans="44:46" x14ac:dyDescent="0.25">
      <c r="AR384" s="318"/>
      <c r="AS384" s="318"/>
      <c r="AT384" s="318"/>
    </row>
    <row r="385" spans="44:46" x14ac:dyDescent="0.25">
      <c r="AR385" s="318"/>
      <c r="AS385" s="318"/>
      <c r="AT385" s="318"/>
    </row>
    <row r="386" spans="44:46" x14ac:dyDescent="0.25">
      <c r="AR386" s="318"/>
      <c r="AS386" s="318"/>
      <c r="AT386" s="318"/>
    </row>
    <row r="387" spans="44:46" x14ac:dyDescent="0.25">
      <c r="AR387" s="318"/>
      <c r="AS387" s="318"/>
      <c r="AT387" s="318"/>
    </row>
    <row r="388" spans="44:46" x14ac:dyDescent="0.25">
      <c r="AR388" s="318"/>
      <c r="AS388" s="318"/>
      <c r="AT388" s="318"/>
    </row>
    <row r="389" spans="44:46" x14ac:dyDescent="0.25">
      <c r="AR389" s="318"/>
      <c r="AS389" s="318"/>
      <c r="AT389" s="318"/>
    </row>
    <row r="390" spans="44:46" x14ac:dyDescent="0.25">
      <c r="AR390" s="318"/>
      <c r="AS390" s="318"/>
      <c r="AT390" s="318"/>
    </row>
    <row r="391" spans="44:46" x14ac:dyDescent="0.25">
      <c r="AR391" s="318"/>
      <c r="AS391" s="318"/>
      <c r="AT391" s="318"/>
    </row>
    <row r="392" spans="44:46" x14ac:dyDescent="0.25">
      <c r="AR392" s="318"/>
      <c r="AS392" s="318"/>
      <c r="AT392" s="318"/>
    </row>
    <row r="393" spans="44:46" x14ac:dyDescent="0.25">
      <c r="AR393" s="318"/>
      <c r="AS393" s="318"/>
      <c r="AT393" s="318"/>
    </row>
    <row r="394" spans="44:46" x14ac:dyDescent="0.25">
      <c r="AR394" s="318"/>
      <c r="AS394" s="318"/>
      <c r="AT394" s="318"/>
    </row>
    <row r="395" spans="44:46" x14ac:dyDescent="0.25">
      <c r="AR395" s="318"/>
      <c r="AS395" s="318"/>
      <c r="AT395" s="318"/>
    </row>
    <row r="396" spans="44:46" x14ac:dyDescent="0.25">
      <c r="AR396" s="318"/>
      <c r="AS396" s="318"/>
      <c r="AT396" s="318"/>
    </row>
    <row r="397" spans="44:46" x14ac:dyDescent="0.25">
      <c r="AR397" s="318"/>
      <c r="AS397" s="318"/>
      <c r="AT397" s="318"/>
    </row>
    <row r="398" spans="44:46" x14ac:dyDescent="0.25">
      <c r="AR398" s="318"/>
      <c r="AS398" s="318"/>
      <c r="AT398" s="318"/>
    </row>
    <row r="399" spans="44:46" x14ac:dyDescent="0.25">
      <c r="AR399" s="318"/>
      <c r="AS399" s="318"/>
      <c r="AT399" s="318"/>
    </row>
    <row r="400" spans="44:46" x14ac:dyDescent="0.25">
      <c r="AR400" s="318"/>
      <c r="AS400" s="318"/>
      <c r="AT400" s="318"/>
    </row>
    <row r="401" spans="44:46" x14ac:dyDescent="0.25">
      <c r="AR401" s="318"/>
      <c r="AS401" s="318"/>
      <c r="AT401" s="318"/>
    </row>
    <row r="402" spans="44:46" x14ac:dyDescent="0.25">
      <c r="AR402" s="318"/>
      <c r="AS402" s="318"/>
      <c r="AT402" s="318"/>
    </row>
    <row r="403" spans="44:46" x14ac:dyDescent="0.25">
      <c r="AR403" s="318"/>
      <c r="AS403" s="318"/>
      <c r="AT403" s="318"/>
    </row>
    <row r="404" spans="44:46" x14ac:dyDescent="0.25">
      <c r="AR404" s="318"/>
      <c r="AS404" s="318"/>
      <c r="AT404" s="318"/>
    </row>
    <row r="405" spans="44:46" x14ac:dyDescent="0.25">
      <c r="AR405" s="318"/>
      <c r="AS405" s="318"/>
      <c r="AT405" s="318"/>
    </row>
    <row r="406" spans="44:46" x14ac:dyDescent="0.25">
      <c r="AR406" s="318"/>
      <c r="AS406" s="318"/>
      <c r="AT406" s="318"/>
    </row>
    <row r="407" spans="44:46" x14ac:dyDescent="0.25">
      <c r="AR407" s="318"/>
      <c r="AS407" s="318"/>
      <c r="AT407" s="318"/>
    </row>
    <row r="408" spans="44:46" x14ac:dyDescent="0.25">
      <c r="AR408" s="318"/>
      <c r="AS408" s="318"/>
      <c r="AT408" s="318"/>
    </row>
    <row r="409" spans="44:46" x14ac:dyDescent="0.25">
      <c r="AR409" s="318"/>
      <c r="AS409" s="318"/>
      <c r="AT409" s="318"/>
    </row>
    <row r="410" spans="44:46" x14ac:dyDescent="0.25">
      <c r="AR410" s="318"/>
      <c r="AS410" s="318"/>
      <c r="AT410" s="318"/>
    </row>
    <row r="411" spans="44:46" x14ac:dyDescent="0.25">
      <c r="AR411" s="318"/>
      <c r="AS411" s="318"/>
      <c r="AT411" s="318"/>
    </row>
    <row r="412" spans="44:46" x14ac:dyDescent="0.25">
      <c r="AR412" s="318"/>
      <c r="AS412" s="318"/>
      <c r="AT412" s="318"/>
    </row>
    <row r="413" spans="44:46" x14ac:dyDescent="0.25">
      <c r="AR413" s="318"/>
      <c r="AS413" s="318"/>
      <c r="AT413" s="318"/>
    </row>
    <row r="414" spans="44:46" x14ac:dyDescent="0.25">
      <c r="AR414" s="318"/>
      <c r="AS414" s="318"/>
      <c r="AT414" s="318"/>
    </row>
  </sheetData>
  <mergeCells count="48">
    <mergeCell ref="A70:I70"/>
    <mergeCell ref="A62:I62"/>
    <mergeCell ref="A54:I54"/>
    <mergeCell ref="A55:I55"/>
    <mergeCell ref="A56:I56"/>
    <mergeCell ref="A57:I57"/>
    <mergeCell ref="A58:I58"/>
    <mergeCell ref="A59:I59"/>
    <mergeCell ref="B68:G68"/>
    <mergeCell ref="B65:G65"/>
    <mergeCell ref="B66:G66"/>
    <mergeCell ref="B67:G67"/>
    <mergeCell ref="B69:G69"/>
    <mergeCell ref="A63:I63"/>
    <mergeCell ref="A64:I64"/>
    <mergeCell ref="AG2:AG3"/>
    <mergeCell ref="X2:X3"/>
    <mergeCell ref="E2:K2"/>
    <mergeCell ref="L2:L3"/>
    <mergeCell ref="M2:M3"/>
    <mergeCell ref="O2:V2"/>
    <mergeCell ref="W2:W3"/>
    <mergeCell ref="AA2:AA3"/>
    <mergeCell ref="AB2:AB3"/>
    <mergeCell ref="AC2:AC3"/>
    <mergeCell ref="AD2:AD3"/>
    <mergeCell ref="AE2:AF2"/>
    <mergeCell ref="Y2:Y3"/>
    <mergeCell ref="AO1:AP1"/>
    <mergeCell ref="AH2:AI2"/>
    <mergeCell ref="AK2:AK3"/>
    <mergeCell ref="AL2:AL3"/>
    <mergeCell ref="AM2:AM3"/>
    <mergeCell ref="AO2:AQ2"/>
    <mergeCell ref="B21:G21"/>
    <mergeCell ref="B45:G45"/>
    <mergeCell ref="A53:I53"/>
    <mergeCell ref="B39:G39"/>
    <mergeCell ref="B40:G40"/>
    <mergeCell ref="B41:G41"/>
    <mergeCell ref="B43:G43"/>
    <mergeCell ref="B44:G44"/>
    <mergeCell ref="B29:G29"/>
    <mergeCell ref="B30:G30"/>
    <mergeCell ref="B24:G24"/>
    <mergeCell ref="B25:G25"/>
    <mergeCell ref="B26:G26"/>
    <mergeCell ref="B28:G28"/>
  </mergeCells>
  <conditionalFormatting sqref="C53:I53">
    <cfRule type="cellIs" dxfId="16" priority="6" stopIfTrue="1" operator="lessThan">
      <formula>0</formula>
    </cfRule>
  </conditionalFormatting>
  <conditionalFormatting sqref="D5:Y19 C18:C20 D20:F20 H20:Y21 B21">
    <cfRule type="cellIs" dxfId="15" priority="11" stopIfTrue="1" operator="lessThan">
      <formula>0</formula>
    </cfRule>
  </conditionalFormatting>
  <conditionalFormatting sqref="I60">
    <cfRule type="cellIs" dxfId="14" priority="1" stopIfTrue="1" operator="lessThan">
      <formula>0</formula>
    </cfRule>
  </conditionalFormatting>
  <conditionalFormatting sqref="K52:M54">
    <cfRule type="cellIs" dxfId="13" priority="2" stopIfTrue="1" operator="lessThan">
      <formula>0</formula>
    </cfRule>
  </conditionalFormatting>
  <conditionalFormatting sqref="Z19:Z21 AB19:AB21">
    <cfRule type="cellIs" dxfId="12" priority="18" stopIfTrue="1" operator="lessThan">
      <formula>0</formula>
    </cfRule>
  </conditionalFormatting>
  <conditionalFormatting sqref="Z5:AQ18">
    <cfRule type="cellIs" dxfId="11" priority="7" stopIfTrue="1" operator="lessThan">
      <formula>0</formula>
    </cfRule>
  </conditionalFormatting>
  <dataValidations count="6">
    <dataValidation type="list" allowBlank="1" showInputMessage="1" showErrorMessage="1" sqref="C5:C16" xr:uid="{00000000-0002-0000-0600-000000000000}">
      <formula1>"1,2,3,4,5,6,7,8,9,10,11,12,I-Semestre,II-Semestre"</formula1>
    </dataValidation>
    <dataValidation type="list" allowBlank="1" showInputMessage="1" showErrorMessage="1" sqref="B39:H45 B24:H30" xr:uid="{00000000-0002-0000-0600-000001000000}">
      <formula1>ComprobantesVEN</formula1>
    </dataValidation>
    <dataValidation type="list" allowBlank="1" showInputMessage="1" showErrorMessage="1" sqref="V53:W53" xr:uid="{00000000-0002-0000-0600-000002000000}">
      <formula1>"F-Fisico,E-Electronico"</formula1>
    </dataValidation>
    <dataValidation type="list" allowBlank="1" showInputMessage="1" showErrorMessage="1" sqref="U54:U59" xr:uid="{00000000-0002-0000-0600-000003000000}">
      <formula1>"6-TURISMO,5-ALIMENTACION,4-EDUCACION,3-SALUD,2-VESTIMENTA,1-VIVIENDA"</formula1>
    </dataValidation>
    <dataValidation type="list" operator="lessThanOrEqual" allowBlank="1" showInputMessage="1" showErrorMessage="1" errorTitle="FactelExcel" error="Debe ingresar un valor correcto para la Direccion Matriz" sqref="B21" xr:uid="{00000000-0002-0000-0600-000004000000}">
      <formula1>"GENERAL,RIMPE EMPRENDEDOR,RIMPE NEGOCIO POPULAR,MICROEMPRESA"</formula1>
    </dataValidation>
    <dataValidation type="list" allowBlank="1" showInputMessage="1" showErrorMessage="1" errorTitle="SRI Anexos" error="Debe ingresar un valor correcto para esta celda" sqref="B21" xr:uid="{00000000-0002-0000-0600-000005000000}">
      <formula1>"GENERAL,RIMPE EMPRENDEDOR,RIMPE NEGOCIO POPULAR,MICROEMPRESA"</formula1>
    </dataValidation>
  </dataValidations>
  <pageMargins left="0.19685039370078741" right="0.19685039370078741" top="0.62992125984251968" bottom="0.98425196850393704" header="0" footer="0"/>
  <pageSetup paperSize="9" scale="4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6">
    <pageSetUpPr fitToPage="1"/>
  </sheetPr>
  <dimension ref="A1:AO356"/>
  <sheetViews>
    <sheetView showGridLines="0" topLeftCell="A63" zoomScale="72" zoomScaleNormal="72" workbookViewId="0">
      <selection activeCell="N345" sqref="N345"/>
    </sheetView>
  </sheetViews>
  <sheetFormatPr baseColWidth="10" defaultColWidth="4.6328125" defaultRowHeight="21" customHeight="1" outlineLevelRow="2" x14ac:dyDescent="0.35"/>
  <cols>
    <col min="1" max="1" width="6" style="3" customWidth="1"/>
    <col min="2" max="6" width="4.6328125" style="3" customWidth="1"/>
    <col min="7" max="7" width="5.453125" style="3" customWidth="1"/>
    <col min="8" max="9" width="4.6328125" style="3" customWidth="1"/>
    <col min="10" max="10" width="6.453125" style="3" customWidth="1"/>
    <col min="11" max="11" width="6" style="3" customWidth="1"/>
    <col min="12" max="14" width="4.6328125" style="3" customWidth="1"/>
    <col min="15" max="16" width="5.36328125" style="3" customWidth="1"/>
    <col min="17" max="17" width="7" style="3" customWidth="1"/>
    <col min="18" max="18" width="4.6328125" style="3" customWidth="1"/>
    <col min="19" max="20" width="6.90625" style="3" customWidth="1"/>
    <col min="21" max="21" width="6.90625" style="20" customWidth="1"/>
    <col min="22" max="22" width="6.90625" style="3" customWidth="1"/>
    <col min="23" max="24" width="4.6328125" style="3" customWidth="1"/>
    <col min="25" max="25" width="6" style="3" customWidth="1"/>
    <col min="26" max="26" width="4.6328125" style="3" customWidth="1"/>
    <col min="27" max="28" width="5.453125" style="3" customWidth="1"/>
    <col min="29" max="29" width="7.36328125" style="3" customWidth="1"/>
    <col min="30" max="30" width="6.6328125" style="3" customWidth="1"/>
    <col min="31" max="34" width="4.6328125" style="3" customWidth="1"/>
    <col min="35" max="35" width="5.54296875" style="3" customWidth="1"/>
    <col min="36" max="36" width="0.90625" style="3" customWidth="1"/>
    <col min="37" max="37" width="9.08984375" style="3" bestFit="1" customWidth="1"/>
    <col min="38" max="16384" width="4.6328125" style="3"/>
  </cols>
  <sheetData>
    <row r="1" spans="1:35" s="176" customFormat="1" ht="21" customHeight="1" x14ac:dyDescent="0.35">
      <c r="A1" s="193"/>
      <c r="B1" s="192"/>
      <c r="C1" s="192" t="s">
        <v>749</v>
      </c>
      <c r="D1" s="191" t="s">
        <v>993</v>
      </c>
      <c r="E1" s="190"/>
      <c r="F1" s="189"/>
      <c r="G1" s="188"/>
      <c r="H1" s="187"/>
      <c r="I1" s="1071" t="s">
        <v>992</v>
      </c>
      <c r="J1" s="1072"/>
      <c r="K1" s="1072"/>
      <c r="L1" s="1072"/>
      <c r="M1" s="1072"/>
      <c r="N1" s="1072"/>
      <c r="O1" s="1072"/>
      <c r="P1" s="1072"/>
      <c r="Q1" s="1072"/>
      <c r="R1" s="1072"/>
      <c r="S1" s="1072"/>
      <c r="T1" s="1072"/>
      <c r="U1" s="1072"/>
      <c r="V1" s="1072"/>
      <c r="W1" s="1072"/>
      <c r="X1" s="1072"/>
      <c r="Y1" s="1072"/>
      <c r="Z1" s="1072"/>
      <c r="AA1" s="1072"/>
      <c r="AB1" s="1072"/>
      <c r="AC1" s="1073"/>
      <c r="AD1" s="1067" t="s">
        <v>927</v>
      </c>
      <c r="AE1" s="1068"/>
      <c r="AF1" s="186"/>
      <c r="AG1" s="185"/>
      <c r="AH1" s="185"/>
      <c r="AI1" s="184"/>
    </row>
    <row r="2" spans="1:35" s="176" customFormat="1" ht="25.5" customHeight="1" thickBot="1" x14ac:dyDescent="0.4">
      <c r="A2" s="183"/>
      <c r="B2" s="182"/>
      <c r="C2" s="182" t="s">
        <v>749</v>
      </c>
      <c r="D2" s="182" t="s">
        <v>926</v>
      </c>
      <c r="E2" s="181"/>
      <c r="F2" s="181"/>
      <c r="G2" s="181"/>
      <c r="H2" s="180"/>
      <c r="I2" s="1074"/>
      <c r="J2" s="1075"/>
      <c r="K2" s="1075"/>
      <c r="L2" s="1075"/>
      <c r="M2" s="1075"/>
      <c r="N2" s="1075"/>
      <c r="O2" s="1075"/>
      <c r="P2" s="1075"/>
      <c r="Q2" s="1075"/>
      <c r="R2" s="1075"/>
      <c r="S2" s="1075"/>
      <c r="T2" s="1075"/>
      <c r="U2" s="1075"/>
      <c r="V2" s="1075"/>
      <c r="W2" s="1075"/>
      <c r="X2" s="1075"/>
      <c r="Y2" s="1075"/>
      <c r="Z2" s="1075"/>
      <c r="AA2" s="1075"/>
      <c r="AB2" s="1075"/>
      <c r="AC2" s="1076"/>
      <c r="AD2" s="1069"/>
      <c r="AE2" s="1070"/>
      <c r="AF2" s="179"/>
      <c r="AG2" s="178"/>
      <c r="AH2" s="178"/>
      <c r="AI2" s="177"/>
    </row>
    <row r="3" spans="1:35" ht="3.65" customHeight="1" x14ac:dyDescent="0.35">
      <c r="A3" s="262"/>
      <c r="B3" s="165"/>
      <c r="C3" s="165"/>
      <c r="D3" s="165"/>
      <c r="E3" s="165"/>
      <c r="F3" s="261"/>
      <c r="G3" s="260"/>
      <c r="H3" s="259"/>
      <c r="I3" s="259"/>
      <c r="J3" s="259"/>
      <c r="L3" s="259"/>
      <c r="M3" s="24"/>
      <c r="N3" s="24"/>
      <c r="O3" s="24"/>
      <c r="P3" s="24"/>
      <c r="Q3" s="24"/>
      <c r="R3" s="24"/>
      <c r="S3" s="24"/>
      <c r="T3" s="24"/>
      <c r="U3" s="24"/>
      <c r="V3" s="24"/>
      <c r="W3" s="24"/>
      <c r="X3" s="24"/>
      <c r="Y3" s="24"/>
      <c r="Z3" s="24"/>
      <c r="AA3" s="24"/>
      <c r="AB3" s="24"/>
      <c r="AC3" s="24"/>
      <c r="AD3" s="24"/>
      <c r="AE3" s="24"/>
      <c r="AF3" s="24"/>
      <c r="AG3" s="24"/>
      <c r="AH3" s="24"/>
      <c r="AI3" s="169"/>
    </row>
    <row r="4" spans="1:35" s="168" customFormat="1" ht="21" customHeight="1" x14ac:dyDescent="0.35">
      <c r="A4" s="258" t="s">
        <v>991</v>
      </c>
      <c r="B4" s="174"/>
      <c r="C4" s="174"/>
      <c r="D4" s="174"/>
      <c r="E4" s="174"/>
      <c r="F4" s="174"/>
      <c r="G4" s="173"/>
      <c r="H4" s="172"/>
      <c r="I4" s="172"/>
      <c r="J4" s="172"/>
      <c r="K4" s="171" t="s">
        <v>924</v>
      </c>
      <c r="L4" s="172"/>
      <c r="M4" s="170"/>
      <c r="N4" s="170"/>
      <c r="O4" s="170"/>
      <c r="P4" s="170"/>
      <c r="Q4" s="170"/>
      <c r="R4" s="170"/>
      <c r="S4" s="170"/>
      <c r="T4" s="170"/>
      <c r="U4" s="170"/>
      <c r="V4" s="170"/>
      <c r="W4" s="170"/>
      <c r="X4" s="170"/>
      <c r="AH4" s="170"/>
      <c r="AI4" s="169"/>
    </row>
    <row r="5" spans="1:35" s="168" customFormat="1" ht="21" customHeight="1" x14ac:dyDescent="0.35">
      <c r="A5" s="258"/>
      <c r="B5" s="174"/>
      <c r="C5" s="279">
        <f>IF(C6,C7,0)</f>
        <v>0</v>
      </c>
      <c r="D5" s="279">
        <f t="shared" ref="D5:N5" si="0">IF(D6,D7,0)</f>
        <v>0</v>
      </c>
      <c r="E5" s="279">
        <f t="shared" si="0"/>
        <v>0</v>
      </c>
      <c r="F5" s="279">
        <f t="shared" si="0"/>
        <v>4</v>
      </c>
      <c r="G5" s="279">
        <f t="shared" si="0"/>
        <v>0</v>
      </c>
      <c r="H5" s="279">
        <f t="shared" si="0"/>
        <v>0</v>
      </c>
      <c r="I5" s="279">
        <f t="shared" si="0"/>
        <v>0</v>
      </c>
      <c r="J5" s="279">
        <f t="shared" si="0"/>
        <v>0</v>
      </c>
      <c r="K5" s="279">
        <f t="shared" si="0"/>
        <v>0</v>
      </c>
      <c r="L5" s="279">
        <f t="shared" si="0"/>
        <v>0</v>
      </c>
      <c r="M5" s="279">
        <f t="shared" si="0"/>
        <v>0</v>
      </c>
      <c r="N5" s="279">
        <f t="shared" si="0"/>
        <v>0</v>
      </c>
      <c r="O5" s="170"/>
      <c r="P5" s="170"/>
      <c r="Q5" s="987" t="s">
        <v>1185</v>
      </c>
      <c r="R5" s="987"/>
      <c r="S5" s="987"/>
      <c r="T5" s="987"/>
      <c r="U5" s="988">
        <v>4</v>
      </c>
      <c r="V5" s="989"/>
      <c r="W5" s="457" t="s">
        <v>1477</v>
      </c>
      <c r="X5" s="458"/>
      <c r="Y5" s="459"/>
      <c r="Z5" s="459"/>
      <c r="AA5" s="459"/>
      <c r="AB5" s="459"/>
      <c r="AC5" s="459"/>
      <c r="AH5" s="170"/>
      <c r="AI5" s="169"/>
    </row>
    <row r="6" spans="1:35" ht="3.65" customHeight="1" x14ac:dyDescent="0.35">
      <c r="A6" s="262"/>
      <c r="B6" s="165"/>
      <c r="C6" s="279" t="b">
        <f>IF($U$5=LIQ_IMPUESTOS!$C5,TRUE,FALSE)</f>
        <v>0</v>
      </c>
      <c r="D6" s="279" t="b">
        <f>IF($U$5=LIQ_IMPUESTOS!$C6,TRUE,FALSE)</f>
        <v>0</v>
      </c>
      <c r="E6" s="279" t="b">
        <f>IF($U$5=LIQ_IMPUESTOS!$C7,TRUE,FALSE)</f>
        <v>0</v>
      </c>
      <c r="F6" s="279" t="b">
        <f>IF($U$5=LIQ_IMPUESTOS!$C8,TRUE,FALSE)</f>
        <v>1</v>
      </c>
      <c r="G6" s="279" t="b">
        <f>IF($U$5=LIQ_IMPUESTOS!$C9,TRUE,FALSE)</f>
        <v>0</v>
      </c>
      <c r="H6" s="279" t="b">
        <f>IF($U$5=LIQ_IMPUESTOS!$C10,TRUE,FALSE)</f>
        <v>0</v>
      </c>
      <c r="I6" s="279" t="b">
        <f>IF($U$5=LIQ_IMPUESTOS!$C11,TRUE,FALSE)</f>
        <v>0</v>
      </c>
      <c r="J6" s="279" t="b">
        <f>IF($U$5=LIQ_IMPUESTOS!$C12,TRUE,FALSE)</f>
        <v>0</v>
      </c>
      <c r="K6" s="279" t="b">
        <f>IF($U$5=LIQ_IMPUESTOS!$C13,TRUE,FALSE)</f>
        <v>0</v>
      </c>
      <c r="L6" s="279" t="b">
        <f>IF($U$5=LIQ_IMPUESTOS!$C14,TRUE,FALSE)</f>
        <v>0</v>
      </c>
      <c r="M6" s="279" t="b">
        <f>IF($U$5=LIQ_IMPUESTOS!$C15,TRUE,FALSE)</f>
        <v>0</v>
      </c>
      <c r="N6" s="279" t="b">
        <f>IF($U$5=LIQ_IMPUESTOS!$C16,TRUE,FALSE)</f>
        <v>0</v>
      </c>
      <c r="O6" s="24"/>
      <c r="P6" s="24"/>
      <c r="Q6" s="24"/>
      <c r="R6" s="24"/>
      <c r="S6" s="24"/>
      <c r="T6" s="24"/>
      <c r="U6" s="24"/>
      <c r="V6" s="24"/>
      <c r="W6" s="24"/>
      <c r="X6" s="24"/>
      <c r="Y6" s="24"/>
      <c r="Z6" s="24"/>
      <c r="AA6" s="24"/>
      <c r="AB6" s="24"/>
      <c r="AC6" s="24"/>
      <c r="AD6" s="24"/>
      <c r="AE6" s="24"/>
      <c r="AF6" s="24"/>
      <c r="AG6" s="24"/>
      <c r="AH6" s="24"/>
      <c r="AI6" s="169"/>
    </row>
    <row r="7" spans="1:35" s="168" customFormat="1" ht="12" customHeight="1" x14ac:dyDescent="0.35">
      <c r="A7" s="1052">
        <v>101</v>
      </c>
      <c r="B7" s="1057" t="s">
        <v>923</v>
      </c>
      <c r="C7" s="1061">
        <v>1</v>
      </c>
      <c r="D7" s="1061">
        <v>2</v>
      </c>
      <c r="E7" s="1061">
        <v>3</v>
      </c>
      <c r="F7" s="1061">
        <v>4</v>
      </c>
      <c r="G7" s="1061">
        <v>5</v>
      </c>
      <c r="H7" s="1061">
        <v>6</v>
      </c>
      <c r="I7" s="1061">
        <v>7</v>
      </c>
      <c r="J7" s="1061">
        <v>8</v>
      </c>
      <c r="K7" s="1061">
        <v>9</v>
      </c>
      <c r="L7" s="1061">
        <v>10</v>
      </c>
      <c r="M7" s="1061">
        <v>11</v>
      </c>
      <c r="N7" s="1061">
        <v>12</v>
      </c>
      <c r="O7" s="170"/>
      <c r="P7" s="170"/>
      <c r="Q7" s="1062">
        <v>102</v>
      </c>
      <c r="R7" s="1057" t="s">
        <v>922</v>
      </c>
      <c r="S7" s="1055" t="str">
        <f>MID(XLSperiodo,1,1)</f>
        <v>2</v>
      </c>
      <c r="T7" s="1055" t="str">
        <f>MID(XLSperiodo,2,1)</f>
        <v>0</v>
      </c>
      <c r="U7" s="1055" t="str">
        <f>MID(XLSperiodo,3,1)</f>
        <v>2</v>
      </c>
      <c r="V7" s="1055" t="str">
        <f>MID(XLSperiodo,4,1)</f>
        <v>6</v>
      </c>
      <c r="Y7" s="257">
        <v>104</v>
      </c>
      <c r="Z7" s="256" t="s">
        <v>921</v>
      </c>
      <c r="AA7" s="256"/>
      <c r="AB7" s="256"/>
      <c r="AC7" s="256"/>
      <c r="AD7" s="256"/>
      <c r="AE7" s="256"/>
      <c r="AF7" s="255"/>
      <c r="AG7" s="254"/>
      <c r="AI7" s="169"/>
    </row>
    <row r="8" spans="1:35" s="168" customFormat="1" ht="20.25" customHeight="1" x14ac:dyDescent="0.35">
      <c r="A8" s="1052"/>
      <c r="B8" s="1057"/>
      <c r="C8" s="1061"/>
      <c r="D8" s="1061"/>
      <c r="E8" s="1061"/>
      <c r="F8" s="1061"/>
      <c r="G8" s="1061"/>
      <c r="H8" s="1061"/>
      <c r="I8" s="1061"/>
      <c r="J8" s="1061"/>
      <c r="K8" s="1061"/>
      <c r="L8" s="1061"/>
      <c r="M8" s="1061"/>
      <c r="N8" s="1061"/>
      <c r="O8" s="170"/>
      <c r="P8" s="170"/>
      <c r="Q8" s="1062"/>
      <c r="R8" s="1057"/>
      <c r="S8" s="1056"/>
      <c r="T8" s="1056"/>
      <c r="U8" s="1056"/>
      <c r="V8" s="1056"/>
      <c r="W8" s="252"/>
      <c r="X8" s="252"/>
      <c r="Y8" s="1058"/>
      <c r="Z8" s="1059"/>
      <c r="AA8" s="1059"/>
      <c r="AB8" s="1059"/>
      <c r="AC8" s="1059"/>
      <c r="AD8" s="1059"/>
      <c r="AE8" s="1059"/>
      <c r="AF8" s="1059"/>
      <c r="AG8" s="1060"/>
      <c r="AI8" s="169"/>
    </row>
    <row r="9" spans="1:35" s="168" customFormat="1" ht="11.5" x14ac:dyDescent="0.35">
      <c r="A9" s="253"/>
      <c r="B9" s="174"/>
      <c r="C9" s="174"/>
      <c r="D9" s="174"/>
      <c r="E9" s="174"/>
      <c r="F9" s="174"/>
      <c r="G9" s="174"/>
      <c r="H9" s="174"/>
      <c r="I9" s="174"/>
      <c r="J9" s="174"/>
      <c r="K9" s="174"/>
      <c r="L9" s="174"/>
      <c r="M9" s="174"/>
      <c r="N9" s="174"/>
      <c r="O9" s="170"/>
      <c r="P9" s="170"/>
      <c r="Q9" s="170"/>
      <c r="R9" s="170"/>
      <c r="S9" s="174"/>
      <c r="T9" s="174"/>
      <c r="U9" s="174"/>
      <c r="V9" s="174"/>
      <c r="W9" s="252"/>
      <c r="X9" s="252"/>
      <c r="Y9" s="174"/>
      <c r="AA9" s="174"/>
      <c r="AB9" s="174"/>
      <c r="AC9" s="174"/>
      <c r="AD9" s="174"/>
      <c r="AE9" s="174"/>
      <c r="AI9" s="169"/>
    </row>
    <row r="10" spans="1:35" ht="11.5" x14ac:dyDescent="0.35">
      <c r="A10" s="167" t="s">
        <v>990</v>
      </c>
      <c r="B10" s="166"/>
      <c r="C10" s="166"/>
      <c r="D10" s="166"/>
      <c r="E10" s="166"/>
      <c r="F10" s="166"/>
      <c r="G10" s="166"/>
      <c r="H10" s="166"/>
      <c r="I10" s="166"/>
      <c r="J10" s="166"/>
      <c r="K10" s="166"/>
      <c r="L10" s="166"/>
      <c r="M10" s="166"/>
      <c r="N10" s="166"/>
      <c r="O10" s="166"/>
      <c r="P10" s="166"/>
      <c r="Q10" s="166"/>
      <c r="R10" s="166"/>
      <c r="S10" s="166"/>
      <c r="T10" s="166"/>
      <c r="U10" s="251"/>
      <c r="V10" s="166"/>
      <c r="W10" s="166"/>
      <c r="X10" s="166"/>
      <c r="Y10" s="166"/>
      <c r="Z10" s="166"/>
      <c r="AA10" s="166"/>
      <c r="AB10" s="166"/>
      <c r="AC10" s="165"/>
      <c r="AD10" s="165"/>
      <c r="AE10" s="165"/>
      <c r="AF10" s="165"/>
      <c r="AG10" s="165"/>
      <c r="AH10" s="165"/>
      <c r="AI10" s="169"/>
    </row>
    <row r="11" spans="1:35" ht="11.5" x14ac:dyDescent="0.35">
      <c r="A11" s="1053">
        <v>201</v>
      </c>
      <c r="B11" s="163" t="s">
        <v>919</v>
      </c>
      <c r="C11" s="162"/>
      <c r="D11" s="162"/>
      <c r="E11" s="162"/>
      <c r="F11" s="162"/>
      <c r="G11" s="162"/>
      <c r="H11" s="162"/>
      <c r="I11" s="162"/>
      <c r="J11" s="162"/>
      <c r="K11" s="162"/>
      <c r="L11" s="162"/>
      <c r="M11" s="162"/>
      <c r="N11" s="162"/>
      <c r="O11" s="161">
        <v>202</v>
      </c>
      <c r="P11" s="160" t="s">
        <v>918</v>
      </c>
      <c r="Q11" s="37"/>
      <c r="R11" s="159"/>
      <c r="S11" s="159"/>
      <c r="T11" s="159"/>
      <c r="U11" s="162"/>
      <c r="V11" s="159"/>
      <c r="W11" s="159"/>
      <c r="X11" s="159"/>
      <c r="Y11" s="159"/>
      <c r="Z11" s="159"/>
      <c r="AA11" s="159"/>
      <c r="AB11" s="159"/>
      <c r="AC11" s="159"/>
      <c r="AD11" s="159"/>
      <c r="AE11" s="159"/>
      <c r="AF11" s="159"/>
      <c r="AG11" s="159"/>
      <c r="AH11" s="159"/>
      <c r="AI11" s="158"/>
    </row>
    <row r="12" spans="1:35" ht="17.25" customHeight="1" x14ac:dyDescent="0.35">
      <c r="A12" s="1054"/>
      <c r="B12" s="1064" t="str">
        <f>Parametros!D4</f>
        <v>0917809451001</v>
      </c>
      <c r="C12" s="1065"/>
      <c r="D12" s="1065"/>
      <c r="E12" s="1065"/>
      <c r="F12" s="1065"/>
      <c r="G12" s="1065"/>
      <c r="H12" s="1065"/>
      <c r="I12" s="1065"/>
      <c r="J12" s="1065"/>
      <c r="K12" s="1065"/>
      <c r="L12" s="1065"/>
      <c r="M12" s="1065"/>
      <c r="N12" s="1066"/>
      <c r="O12" s="157"/>
      <c r="P12" s="1063" t="str">
        <f>Parametros!D5</f>
        <v>GARCIA RODRIGUEZ CHARLES MILTON</v>
      </c>
      <c r="Q12" s="1063"/>
      <c r="R12" s="1063"/>
      <c r="S12" s="1063"/>
      <c r="T12" s="1063"/>
      <c r="U12" s="1063"/>
      <c r="V12" s="1063"/>
      <c r="W12" s="1063"/>
      <c r="X12" s="1063"/>
      <c r="Y12" s="1063"/>
      <c r="Z12" s="1063"/>
      <c r="AA12" s="1063"/>
      <c r="AB12" s="1063"/>
      <c r="AC12" s="1063"/>
      <c r="AD12" s="1063"/>
      <c r="AE12" s="1063"/>
      <c r="AF12" s="1063"/>
      <c r="AG12" s="1063"/>
      <c r="AH12" s="1063"/>
      <c r="AI12" s="250"/>
    </row>
    <row r="13" spans="1:35" ht="21" customHeight="1" thickBot="1" x14ac:dyDescent="0.4">
      <c r="A13" s="156"/>
      <c r="B13" s="155"/>
      <c r="AI13" s="19"/>
    </row>
    <row r="14" spans="1:35" s="139" customFormat="1" ht="21" customHeight="1" thickBot="1" x14ac:dyDescent="0.4">
      <c r="A14" s="1077" t="s">
        <v>989</v>
      </c>
      <c r="B14" s="1078"/>
      <c r="C14" s="1078"/>
      <c r="D14" s="1078"/>
      <c r="E14" s="1078"/>
      <c r="F14" s="1078"/>
      <c r="G14" s="1078"/>
      <c r="H14" s="1078"/>
      <c r="I14" s="1078"/>
      <c r="J14" s="1078"/>
      <c r="K14" s="1078"/>
      <c r="L14" s="1078"/>
      <c r="M14" s="1078"/>
      <c r="N14" s="1078"/>
      <c r="O14" s="1078"/>
      <c r="P14" s="1078"/>
      <c r="Q14" s="1078"/>
      <c r="R14" s="1078"/>
      <c r="S14" s="1078"/>
      <c r="T14" s="1078"/>
      <c r="U14" s="1078"/>
      <c r="V14" s="1078"/>
      <c r="W14" s="1078"/>
      <c r="X14" s="1078"/>
      <c r="Y14" s="1078"/>
      <c r="Z14" s="1078"/>
      <c r="AA14" s="1078"/>
      <c r="AB14" s="1078"/>
      <c r="AC14" s="1078"/>
      <c r="AD14" s="1078"/>
      <c r="AE14" s="1078"/>
      <c r="AF14" s="1078"/>
      <c r="AG14" s="1078"/>
      <c r="AH14" s="1078"/>
      <c r="AI14" s="1079"/>
    </row>
    <row r="15" spans="1:35" s="139" customFormat="1" ht="21" customHeight="1" thickBot="1" x14ac:dyDescent="0.4">
      <c r="A15" s="1077" t="s">
        <v>2237</v>
      </c>
      <c r="B15" s="1078"/>
      <c r="C15" s="1078"/>
      <c r="D15" s="1078"/>
      <c r="E15" s="1078"/>
      <c r="F15" s="1078"/>
      <c r="G15" s="1078"/>
      <c r="H15" s="1078"/>
      <c r="I15" s="1078"/>
      <c r="J15" s="1078"/>
      <c r="K15" s="1078"/>
      <c r="L15" s="1078"/>
      <c r="M15" s="1078"/>
      <c r="N15" s="1078"/>
      <c r="O15" s="1078"/>
      <c r="P15" s="1078"/>
      <c r="Q15" s="1078"/>
      <c r="R15" s="1078"/>
      <c r="S15" s="1078"/>
      <c r="T15" s="1078"/>
      <c r="U15" s="1078"/>
      <c r="V15" s="1078"/>
      <c r="W15" s="1078"/>
      <c r="X15" s="1078"/>
      <c r="Y15" s="1078"/>
      <c r="Z15" s="1078"/>
      <c r="AA15" s="1078"/>
      <c r="AB15" s="1078"/>
      <c r="AC15" s="1078"/>
      <c r="AD15" s="1078"/>
      <c r="AE15" s="1078"/>
      <c r="AF15" s="1078"/>
      <c r="AG15" s="1078"/>
      <c r="AH15" s="1078"/>
      <c r="AI15" s="1079"/>
    </row>
    <row r="16" spans="1:35" s="139" customFormat="1" ht="21" customHeight="1" thickBot="1" x14ac:dyDescent="0.4">
      <c r="A16" s="833"/>
      <c r="B16" s="834"/>
      <c r="C16" s="834"/>
      <c r="D16" s="834"/>
      <c r="E16" s="834"/>
      <c r="F16" s="834"/>
      <c r="G16" s="834"/>
      <c r="H16" s="834"/>
      <c r="I16" s="834"/>
      <c r="J16" s="834"/>
      <c r="K16" s="834"/>
      <c r="L16" s="834"/>
      <c r="M16" s="834"/>
      <c r="N16" s="834"/>
      <c r="O16" s="834"/>
      <c r="P16" s="834"/>
      <c r="Q16" s="834"/>
      <c r="R16" s="834"/>
      <c r="S16" s="834"/>
      <c r="T16" s="834"/>
      <c r="U16" s="834"/>
      <c r="V16" s="1077" t="s">
        <v>988</v>
      </c>
      <c r="W16" s="1078"/>
      <c r="X16" s="1078"/>
      <c r="Y16" s="1078"/>
      <c r="Z16" s="1078"/>
      <c r="AA16" s="1078"/>
      <c r="AB16" s="1079"/>
      <c r="AC16" s="1077" t="s">
        <v>987</v>
      </c>
      <c r="AD16" s="1078"/>
      <c r="AE16" s="1078"/>
      <c r="AF16" s="1078"/>
      <c r="AG16" s="1078"/>
      <c r="AH16" s="1078"/>
      <c r="AI16" s="1079"/>
    </row>
    <row r="17" spans="1:37" ht="21" customHeight="1" outlineLevel="1" thickBot="1" x14ac:dyDescent="0.4">
      <c r="A17" s="981" t="s">
        <v>2238</v>
      </c>
      <c r="B17" s="982"/>
      <c r="C17" s="982"/>
      <c r="D17" s="982"/>
      <c r="E17" s="982"/>
      <c r="F17" s="982"/>
      <c r="G17" s="982"/>
      <c r="H17" s="982"/>
      <c r="I17" s="982"/>
      <c r="J17" s="982"/>
      <c r="K17" s="982"/>
      <c r="L17" s="982"/>
      <c r="M17" s="982"/>
      <c r="N17" s="982"/>
      <c r="O17" s="982"/>
      <c r="P17" s="982"/>
      <c r="Q17" s="982"/>
      <c r="R17" s="982"/>
      <c r="S17" s="982"/>
      <c r="T17" s="982"/>
      <c r="U17" s="982"/>
      <c r="V17" s="982"/>
      <c r="W17" s="982"/>
      <c r="X17" s="982"/>
      <c r="Y17" s="982"/>
      <c r="Z17" s="982"/>
      <c r="AA17" s="982"/>
      <c r="AB17" s="982"/>
      <c r="AC17" s="982"/>
      <c r="AD17" s="982"/>
      <c r="AE17" s="982"/>
      <c r="AF17" s="982"/>
      <c r="AG17" s="982"/>
      <c r="AH17" s="982"/>
      <c r="AI17" s="983"/>
    </row>
    <row r="18" spans="1:37" ht="21" customHeight="1" outlineLevel="1" x14ac:dyDescent="0.35">
      <c r="A18" s="119" t="s">
        <v>986</v>
      </c>
      <c r="B18" s="118"/>
      <c r="C18" s="118"/>
      <c r="D18" s="118"/>
      <c r="E18" s="118"/>
      <c r="F18" s="118"/>
      <c r="G18" s="118"/>
      <c r="H18" s="118"/>
      <c r="I18" s="118"/>
      <c r="J18" s="118"/>
      <c r="K18" s="118"/>
      <c r="L18" s="118"/>
      <c r="M18" s="118"/>
      <c r="N18" s="118"/>
      <c r="O18" s="118"/>
      <c r="P18" s="118"/>
      <c r="Q18" s="118"/>
      <c r="R18" s="118"/>
      <c r="S18" s="118"/>
      <c r="T18" s="118"/>
      <c r="U18" s="238"/>
      <c r="V18" s="111">
        <v>302</v>
      </c>
      <c r="W18" s="225" t="s">
        <v>769</v>
      </c>
      <c r="X18" s="977">
        <f>+SUMIFS(COMPRAS!BG:BG,COMPRAS!BF:BF,V18,COMPRAS!DD:DD,"SI")+SUMIFS(COMPRAS!BP:BP,COMPRAS!BO:BO,V18,COMPRAS!DD:DD,"SI")+SUMIFS(COMPRAS!BY:BY,COMPRAS!BX:BX,V18,COMPRAS!DD:DD,"SI")</f>
        <v>0</v>
      </c>
      <c r="Y18" s="978"/>
      <c r="Z18" s="978"/>
      <c r="AA18" s="978"/>
      <c r="AB18" s="130"/>
      <c r="AC18" s="111">
        <v>352</v>
      </c>
      <c r="AD18" s="74" t="s">
        <v>769</v>
      </c>
      <c r="AE18" s="977">
        <f>SUMIFS(COMPRAS!BI:BI,COMPRAS!BF:BF,V18,COMPRAS!DD:DD,"SI")+SUMIFS(COMPRAS!BR:BR,COMPRAS!BO:BO,V18,COMPRAS!DD:DD,"SI")+SUMIFS(COMPRAS!CA:CA,COMPRAS!BX:BX,V18,COMPRAS!DD:DD,"SI")</f>
        <v>0</v>
      </c>
      <c r="AF18" s="978"/>
      <c r="AG18" s="978"/>
      <c r="AH18" s="978"/>
      <c r="AI18" s="14"/>
      <c r="AK18" s="75"/>
    </row>
    <row r="19" spans="1:37" ht="21" customHeight="1" outlineLevel="1" x14ac:dyDescent="0.35">
      <c r="A19" s="1105" t="s">
        <v>985</v>
      </c>
      <c r="B19" s="1106"/>
      <c r="C19" s="1107"/>
      <c r="D19" s="15" t="s">
        <v>984</v>
      </c>
      <c r="E19" s="15"/>
      <c r="F19" s="15"/>
      <c r="G19" s="15"/>
      <c r="H19" s="15"/>
      <c r="I19" s="15"/>
      <c r="J19" s="15"/>
      <c r="K19" s="15"/>
      <c r="L19" s="15"/>
      <c r="M19" s="15"/>
      <c r="N19" s="15"/>
      <c r="O19" s="15"/>
      <c r="P19" s="15"/>
      <c r="Q19" s="15"/>
      <c r="R19" s="15"/>
      <c r="S19" s="15"/>
      <c r="T19" s="15"/>
      <c r="U19" s="130"/>
      <c r="V19" s="111">
        <v>303</v>
      </c>
      <c r="W19" s="225" t="s">
        <v>769</v>
      </c>
      <c r="X19" s="977">
        <f>SUM(X20:AA20)</f>
        <v>0</v>
      </c>
      <c r="Y19" s="978"/>
      <c r="Z19" s="978"/>
      <c r="AA19" s="978"/>
      <c r="AB19" s="130"/>
      <c r="AC19" s="111">
        <v>353</v>
      </c>
      <c r="AD19" s="74" t="s">
        <v>769</v>
      </c>
      <c r="AE19" s="977">
        <f>SUM(AE20:AH20)</f>
        <v>0</v>
      </c>
      <c r="AF19" s="978"/>
      <c r="AG19" s="978"/>
      <c r="AH19" s="978"/>
      <c r="AI19" s="14"/>
      <c r="AJ19" s="270"/>
    </row>
    <row r="20" spans="1:37" ht="21" hidden="1" customHeight="1" outlineLevel="2" x14ac:dyDescent="0.35">
      <c r="A20" s="1101"/>
      <c r="B20" s="1013"/>
      <c r="C20" s="1021"/>
      <c r="D20" s="15"/>
      <c r="E20" s="15"/>
      <c r="F20" s="15"/>
      <c r="G20" s="15"/>
      <c r="H20" s="15"/>
      <c r="I20" s="15"/>
      <c r="J20" s="15"/>
      <c r="K20" s="15"/>
      <c r="L20" s="15"/>
      <c r="M20" s="15"/>
      <c r="N20" s="15"/>
      <c r="O20" s="15"/>
      <c r="P20" s="15"/>
      <c r="Q20" s="15"/>
      <c r="R20" s="15"/>
      <c r="S20" s="15"/>
      <c r="T20" s="15"/>
      <c r="U20" s="245" t="s">
        <v>2215</v>
      </c>
      <c r="V20" s="793">
        <v>303</v>
      </c>
      <c r="W20" s="225"/>
      <c r="X20" s="977">
        <f>+SUMIFS(COMPRAS!BG:BG,COMPRAS!BF:BF,V20,COMPRAS!DD:DD,"SI")+SUMIFS(COMPRAS!BP:BP,COMPRAS!BO:BO,V20,COMPRAS!DD:DD,"SI")+SUMIFS(COMPRAS!BY:BY,COMPRAS!BX:BX,V20,COMPRAS!DD:DD,"SI")</f>
        <v>0</v>
      </c>
      <c r="Y20" s="978"/>
      <c r="Z20" s="978"/>
      <c r="AA20" s="978"/>
      <c r="AB20" s="130"/>
      <c r="AC20" s="226"/>
      <c r="AD20" s="74"/>
      <c r="AE20" s="977">
        <f>SUMIFS(COMPRAS!BI:BI,COMPRAS!BF:BF,V20,COMPRAS!DD:DD,"SI")+SUMIFS(COMPRAS!BR:BR,COMPRAS!BO:BO,V20,COMPRAS!DD:DD,"SI")+SUMIFS(COMPRAS!CA:CA,COMPRAS!BX:BX,V20,COMPRAS!DD:DD,"SI")</f>
        <v>0</v>
      </c>
      <c r="AF20" s="978"/>
      <c r="AG20" s="978"/>
      <c r="AH20" s="978"/>
      <c r="AI20" s="14"/>
      <c r="AJ20" s="270"/>
    </row>
    <row r="21" spans="1:37" ht="21" customHeight="1" outlineLevel="1" collapsed="1" x14ac:dyDescent="0.35">
      <c r="A21" s="1101"/>
      <c r="B21" s="1013"/>
      <c r="C21" s="1021"/>
      <c r="D21" s="15" t="s">
        <v>2225</v>
      </c>
      <c r="E21" s="15"/>
      <c r="F21" s="15"/>
      <c r="G21" s="15"/>
      <c r="H21" s="15"/>
      <c r="I21" s="15"/>
      <c r="J21" s="15"/>
      <c r="K21" s="15"/>
      <c r="L21" s="15"/>
      <c r="M21" s="15"/>
      <c r="N21" s="15"/>
      <c r="O21" s="15"/>
      <c r="P21" s="15"/>
      <c r="Q21" s="15"/>
      <c r="R21" s="15"/>
      <c r="S21" s="15"/>
      <c r="T21" s="15"/>
      <c r="U21" s="245"/>
      <c r="V21" s="111">
        <v>3030</v>
      </c>
      <c r="W21" s="225" t="s">
        <v>769</v>
      </c>
      <c r="X21" s="977">
        <f>SUM(X22:AA22)</f>
        <v>0</v>
      </c>
      <c r="Y21" s="978"/>
      <c r="Z21" s="978"/>
      <c r="AA21" s="978"/>
      <c r="AB21" s="130"/>
      <c r="AC21" s="111">
        <v>3530</v>
      </c>
      <c r="AD21" s="74" t="s">
        <v>769</v>
      </c>
      <c r="AE21" s="977">
        <f>SUM(AE22:AH22)</f>
        <v>0</v>
      </c>
      <c r="AF21" s="978"/>
      <c r="AG21" s="978"/>
      <c r="AH21" s="978"/>
      <c r="AI21" s="14"/>
      <c r="AJ21" s="270"/>
    </row>
    <row r="22" spans="1:37" ht="21" hidden="1" customHeight="1" outlineLevel="2" x14ac:dyDescent="0.35">
      <c r="A22" s="1101"/>
      <c r="B22" s="1013"/>
      <c r="C22" s="1021"/>
      <c r="D22" s="15"/>
      <c r="E22" s="15"/>
      <c r="F22" s="15"/>
      <c r="G22" s="15"/>
      <c r="H22" s="15"/>
      <c r="I22" s="15"/>
      <c r="J22" s="15"/>
      <c r="K22" s="15"/>
      <c r="L22" s="15"/>
      <c r="M22" s="15"/>
      <c r="N22" s="15"/>
      <c r="O22" s="15"/>
      <c r="P22" s="15"/>
      <c r="Q22" s="15"/>
      <c r="R22" s="15"/>
      <c r="S22" s="15"/>
      <c r="T22" s="15"/>
      <c r="U22" s="245" t="s">
        <v>2201</v>
      </c>
      <c r="V22" s="793" t="s">
        <v>2200</v>
      </c>
      <c r="W22" s="225"/>
      <c r="X22" s="977">
        <f>+SUMIFS(COMPRAS!BG:BG,COMPRAS!BF:BF,V22,COMPRAS!DD:DD,"SI")+SUMIFS(COMPRAS!BP:BP,COMPRAS!BO:BO,V22,COMPRAS!DD:DD,"SI")+SUMIFS(COMPRAS!BY:BY,COMPRAS!BX:BX,V22,COMPRAS!DD:DD,"SI")</f>
        <v>0</v>
      </c>
      <c r="Y22" s="978"/>
      <c r="Z22" s="978"/>
      <c r="AA22" s="978"/>
      <c r="AB22" s="130"/>
      <c r="AC22" s="226"/>
      <c r="AD22" s="74"/>
      <c r="AE22" s="977">
        <f>SUMIFS(COMPRAS!BI:BI,COMPRAS!BF:BF,V22,COMPRAS!DD:DD,"SI")+SUMIFS(COMPRAS!BR:BR,COMPRAS!BO:BO,V22,COMPRAS!DD:DD,"SI")+SUMIFS(COMPRAS!CA:CA,COMPRAS!BX:BX,V22,COMPRAS!DD:DD,"SI")</f>
        <v>0</v>
      </c>
      <c r="AF22" s="978"/>
      <c r="AG22" s="978"/>
      <c r="AH22" s="978"/>
      <c r="AI22" s="14"/>
      <c r="AJ22" s="270"/>
    </row>
    <row r="23" spans="1:37" ht="21" customHeight="1" outlineLevel="1" collapsed="1" x14ac:dyDescent="0.35">
      <c r="A23" s="1101"/>
      <c r="B23" s="1013"/>
      <c r="C23" s="1021"/>
      <c r="D23" s="15" t="s">
        <v>983</v>
      </c>
      <c r="E23" s="15"/>
      <c r="F23" s="15"/>
      <c r="G23" s="15"/>
      <c r="H23" s="15"/>
      <c r="I23" s="15"/>
      <c r="J23" s="15"/>
      <c r="K23" s="15"/>
      <c r="L23" s="15"/>
      <c r="M23" s="15"/>
      <c r="N23" s="15"/>
      <c r="O23" s="15"/>
      <c r="P23" s="15"/>
      <c r="Q23" s="15"/>
      <c r="R23" s="15"/>
      <c r="S23" s="15"/>
      <c r="T23" s="15"/>
      <c r="U23" s="130"/>
      <c r="V23" s="111">
        <v>304</v>
      </c>
      <c r="W23" s="225" t="s">
        <v>769</v>
      </c>
      <c r="X23" s="977">
        <f>SUM(X24:AA29)</f>
        <v>0</v>
      </c>
      <c r="Y23" s="978"/>
      <c r="Z23" s="978"/>
      <c r="AA23" s="978"/>
      <c r="AB23" s="130"/>
      <c r="AC23" s="226">
        <v>354</v>
      </c>
      <c r="AD23" s="74" t="s">
        <v>769</v>
      </c>
      <c r="AE23" s="977">
        <f>SUM(AE24:AH29)</f>
        <v>0</v>
      </c>
      <c r="AF23" s="978"/>
      <c r="AG23" s="978"/>
      <c r="AH23" s="978"/>
      <c r="AI23" s="14"/>
      <c r="AJ23" s="270"/>
    </row>
    <row r="24" spans="1:37" ht="21" hidden="1" customHeight="1" outlineLevel="2" x14ac:dyDescent="0.35">
      <c r="A24" s="1101"/>
      <c r="B24" s="1013"/>
      <c r="C24" s="1021"/>
      <c r="D24" s="76"/>
      <c r="E24" s="76"/>
      <c r="F24" s="15"/>
      <c r="G24" s="15"/>
      <c r="H24" s="15"/>
      <c r="I24" s="15"/>
      <c r="J24" s="15"/>
      <c r="K24" s="15"/>
      <c r="L24" s="15"/>
      <c r="M24" s="15"/>
      <c r="N24" s="15"/>
      <c r="O24" s="15"/>
      <c r="P24" s="15"/>
      <c r="Q24" s="15"/>
      <c r="R24" s="15"/>
      <c r="S24" s="15"/>
      <c r="T24" s="15"/>
      <c r="U24" s="245" t="s">
        <v>81</v>
      </c>
      <c r="V24" s="246">
        <v>304</v>
      </c>
      <c r="W24" s="225"/>
      <c r="X24" s="977">
        <f>+SUMIFS(COMPRAS!BG:BG,COMPRAS!BF:BF,V24,COMPRAS!DD:DD,"SI")+SUMIFS(COMPRAS!BP:BP,COMPRAS!BO:BO,V24,COMPRAS!DD:DD,"SI")+SUMIFS(COMPRAS!BY:BY,COMPRAS!BX:BX,V24,COMPRAS!DD:DD,"SI")</f>
        <v>0</v>
      </c>
      <c r="Y24" s="978"/>
      <c r="Z24" s="978"/>
      <c r="AA24" s="978"/>
      <c r="AB24" s="130"/>
      <c r="AC24" s="226"/>
      <c r="AD24" s="74"/>
      <c r="AE24" s="977">
        <f>SUMIFS(COMPRAS!BI:BI,COMPRAS!BF:BF,V24,COMPRAS!DD:DD,"SI")+SUMIFS(COMPRAS!BR:BR,COMPRAS!BO:BO,V24,COMPRAS!DD:DD,"SI")+SUMIFS(COMPRAS!CA:CA,COMPRAS!BX:BX,V24,COMPRAS!DD:DD,"SI")</f>
        <v>0</v>
      </c>
      <c r="AF24" s="978"/>
      <c r="AG24" s="978"/>
      <c r="AH24" s="978"/>
      <c r="AI24" s="14"/>
    </row>
    <row r="25" spans="1:37" ht="21" hidden="1" customHeight="1" outlineLevel="2" x14ac:dyDescent="0.35">
      <c r="A25" s="1101"/>
      <c r="B25" s="1013"/>
      <c r="C25" s="1021"/>
      <c r="D25" s="76"/>
      <c r="E25" s="76"/>
      <c r="F25" s="15"/>
      <c r="G25" s="15"/>
      <c r="H25" s="15"/>
      <c r="I25" s="15"/>
      <c r="J25" s="15"/>
      <c r="K25" s="15"/>
      <c r="L25" s="15"/>
      <c r="M25" s="15"/>
      <c r="N25" s="15"/>
      <c r="O25" s="15"/>
      <c r="P25" s="15"/>
      <c r="Q25" s="15"/>
      <c r="R25" s="15"/>
      <c r="S25" s="15"/>
      <c r="T25" s="15"/>
      <c r="U25" s="245" t="s">
        <v>83</v>
      </c>
      <c r="V25" s="246" t="s">
        <v>82</v>
      </c>
      <c r="W25" s="225"/>
      <c r="X25" s="977">
        <f>+SUMIFS(COMPRAS!BG:BG,COMPRAS!BF:BF,V25,COMPRAS!DD:DD,"SI")+SUMIFS(COMPRAS!BP:BP,COMPRAS!BO:BO,V25,COMPRAS!DD:DD,"SI")+SUMIFS(COMPRAS!BY:BY,COMPRAS!BX:BX,V25,COMPRAS!DD:DD,"SI")</f>
        <v>0</v>
      </c>
      <c r="Y25" s="978"/>
      <c r="Z25" s="978"/>
      <c r="AA25" s="978"/>
      <c r="AB25" s="130"/>
      <c r="AC25" s="226"/>
      <c r="AD25" s="74"/>
      <c r="AE25" s="977">
        <f>SUMIFS(COMPRAS!BI:BI,COMPRAS!BF:BF,V25,COMPRAS!DD:DD,"SI")+SUMIFS(COMPRAS!BR:BR,COMPRAS!BO:BO,V25,COMPRAS!DD:DD,"SI")+SUMIFS(COMPRAS!CA:CA,COMPRAS!BX:BX,V25,COMPRAS!DD:DD,"SI")</f>
        <v>0</v>
      </c>
      <c r="AF25" s="978"/>
      <c r="AG25" s="978"/>
      <c r="AH25" s="978"/>
      <c r="AI25" s="14"/>
    </row>
    <row r="26" spans="1:37" ht="21" hidden="1" customHeight="1" outlineLevel="2" x14ac:dyDescent="0.35">
      <c r="A26" s="1101"/>
      <c r="B26" s="1013"/>
      <c r="C26" s="1021"/>
      <c r="D26" s="76"/>
      <c r="E26" s="76"/>
      <c r="F26" s="15"/>
      <c r="G26" s="15"/>
      <c r="H26" s="15"/>
      <c r="I26" s="15"/>
      <c r="J26" s="15"/>
      <c r="K26" s="15"/>
      <c r="L26" s="15"/>
      <c r="M26" s="15"/>
      <c r="N26" s="15"/>
      <c r="O26" s="15"/>
      <c r="P26" s="15"/>
      <c r="Q26" s="15"/>
      <c r="R26" s="15"/>
      <c r="S26" s="15"/>
      <c r="T26" s="15"/>
      <c r="U26" s="245" t="s">
        <v>85</v>
      </c>
      <c r="V26" s="246" t="s">
        <v>84</v>
      </c>
      <c r="W26" s="225"/>
      <c r="X26" s="977">
        <f>+SUMIFS(COMPRAS!BG:BG,COMPRAS!BF:BF,V26,COMPRAS!DD:DD,"SI")+SUMIFS(COMPRAS!BP:BP,COMPRAS!BO:BO,V26,COMPRAS!DD:DD,"SI")+SUMIFS(COMPRAS!BY:BY,COMPRAS!BX:BX,V26,COMPRAS!DD:DD,"SI")</f>
        <v>0</v>
      </c>
      <c r="Y26" s="978"/>
      <c r="Z26" s="978"/>
      <c r="AA26" s="978"/>
      <c r="AB26" s="130"/>
      <c r="AC26" s="226"/>
      <c r="AD26" s="74"/>
      <c r="AE26" s="977">
        <f>SUMIFS(COMPRAS!BI:BI,COMPRAS!BF:BF,V26,COMPRAS!DD:DD,"SI")+SUMIFS(COMPRAS!BR:BR,COMPRAS!BO:BO,V26,COMPRAS!DD:DD,"SI")+SUMIFS(COMPRAS!CA:CA,COMPRAS!BX:BX,V26,COMPRAS!DD:DD,"SI")</f>
        <v>0</v>
      </c>
      <c r="AF26" s="978"/>
      <c r="AG26" s="978"/>
      <c r="AH26" s="978"/>
      <c r="AI26" s="14"/>
    </row>
    <row r="27" spans="1:37" ht="21" hidden="1" customHeight="1" outlineLevel="2" x14ac:dyDescent="0.35">
      <c r="A27" s="1101"/>
      <c r="B27" s="1013"/>
      <c r="C27" s="1021"/>
      <c r="D27" s="76"/>
      <c r="E27" s="76"/>
      <c r="F27" s="15"/>
      <c r="G27" s="15"/>
      <c r="H27" s="15"/>
      <c r="I27" s="15"/>
      <c r="J27" s="15"/>
      <c r="K27" s="15"/>
      <c r="L27" s="15"/>
      <c r="M27" s="15"/>
      <c r="N27" s="15"/>
      <c r="O27" s="15"/>
      <c r="P27" s="15"/>
      <c r="Q27" s="15"/>
      <c r="R27" s="15"/>
      <c r="S27" s="15"/>
      <c r="T27" s="15"/>
      <c r="U27" s="245" t="s">
        <v>87</v>
      </c>
      <c r="V27" s="246" t="s">
        <v>86</v>
      </c>
      <c r="W27" s="225"/>
      <c r="X27" s="977">
        <f>+SUMIFS(COMPRAS!BG:BG,COMPRAS!BF:BF,V27,COMPRAS!DD:DD,"SI")+SUMIFS(COMPRAS!BP:BP,COMPRAS!BO:BO,V27,COMPRAS!DD:DD,"SI")+SUMIFS(COMPRAS!BY:BY,COMPRAS!BX:BX,V27,COMPRAS!DD:DD,"SI")</f>
        <v>0</v>
      </c>
      <c r="Y27" s="978"/>
      <c r="Z27" s="978"/>
      <c r="AA27" s="978"/>
      <c r="AB27" s="130"/>
      <c r="AC27" s="226"/>
      <c r="AD27" s="74"/>
      <c r="AE27" s="977">
        <f>SUMIFS(COMPRAS!BI:BI,COMPRAS!BF:BF,V27,COMPRAS!DD:DD,"SI")+SUMIFS(COMPRAS!BR:BR,COMPRAS!BO:BO,V27,COMPRAS!DD:DD,"SI")+SUMIFS(COMPRAS!CA:CA,COMPRAS!BX:BX,V27,COMPRAS!DD:DD,"SI")</f>
        <v>0</v>
      </c>
      <c r="AF27" s="978"/>
      <c r="AG27" s="978"/>
      <c r="AH27" s="978"/>
      <c r="AI27" s="14"/>
    </row>
    <row r="28" spans="1:37" ht="21" hidden="1" customHeight="1" outlineLevel="2" x14ac:dyDescent="0.35">
      <c r="A28" s="1101"/>
      <c r="B28" s="1013"/>
      <c r="C28" s="1021"/>
      <c r="D28" s="76"/>
      <c r="E28" s="76"/>
      <c r="F28" s="15"/>
      <c r="G28" s="15"/>
      <c r="H28" s="15"/>
      <c r="I28" s="15"/>
      <c r="J28" s="15"/>
      <c r="K28" s="15"/>
      <c r="L28" s="15"/>
      <c r="M28" s="15"/>
      <c r="N28" s="15"/>
      <c r="O28" s="15"/>
      <c r="P28" s="15"/>
      <c r="Q28" s="15"/>
      <c r="R28" s="15"/>
      <c r="S28" s="15"/>
      <c r="T28" s="15"/>
      <c r="U28" s="245" t="s">
        <v>89</v>
      </c>
      <c r="V28" s="246" t="s">
        <v>88</v>
      </c>
      <c r="W28" s="225"/>
      <c r="X28" s="977">
        <f>+SUMIFS(COMPRAS!BG:BG,COMPRAS!BF:BF,V28,COMPRAS!DD:DD,"SI")+SUMIFS(COMPRAS!BP:BP,COMPRAS!BO:BO,V28,COMPRAS!DD:DD,"SI")+SUMIFS(COMPRAS!BY:BY,COMPRAS!BX:BX,V28,COMPRAS!DD:DD,"SI")</f>
        <v>0</v>
      </c>
      <c r="Y28" s="978"/>
      <c r="Z28" s="978"/>
      <c r="AA28" s="978"/>
      <c r="AB28" s="130"/>
      <c r="AC28" s="226"/>
      <c r="AD28" s="74"/>
      <c r="AE28" s="977">
        <f>SUMIFS(COMPRAS!BI:BI,COMPRAS!BF:BF,V28,COMPRAS!DD:DD,"SI")+SUMIFS(COMPRAS!BR:BR,COMPRAS!BO:BO,V28,COMPRAS!DD:DD,"SI")+SUMIFS(COMPRAS!CA:CA,COMPRAS!BX:BX,V28,COMPRAS!DD:DD,"SI")</f>
        <v>0</v>
      </c>
      <c r="AF28" s="978"/>
      <c r="AG28" s="978"/>
      <c r="AH28" s="978"/>
      <c r="AI28" s="14"/>
    </row>
    <row r="29" spans="1:37" ht="21" hidden="1" customHeight="1" outlineLevel="2" x14ac:dyDescent="0.35">
      <c r="A29" s="1101"/>
      <c r="B29" s="1013"/>
      <c r="C29" s="1021"/>
      <c r="D29" s="76"/>
      <c r="E29" s="76"/>
      <c r="F29" s="15"/>
      <c r="G29" s="15"/>
      <c r="H29" s="15"/>
      <c r="I29" s="15"/>
      <c r="J29" s="15"/>
      <c r="K29" s="15"/>
      <c r="L29" s="15"/>
      <c r="M29" s="15"/>
      <c r="N29" s="15"/>
      <c r="O29" s="15"/>
      <c r="P29" s="15"/>
      <c r="Q29" s="15"/>
      <c r="R29" s="15"/>
      <c r="S29" s="15"/>
      <c r="T29" s="15"/>
      <c r="U29" s="245" t="s">
        <v>91</v>
      </c>
      <c r="V29" s="246" t="s">
        <v>90</v>
      </c>
      <c r="W29" s="225"/>
      <c r="X29" s="977">
        <f>+SUMIFS(COMPRAS!BG:BG,COMPRAS!BF:BF,V29,COMPRAS!DD:DD,"SI")+SUMIFS(COMPRAS!BP:BP,COMPRAS!BO:BO,V29,COMPRAS!DD:DD,"SI")+SUMIFS(COMPRAS!BY:BY,COMPRAS!BX:BX,V29,COMPRAS!DD:DD,"SI")</f>
        <v>0</v>
      </c>
      <c r="Y29" s="978"/>
      <c r="Z29" s="978"/>
      <c r="AA29" s="978"/>
      <c r="AB29" s="130"/>
      <c r="AC29" s="226"/>
      <c r="AD29" s="74"/>
      <c r="AE29" s="977">
        <f>SUMIFS(COMPRAS!BI:BI,COMPRAS!BF:BF,V29,COMPRAS!DD:DD,"SI")+SUMIFS(COMPRAS!BR:BR,COMPRAS!BO:BO,V29,COMPRAS!DD:DD,"SI")+SUMIFS(COMPRAS!CA:CA,COMPRAS!BX:BX,V29,COMPRAS!DD:DD,"SI")</f>
        <v>0</v>
      </c>
      <c r="AF29" s="978"/>
      <c r="AG29" s="978"/>
      <c r="AH29" s="978"/>
      <c r="AI29" s="14"/>
    </row>
    <row r="30" spans="1:37" ht="21" customHeight="1" outlineLevel="1" collapsed="1" x14ac:dyDescent="0.35">
      <c r="A30" s="1101"/>
      <c r="B30" s="1013"/>
      <c r="C30" s="1021"/>
      <c r="D30" s="15" t="s">
        <v>982</v>
      </c>
      <c r="E30" s="15"/>
      <c r="F30" s="15"/>
      <c r="G30" s="15"/>
      <c r="H30" s="15"/>
      <c r="I30" s="15"/>
      <c r="J30" s="15"/>
      <c r="K30" s="15"/>
      <c r="L30" s="15"/>
      <c r="M30" s="15"/>
      <c r="N30" s="15"/>
      <c r="O30" s="15"/>
      <c r="P30" s="15"/>
      <c r="Q30" s="15"/>
      <c r="R30" s="15"/>
      <c r="S30" s="15"/>
      <c r="T30" s="15"/>
      <c r="U30" s="130"/>
      <c r="V30" s="111">
        <v>307</v>
      </c>
      <c r="W30" s="225" t="s">
        <v>769</v>
      </c>
      <c r="X30" s="977">
        <f>+SUMIFS(COMPRAS!BG:BG,COMPRAS!BF:BF,V30,COMPRAS!DD:DD,"SI")+SUMIFS(COMPRAS!BP:BP,COMPRAS!BO:BO,V30,COMPRAS!DD:DD,"SI")+SUMIFS(COMPRAS!BY:BY,COMPRAS!BX:BX,V30,COMPRAS!DD:DD,"SI")</f>
        <v>0</v>
      </c>
      <c r="Y30" s="978"/>
      <c r="Z30" s="978"/>
      <c r="AA30" s="978"/>
      <c r="AB30" s="130"/>
      <c r="AC30" s="111">
        <v>357</v>
      </c>
      <c r="AD30" s="74" t="s">
        <v>769</v>
      </c>
      <c r="AE30" s="977">
        <f>SUMIFS(COMPRAS!BI:BI,COMPRAS!BF:BF,V30,COMPRAS!DD:DD,"SI")+SUMIFS(COMPRAS!BR:BR,COMPRAS!BO:BO,V30,COMPRAS!DD:DD,"SI")+SUMIFS(COMPRAS!CA:CA,COMPRAS!BX:BX,V30,COMPRAS!DD:DD,"SI")</f>
        <v>0</v>
      </c>
      <c r="AF30" s="978"/>
      <c r="AG30" s="978"/>
      <c r="AH30" s="978"/>
      <c r="AI30" s="14"/>
      <c r="AJ30" s="270"/>
    </row>
    <row r="31" spans="1:37" ht="21" customHeight="1" outlineLevel="1" x14ac:dyDescent="0.35">
      <c r="A31" s="1101"/>
      <c r="B31" s="1013"/>
      <c r="C31" s="1021"/>
      <c r="D31" s="15" t="s">
        <v>981</v>
      </c>
      <c r="E31" s="15"/>
      <c r="F31" s="15"/>
      <c r="G31" s="15"/>
      <c r="H31" s="15"/>
      <c r="I31" s="15"/>
      <c r="J31" s="15"/>
      <c r="K31" s="15"/>
      <c r="L31" s="15"/>
      <c r="M31" s="15"/>
      <c r="N31" s="15"/>
      <c r="O31" s="15"/>
      <c r="P31" s="15"/>
      <c r="Q31" s="15"/>
      <c r="R31" s="15"/>
      <c r="S31" s="15"/>
      <c r="T31" s="15"/>
      <c r="U31" s="130"/>
      <c r="V31" s="111">
        <v>308</v>
      </c>
      <c r="W31" s="225" t="s">
        <v>769</v>
      </c>
      <c r="X31" s="977">
        <f>+SUMIFS(COMPRAS!BG:BG,COMPRAS!BF:BF,V31,COMPRAS!DD:DD,"SI")+SUMIFS(COMPRAS!BP:BP,COMPRAS!BO:BO,V31,COMPRAS!DD:DD,"SI")+SUMIFS(COMPRAS!BY:BY,COMPRAS!BX:BX,V31,COMPRAS!DD:DD,"SI")</f>
        <v>0</v>
      </c>
      <c r="Y31" s="978"/>
      <c r="Z31" s="978"/>
      <c r="AA31" s="978"/>
      <c r="AB31" s="130"/>
      <c r="AC31" s="111">
        <v>358</v>
      </c>
      <c r="AD31" s="74" t="s">
        <v>769</v>
      </c>
      <c r="AE31" s="977">
        <f>SUMIFS(COMPRAS!BI:BI,COMPRAS!BF:BF,V31,COMPRAS!DD:DD,"SI")+SUMIFS(COMPRAS!BR:BR,COMPRAS!BO:BO,V31,COMPRAS!DD:DD,"SI")+SUMIFS(COMPRAS!CA:CA,COMPRAS!BX:BX,V31,COMPRAS!DD:DD,"SI")</f>
        <v>0</v>
      </c>
      <c r="AF31" s="978"/>
      <c r="AG31" s="978"/>
      <c r="AH31" s="978"/>
      <c r="AI31" s="14"/>
      <c r="AJ31" s="270"/>
    </row>
    <row r="32" spans="1:37" ht="21" customHeight="1" outlineLevel="1" x14ac:dyDescent="0.35">
      <c r="A32" s="1101"/>
      <c r="B32" s="1013"/>
      <c r="C32" s="1021"/>
      <c r="D32" s="15" t="s">
        <v>980</v>
      </c>
      <c r="E32" s="15"/>
      <c r="F32" s="15"/>
      <c r="G32" s="15"/>
      <c r="H32" s="15"/>
      <c r="I32" s="15"/>
      <c r="J32" s="15"/>
      <c r="K32" s="15"/>
      <c r="L32" s="15"/>
      <c r="M32" s="15"/>
      <c r="N32" s="15"/>
      <c r="O32" s="15"/>
      <c r="P32" s="15"/>
      <c r="Q32" s="15"/>
      <c r="R32" s="15"/>
      <c r="S32" s="15"/>
      <c r="T32" s="15"/>
      <c r="U32" s="130"/>
      <c r="V32" s="111">
        <v>309</v>
      </c>
      <c r="W32" s="225" t="s">
        <v>769</v>
      </c>
      <c r="X32" s="977">
        <f>+SUMIFS(COMPRAS!BG:BG,COMPRAS!BF:BF,V32,COMPRAS!DD:DD,"SI")+SUMIFS(COMPRAS!BP:BP,COMPRAS!BO:BO,V32,COMPRAS!DD:DD,"SI")+SUMIFS(COMPRAS!BY:BY,COMPRAS!BX:BX,V32,COMPRAS!DD:DD,"SI")</f>
        <v>795</v>
      </c>
      <c r="Y32" s="978"/>
      <c r="Z32" s="978"/>
      <c r="AA32" s="978"/>
      <c r="AB32" s="130"/>
      <c r="AC32" s="111">
        <v>359</v>
      </c>
      <c r="AD32" s="74" t="s">
        <v>769</v>
      </c>
      <c r="AE32" s="977">
        <f>SUMIFS(COMPRAS!BI:BI,COMPRAS!BF:BF,V32,COMPRAS!DD:DD,"SI")+SUMIFS(COMPRAS!BR:BR,COMPRAS!BO:BO,V32,COMPRAS!DD:DD,"SI")+SUMIFS(COMPRAS!CA:CA,COMPRAS!BX:BX,V32,COMPRAS!DD:DD,"SI")</f>
        <v>23.85</v>
      </c>
      <c r="AF32" s="978"/>
      <c r="AG32" s="978"/>
      <c r="AH32" s="978"/>
      <c r="AI32" s="14"/>
      <c r="AJ32" s="270"/>
    </row>
    <row r="33" spans="1:36" ht="21" customHeight="1" outlineLevel="1" x14ac:dyDescent="0.35">
      <c r="A33" s="1102"/>
      <c r="B33" s="1103"/>
      <c r="C33" s="1104"/>
      <c r="D33" s="15" t="s">
        <v>979</v>
      </c>
      <c r="E33" s="15"/>
      <c r="F33" s="15"/>
      <c r="G33" s="15"/>
      <c r="H33" s="15"/>
      <c r="I33" s="15"/>
      <c r="J33" s="15"/>
      <c r="K33" s="15"/>
      <c r="L33" s="15"/>
      <c r="M33" s="15"/>
      <c r="N33" s="15"/>
      <c r="O33" s="15"/>
      <c r="P33" s="15"/>
      <c r="Q33" s="15"/>
      <c r="R33" s="15"/>
      <c r="S33" s="15"/>
      <c r="T33" s="15"/>
      <c r="U33" s="130"/>
      <c r="V33" s="111">
        <v>310</v>
      </c>
      <c r="W33" s="225" t="s">
        <v>769</v>
      </c>
      <c r="X33" s="977">
        <f>+SUMIFS(COMPRAS!BG:BG,COMPRAS!BF:BF,V33,COMPRAS!DD:DD,"SI")+SUMIFS(COMPRAS!BP:BP,COMPRAS!BO:BO,V33,COMPRAS!DD:DD,"SI")+SUMIFS(COMPRAS!BY:BY,COMPRAS!BX:BX,V33,COMPRAS!DD:DD,"SI")</f>
        <v>0</v>
      </c>
      <c r="Y33" s="978"/>
      <c r="Z33" s="978"/>
      <c r="AA33" s="978"/>
      <c r="AB33" s="130"/>
      <c r="AC33" s="226">
        <v>360</v>
      </c>
      <c r="AD33" s="74" t="s">
        <v>769</v>
      </c>
      <c r="AE33" s="977">
        <f>SUMIFS(COMPRAS!BI:BI,COMPRAS!BF:BF,V33,COMPRAS!DD:DD,"SI")+SUMIFS(COMPRAS!BR:BR,COMPRAS!BO:BO,V33,COMPRAS!DD:DD,"SI")+SUMIFS(COMPRAS!CA:CA,COMPRAS!BX:BX,V33,COMPRAS!DD:DD,"SI")</f>
        <v>0</v>
      </c>
      <c r="AF33" s="978"/>
      <c r="AG33" s="978"/>
      <c r="AH33" s="978"/>
      <c r="AI33" s="14"/>
      <c r="AJ33" s="270"/>
    </row>
    <row r="34" spans="1:36" ht="21" customHeight="1" outlineLevel="1" thickBot="1" x14ac:dyDescent="0.4">
      <c r="A34" s="41" t="s">
        <v>978</v>
      </c>
      <c r="B34" s="37"/>
      <c r="C34" s="37"/>
      <c r="D34" s="37"/>
      <c r="E34" s="15"/>
      <c r="F34" s="15"/>
      <c r="G34" s="15"/>
      <c r="H34" s="15"/>
      <c r="I34" s="15"/>
      <c r="J34" s="15"/>
      <c r="K34" s="15"/>
      <c r="L34" s="15"/>
      <c r="M34" s="15"/>
      <c r="N34" s="15"/>
      <c r="O34" s="15"/>
      <c r="P34" s="15"/>
      <c r="Q34" s="15"/>
      <c r="R34" s="15"/>
      <c r="S34" s="15"/>
      <c r="T34" s="15"/>
      <c r="U34" s="130"/>
      <c r="V34" s="54">
        <v>311</v>
      </c>
      <c r="W34" s="225" t="s">
        <v>769</v>
      </c>
      <c r="X34" s="977">
        <f>+SUMIFS(COMPRAS!BG:BG,COMPRAS!BF:BF,V34,COMPRAS!DD:DD,"SI")+SUMIFS(COMPRAS!BP:BP,COMPRAS!BO:BO,V34,COMPRAS!DD:DD,"SI")+SUMIFS(COMPRAS!BY:BY,COMPRAS!BX:BX,V34,COMPRAS!DD:DD,"SI")</f>
        <v>0</v>
      </c>
      <c r="Y34" s="978"/>
      <c r="Z34" s="978"/>
      <c r="AA34" s="978"/>
      <c r="AB34" s="130"/>
      <c r="AC34" s="226">
        <v>361</v>
      </c>
      <c r="AD34" s="74" t="s">
        <v>769</v>
      </c>
      <c r="AE34" s="977">
        <f>SUMIFS(COMPRAS!BI:BI,COMPRAS!BF:BF,V34,COMPRAS!DD:DD,"SI")+SUMIFS(COMPRAS!BR:BR,COMPRAS!BO:BO,V34,COMPRAS!DD:DD,"SI")+SUMIFS(COMPRAS!CA:CA,COMPRAS!BX:BX,V34,COMPRAS!DD:DD,"SI")</f>
        <v>0</v>
      </c>
      <c r="AF34" s="978"/>
      <c r="AG34" s="978"/>
      <c r="AH34" s="978"/>
      <c r="AI34" s="14"/>
      <c r="AJ34" s="270"/>
    </row>
    <row r="35" spans="1:36" ht="21" customHeight="1" outlineLevel="1" thickBot="1" x14ac:dyDescent="0.4">
      <c r="A35" s="981" t="s">
        <v>2239</v>
      </c>
      <c r="B35" s="982"/>
      <c r="C35" s="982"/>
      <c r="D35" s="982"/>
      <c r="E35" s="982"/>
      <c r="F35" s="982"/>
      <c r="G35" s="982"/>
      <c r="H35" s="982"/>
      <c r="I35" s="982"/>
      <c r="J35" s="982"/>
      <c r="K35" s="982"/>
      <c r="L35" s="982"/>
      <c r="M35" s="982"/>
      <c r="N35" s="982"/>
      <c r="O35" s="982"/>
      <c r="P35" s="982"/>
      <c r="Q35" s="982"/>
      <c r="R35" s="982"/>
      <c r="S35" s="982"/>
      <c r="T35" s="982"/>
      <c r="U35" s="982"/>
      <c r="V35" s="982"/>
      <c r="W35" s="982"/>
      <c r="X35" s="982"/>
      <c r="Y35" s="982"/>
      <c r="Z35" s="982"/>
      <c r="AA35" s="982"/>
      <c r="AB35" s="982"/>
      <c r="AC35" s="982"/>
      <c r="AD35" s="982"/>
      <c r="AE35" s="982"/>
      <c r="AF35" s="982"/>
      <c r="AG35" s="982"/>
      <c r="AH35" s="982"/>
      <c r="AI35" s="983"/>
    </row>
    <row r="36" spans="1:36" ht="21" customHeight="1" outlineLevel="1" x14ac:dyDescent="0.35">
      <c r="A36" s="41" t="s">
        <v>977</v>
      </c>
      <c r="B36" s="37"/>
      <c r="C36" s="37"/>
      <c r="D36" s="37"/>
      <c r="E36" s="15"/>
      <c r="F36" s="15"/>
      <c r="G36" s="15"/>
      <c r="H36" s="15"/>
      <c r="I36" s="15"/>
      <c r="J36" s="15"/>
      <c r="K36" s="15"/>
      <c r="L36" s="15"/>
      <c r="M36" s="15"/>
      <c r="N36" s="15"/>
      <c r="O36" s="15"/>
      <c r="P36" s="15"/>
      <c r="Q36" s="15"/>
      <c r="R36" s="15"/>
      <c r="S36" s="15"/>
      <c r="T36" s="15"/>
      <c r="U36" s="130"/>
      <c r="V36" s="54">
        <v>312</v>
      </c>
      <c r="W36" s="225" t="s">
        <v>769</v>
      </c>
      <c r="X36" s="977">
        <f>SUM(X37:AA37)</f>
        <v>16503.36</v>
      </c>
      <c r="Y36" s="978"/>
      <c r="Z36" s="978"/>
      <c r="AA36" s="978"/>
      <c r="AB36" s="130"/>
      <c r="AC36" s="226">
        <v>362</v>
      </c>
      <c r="AD36" s="74" t="s">
        <v>769</v>
      </c>
      <c r="AE36" s="977">
        <f>SUM(AE37:AH37)</f>
        <v>330.06999999999994</v>
      </c>
      <c r="AF36" s="978"/>
      <c r="AG36" s="978"/>
      <c r="AH36" s="978"/>
      <c r="AI36" s="14"/>
      <c r="AJ36" s="270"/>
    </row>
    <row r="37" spans="1:36" ht="21" customHeight="1" outlineLevel="2" x14ac:dyDescent="0.35">
      <c r="A37" s="247"/>
      <c r="B37" s="37"/>
      <c r="C37" s="37"/>
      <c r="D37" s="37"/>
      <c r="E37" s="15"/>
      <c r="F37" s="15"/>
      <c r="G37" s="15"/>
      <c r="H37" s="15"/>
      <c r="I37" s="15"/>
      <c r="J37" s="15"/>
      <c r="K37" s="15"/>
      <c r="L37" s="15"/>
      <c r="M37" s="15"/>
      <c r="N37" s="15"/>
      <c r="O37" s="15"/>
      <c r="P37" s="15"/>
      <c r="Q37" s="15"/>
      <c r="R37" s="15"/>
      <c r="S37" s="15"/>
      <c r="T37" s="15"/>
      <c r="U37" s="245" t="s">
        <v>95</v>
      </c>
      <c r="V37" s="246">
        <v>312</v>
      </c>
      <c r="W37" s="225"/>
      <c r="X37" s="977">
        <f>+SUMIFS(COMPRAS!BG:BG,COMPRAS!BF:BF,V37,COMPRAS!DD:DD,"SI")+SUMIFS(COMPRAS!BP:BP,COMPRAS!BO:BO,V37,COMPRAS!DD:DD,"SI")+SUMIFS(COMPRAS!BY:BY,COMPRAS!BX:BX,V37,COMPRAS!DD:DD,"SI")</f>
        <v>16503.36</v>
      </c>
      <c r="Y37" s="978"/>
      <c r="Z37" s="978"/>
      <c r="AA37" s="978"/>
      <c r="AB37" s="130"/>
      <c r="AC37" s="226"/>
      <c r="AD37" s="74"/>
      <c r="AE37" s="977">
        <f>SUMIFS(COMPRAS!BI:BI,COMPRAS!BF:BF,V37,COMPRAS!DD:DD,"SI")+SUMIFS(COMPRAS!BR:BR,COMPRAS!BO:BO,V37,COMPRAS!DD:DD,"SI")+SUMIFS(COMPRAS!CA:CA,COMPRAS!BX:BX,V37,COMPRAS!DD:DD,"SI")</f>
        <v>330.06999999999994</v>
      </c>
      <c r="AF37" s="978"/>
      <c r="AG37" s="978"/>
      <c r="AH37" s="978"/>
      <c r="AI37" s="14"/>
    </row>
    <row r="38" spans="1:36" ht="21" customHeight="1" outlineLevel="1" x14ac:dyDescent="0.35">
      <c r="A38" s="41" t="s">
        <v>939</v>
      </c>
      <c r="B38" s="15"/>
      <c r="C38" s="15"/>
      <c r="D38" s="15"/>
      <c r="E38" s="15"/>
      <c r="F38" s="15"/>
      <c r="G38" s="15"/>
      <c r="H38" s="15"/>
      <c r="I38" s="15"/>
      <c r="J38" s="15"/>
      <c r="K38" s="15"/>
      <c r="L38" s="15"/>
      <c r="M38" s="15"/>
      <c r="N38" s="15"/>
      <c r="O38" s="15"/>
      <c r="P38" s="15"/>
      <c r="Q38" s="15"/>
      <c r="R38" s="15"/>
      <c r="S38" s="15"/>
      <c r="T38" s="15"/>
      <c r="U38" s="130"/>
      <c r="V38" s="54">
        <v>322</v>
      </c>
      <c r="W38" s="225" t="s">
        <v>769</v>
      </c>
      <c r="X38" s="977">
        <f>+SUMIFS(COMPRAS!BG:BG,COMPRAS!BF:BF,V38,COMPRAS!DD:DD,"SI")+SUMIFS(COMPRAS!BP:BP,COMPRAS!BO:BO,V38,COMPRAS!DD:DD,"SI")+SUMIFS(COMPRAS!BY:BY,COMPRAS!BX:BX,V38,COMPRAS!DD:DD,"SI")</f>
        <v>0</v>
      </c>
      <c r="Y38" s="978"/>
      <c r="Z38" s="978"/>
      <c r="AA38" s="978"/>
      <c r="AB38" s="130"/>
      <c r="AC38" s="111">
        <v>372</v>
      </c>
      <c r="AD38" s="74" t="s">
        <v>769</v>
      </c>
      <c r="AE38" s="977">
        <f>SUMIFS(COMPRAS!BI:BI,COMPRAS!BF:BF,V38,COMPRAS!DD:DD,"SI")+SUMIFS(COMPRAS!BR:BR,COMPRAS!BO:BO,V38,COMPRAS!DD:DD,"SI")+SUMIFS(COMPRAS!CA:CA,COMPRAS!BX:BX,V38,COMPRAS!DD:DD,"SI")</f>
        <v>0</v>
      </c>
      <c r="AF38" s="978"/>
      <c r="AG38" s="978"/>
      <c r="AH38" s="978"/>
      <c r="AI38" s="14"/>
      <c r="AJ38" s="270"/>
    </row>
    <row r="39" spans="1:36" ht="21" customHeight="1" outlineLevel="1" x14ac:dyDescent="0.35">
      <c r="A39" s="832" t="s">
        <v>2244</v>
      </c>
      <c r="B39" s="37"/>
      <c r="C39" s="37"/>
      <c r="D39" s="37"/>
      <c r="E39" s="15"/>
      <c r="F39" s="15"/>
      <c r="G39" s="15"/>
      <c r="H39" s="15"/>
      <c r="I39" s="15"/>
      <c r="J39" s="15"/>
      <c r="K39" s="15"/>
      <c r="L39" s="15"/>
      <c r="M39" s="15"/>
      <c r="N39" s="15"/>
      <c r="O39" s="15"/>
      <c r="P39" s="15"/>
      <c r="Q39" s="15"/>
      <c r="R39" s="15"/>
      <c r="S39" s="15"/>
      <c r="T39" s="15"/>
      <c r="U39" s="130"/>
      <c r="V39" s="54">
        <v>3120</v>
      </c>
      <c r="W39" s="225" t="s">
        <v>769</v>
      </c>
      <c r="X39" s="977">
        <f>SUM(X40:AA40)</f>
        <v>0</v>
      </c>
      <c r="Y39" s="978"/>
      <c r="Z39" s="978"/>
      <c r="AA39" s="978"/>
      <c r="AB39" s="130"/>
      <c r="AC39" s="226">
        <v>3620</v>
      </c>
      <c r="AD39" s="74" t="s">
        <v>769</v>
      </c>
      <c r="AE39" s="977">
        <f>SUM(AE40:AH40)</f>
        <v>0</v>
      </c>
      <c r="AF39" s="978"/>
      <c r="AG39" s="978"/>
      <c r="AH39" s="978"/>
      <c r="AI39" s="14"/>
      <c r="AJ39" s="270"/>
    </row>
    <row r="40" spans="1:36" ht="21" customHeight="1" outlineLevel="2" x14ac:dyDescent="0.35">
      <c r="A40" s="247"/>
      <c r="B40" s="37"/>
      <c r="C40" s="37"/>
      <c r="D40" s="37"/>
      <c r="E40" s="15"/>
      <c r="F40" s="15"/>
      <c r="G40" s="15"/>
      <c r="H40" s="15"/>
      <c r="I40" s="15"/>
      <c r="J40" s="15"/>
      <c r="K40" s="15"/>
      <c r="L40" s="15"/>
      <c r="M40" s="15"/>
      <c r="N40" s="15"/>
      <c r="O40" s="15"/>
      <c r="P40" s="15"/>
      <c r="Q40" s="15"/>
      <c r="R40" s="15"/>
      <c r="S40" s="15"/>
      <c r="T40" s="15"/>
      <c r="U40" s="245" t="s">
        <v>2226</v>
      </c>
      <c r="V40" s="246" t="s">
        <v>96</v>
      </c>
      <c r="W40" s="225"/>
      <c r="X40" s="977">
        <f>+SUMIFS(COMPRAS!BG:BG,COMPRAS!BF:BF,V40,COMPRAS!DD:DD,"SI")+SUMIFS(COMPRAS!BP:BP,COMPRAS!BO:BO,V40,COMPRAS!DD:DD,"SI")+SUMIFS(COMPRAS!BY:BY,COMPRAS!BX:BX,V40,COMPRAS!DD:DD,"SI")</f>
        <v>0</v>
      </c>
      <c r="Y40" s="978"/>
      <c r="Z40" s="978"/>
      <c r="AA40" s="978"/>
      <c r="AB40" s="130"/>
      <c r="AC40" s="226"/>
      <c r="AD40" s="74"/>
      <c r="AE40" s="977">
        <f>SUMIFS(COMPRAS!BI:BI,COMPRAS!BF:BF,V40,COMPRAS!DD:DD,"SI")+SUMIFS(COMPRAS!BR:BR,COMPRAS!BO:BO,V40,COMPRAS!DD:DD,"SI")+SUMIFS(COMPRAS!CA:CA,COMPRAS!BX:BX,V40,COMPRAS!DD:DD,"SI")</f>
        <v>0</v>
      </c>
      <c r="AF40" s="978"/>
      <c r="AG40" s="978"/>
      <c r="AH40" s="978"/>
      <c r="AI40" s="14"/>
    </row>
    <row r="41" spans="1:36" ht="21" customHeight="1" outlineLevel="1" x14ac:dyDescent="0.35">
      <c r="A41" s="832" t="s">
        <v>2243</v>
      </c>
      <c r="B41" s="37"/>
      <c r="C41" s="37"/>
      <c r="D41" s="37"/>
      <c r="E41" s="15"/>
      <c r="F41" s="15"/>
      <c r="G41" s="15"/>
      <c r="H41" s="15"/>
      <c r="I41" s="15"/>
      <c r="J41" s="15"/>
      <c r="K41" s="15"/>
      <c r="L41" s="15"/>
      <c r="M41" s="15"/>
      <c r="N41" s="15"/>
      <c r="O41" s="15"/>
      <c r="P41" s="15"/>
      <c r="Q41" s="15"/>
      <c r="R41" s="15"/>
      <c r="S41" s="15"/>
      <c r="T41" s="15"/>
      <c r="U41" s="130"/>
      <c r="V41" s="54">
        <v>3121</v>
      </c>
      <c r="W41" s="225" t="s">
        <v>769</v>
      </c>
      <c r="X41" s="977">
        <f>SUM(X42:AA42)</f>
        <v>0</v>
      </c>
      <c r="Y41" s="978"/>
      <c r="Z41" s="978"/>
      <c r="AA41" s="978"/>
      <c r="AB41" s="130"/>
      <c r="AC41" s="226">
        <v>3621</v>
      </c>
      <c r="AD41" s="74" t="s">
        <v>769</v>
      </c>
      <c r="AE41" s="977">
        <f>SUM(AE42:AH42)</f>
        <v>0</v>
      </c>
      <c r="AF41" s="978"/>
      <c r="AG41" s="978"/>
      <c r="AH41" s="978"/>
      <c r="AI41" s="14"/>
      <c r="AJ41" s="270"/>
    </row>
    <row r="42" spans="1:36" ht="21" customHeight="1" outlineLevel="2" x14ac:dyDescent="0.35">
      <c r="A42" s="247"/>
      <c r="B42" s="37"/>
      <c r="C42" s="37"/>
      <c r="D42" s="37"/>
      <c r="E42" s="15"/>
      <c r="F42" s="15"/>
      <c r="G42" s="15"/>
      <c r="H42" s="15"/>
      <c r="I42" s="15"/>
      <c r="J42" s="15"/>
      <c r="K42" s="15"/>
      <c r="L42" s="15"/>
      <c r="M42" s="15"/>
      <c r="N42" s="15"/>
      <c r="O42" s="15"/>
      <c r="P42" s="15"/>
      <c r="Q42" s="15"/>
      <c r="R42" s="15"/>
      <c r="S42" s="15"/>
      <c r="T42" s="15"/>
      <c r="U42" s="245" t="s">
        <v>2214</v>
      </c>
      <c r="V42" s="246" t="s">
        <v>2205</v>
      </c>
      <c r="W42" s="225"/>
      <c r="X42" s="977">
        <f>+SUMIFS(COMPRAS!BG:BG,COMPRAS!BF:BF,V42,COMPRAS!DD:DD,"SI")+SUMIFS(COMPRAS!BP:BP,COMPRAS!BO:BO,V42,COMPRAS!DD:DD,"SI")+SUMIFS(COMPRAS!BY:BY,COMPRAS!BX:BX,V42,COMPRAS!DD:DD,"SI")</f>
        <v>0</v>
      </c>
      <c r="Y42" s="978"/>
      <c r="Z42" s="978"/>
      <c r="AA42" s="978"/>
      <c r="AB42" s="130"/>
      <c r="AC42" s="226"/>
      <c r="AD42" s="74"/>
      <c r="AE42" s="977">
        <f>SUMIFS(COMPRAS!BI:BI,COMPRAS!BF:BF,V42,COMPRAS!DD:DD,"SI")+SUMIFS(COMPRAS!BR:BR,COMPRAS!BO:BO,V42,COMPRAS!DD:DD,"SI")+SUMIFS(COMPRAS!CA:CA,COMPRAS!BX:BX,V42,COMPRAS!DD:DD,"SI")</f>
        <v>0</v>
      </c>
      <c r="AF42" s="978"/>
      <c r="AG42" s="978"/>
      <c r="AH42" s="978"/>
      <c r="AI42" s="14"/>
    </row>
    <row r="43" spans="1:36" ht="21" customHeight="1" outlineLevel="1" x14ac:dyDescent="0.35">
      <c r="A43" s="832" t="s">
        <v>2240</v>
      </c>
      <c r="B43" s="37"/>
      <c r="C43" s="37"/>
      <c r="D43" s="37"/>
      <c r="E43" s="15"/>
      <c r="F43" s="15"/>
      <c r="G43" s="15"/>
      <c r="H43" s="15"/>
      <c r="I43" s="15"/>
      <c r="J43" s="15"/>
      <c r="K43" s="15"/>
      <c r="L43" s="15"/>
      <c r="M43" s="15"/>
      <c r="N43" s="15"/>
      <c r="O43" s="15"/>
      <c r="P43" s="15"/>
      <c r="Q43" s="15"/>
      <c r="R43" s="15"/>
      <c r="S43" s="15"/>
      <c r="T43" s="15"/>
      <c r="U43" s="130"/>
      <c r="V43" s="54">
        <v>3430</v>
      </c>
      <c r="W43" s="225" t="s">
        <v>769</v>
      </c>
      <c r="X43" s="977">
        <f>SUM(X44:AA44)</f>
        <v>0</v>
      </c>
      <c r="Y43" s="978"/>
      <c r="Z43" s="978"/>
      <c r="AA43" s="978"/>
      <c r="AB43" s="130"/>
      <c r="AC43" s="226">
        <v>3450</v>
      </c>
      <c r="AD43" s="74" t="s">
        <v>769</v>
      </c>
      <c r="AE43" s="977">
        <f>SUM(AE44:AH44)</f>
        <v>0</v>
      </c>
      <c r="AF43" s="978"/>
      <c r="AG43" s="978"/>
      <c r="AH43" s="978"/>
      <c r="AI43" s="14"/>
      <c r="AJ43" s="270"/>
    </row>
    <row r="44" spans="1:36" ht="21" customHeight="1" outlineLevel="2" x14ac:dyDescent="0.35">
      <c r="A44" s="247"/>
      <c r="B44" s="37"/>
      <c r="C44" s="37"/>
      <c r="D44" s="37"/>
      <c r="E44" s="15"/>
      <c r="F44" s="15"/>
      <c r="G44" s="15"/>
      <c r="H44" s="15"/>
      <c r="I44" s="15"/>
      <c r="J44" s="15"/>
      <c r="K44" s="15"/>
      <c r="L44" s="15"/>
      <c r="M44" s="15"/>
      <c r="N44" s="15"/>
      <c r="O44" s="15"/>
      <c r="P44" s="15"/>
      <c r="Q44" s="15"/>
      <c r="R44" s="15"/>
      <c r="S44" s="15"/>
      <c r="T44" s="15"/>
      <c r="U44" s="229" t="s">
        <v>167</v>
      </c>
      <c r="V44" s="228" t="s">
        <v>166</v>
      </c>
      <c r="W44" s="225"/>
      <c r="X44" s="977">
        <f>+SUMIFS(COMPRAS!BG:BG,COMPRAS!BF:BF,V44,COMPRAS!DD:DD,"SI")+SUMIFS(COMPRAS!BP:BP,COMPRAS!BO:BO,V44,COMPRAS!DD:DD,"SI")+SUMIFS(COMPRAS!BY:BY,COMPRAS!BX:BX,V44,COMPRAS!DD:DD,"SI")</f>
        <v>0</v>
      </c>
      <c r="Y44" s="978"/>
      <c r="Z44" s="978"/>
      <c r="AA44" s="978"/>
      <c r="AB44" s="130"/>
      <c r="AC44" s="226"/>
      <c r="AD44" s="74"/>
      <c r="AE44" s="977">
        <f>SUMIFS(COMPRAS!BI:BI,COMPRAS!BF:BF,V44,COMPRAS!DD:DD,"SI")+SUMIFS(COMPRAS!BR:BR,COMPRAS!BO:BO,V44,COMPRAS!DD:DD,"SI")+SUMIFS(COMPRAS!CA:CA,COMPRAS!BX:BX,V44,COMPRAS!DD:DD,"SI")</f>
        <v>0</v>
      </c>
      <c r="AF44" s="978"/>
      <c r="AG44" s="978"/>
      <c r="AH44" s="978"/>
      <c r="AI44" s="14"/>
    </row>
    <row r="45" spans="1:36" ht="21" customHeight="1" outlineLevel="1" x14ac:dyDescent="0.35">
      <c r="A45" s="832" t="s">
        <v>2241</v>
      </c>
      <c r="B45" s="37"/>
      <c r="C45" s="37"/>
      <c r="D45" s="37"/>
      <c r="E45" s="37"/>
      <c r="F45" s="37"/>
      <c r="G45" s="37"/>
      <c r="H45" s="37"/>
      <c r="I45" s="37"/>
      <c r="J45" s="37"/>
      <c r="K45" s="37"/>
      <c r="L45" s="37"/>
      <c r="M45" s="37"/>
      <c r="N45" s="37"/>
      <c r="O45" s="37"/>
      <c r="P45" s="37"/>
      <c r="Q45" s="37"/>
      <c r="R45" s="37"/>
      <c r="S45" s="37"/>
      <c r="T45" s="37"/>
      <c r="U45" s="242"/>
      <c r="V45" s="54">
        <v>343</v>
      </c>
      <c r="W45" s="53" t="s">
        <v>769</v>
      </c>
      <c r="X45" s="977">
        <f>SUM(X46:AA48)</f>
        <v>0</v>
      </c>
      <c r="Y45" s="978"/>
      <c r="Z45" s="978"/>
      <c r="AA45" s="978"/>
      <c r="AB45" s="130"/>
      <c r="AC45" s="226">
        <v>393</v>
      </c>
      <c r="AD45" s="74" t="s">
        <v>769</v>
      </c>
      <c r="AE45" s="977">
        <f>SUM(AE46:AH48)</f>
        <v>0</v>
      </c>
      <c r="AF45" s="978"/>
      <c r="AG45" s="978"/>
      <c r="AH45" s="978"/>
      <c r="AI45" s="14"/>
      <c r="AJ45" s="270"/>
    </row>
    <row r="46" spans="1:36" ht="21" customHeight="1" outlineLevel="2" x14ac:dyDescent="0.35">
      <c r="A46" s="832"/>
      <c r="B46" s="37"/>
      <c r="C46" s="37"/>
      <c r="D46" s="37"/>
      <c r="E46" s="37"/>
      <c r="F46" s="37"/>
      <c r="G46" s="37"/>
      <c r="H46" s="37"/>
      <c r="I46" s="37"/>
      <c r="J46" s="37"/>
      <c r="K46" s="37"/>
      <c r="L46" s="37"/>
      <c r="M46" s="37"/>
      <c r="N46" s="37"/>
      <c r="O46" s="37"/>
      <c r="P46" s="37"/>
      <c r="Q46" s="37"/>
      <c r="R46" s="37"/>
      <c r="S46" s="37"/>
      <c r="T46" s="37"/>
      <c r="U46" s="229" t="s">
        <v>1049</v>
      </c>
      <c r="V46" s="228">
        <v>343</v>
      </c>
      <c r="W46" s="74"/>
      <c r="X46" s="977">
        <f>+SUMIFS(COMPRAS!BG:BG,COMPRAS!BF:BF,V46,COMPRAS!DD:DD,"SI")+SUMIFS(COMPRAS!BP:BP,COMPRAS!BO:BO,V46,COMPRAS!DD:DD,"SI")+SUMIFS(COMPRAS!BY:BY,COMPRAS!BX:BX,V46,COMPRAS!DD:DD,"SI")</f>
        <v>0</v>
      </c>
      <c r="Y46" s="978"/>
      <c r="Z46" s="978"/>
      <c r="AA46" s="978"/>
      <c r="AB46" s="130"/>
      <c r="AC46" s="226"/>
      <c r="AD46" s="74"/>
      <c r="AE46" s="977">
        <f>SUMIFS(COMPRAS!BI:BI,COMPRAS!BF:BF,V46,COMPRAS!DD:DD,"SI")+SUMIFS(COMPRAS!BR:BR,COMPRAS!BO:BO,V46,COMPRAS!DD:DD,"SI")+SUMIFS(COMPRAS!CA:CA,COMPRAS!BX:BX,V46,COMPRAS!DD:DD,"SI")</f>
        <v>0</v>
      </c>
      <c r="AF46" s="978"/>
      <c r="AG46" s="978"/>
      <c r="AH46" s="978"/>
      <c r="AI46" s="14"/>
    </row>
    <row r="47" spans="1:36" ht="21" customHeight="1" outlineLevel="2" x14ac:dyDescent="0.35">
      <c r="A47" s="832"/>
      <c r="B47" s="37"/>
      <c r="C47" s="37"/>
      <c r="D47" s="37"/>
      <c r="E47" s="37"/>
      <c r="F47" s="37"/>
      <c r="G47" s="37"/>
      <c r="H47" s="37"/>
      <c r="I47" s="37"/>
      <c r="J47" s="37"/>
      <c r="K47" s="37"/>
      <c r="L47" s="37"/>
      <c r="M47" s="37"/>
      <c r="N47" s="37"/>
      <c r="O47" s="37"/>
      <c r="P47" s="37"/>
      <c r="Q47" s="37"/>
      <c r="R47" s="37"/>
      <c r="S47" s="37"/>
      <c r="T47" s="37"/>
      <c r="U47" s="229" t="s">
        <v>2428</v>
      </c>
      <c r="V47" s="228" t="s">
        <v>165</v>
      </c>
      <c r="W47" s="74"/>
      <c r="X47" s="977">
        <f>+SUMIFS(COMPRAS!BG:BG,COMPRAS!BF:BF,V47,COMPRAS!BH:BH,"=0.01",COMPRAS!DD:DD,"SI")+SUMIFS(COMPRAS!BP:BP,COMPRAS!BO:BO,V47,COMPRAS!BQ:BQ,"=0.01",COMPRAS!DD:DD,"SI")+SUMIFS(COMPRAS!BY:BY,COMPRAS!BX:BX,V47,COMPRAS!BZ:BZ,"=0.01",COMPRAS!DD:DD,"SI")</f>
        <v>0</v>
      </c>
      <c r="Y47" s="978"/>
      <c r="Z47" s="978"/>
      <c r="AA47" s="978"/>
      <c r="AB47" s="130"/>
      <c r="AC47" s="226"/>
      <c r="AD47" s="74"/>
      <c r="AE47" s="977">
        <f>SUMIFS(COMPRAS!BI:BI,COMPRAS!BF:BF,V47,COMPRAS!BH:BH,"=0.01",COMPRAS!DD:DD,"SI")+SUMIFS(COMPRAS!BR:BR,COMPRAS!BO:BO,V47,COMPRAS!BQ:BQ,"=0.01",COMPRAS!DD:DD,"SI")+SUMIFS(COMPRAS!CA:CA,COMPRAS!BX:BX,V47,COMPRAS!BZ:BZ,"=0.01",COMPRAS!DD:DD,"SI")</f>
        <v>0</v>
      </c>
      <c r="AF47" s="978"/>
      <c r="AG47" s="978"/>
      <c r="AH47" s="978"/>
      <c r="AI47" s="14"/>
    </row>
    <row r="48" spans="1:36" ht="21" customHeight="1" outlineLevel="2" x14ac:dyDescent="0.35">
      <c r="A48" s="832"/>
      <c r="B48" s="37"/>
      <c r="C48" s="37"/>
      <c r="D48" s="37"/>
      <c r="E48" s="37"/>
      <c r="F48" s="37"/>
      <c r="G48" s="37"/>
      <c r="H48" s="37"/>
      <c r="I48" s="37"/>
      <c r="J48" s="37"/>
      <c r="K48" s="37"/>
      <c r="L48" s="37"/>
      <c r="M48" s="37"/>
      <c r="N48" s="37"/>
      <c r="O48" s="37"/>
      <c r="P48" s="37"/>
      <c r="Q48" s="37"/>
      <c r="R48" s="37"/>
      <c r="S48" s="37"/>
      <c r="T48" s="37"/>
      <c r="U48" s="229" t="s">
        <v>1051</v>
      </c>
      <c r="V48" s="228" t="s">
        <v>1050</v>
      </c>
      <c r="W48" s="74"/>
      <c r="X48" s="977">
        <f>+SUMIFS(COMPRAS!BG:BG,COMPRAS!BF:BF,V48,COMPRAS!DD:DD,"SI")+SUMIFS(COMPRAS!BP:BP,COMPRAS!BO:BO,V48,COMPRAS!DD:DD,"SI")+SUMIFS(COMPRAS!BY:BY,COMPRAS!BX:BX,V48,COMPRAS!DD:DD,"SI")</f>
        <v>0</v>
      </c>
      <c r="Y48" s="978"/>
      <c r="Z48" s="978"/>
      <c r="AA48" s="978"/>
      <c r="AB48" s="130"/>
      <c r="AC48" s="226"/>
      <c r="AD48" s="74"/>
      <c r="AE48" s="977">
        <f>SUMIFS(COMPRAS!BI:BI,COMPRAS!BF:BF,V48,COMPRAS!DD:DD,"SI")+SUMIFS(COMPRAS!BR:BR,COMPRAS!BO:BO,V48,COMPRAS!DD:DD,"SI")+SUMIFS(COMPRAS!CA:CA,COMPRAS!BX:BX,V48,COMPRAS!DD:DD,"SI")</f>
        <v>0</v>
      </c>
      <c r="AF48" s="978"/>
      <c r="AG48" s="978"/>
      <c r="AH48" s="978"/>
      <c r="AI48" s="14"/>
    </row>
    <row r="49" spans="1:36" ht="21" customHeight="1" outlineLevel="1" x14ac:dyDescent="0.35">
      <c r="A49" s="832" t="s">
        <v>2429</v>
      </c>
      <c r="B49" s="37"/>
      <c r="C49" s="37"/>
      <c r="D49" s="37"/>
      <c r="E49" s="37"/>
      <c r="F49" s="37"/>
      <c r="G49" s="37"/>
      <c r="H49" s="37"/>
      <c r="I49" s="37"/>
      <c r="J49" s="37"/>
      <c r="K49" s="37"/>
      <c r="L49" s="37"/>
      <c r="M49" s="37"/>
      <c r="N49" s="37"/>
      <c r="O49" s="37"/>
      <c r="P49" s="37"/>
      <c r="Q49" s="37"/>
      <c r="R49" s="37"/>
      <c r="S49" s="37"/>
      <c r="T49" s="37"/>
      <c r="U49" s="242"/>
      <c r="V49" s="54">
        <v>344</v>
      </c>
      <c r="W49" s="74" t="s">
        <v>769</v>
      </c>
      <c r="X49" s="977">
        <f>SUM(X50:AA53)</f>
        <v>0</v>
      </c>
      <c r="Y49" s="978"/>
      <c r="Z49" s="978"/>
      <c r="AA49" s="978"/>
      <c r="AB49" s="130"/>
      <c r="AC49" s="111">
        <v>394</v>
      </c>
      <c r="AD49" s="74" t="s">
        <v>769</v>
      </c>
      <c r="AE49" s="977">
        <f>SUM(AE50:AH53)</f>
        <v>0</v>
      </c>
      <c r="AF49" s="978"/>
      <c r="AG49" s="978"/>
      <c r="AH49" s="978"/>
      <c r="AI49" s="14"/>
      <c r="AJ49" s="270"/>
    </row>
    <row r="50" spans="1:36" ht="21" customHeight="1" outlineLevel="2" x14ac:dyDescent="0.35">
      <c r="A50" s="832"/>
      <c r="B50" s="37"/>
      <c r="C50" s="37"/>
      <c r="D50" s="37"/>
      <c r="E50" s="37"/>
      <c r="F50" s="37"/>
      <c r="G50" s="37"/>
      <c r="H50" s="37"/>
      <c r="I50" s="37"/>
      <c r="J50" s="37"/>
      <c r="K50" s="37"/>
      <c r="L50" s="37"/>
      <c r="M50" s="37"/>
      <c r="N50" s="37"/>
      <c r="O50" s="37"/>
      <c r="P50" s="37"/>
      <c r="Q50" s="37"/>
      <c r="R50" s="37"/>
      <c r="S50" s="37"/>
      <c r="T50" s="37"/>
      <c r="U50" s="229" t="s">
        <v>168</v>
      </c>
      <c r="V50" s="228">
        <v>344</v>
      </c>
      <c r="W50" s="74"/>
      <c r="X50" s="977">
        <f>+SUMIFS(COMPRAS!BG:BG,COMPRAS!BF:BF,V50,COMPRAS!DD:DD,"SI")+SUMIFS(COMPRAS!BP:BP,COMPRAS!BO:BO,V50,COMPRAS!DD:DD,"SI")+SUMIFS(COMPRAS!BY:BY,COMPRAS!BX:BX,V50,COMPRAS!DD:DD,"SI")</f>
        <v>0</v>
      </c>
      <c r="Y50" s="978"/>
      <c r="Z50" s="978"/>
      <c r="AA50" s="978"/>
      <c r="AB50" s="130"/>
      <c r="AC50" s="226"/>
      <c r="AD50" s="74"/>
      <c r="AE50" s="977">
        <f>SUMIFS(COMPRAS!BI:BI,COMPRAS!BF:BF,V50,COMPRAS!DD:DD,"SI")+SUMIFS(COMPRAS!BR:BR,COMPRAS!BO:BO,V50,COMPRAS!DD:DD,"SI")+SUMIFS(COMPRAS!CA:CA,COMPRAS!BX:BX,V50,COMPRAS!DD:DD,"SI")</f>
        <v>0</v>
      </c>
      <c r="AF50" s="978"/>
      <c r="AG50" s="978"/>
      <c r="AH50" s="978"/>
      <c r="AI50" s="14"/>
    </row>
    <row r="51" spans="1:36" ht="21" customHeight="1" outlineLevel="2" x14ac:dyDescent="0.35">
      <c r="A51" s="832"/>
      <c r="B51" s="37"/>
      <c r="C51" s="37"/>
      <c r="D51" s="37"/>
      <c r="E51" s="37"/>
      <c r="F51" s="37"/>
      <c r="G51" s="37"/>
      <c r="H51" s="37"/>
      <c r="I51" s="37"/>
      <c r="J51" s="37"/>
      <c r="K51" s="37"/>
      <c r="L51" s="37"/>
      <c r="M51" s="37"/>
      <c r="N51" s="37"/>
      <c r="O51" s="37"/>
      <c r="P51" s="37"/>
      <c r="Q51" s="37"/>
      <c r="R51" s="37"/>
      <c r="S51" s="37"/>
      <c r="T51" s="37"/>
      <c r="U51" s="229" t="s">
        <v>2427</v>
      </c>
      <c r="V51" s="228" t="s">
        <v>165</v>
      </c>
      <c r="W51" s="74"/>
      <c r="X51" s="977">
        <f>+SUMIFS(COMPRAS!BG:BG,COMPRAS!BF:BF,V51,COMPRAS!BH:BH,"=0.02",COMPRAS!DD:DD,"SI")+SUMIFS(COMPRAS!BP:BP,COMPRAS!BO:BO,V51,COMPRAS!BQ:BQ,"=0.02",COMPRAS!DD:DD,"SI")+SUMIFS(COMPRAS!BY:BY,COMPRAS!BX:BX,V51,COMPRAS!BZ:BZ,"=0.02",COMPRAS!DD:DD,"SI")</f>
        <v>0</v>
      </c>
      <c r="Y51" s="978"/>
      <c r="Z51" s="978"/>
      <c r="AA51" s="978"/>
      <c r="AB51" s="130"/>
      <c r="AC51" s="226"/>
      <c r="AD51" s="74"/>
      <c r="AE51" s="977">
        <f>SUMIFS(COMPRAS!BI:BI,COMPRAS!BF:BF,V51,COMPRAS!BH:BH,"=0.02",COMPRAS!DD:DD,"SI")+SUMIFS(COMPRAS!BR:BR,COMPRAS!BO:BO,V51,COMPRAS!BQ:BQ,"=0.02",COMPRAS!DD:DD,"SI")+SUMIFS(COMPRAS!CA:CA,COMPRAS!BX:BX,V51,COMPRAS!BZ:BZ,"=0.02",COMPRAS!DD:DD,"SI")</f>
        <v>0</v>
      </c>
      <c r="AF51" s="978"/>
      <c r="AG51" s="978"/>
      <c r="AH51" s="978"/>
      <c r="AI51" s="14"/>
    </row>
    <row r="52" spans="1:36" ht="21" customHeight="1" outlineLevel="2" x14ac:dyDescent="0.35">
      <c r="A52" s="832"/>
      <c r="B52" s="37"/>
      <c r="C52" s="37"/>
      <c r="D52" s="37"/>
      <c r="E52" s="37"/>
      <c r="F52" s="37"/>
      <c r="G52" s="37"/>
      <c r="H52" s="37"/>
      <c r="I52" s="37"/>
      <c r="J52" s="37"/>
      <c r="K52" s="37"/>
      <c r="L52" s="37"/>
      <c r="M52" s="37"/>
      <c r="N52" s="37"/>
      <c r="O52" s="37"/>
      <c r="P52" s="37"/>
      <c r="Q52" s="37"/>
      <c r="R52" s="37"/>
      <c r="S52" s="37"/>
      <c r="T52" s="37"/>
      <c r="U52" s="229" t="s">
        <v>170</v>
      </c>
      <c r="V52" s="228" t="s">
        <v>169</v>
      </c>
      <c r="W52" s="74"/>
      <c r="X52" s="977">
        <f>+SUMIFS(COMPRAS!BG:BG,COMPRAS!BF:BF,V52,COMPRAS!DD:DD,"SI")+SUMIFS(COMPRAS!BP:BP,COMPRAS!BO:BO,V52,COMPRAS!DD:DD,"SI")+SUMIFS(COMPRAS!BY:BY,COMPRAS!BX:BX,V52,COMPRAS!DD:DD,"SI")</f>
        <v>0</v>
      </c>
      <c r="Y52" s="978"/>
      <c r="Z52" s="978"/>
      <c r="AA52" s="978"/>
      <c r="AB52" s="130"/>
      <c r="AC52" s="226"/>
      <c r="AD52" s="74"/>
      <c r="AE52" s="977">
        <f>SUMIFS(COMPRAS!BI:BI,COMPRAS!BF:BF,V52,COMPRAS!DD:DD,"SI")+SUMIFS(COMPRAS!BR:BR,COMPRAS!BO:BO,V52,COMPRAS!DD:DD,"SI")+SUMIFS(COMPRAS!CA:CA,COMPRAS!BX:BX,V52,COMPRAS!DD:DD,"SI")</f>
        <v>0</v>
      </c>
      <c r="AF52" s="978"/>
      <c r="AG52" s="978"/>
      <c r="AH52" s="978"/>
      <c r="AI52" s="14"/>
    </row>
    <row r="53" spans="1:36" ht="21" customHeight="1" outlineLevel="2" x14ac:dyDescent="0.35">
      <c r="A53" s="832"/>
      <c r="B53" s="37"/>
      <c r="C53" s="37"/>
      <c r="D53" s="37"/>
      <c r="E53" s="37"/>
      <c r="F53" s="37"/>
      <c r="G53" s="37"/>
      <c r="H53" s="37"/>
      <c r="I53" s="37"/>
      <c r="J53" s="37"/>
      <c r="K53" s="37"/>
      <c r="L53" s="37"/>
      <c r="M53" s="37"/>
      <c r="N53" s="37"/>
      <c r="O53" s="37"/>
      <c r="P53" s="37"/>
      <c r="Q53" s="37"/>
      <c r="R53" s="37"/>
      <c r="S53" s="37"/>
      <c r="T53" s="37"/>
      <c r="U53" s="229" t="s">
        <v>1053</v>
      </c>
      <c r="V53" s="228" t="s">
        <v>1052</v>
      </c>
      <c r="W53" s="74"/>
      <c r="X53" s="977">
        <f>+SUMIFS(COMPRAS!BG:BG,COMPRAS!BF:BF,V53,COMPRAS!DD:DD,"SI")+SUMIFS(COMPRAS!BP:BP,COMPRAS!BO:BO,V53,COMPRAS!DD:DD,"SI")+SUMIFS(COMPRAS!BY:BY,COMPRAS!BX:BX,V53,COMPRAS!DD:DD,"SI")</f>
        <v>0</v>
      </c>
      <c r="Y53" s="978"/>
      <c r="Z53" s="978"/>
      <c r="AA53" s="978"/>
      <c r="AB53" s="130"/>
      <c r="AC53" s="226"/>
      <c r="AD53" s="74"/>
      <c r="AE53" s="977">
        <f>SUMIFS(COMPRAS!BI:BI,COMPRAS!BF:BF,V53,COMPRAS!DD:DD,"SI")+SUMIFS(COMPRAS!BR:BR,COMPRAS!BO:BO,V53,COMPRAS!DD:DD,"SI")+SUMIFS(COMPRAS!CA:CA,COMPRAS!BX:BX,V53,COMPRAS!DD:DD,"SI")</f>
        <v>0</v>
      </c>
      <c r="AF53" s="978"/>
      <c r="AG53" s="978"/>
      <c r="AH53" s="978"/>
      <c r="AI53" s="14"/>
    </row>
    <row r="54" spans="1:36" ht="21" customHeight="1" outlineLevel="1" x14ac:dyDescent="0.35">
      <c r="A54" s="248" t="s">
        <v>2242</v>
      </c>
      <c r="B54" s="37"/>
      <c r="C54" s="37"/>
      <c r="D54" s="37"/>
      <c r="E54" s="37"/>
      <c r="F54" s="37"/>
      <c r="G54" s="37"/>
      <c r="H54" s="37"/>
      <c r="I54" s="37"/>
      <c r="J54" s="37"/>
      <c r="K54" s="37"/>
      <c r="L54" s="37"/>
      <c r="M54" s="37"/>
      <c r="N54" s="37"/>
      <c r="O54" s="37"/>
      <c r="P54" s="37"/>
      <c r="Q54" s="37"/>
      <c r="R54" s="37"/>
      <c r="S54" s="37"/>
      <c r="T54" s="37"/>
      <c r="U54" s="242"/>
      <c r="V54" s="52">
        <v>332</v>
      </c>
      <c r="W54" s="225" t="s">
        <v>769</v>
      </c>
      <c r="X54" s="977">
        <f>SUM(X55:AA63)</f>
        <v>19251.220000000005</v>
      </c>
      <c r="Y54" s="978"/>
      <c r="Z54" s="978"/>
      <c r="AA54" s="978"/>
      <c r="AB54" s="130"/>
      <c r="AC54" s="984"/>
      <c r="AD54" s="985"/>
      <c r="AE54" s="985"/>
      <c r="AF54" s="985"/>
      <c r="AG54" s="985"/>
      <c r="AH54" s="985"/>
      <c r="AI54" s="986"/>
    </row>
    <row r="55" spans="1:36" ht="21" customHeight="1" outlineLevel="2" x14ac:dyDescent="0.35">
      <c r="A55" s="41"/>
      <c r="B55" s="15"/>
      <c r="C55" s="15"/>
      <c r="D55" s="15"/>
      <c r="E55" s="15"/>
      <c r="F55" s="15"/>
      <c r="G55" s="15"/>
      <c r="H55" s="15"/>
      <c r="I55" s="15"/>
      <c r="J55" s="15"/>
      <c r="K55" s="15"/>
      <c r="L55" s="15"/>
      <c r="M55" s="15"/>
      <c r="N55" s="15"/>
      <c r="O55" s="15"/>
      <c r="P55" s="15"/>
      <c r="Q55" s="15"/>
      <c r="R55" s="15"/>
      <c r="S55" s="15"/>
      <c r="T55" s="15"/>
      <c r="U55" s="245" t="s">
        <v>144</v>
      </c>
      <c r="V55" s="246">
        <v>332</v>
      </c>
      <c r="W55" s="225"/>
      <c r="X55" s="977">
        <f>+SUMIFS(COMPRAS!BG:BG,COMPRAS!BF:BF,V55,COMPRAS!DD:DD,"SI")+SUMIFS(COMPRAS!BP:BP,COMPRAS!BO:BO,V55,COMPRAS!DD:DD,"SI")+SUMIFS(COMPRAS!BY:BY,COMPRAS!BX:BX,V55,COMPRAS!DD:DD,"SI")</f>
        <v>19251.220000000005</v>
      </c>
      <c r="Y55" s="978"/>
      <c r="Z55" s="978"/>
      <c r="AA55" s="978"/>
      <c r="AB55" s="130"/>
      <c r="AC55" s="995"/>
      <c r="AD55" s="996"/>
      <c r="AE55" s="996"/>
      <c r="AF55" s="996"/>
      <c r="AG55" s="996"/>
      <c r="AH55" s="996"/>
      <c r="AI55" s="997"/>
    </row>
    <row r="56" spans="1:36" ht="21" customHeight="1" outlineLevel="2" x14ac:dyDescent="0.35">
      <c r="A56" s="41"/>
      <c r="B56" s="15"/>
      <c r="C56" s="15"/>
      <c r="D56" s="15"/>
      <c r="E56" s="15"/>
      <c r="F56" s="15"/>
      <c r="G56" s="15"/>
      <c r="H56" s="15"/>
      <c r="I56" s="15"/>
      <c r="J56" s="15"/>
      <c r="K56" s="15"/>
      <c r="L56" s="15"/>
      <c r="M56" s="15"/>
      <c r="N56" s="15"/>
      <c r="O56" s="15"/>
      <c r="P56" s="15"/>
      <c r="Q56" s="15"/>
      <c r="R56" s="15"/>
      <c r="S56" s="15"/>
      <c r="T56" s="15"/>
      <c r="U56" s="245" t="s">
        <v>146</v>
      </c>
      <c r="V56" s="246" t="s">
        <v>145</v>
      </c>
      <c r="W56" s="225"/>
      <c r="X56" s="977">
        <f>+SUMIFS(COMPRAS!BG:BG,COMPRAS!BF:BF,V56,COMPRAS!DD:DD,"SI")+SUMIFS(COMPRAS!BP:BP,COMPRAS!BO:BO,V56,COMPRAS!DD:DD,"SI")+SUMIFS(COMPRAS!BY:BY,COMPRAS!BX:BX,V56,COMPRAS!DD:DD,"SI")</f>
        <v>0</v>
      </c>
      <c r="Y56" s="978"/>
      <c r="Z56" s="978"/>
      <c r="AA56" s="978"/>
      <c r="AB56" s="130"/>
      <c r="AC56" s="995"/>
      <c r="AD56" s="996"/>
      <c r="AE56" s="996"/>
      <c r="AF56" s="996"/>
      <c r="AG56" s="996"/>
      <c r="AH56" s="996"/>
      <c r="AI56" s="997"/>
    </row>
    <row r="57" spans="1:36" ht="21" customHeight="1" outlineLevel="2" x14ac:dyDescent="0.35">
      <c r="A57" s="41"/>
      <c r="B57" s="15"/>
      <c r="C57" s="15"/>
      <c r="D57" s="15"/>
      <c r="E57" s="15"/>
      <c r="F57" s="15"/>
      <c r="G57" s="15"/>
      <c r="H57" s="15"/>
      <c r="I57" s="15"/>
      <c r="J57" s="15"/>
      <c r="K57" s="15"/>
      <c r="L57" s="15"/>
      <c r="M57" s="15"/>
      <c r="N57" s="15"/>
      <c r="O57" s="15"/>
      <c r="P57" s="15"/>
      <c r="Q57" s="15"/>
      <c r="R57" s="15"/>
      <c r="S57" s="15"/>
      <c r="T57" s="15"/>
      <c r="U57" s="245" t="s">
        <v>148</v>
      </c>
      <c r="V57" s="246" t="s">
        <v>147</v>
      </c>
      <c r="W57" s="225"/>
      <c r="X57" s="977">
        <f>+SUMIFS(COMPRAS!BG:BG,COMPRAS!BF:BF,V57,COMPRAS!DD:DD,"SI")+SUMIFS(COMPRAS!BP:BP,COMPRAS!BO:BO,V57,COMPRAS!DD:DD,"SI")+SUMIFS(COMPRAS!BY:BY,COMPRAS!BX:BX,V57,COMPRAS!DD:DD,"SI")</f>
        <v>0</v>
      </c>
      <c r="Y57" s="978"/>
      <c r="Z57" s="978"/>
      <c r="AA57" s="978"/>
      <c r="AB57" s="130"/>
      <c r="AC57" s="995"/>
      <c r="AD57" s="996"/>
      <c r="AE57" s="996"/>
      <c r="AF57" s="996"/>
      <c r="AG57" s="996"/>
      <c r="AH57" s="996"/>
      <c r="AI57" s="997"/>
    </row>
    <row r="58" spans="1:36" ht="21" customHeight="1" outlineLevel="2" x14ac:dyDescent="0.35">
      <c r="A58" s="41"/>
      <c r="B58" s="15"/>
      <c r="C58" s="15"/>
      <c r="D58" s="15"/>
      <c r="E58" s="15"/>
      <c r="F58" s="15"/>
      <c r="G58" s="15"/>
      <c r="H58" s="15"/>
      <c r="I58" s="15"/>
      <c r="J58" s="15"/>
      <c r="K58" s="15"/>
      <c r="L58" s="15"/>
      <c r="M58" s="15"/>
      <c r="N58" s="15"/>
      <c r="O58" s="15"/>
      <c r="P58" s="15"/>
      <c r="Q58" s="15"/>
      <c r="R58" s="15"/>
      <c r="S58" s="15"/>
      <c r="T58" s="15"/>
      <c r="U58" s="245" t="s">
        <v>150</v>
      </c>
      <c r="V58" s="246" t="s">
        <v>149</v>
      </c>
      <c r="W58" s="225"/>
      <c r="X58" s="977">
        <f>+SUMIFS(COMPRAS!BG:BG,COMPRAS!BF:BF,V58,COMPRAS!DD:DD,"SI")+SUMIFS(COMPRAS!BP:BP,COMPRAS!BO:BO,V58,COMPRAS!DD:DD,"SI")+SUMIFS(COMPRAS!BY:BY,COMPRAS!BX:BX,V58,COMPRAS!DD:DD,"SI")</f>
        <v>0</v>
      </c>
      <c r="Y58" s="978"/>
      <c r="Z58" s="978"/>
      <c r="AA58" s="978"/>
      <c r="AB58" s="130"/>
      <c r="AC58" s="995"/>
      <c r="AD58" s="996"/>
      <c r="AE58" s="996"/>
      <c r="AF58" s="996"/>
      <c r="AG58" s="996"/>
      <c r="AH58" s="996"/>
      <c r="AI58" s="997"/>
    </row>
    <row r="59" spans="1:36" ht="21" customHeight="1" outlineLevel="2" x14ac:dyDescent="0.35">
      <c r="A59" s="41"/>
      <c r="B59" s="15"/>
      <c r="C59" s="15"/>
      <c r="D59" s="15"/>
      <c r="E59" s="15"/>
      <c r="F59" s="15"/>
      <c r="G59" s="15"/>
      <c r="H59" s="15"/>
      <c r="I59" s="15"/>
      <c r="J59" s="15"/>
      <c r="K59" s="15"/>
      <c r="L59" s="15"/>
      <c r="M59" s="15"/>
      <c r="N59" s="15"/>
      <c r="O59" s="15"/>
      <c r="P59" s="15"/>
      <c r="Q59" s="15"/>
      <c r="R59" s="15"/>
      <c r="S59" s="15"/>
      <c r="T59" s="15"/>
      <c r="U59" s="245" t="s">
        <v>152</v>
      </c>
      <c r="V59" s="246" t="s">
        <v>151</v>
      </c>
      <c r="W59" s="225"/>
      <c r="X59" s="977">
        <f>+SUMIFS(COMPRAS!BG:BG,COMPRAS!BF:BF,V59,COMPRAS!DD:DD,"SI")+SUMIFS(COMPRAS!BP:BP,COMPRAS!BO:BO,V59,COMPRAS!DD:DD,"SI")+SUMIFS(COMPRAS!BY:BY,COMPRAS!BX:BX,V59,COMPRAS!DD:DD,"SI")</f>
        <v>0</v>
      </c>
      <c r="Y59" s="978"/>
      <c r="Z59" s="978"/>
      <c r="AA59" s="978"/>
      <c r="AB59" s="130"/>
      <c r="AC59" s="995"/>
      <c r="AD59" s="996"/>
      <c r="AE59" s="996"/>
      <c r="AF59" s="996"/>
      <c r="AG59" s="996"/>
      <c r="AH59" s="996"/>
      <c r="AI59" s="997"/>
    </row>
    <row r="60" spans="1:36" ht="21" customHeight="1" outlineLevel="2" x14ac:dyDescent="0.35">
      <c r="A60" s="41"/>
      <c r="B60" s="15"/>
      <c r="C60" s="15"/>
      <c r="D60" s="15"/>
      <c r="E60" s="15"/>
      <c r="F60" s="15"/>
      <c r="G60" s="15"/>
      <c r="H60" s="15"/>
      <c r="I60" s="15"/>
      <c r="J60" s="15"/>
      <c r="K60" s="15"/>
      <c r="L60" s="15"/>
      <c r="M60" s="15"/>
      <c r="N60" s="15"/>
      <c r="O60" s="15"/>
      <c r="P60" s="15"/>
      <c r="Q60" s="15"/>
      <c r="R60" s="15"/>
      <c r="S60" s="15"/>
      <c r="T60" s="15"/>
      <c r="U60" s="245" t="s">
        <v>154</v>
      </c>
      <c r="V60" s="246" t="s">
        <v>153</v>
      </c>
      <c r="W60" s="225"/>
      <c r="X60" s="977">
        <f>+SUMIFS(COMPRAS!BG:BG,COMPRAS!BF:BF,V60,COMPRAS!DD:DD,"SI")+SUMIFS(COMPRAS!BP:BP,COMPRAS!BO:BO,V60,COMPRAS!DD:DD,"SI")+SUMIFS(COMPRAS!BY:BY,COMPRAS!BX:BX,V60,COMPRAS!DD:DD,"SI")</f>
        <v>0</v>
      </c>
      <c r="Y60" s="978"/>
      <c r="Z60" s="978"/>
      <c r="AA60" s="978"/>
      <c r="AB60" s="130"/>
      <c r="AC60" s="995"/>
      <c r="AD60" s="996"/>
      <c r="AE60" s="996"/>
      <c r="AF60" s="996"/>
      <c r="AG60" s="996"/>
      <c r="AH60" s="996"/>
      <c r="AI60" s="997"/>
    </row>
    <row r="61" spans="1:36" ht="21" customHeight="1" outlineLevel="2" x14ac:dyDescent="0.35">
      <c r="A61" s="41"/>
      <c r="B61" s="15"/>
      <c r="C61" s="15"/>
      <c r="D61" s="15"/>
      <c r="E61" s="15"/>
      <c r="F61" s="15"/>
      <c r="G61" s="15"/>
      <c r="H61" s="15"/>
      <c r="I61" s="15"/>
      <c r="J61" s="15"/>
      <c r="K61" s="15"/>
      <c r="L61" s="15"/>
      <c r="M61" s="15"/>
      <c r="N61" s="15"/>
      <c r="O61" s="15"/>
      <c r="P61" s="15"/>
      <c r="Q61" s="15"/>
      <c r="R61" s="15"/>
      <c r="S61" s="15"/>
      <c r="T61" s="15"/>
      <c r="U61" s="245" t="s">
        <v>156</v>
      </c>
      <c r="V61" s="246" t="s">
        <v>155</v>
      </c>
      <c r="W61" s="225"/>
      <c r="X61" s="977">
        <f>+SUMIFS(COMPRAS!BG:BG,COMPRAS!BF:BF,V61,COMPRAS!DD:DD,"SI")+SUMIFS(COMPRAS!BP:BP,COMPRAS!BO:BO,V61,COMPRAS!DD:DD,"SI")+SUMIFS(COMPRAS!BY:BY,COMPRAS!BX:BX,V61,COMPRAS!DD:DD,"SI")</f>
        <v>0</v>
      </c>
      <c r="Y61" s="978"/>
      <c r="Z61" s="978"/>
      <c r="AA61" s="978"/>
      <c r="AB61" s="130"/>
      <c r="AC61" s="995"/>
      <c r="AD61" s="996"/>
      <c r="AE61" s="996"/>
      <c r="AF61" s="996"/>
      <c r="AG61" s="996"/>
      <c r="AH61" s="996"/>
      <c r="AI61" s="997"/>
    </row>
    <row r="62" spans="1:36" ht="21" customHeight="1" outlineLevel="2" x14ac:dyDescent="0.35">
      <c r="A62" s="41"/>
      <c r="B62" s="15"/>
      <c r="C62" s="15"/>
      <c r="D62" s="15"/>
      <c r="E62" s="15"/>
      <c r="F62" s="15"/>
      <c r="G62" s="15"/>
      <c r="H62" s="15"/>
      <c r="I62" s="15"/>
      <c r="J62" s="15"/>
      <c r="K62" s="15"/>
      <c r="L62" s="15"/>
      <c r="M62" s="15"/>
      <c r="N62" s="15"/>
      <c r="O62" s="15"/>
      <c r="P62" s="15"/>
      <c r="Q62" s="15"/>
      <c r="R62" s="15"/>
      <c r="S62" s="15"/>
      <c r="T62" s="15"/>
      <c r="U62" s="245" t="s">
        <v>158</v>
      </c>
      <c r="V62" s="246" t="s">
        <v>157</v>
      </c>
      <c r="W62" s="225"/>
      <c r="X62" s="977">
        <f>+SUMIFS(COMPRAS!BG:BG,COMPRAS!BF:BF,V62,COMPRAS!DD:DD,"SI")+SUMIFS(COMPRAS!BP:BP,COMPRAS!BO:BO,V62,COMPRAS!DD:DD,"SI")+SUMIFS(COMPRAS!BY:BY,COMPRAS!BX:BX,V62,COMPRAS!DD:DD,"SI")</f>
        <v>0</v>
      </c>
      <c r="Y62" s="978"/>
      <c r="Z62" s="978"/>
      <c r="AA62" s="978"/>
      <c r="AB62" s="130"/>
      <c r="AC62" s="995"/>
      <c r="AD62" s="996"/>
      <c r="AE62" s="996"/>
      <c r="AF62" s="996"/>
      <c r="AG62" s="996"/>
      <c r="AH62" s="996"/>
      <c r="AI62" s="997"/>
    </row>
    <row r="63" spans="1:36" ht="21" customHeight="1" outlineLevel="2" thickBot="1" x14ac:dyDescent="0.4">
      <c r="A63" s="41"/>
      <c r="B63" s="15"/>
      <c r="C63" s="15"/>
      <c r="D63" s="15"/>
      <c r="E63" s="15"/>
      <c r="F63" s="15"/>
      <c r="G63" s="15"/>
      <c r="H63" s="15"/>
      <c r="I63" s="15"/>
      <c r="J63" s="15"/>
      <c r="K63" s="15"/>
      <c r="L63" s="15"/>
      <c r="M63" s="15"/>
      <c r="N63" s="15"/>
      <c r="O63" s="15"/>
      <c r="P63" s="15"/>
      <c r="Q63" s="15"/>
      <c r="R63" s="15"/>
      <c r="S63" s="15"/>
      <c r="T63" s="15"/>
      <c r="U63" s="245" t="s">
        <v>160</v>
      </c>
      <c r="V63" s="246" t="s">
        <v>159</v>
      </c>
      <c r="W63" s="225"/>
      <c r="X63" s="977">
        <f>+SUMIFS(COMPRAS!BG:BG,COMPRAS!BF:BF,V63,COMPRAS!DD:DD,"SI")+SUMIFS(COMPRAS!BP:BP,COMPRAS!BO:BO,V63,COMPRAS!DD:DD,"SI")+SUMIFS(COMPRAS!BY:BY,COMPRAS!BX:BX,V63,COMPRAS!DD:DD,"SI")</f>
        <v>0</v>
      </c>
      <c r="Y63" s="978"/>
      <c r="Z63" s="978"/>
      <c r="AA63" s="978"/>
      <c r="AB63" s="130"/>
      <c r="AC63" s="984"/>
      <c r="AD63" s="985"/>
      <c r="AE63" s="985"/>
      <c r="AF63" s="985"/>
      <c r="AG63" s="985"/>
      <c r="AH63" s="985"/>
      <c r="AI63" s="986"/>
    </row>
    <row r="64" spans="1:36" ht="21" customHeight="1" outlineLevel="1" thickBot="1" x14ac:dyDescent="0.4">
      <c r="A64" s="981" t="s">
        <v>2245</v>
      </c>
      <c r="B64" s="982"/>
      <c r="C64" s="982"/>
      <c r="D64" s="982"/>
      <c r="E64" s="982"/>
      <c r="F64" s="982"/>
      <c r="G64" s="982"/>
      <c r="H64" s="982"/>
      <c r="I64" s="982"/>
      <c r="J64" s="982"/>
      <c r="K64" s="982"/>
      <c r="L64" s="982"/>
      <c r="M64" s="982"/>
      <c r="N64" s="982"/>
      <c r="O64" s="982"/>
      <c r="P64" s="982"/>
      <c r="Q64" s="982"/>
      <c r="R64" s="982"/>
      <c r="S64" s="982"/>
      <c r="T64" s="982"/>
      <c r="U64" s="982"/>
      <c r="V64" s="982"/>
      <c r="W64" s="982"/>
      <c r="X64" s="982"/>
      <c r="Y64" s="982"/>
      <c r="Z64" s="982"/>
      <c r="AA64" s="982"/>
      <c r="AB64" s="982"/>
      <c r="AC64" s="982"/>
      <c r="AD64" s="982"/>
      <c r="AE64" s="982"/>
      <c r="AF64" s="982"/>
      <c r="AG64" s="982"/>
      <c r="AH64" s="982"/>
      <c r="AI64" s="983"/>
    </row>
    <row r="65" spans="1:36" ht="21" customHeight="1" outlineLevel="1" x14ac:dyDescent="0.35">
      <c r="A65" s="41" t="s">
        <v>976</v>
      </c>
      <c r="B65" s="37"/>
      <c r="C65" s="37"/>
      <c r="D65" s="37"/>
      <c r="E65" s="15"/>
      <c r="F65" s="15"/>
      <c r="G65" s="15"/>
      <c r="H65" s="15"/>
      <c r="I65" s="15"/>
      <c r="J65" s="15"/>
      <c r="K65" s="15"/>
      <c r="L65" s="15"/>
      <c r="M65" s="15"/>
      <c r="N65" s="15"/>
      <c r="O65" s="15"/>
      <c r="P65" s="15"/>
      <c r="Q65" s="15"/>
      <c r="R65" s="15"/>
      <c r="S65" s="15"/>
      <c r="T65" s="15"/>
      <c r="U65" s="130"/>
      <c r="V65" s="54">
        <v>314</v>
      </c>
      <c r="W65" s="225" t="s">
        <v>769</v>
      </c>
      <c r="X65" s="977">
        <f>SUM(X66:AA69)</f>
        <v>0</v>
      </c>
      <c r="Y65" s="978"/>
      <c r="Z65" s="978"/>
      <c r="AA65" s="978"/>
      <c r="AB65" s="130"/>
      <c r="AC65" s="226">
        <v>364</v>
      </c>
      <c r="AD65" s="74" t="s">
        <v>769</v>
      </c>
      <c r="AE65" s="977">
        <f>SUM(AE66:AH69)</f>
        <v>0</v>
      </c>
      <c r="AF65" s="978"/>
      <c r="AG65" s="978"/>
      <c r="AH65" s="978"/>
      <c r="AI65" s="14"/>
      <c r="AJ65" s="270"/>
    </row>
    <row r="66" spans="1:36" ht="21" customHeight="1" outlineLevel="2" x14ac:dyDescent="0.35">
      <c r="A66" s="249"/>
      <c r="B66" s="37"/>
      <c r="C66" s="37"/>
      <c r="D66" s="37"/>
      <c r="E66" s="15"/>
      <c r="F66" s="15"/>
      <c r="G66" s="15"/>
      <c r="H66" s="15"/>
      <c r="I66" s="15"/>
      <c r="J66" s="15"/>
      <c r="K66" s="15"/>
      <c r="L66" s="15"/>
      <c r="M66" s="15"/>
      <c r="N66" s="15"/>
      <c r="O66" s="15"/>
      <c r="P66" s="15"/>
      <c r="Q66" s="15"/>
      <c r="R66" s="15"/>
      <c r="S66" s="15"/>
      <c r="T66" s="15"/>
      <c r="U66" s="245" t="s">
        <v>98</v>
      </c>
      <c r="V66" s="246" t="s">
        <v>97</v>
      </c>
      <c r="W66" s="225"/>
      <c r="X66" s="977">
        <f>+SUMIFS(COMPRAS!BG:BG,COMPRAS!BF:BF,V66,COMPRAS!DD:DD,"SI")+SUMIFS(COMPRAS!BP:BP,COMPRAS!BO:BO,V66,COMPRAS!DD:DD,"SI")+SUMIFS(COMPRAS!BY:BY,COMPRAS!BX:BX,V66,COMPRAS!DD:DD,"SI")</f>
        <v>0</v>
      </c>
      <c r="Y66" s="978"/>
      <c r="Z66" s="978"/>
      <c r="AA66" s="978"/>
      <c r="AB66" s="130"/>
      <c r="AC66" s="226"/>
      <c r="AD66" s="74"/>
      <c r="AE66" s="977">
        <f>SUMIFS(COMPRAS!BI:BI,COMPRAS!BF:BF,V66,COMPRAS!DD:DD,"SI")+SUMIFS(COMPRAS!BR:BR,COMPRAS!BO:BO,V66,COMPRAS!DD:DD,"SI")+SUMIFS(COMPRAS!CA:CA,COMPRAS!BX:BX,V66,COMPRAS!DD:DD,"SI")</f>
        <v>0</v>
      </c>
      <c r="AF66" s="978"/>
      <c r="AG66" s="978"/>
      <c r="AH66" s="978"/>
      <c r="AI66" s="14"/>
    </row>
    <row r="67" spans="1:36" ht="21" customHeight="1" outlineLevel="2" x14ac:dyDescent="0.35">
      <c r="A67" s="249"/>
      <c r="B67" s="37"/>
      <c r="C67" s="37"/>
      <c r="D67" s="37"/>
      <c r="E67" s="15"/>
      <c r="F67" s="15"/>
      <c r="G67" s="15"/>
      <c r="H67" s="15"/>
      <c r="I67" s="15"/>
      <c r="J67" s="15"/>
      <c r="K67" s="15"/>
      <c r="L67" s="15"/>
      <c r="M67" s="15"/>
      <c r="N67" s="15"/>
      <c r="O67" s="15"/>
      <c r="P67" s="15"/>
      <c r="Q67" s="15"/>
      <c r="R67" s="15"/>
      <c r="S67" s="15"/>
      <c r="T67" s="15"/>
      <c r="U67" s="245" t="s">
        <v>100</v>
      </c>
      <c r="V67" s="246" t="s">
        <v>99</v>
      </c>
      <c r="W67" s="225"/>
      <c r="X67" s="977">
        <f>+SUMIFS(COMPRAS!BG:BG,COMPRAS!BF:BF,V67,COMPRAS!DD:DD,"SI")+SUMIFS(COMPRAS!BP:BP,COMPRAS!BO:BO,V67,COMPRAS!DD:DD,"SI")+SUMIFS(COMPRAS!BY:BY,COMPRAS!BX:BX,V67,COMPRAS!DD:DD,"SI")</f>
        <v>0</v>
      </c>
      <c r="Y67" s="978"/>
      <c r="Z67" s="978"/>
      <c r="AA67" s="978"/>
      <c r="AB67" s="130"/>
      <c r="AC67" s="226"/>
      <c r="AD67" s="74"/>
      <c r="AE67" s="977">
        <f>SUMIFS(COMPRAS!BI:BI,COMPRAS!BF:BF,V67,COMPRAS!DD:DD,"SI")+SUMIFS(COMPRAS!BR:BR,COMPRAS!BO:BO,V67,COMPRAS!DD:DD,"SI")+SUMIFS(COMPRAS!CA:CA,COMPRAS!BX:BX,V67,COMPRAS!DD:DD,"SI")</f>
        <v>0</v>
      </c>
      <c r="AF67" s="978"/>
      <c r="AG67" s="978"/>
      <c r="AH67" s="978"/>
      <c r="AI67" s="14"/>
    </row>
    <row r="68" spans="1:36" ht="21" customHeight="1" outlineLevel="2" x14ac:dyDescent="0.35">
      <c r="A68" s="249"/>
      <c r="B68" s="37"/>
      <c r="C68" s="37"/>
      <c r="D68" s="37"/>
      <c r="E68" s="15"/>
      <c r="F68" s="15"/>
      <c r="G68" s="15"/>
      <c r="H68" s="15"/>
      <c r="I68" s="15"/>
      <c r="J68" s="15"/>
      <c r="K68" s="15"/>
      <c r="L68" s="15"/>
      <c r="M68" s="15"/>
      <c r="N68" s="15"/>
      <c r="O68" s="15"/>
      <c r="P68" s="15"/>
      <c r="Q68" s="15"/>
      <c r="R68" s="15"/>
      <c r="S68" s="15"/>
      <c r="T68" s="15"/>
      <c r="U68" s="245" t="s">
        <v>102</v>
      </c>
      <c r="V68" s="246" t="s">
        <v>101</v>
      </c>
      <c r="W68" s="225"/>
      <c r="X68" s="977">
        <f>+SUMIFS(COMPRAS!BG:BG,COMPRAS!BF:BF,V68,COMPRAS!DD:DD,"SI")+SUMIFS(COMPRAS!BP:BP,COMPRAS!BO:BO,V68,COMPRAS!DD:DD,"SI")+SUMIFS(COMPRAS!BY:BY,COMPRAS!BX:BX,V68,COMPRAS!DD:DD,"SI")</f>
        <v>0</v>
      </c>
      <c r="Y68" s="978"/>
      <c r="Z68" s="978"/>
      <c r="AA68" s="978"/>
      <c r="AB68" s="130"/>
      <c r="AC68" s="226"/>
      <c r="AD68" s="74"/>
      <c r="AE68" s="977">
        <f>SUMIFS(COMPRAS!BI:BI,COMPRAS!BF:BF,V68,COMPRAS!DD:DD,"SI")+SUMIFS(COMPRAS!BR:BR,COMPRAS!BO:BO,V68,COMPRAS!DD:DD,"SI")+SUMIFS(COMPRAS!CA:CA,COMPRAS!BX:BX,V68,COMPRAS!DD:DD,"SI")</f>
        <v>0</v>
      </c>
      <c r="AF68" s="978"/>
      <c r="AG68" s="978"/>
      <c r="AH68" s="978"/>
      <c r="AI68" s="14"/>
    </row>
    <row r="69" spans="1:36" ht="21" customHeight="1" outlineLevel="2" x14ac:dyDescent="0.35">
      <c r="A69" s="249"/>
      <c r="B69" s="37"/>
      <c r="C69" s="37"/>
      <c r="D69" s="37"/>
      <c r="E69" s="15"/>
      <c r="F69" s="15"/>
      <c r="G69" s="15"/>
      <c r="H69" s="15"/>
      <c r="I69" s="15"/>
      <c r="J69" s="15"/>
      <c r="K69" s="15"/>
      <c r="L69" s="15"/>
      <c r="M69" s="15"/>
      <c r="N69" s="15"/>
      <c r="O69" s="15"/>
      <c r="P69" s="15"/>
      <c r="Q69" s="15"/>
      <c r="R69" s="15"/>
      <c r="S69" s="15"/>
      <c r="T69" s="15"/>
      <c r="U69" s="245" t="s">
        <v>104</v>
      </c>
      <c r="V69" s="246" t="s">
        <v>103</v>
      </c>
      <c r="W69" s="225"/>
      <c r="X69" s="977">
        <f>+SUMIFS(COMPRAS!BG:BG,COMPRAS!BF:BF,V69,COMPRAS!DD:DD,"SI")+SUMIFS(COMPRAS!BP:BP,COMPRAS!BO:BO,V69,COMPRAS!DD:DD,"SI")+SUMIFS(COMPRAS!BY:BY,COMPRAS!BX:BX,V69,COMPRAS!DD:DD,"SI")</f>
        <v>0</v>
      </c>
      <c r="Y69" s="978"/>
      <c r="Z69" s="978"/>
      <c r="AA69" s="978"/>
      <c r="AB69" s="130"/>
      <c r="AC69" s="226"/>
      <c r="AD69" s="74"/>
      <c r="AE69" s="977">
        <f>SUMIFS(COMPRAS!BI:BI,COMPRAS!BF:BF,V69,COMPRAS!DD:DD,"SI")+SUMIFS(COMPRAS!BR:BR,COMPRAS!BO:BO,V69,COMPRAS!DD:DD,"SI")+SUMIFS(COMPRAS!CA:CA,COMPRAS!BX:BX,V69,COMPRAS!DD:DD,"SI")</f>
        <v>0</v>
      </c>
      <c r="AF69" s="978"/>
      <c r="AG69" s="978"/>
      <c r="AH69" s="978"/>
      <c r="AI69" s="14"/>
    </row>
    <row r="70" spans="1:36" ht="21" customHeight="1" outlineLevel="1" x14ac:dyDescent="0.35">
      <c r="A70" s="41" t="s">
        <v>2227</v>
      </c>
      <c r="B70" s="41"/>
      <c r="C70" s="37"/>
      <c r="D70" s="37"/>
      <c r="E70" s="15"/>
      <c r="F70" s="15"/>
      <c r="G70" s="15"/>
      <c r="H70" s="15"/>
      <c r="I70" s="15"/>
      <c r="J70" s="15"/>
      <c r="K70" s="15"/>
      <c r="L70" s="15"/>
      <c r="M70" s="15"/>
      <c r="N70" s="15"/>
      <c r="O70" s="15"/>
      <c r="P70" s="15"/>
      <c r="Q70" s="15"/>
      <c r="R70" s="15"/>
      <c r="S70" s="15"/>
      <c r="T70" s="15"/>
      <c r="U70" s="245"/>
      <c r="V70" s="54">
        <v>3140</v>
      </c>
      <c r="W70" s="225" t="s">
        <v>769</v>
      </c>
      <c r="X70" s="977">
        <f>SUM(X71:AA71)</f>
        <v>0</v>
      </c>
      <c r="Y70" s="978"/>
      <c r="Z70" s="978"/>
      <c r="AA70" s="978"/>
      <c r="AB70" s="130"/>
      <c r="AC70" s="226">
        <v>3640</v>
      </c>
      <c r="AD70" s="74" t="s">
        <v>769</v>
      </c>
      <c r="AE70" s="977">
        <f>SUM(AE71:AH71)</f>
        <v>0</v>
      </c>
      <c r="AF70" s="978"/>
      <c r="AG70" s="978"/>
      <c r="AH70" s="978"/>
      <c r="AI70" s="14"/>
      <c r="AJ70" s="270"/>
    </row>
    <row r="71" spans="1:36" ht="21" customHeight="1" outlineLevel="2" x14ac:dyDescent="0.35">
      <c r="A71" s="247"/>
      <c r="B71" s="37"/>
      <c r="C71" s="37"/>
      <c r="D71" s="37"/>
      <c r="E71" s="15"/>
      <c r="F71" s="15"/>
      <c r="G71" s="15"/>
      <c r="H71" s="15"/>
      <c r="I71" s="15"/>
      <c r="J71" s="15"/>
      <c r="K71" s="15"/>
      <c r="L71" s="15"/>
      <c r="M71" s="15"/>
      <c r="N71" s="15"/>
      <c r="O71" s="15"/>
      <c r="P71" s="15"/>
      <c r="Q71" s="15"/>
      <c r="R71" s="15"/>
      <c r="S71" s="15"/>
      <c r="T71" s="15"/>
      <c r="U71" s="245" t="s">
        <v>2246</v>
      </c>
      <c r="V71" s="246">
        <v>3482</v>
      </c>
      <c r="W71" s="225"/>
      <c r="X71" s="977">
        <f>+SUMIFS(COMPRAS!BG:BG,COMPRAS!BF:BF,V71,COMPRAS!DD:DD,"SI")+SUMIFS(COMPRAS!BP:BP,COMPRAS!BO:BO,V71,COMPRAS!DD:DD,"SI")+SUMIFS(COMPRAS!BY:BY,COMPRAS!BX:BX,V71,COMPRAS!DD:DD,"SI")</f>
        <v>0</v>
      </c>
      <c r="Y71" s="978"/>
      <c r="Z71" s="978"/>
      <c r="AA71" s="978"/>
      <c r="AB71" s="130"/>
      <c r="AC71" s="226"/>
      <c r="AD71" s="74"/>
      <c r="AE71" s="977">
        <f>SUMIFS(COMPRAS!BI:BI,COMPRAS!BF:BF,V71,COMPRAS!DD:DD,"SI")+SUMIFS(COMPRAS!BR:BR,COMPRAS!BO:BO,V71,COMPRAS!DD:DD,"SI")+SUMIFS(COMPRAS!CA:CA,COMPRAS!BX:BX,V71,COMPRAS!DD:DD,"SI")</f>
        <v>0</v>
      </c>
      <c r="AF71" s="978"/>
      <c r="AG71" s="978"/>
      <c r="AH71" s="978"/>
      <c r="AI71" s="14"/>
    </row>
    <row r="72" spans="1:36" ht="21" customHeight="1" outlineLevel="1" x14ac:dyDescent="0.35">
      <c r="A72" s="1108" t="s">
        <v>975</v>
      </c>
      <c r="B72" s="1109"/>
      <c r="C72" s="1110"/>
      <c r="D72" s="15" t="s">
        <v>974</v>
      </c>
      <c r="E72" s="15"/>
      <c r="F72" s="15"/>
      <c r="G72" s="15"/>
      <c r="H72" s="15"/>
      <c r="I72" s="15"/>
      <c r="J72" s="15"/>
      <c r="K72" s="15"/>
      <c r="L72" s="15"/>
      <c r="M72" s="15"/>
      <c r="N72" s="15"/>
      <c r="O72" s="15"/>
      <c r="P72" s="15"/>
      <c r="Q72" s="15"/>
      <c r="R72" s="15"/>
      <c r="S72" s="15"/>
      <c r="T72" s="15"/>
      <c r="U72" s="130"/>
      <c r="V72" s="54">
        <v>319</v>
      </c>
      <c r="W72" s="225" t="s">
        <v>769</v>
      </c>
      <c r="X72" s="977">
        <f>+SUMIFS(COMPRAS!BG:BG,COMPRAS!BF:BF,V72,COMPRAS!DD:DD,"SI")+SUMIFS(COMPRAS!BP:BP,COMPRAS!BO:BO,V72,COMPRAS!DD:DD,"SI")+SUMIFS(COMPRAS!BY:BY,COMPRAS!BX:BX,V72,COMPRAS!DD:DD,"SI")</f>
        <v>0</v>
      </c>
      <c r="Y72" s="978"/>
      <c r="Z72" s="978"/>
      <c r="AA72" s="978"/>
      <c r="AB72" s="130"/>
      <c r="AC72" s="111">
        <v>369</v>
      </c>
      <c r="AD72" s="74" t="s">
        <v>769</v>
      </c>
      <c r="AE72" s="977">
        <f>SUMIFS(COMPRAS!BI:BI,COMPRAS!BF:BF,V72,COMPRAS!DD:DD,"SI")+SUMIFS(COMPRAS!BR:BR,COMPRAS!BO:BO,V72,COMPRAS!DD:DD,"SI")+SUMIFS(COMPRAS!CA:CA,COMPRAS!BX:BX,V72,COMPRAS!DD:DD,"SI")</f>
        <v>0</v>
      </c>
      <c r="AF72" s="978"/>
      <c r="AG72" s="978"/>
      <c r="AH72" s="978"/>
      <c r="AI72" s="14"/>
      <c r="AJ72" s="270"/>
    </row>
    <row r="73" spans="1:36" ht="21" customHeight="1" outlineLevel="1" thickBot="1" x14ac:dyDescent="0.4">
      <c r="A73" s="1111"/>
      <c r="B73" s="1112"/>
      <c r="C73" s="1113"/>
      <c r="D73" s="37" t="s">
        <v>973</v>
      </c>
      <c r="E73" s="37"/>
      <c r="F73" s="37"/>
      <c r="G73" s="37"/>
      <c r="H73" s="37"/>
      <c r="I73" s="37"/>
      <c r="J73" s="37"/>
      <c r="K73" s="37"/>
      <c r="L73" s="37"/>
      <c r="M73" s="37"/>
      <c r="N73" s="37"/>
      <c r="O73" s="37"/>
      <c r="P73" s="37"/>
      <c r="Q73" s="37"/>
      <c r="R73" s="37"/>
      <c r="S73" s="37"/>
      <c r="T73" s="37"/>
      <c r="U73" s="242"/>
      <c r="V73" s="52">
        <v>320</v>
      </c>
      <c r="W73" s="837" t="s">
        <v>769</v>
      </c>
      <c r="X73" s="990">
        <f>+SUMIFS(COMPRAS!BG:BG,COMPRAS!BF:BF,V73,COMPRAS!DD:DD,"SI")+SUMIFS(COMPRAS!BP:BP,COMPRAS!BO:BO,V73,COMPRAS!DD:DD,"SI")+SUMIFS(COMPRAS!BY:BY,COMPRAS!BX:BX,V73,COMPRAS!DD:DD,"SI")</f>
        <v>0</v>
      </c>
      <c r="Y73" s="991"/>
      <c r="Z73" s="991"/>
      <c r="AA73" s="991"/>
      <c r="AB73" s="242"/>
      <c r="AC73" s="838">
        <v>370</v>
      </c>
      <c r="AD73" s="836" t="s">
        <v>769</v>
      </c>
      <c r="AE73" s="990">
        <f>SUMIFS(COMPRAS!BI:BI,COMPRAS!BF:BF,V73,COMPRAS!DD:DD,"SI")+SUMIFS(COMPRAS!BR:BR,COMPRAS!BO:BO,V73,COMPRAS!DD:DD,"SI")+SUMIFS(COMPRAS!CA:CA,COMPRAS!BX:BX,V73,COMPRAS!DD:DD,"SI")</f>
        <v>0</v>
      </c>
      <c r="AF73" s="991"/>
      <c r="AG73" s="991"/>
      <c r="AH73" s="991"/>
      <c r="AI73" s="205"/>
      <c r="AJ73" s="270"/>
    </row>
    <row r="74" spans="1:36" ht="21" customHeight="1" outlineLevel="1" thickBot="1" x14ac:dyDescent="0.4">
      <c r="A74" s="981" t="s">
        <v>2247</v>
      </c>
      <c r="B74" s="982"/>
      <c r="C74" s="982"/>
      <c r="D74" s="982"/>
      <c r="E74" s="982"/>
      <c r="F74" s="982"/>
      <c r="G74" s="982"/>
      <c r="H74" s="982"/>
      <c r="I74" s="982"/>
      <c r="J74" s="982"/>
      <c r="K74" s="982"/>
      <c r="L74" s="982"/>
      <c r="M74" s="982"/>
      <c r="N74" s="982"/>
      <c r="O74" s="982"/>
      <c r="P74" s="982"/>
      <c r="Q74" s="982"/>
      <c r="R74" s="982"/>
      <c r="S74" s="982"/>
      <c r="T74" s="982"/>
      <c r="U74" s="982"/>
      <c r="V74" s="982"/>
      <c r="W74" s="982"/>
      <c r="X74" s="982"/>
      <c r="Y74" s="982"/>
      <c r="Z74" s="982"/>
      <c r="AA74" s="982"/>
      <c r="AB74" s="982"/>
      <c r="AC74" s="982"/>
      <c r="AD74" s="982"/>
      <c r="AE74" s="982"/>
      <c r="AF74" s="982"/>
      <c r="AG74" s="982"/>
      <c r="AH74" s="982"/>
      <c r="AI74" s="983"/>
    </row>
    <row r="75" spans="1:36" ht="21" customHeight="1" outlineLevel="1" x14ac:dyDescent="0.35">
      <c r="A75" s="41" t="s">
        <v>972</v>
      </c>
      <c r="B75" s="15"/>
      <c r="C75" s="15"/>
      <c r="D75" s="15"/>
      <c r="E75" s="15"/>
      <c r="F75" s="15"/>
      <c r="G75" s="15"/>
      <c r="H75" s="15"/>
      <c r="I75" s="15"/>
      <c r="J75" s="15"/>
      <c r="K75" s="15"/>
      <c r="L75" s="15"/>
      <c r="M75" s="15"/>
      <c r="N75" s="15"/>
      <c r="O75" s="15"/>
      <c r="P75" s="15"/>
      <c r="Q75" s="15"/>
      <c r="R75" s="15"/>
      <c r="S75" s="15"/>
      <c r="T75" s="15"/>
      <c r="U75" s="130"/>
      <c r="V75" s="54">
        <v>323</v>
      </c>
      <c r="W75" s="225" t="s">
        <v>769</v>
      </c>
      <c r="X75" s="977">
        <f>SUM(X76:AA87)</f>
        <v>0</v>
      </c>
      <c r="Y75" s="978"/>
      <c r="Z75" s="978"/>
      <c r="AA75" s="978"/>
      <c r="AB75" s="130"/>
      <c r="AC75" s="226">
        <v>373</v>
      </c>
      <c r="AD75" s="74" t="s">
        <v>769</v>
      </c>
      <c r="AE75" s="977">
        <f>SUM(AE76:AH87)</f>
        <v>0</v>
      </c>
      <c r="AF75" s="978"/>
      <c r="AG75" s="978"/>
      <c r="AH75" s="978"/>
      <c r="AI75" s="14"/>
      <c r="AJ75" s="270"/>
    </row>
    <row r="76" spans="1:36" ht="21" customHeight="1" outlineLevel="2" x14ac:dyDescent="0.35">
      <c r="A76" s="41"/>
      <c r="B76" s="15"/>
      <c r="C76" s="15"/>
      <c r="D76" s="15"/>
      <c r="E76" s="15"/>
      <c r="F76" s="15"/>
      <c r="G76" s="15"/>
      <c r="H76" s="15"/>
      <c r="I76" s="15"/>
      <c r="J76" s="15"/>
      <c r="K76" s="15"/>
      <c r="L76" s="15"/>
      <c r="M76" s="15"/>
      <c r="N76" s="15"/>
      <c r="O76" s="15"/>
      <c r="P76" s="15"/>
      <c r="Q76" s="15"/>
      <c r="R76" s="15"/>
      <c r="S76" s="15"/>
      <c r="T76" s="15"/>
      <c r="U76" s="245" t="s">
        <v>106</v>
      </c>
      <c r="V76" s="246">
        <v>323</v>
      </c>
      <c r="W76" s="225"/>
      <c r="X76" s="977">
        <f>+SUMIFS(COMPRAS!BG:BG,COMPRAS!BF:BF,V76,COMPRAS!DD:DD,"SI")+SUMIFS(COMPRAS!BP:BP,COMPRAS!BO:BO,V76,COMPRAS!DD:DD,"SI")+SUMIFS(COMPRAS!BY:BY,COMPRAS!BX:BX,V76,COMPRAS!DD:DD,"SI")</f>
        <v>0</v>
      </c>
      <c r="Y76" s="978"/>
      <c r="Z76" s="978"/>
      <c r="AA76" s="978"/>
      <c r="AB76" s="130"/>
      <c r="AC76" s="226"/>
      <c r="AD76" s="74"/>
      <c r="AE76" s="977">
        <f>SUMIFS(COMPRAS!BI:BI,COMPRAS!BF:BF,V76,COMPRAS!DD:DD,"SI")+SUMIFS(COMPRAS!BR:BR,COMPRAS!BO:BO,V76,COMPRAS!DD:DD,"SI")+SUMIFS(COMPRAS!CA:CA,COMPRAS!BX:BX,V76,COMPRAS!DD:DD,"SI")</f>
        <v>0</v>
      </c>
      <c r="AF76" s="978"/>
      <c r="AG76" s="978"/>
      <c r="AH76" s="978"/>
      <c r="AI76" s="14"/>
    </row>
    <row r="77" spans="1:36" ht="21" customHeight="1" outlineLevel="2" x14ac:dyDescent="0.35">
      <c r="A77" s="41"/>
      <c r="B77" s="15"/>
      <c r="C77" s="15"/>
      <c r="D77" s="15"/>
      <c r="E77" s="15"/>
      <c r="F77" s="15"/>
      <c r="G77" s="15"/>
      <c r="H77" s="15"/>
      <c r="I77" s="15"/>
      <c r="J77" s="15"/>
      <c r="K77" s="15"/>
      <c r="L77" s="15"/>
      <c r="M77" s="15"/>
      <c r="N77" s="15"/>
      <c r="O77" s="15"/>
      <c r="P77" s="15"/>
      <c r="Q77" s="15"/>
      <c r="R77" s="15"/>
      <c r="S77" s="15"/>
      <c r="T77" s="15"/>
      <c r="U77" s="245" t="s">
        <v>108</v>
      </c>
      <c r="V77" s="246" t="s">
        <v>107</v>
      </c>
      <c r="W77" s="225"/>
      <c r="X77" s="977">
        <f>+SUMIFS(COMPRAS!BG:BG,COMPRAS!BF:BF,V77,COMPRAS!DD:DD,"SI")+SUMIFS(COMPRAS!BP:BP,COMPRAS!BO:BO,V77,COMPRAS!DD:DD,"SI")+SUMIFS(COMPRAS!BY:BY,COMPRAS!BX:BX,V77,COMPRAS!DD:DD,"SI")</f>
        <v>0</v>
      </c>
      <c r="Y77" s="978"/>
      <c r="Z77" s="978"/>
      <c r="AA77" s="978"/>
      <c r="AB77" s="130"/>
      <c r="AC77" s="226"/>
      <c r="AD77" s="74"/>
      <c r="AE77" s="977">
        <f>SUMIFS(COMPRAS!BI:BI,COMPRAS!BF:BF,V77,COMPRAS!DD:DD,"SI")+SUMIFS(COMPRAS!BR:BR,COMPRAS!BO:BO,V77,COMPRAS!DD:DD,"SI")+SUMIFS(COMPRAS!CA:CA,COMPRAS!BX:BX,V77,COMPRAS!DD:DD,"SI")</f>
        <v>0</v>
      </c>
      <c r="AF77" s="978"/>
      <c r="AG77" s="978"/>
      <c r="AH77" s="978"/>
      <c r="AI77" s="14"/>
    </row>
    <row r="78" spans="1:36" ht="21" customHeight="1" outlineLevel="2" x14ac:dyDescent="0.35">
      <c r="A78" s="41"/>
      <c r="B78" s="15"/>
      <c r="C78" s="15"/>
      <c r="D78" s="15"/>
      <c r="E78" s="15"/>
      <c r="F78" s="15"/>
      <c r="G78" s="15"/>
      <c r="H78" s="15"/>
      <c r="I78" s="15"/>
      <c r="J78" s="15"/>
      <c r="K78" s="15"/>
      <c r="L78" s="15"/>
      <c r="M78" s="15"/>
      <c r="N78" s="15"/>
      <c r="O78" s="15"/>
      <c r="P78" s="15"/>
      <c r="Q78" s="15"/>
      <c r="R78" s="15"/>
      <c r="S78" s="15"/>
      <c r="T78" s="15"/>
      <c r="U78" s="245" t="s">
        <v>110</v>
      </c>
      <c r="V78" s="246" t="s">
        <v>109</v>
      </c>
      <c r="W78" s="225"/>
      <c r="X78" s="977">
        <f>+SUMIFS(COMPRAS!BG:BG,COMPRAS!BF:BF,V78,COMPRAS!DD:DD,"SI")+SUMIFS(COMPRAS!BP:BP,COMPRAS!BO:BO,V78,COMPRAS!DD:DD,"SI")+SUMIFS(COMPRAS!BY:BY,COMPRAS!BX:BX,V78,COMPRAS!DD:DD,"SI")</f>
        <v>0</v>
      </c>
      <c r="Y78" s="978"/>
      <c r="Z78" s="978"/>
      <c r="AA78" s="978"/>
      <c r="AB78" s="130"/>
      <c r="AC78" s="226"/>
      <c r="AD78" s="74"/>
      <c r="AE78" s="977">
        <f>SUMIFS(COMPRAS!BI:BI,COMPRAS!BF:BF,V78,COMPRAS!DD:DD,"SI")+SUMIFS(COMPRAS!BR:BR,COMPRAS!BO:BO,V78,COMPRAS!DD:DD,"SI")+SUMIFS(COMPRAS!CA:CA,COMPRAS!BX:BX,V78,COMPRAS!DD:DD,"SI")</f>
        <v>0</v>
      </c>
      <c r="AF78" s="978"/>
      <c r="AG78" s="978"/>
      <c r="AH78" s="978"/>
      <c r="AI78" s="14"/>
    </row>
    <row r="79" spans="1:36" ht="21" customHeight="1" outlineLevel="2" x14ac:dyDescent="0.35">
      <c r="A79" s="41"/>
      <c r="B79" s="15"/>
      <c r="C79" s="15"/>
      <c r="D79" s="15"/>
      <c r="E79" s="15"/>
      <c r="F79" s="15"/>
      <c r="G79" s="15"/>
      <c r="H79" s="15"/>
      <c r="I79" s="15"/>
      <c r="J79" s="15"/>
      <c r="K79" s="15"/>
      <c r="L79" s="15"/>
      <c r="M79" s="15"/>
      <c r="N79" s="15"/>
      <c r="O79" s="15"/>
      <c r="P79" s="15"/>
      <c r="Q79" s="15"/>
      <c r="R79" s="15"/>
      <c r="S79" s="15"/>
      <c r="T79" s="15"/>
      <c r="U79" s="245" t="s">
        <v>112</v>
      </c>
      <c r="V79" s="246" t="s">
        <v>111</v>
      </c>
      <c r="W79" s="225"/>
      <c r="X79" s="977">
        <f>+SUMIFS(COMPRAS!BG:BG,COMPRAS!BF:BF,V79,COMPRAS!DD:DD,"SI")+SUMIFS(COMPRAS!BP:BP,COMPRAS!BO:BO,V79,COMPRAS!DD:DD,"SI")+SUMIFS(COMPRAS!BY:BY,COMPRAS!BX:BX,V79,COMPRAS!DD:DD,"SI")</f>
        <v>0</v>
      </c>
      <c r="Y79" s="978"/>
      <c r="Z79" s="978"/>
      <c r="AA79" s="978"/>
      <c r="AB79" s="130"/>
      <c r="AC79" s="226"/>
      <c r="AD79" s="74"/>
      <c r="AE79" s="977">
        <f>SUMIFS(COMPRAS!BI:BI,COMPRAS!BF:BF,V79,COMPRAS!DD:DD,"SI")+SUMIFS(COMPRAS!BR:BR,COMPRAS!BO:BO,V79,COMPRAS!DD:DD,"SI")+SUMIFS(COMPRAS!CA:CA,COMPRAS!BX:BX,V79,COMPRAS!DD:DD,"SI")</f>
        <v>0</v>
      </c>
      <c r="AF79" s="978"/>
      <c r="AG79" s="978"/>
      <c r="AH79" s="978"/>
      <c r="AI79" s="14"/>
    </row>
    <row r="80" spans="1:36" ht="21" customHeight="1" outlineLevel="2" x14ac:dyDescent="0.35">
      <c r="A80" s="41"/>
      <c r="B80" s="15"/>
      <c r="C80" s="15"/>
      <c r="D80" s="15"/>
      <c r="E80" s="15"/>
      <c r="F80" s="15"/>
      <c r="G80" s="15"/>
      <c r="H80" s="15"/>
      <c r="I80" s="15"/>
      <c r="J80" s="15"/>
      <c r="K80" s="15"/>
      <c r="L80" s="15"/>
      <c r="M80" s="15"/>
      <c r="N80" s="15"/>
      <c r="O80" s="15"/>
      <c r="P80" s="15"/>
      <c r="Q80" s="15"/>
      <c r="R80" s="15"/>
      <c r="S80" s="15"/>
      <c r="T80" s="15"/>
      <c r="U80" s="245" t="s">
        <v>116</v>
      </c>
      <c r="V80" s="246" t="s">
        <v>115</v>
      </c>
      <c r="W80" s="225"/>
      <c r="X80" s="977">
        <f>+SUMIFS(COMPRAS!BG:BG,COMPRAS!BF:BF,V80,COMPRAS!DD:DD,"SI")+SUMIFS(COMPRAS!BP:BP,COMPRAS!BO:BO,V80,COMPRAS!DD:DD,"SI")+SUMIFS(COMPRAS!BY:BY,COMPRAS!BX:BX,V80,COMPRAS!DD:DD,"SI")</f>
        <v>0</v>
      </c>
      <c r="Y80" s="978"/>
      <c r="Z80" s="978"/>
      <c r="AA80" s="978"/>
      <c r="AB80" s="130"/>
      <c r="AC80" s="226"/>
      <c r="AD80" s="74"/>
      <c r="AE80" s="977">
        <f>SUMIFS(COMPRAS!BI:BI,COMPRAS!BF:BF,V80,COMPRAS!DD:DD,"SI")+SUMIFS(COMPRAS!BR:BR,COMPRAS!BO:BO,V80,COMPRAS!DD:DD,"SI")+SUMIFS(COMPRAS!CA:CA,COMPRAS!BX:BX,V80,COMPRAS!DD:DD,"SI")</f>
        <v>0</v>
      </c>
      <c r="AF80" s="978"/>
      <c r="AG80" s="978"/>
      <c r="AH80" s="978"/>
      <c r="AI80" s="14"/>
    </row>
    <row r="81" spans="1:36" ht="21" customHeight="1" outlineLevel="2" x14ac:dyDescent="0.35">
      <c r="A81" s="41"/>
      <c r="B81" s="15"/>
      <c r="C81" s="15"/>
      <c r="D81" s="15"/>
      <c r="E81" s="15"/>
      <c r="F81" s="15"/>
      <c r="G81" s="15"/>
      <c r="H81" s="15"/>
      <c r="I81" s="15"/>
      <c r="J81" s="15"/>
      <c r="K81" s="15"/>
      <c r="L81" s="15"/>
      <c r="M81" s="15"/>
      <c r="N81" s="15"/>
      <c r="O81" s="15"/>
      <c r="P81" s="15"/>
      <c r="Q81" s="15"/>
      <c r="R81" s="15"/>
      <c r="S81" s="15"/>
      <c r="T81" s="15"/>
      <c r="U81" s="245" t="s">
        <v>118</v>
      </c>
      <c r="V81" s="246" t="s">
        <v>117</v>
      </c>
      <c r="W81" s="225"/>
      <c r="X81" s="977">
        <f>+SUMIFS(COMPRAS!BG:BG,COMPRAS!BF:BF,V81,COMPRAS!DD:DD,"SI")+SUMIFS(COMPRAS!BP:BP,COMPRAS!BO:BO,V81,COMPRAS!DD:DD,"SI")+SUMIFS(COMPRAS!BY:BY,COMPRAS!BX:BX,V81,COMPRAS!DD:DD,"SI")</f>
        <v>0</v>
      </c>
      <c r="Y81" s="978"/>
      <c r="Z81" s="978"/>
      <c r="AA81" s="978"/>
      <c r="AB81" s="130"/>
      <c r="AC81" s="226"/>
      <c r="AD81" s="74"/>
      <c r="AE81" s="977">
        <f>SUMIFS(COMPRAS!BI:BI,COMPRAS!BF:BF,V81,COMPRAS!DD:DD,"SI")+SUMIFS(COMPRAS!BR:BR,COMPRAS!BO:BO,V81,COMPRAS!DD:DD,"SI")+SUMIFS(COMPRAS!CA:CA,COMPRAS!BX:BX,V81,COMPRAS!DD:DD,"SI")</f>
        <v>0</v>
      </c>
      <c r="AF81" s="978"/>
      <c r="AG81" s="978"/>
      <c r="AH81" s="978"/>
      <c r="AI81" s="14"/>
    </row>
    <row r="82" spans="1:36" ht="21" customHeight="1" outlineLevel="2" x14ac:dyDescent="0.35">
      <c r="A82" s="41"/>
      <c r="B82" s="15"/>
      <c r="C82" s="15"/>
      <c r="D82" s="15"/>
      <c r="E82" s="15"/>
      <c r="F82" s="15"/>
      <c r="G82" s="15"/>
      <c r="H82" s="15"/>
      <c r="I82" s="15"/>
      <c r="J82" s="15"/>
      <c r="K82" s="15"/>
      <c r="L82" s="15"/>
      <c r="M82" s="15"/>
      <c r="N82" s="15"/>
      <c r="O82" s="15"/>
      <c r="P82" s="15"/>
      <c r="Q82" s="15"/>
      <c r="R82" s="15"/>
      <c r="S82" s="15"/>
      <c r="T82" s="15"/>
      <c r="U82" s="245" t="s">
        <v>120</v>
      </c>
      <c r="V82" s="246" t="s">
        <v>119</v>
      </c>
      <c r="W82" s="225"/>
      <c r="X82" s="977">
        <f>+SUMIFS(COMPRAS!BG:BG,COMPRAS!BF:BF,V82,COMPRAS!DD:DD,"SI")+SUMIFS(COMPRAS!BP:BP,COMPRAS!BO:BO,V82,COMPRAS!DD:DD,"SI")+SUMIFS(COMPRAS!BY:BY,COMPRAS!BX:BX,V82,COMPRAS!DD:DD,"SI")</f>
        <v>0</v>
      </c>
      <c r="Y82" s="978"/>
      <c r="Z82" s="978"/>
      <c r="AA82" s="978"/>
      <c r="AB82" s="130"/>
      <c r="AC82" s="226"/>
      <c r="AD82" s="74"/>
      <c r="AE82" s="977">
        <f>SUMIFS(COMPRAS!BI:BI,COMPRAS!BF:BF,V82,COMPRAS!DD:DD,"SI")+SUMIFS(COMPRAS!BR:BR,COMPRAS!BO:BO,V82,COMPRAS!DD:DD,"SI")+SUMIFS(COMPRAS!CA:CA,COMPRAS!BX:BX,V82,COMPRAS!DD:DD,"SI")</f>
        <v>0</v>
      </c>
      <c r="AF82" s="978"/>
      <c r="AG82" s="978"/>
      <c r="AH82" s="978"/>
      <c r="AI82" s="14"/>
    </row>
    <row r="83" spans="1:36" ht="21" customHeight="1" outlineLevel="2" x14ac:dyDescent="0.35">
      <c r="A83" s="41"/>
      <c r="B83" s="15"/>
      <c r="C83" s="15"/>
      <c r="D83" s="15"/>
      <c r="E83" s="15"/>
      <c r="F83" s="15"/>
      <c r="G83" s="15"/>
      <c r="H83" s="15"/>
      <c r="I83" s="15"/>
      <c r="J83" s="15"/>
      <c r="K83" s="15"/>
      <c r="L83" s="15"/>
      <c r="M83" s="15"/>
      <c r="N83" s="15"/>
      <c r="O83" s="15"/>
      <c r="P83" s="15"/>
      <c r="Q83" s="15"/>
      <c r="R83" s="15"/>
      <c r="S83" s="15"/>
      <c r="T83" s="15"/>
      <c r="U83" s="245" t="s">
        <v>122</v>
      </c>
      <c r="V83" s="246" t="s">
        <v>121</v>
      </c>
      <c r="W83" s="225"/>
      <c r="X83" s="977">
        <f>+SUMIFS(COMPRAS!BG:BG,COMPRAS!BF:BF,V83,COMPRAS!DD:DD,"SI")+SUMIFS(COMPRAS!BP:BP,COMPRAS!BO:BO,V83,COMPRAS!DD:DD,"SI")+SUMIFS(COMPRAS!BY:BY,COMPRAS!BX:BX,V83,COMPRAS!DD:DD,"SI")</f>
        <v>0</v>
      </c>
      <c r="Y83" s="978"/>
      <c r="Z83" s="978"/>
      <c r="AA83" s="978"/>
      <c r="AB83" s="130"/>
      <c r="AC83" s="226"/>
      <c r="AD83" s="74"/>
      <c r="AE83" s="977">
        <f>SUMIFS(COMPRAS!BI:BI,COMPRAS!BF:BF,V83,COMPRAS!DD:DD,"SI")+SUMIFS(COMPRAS!BR:BR,COMPRAS!BO:BO,V83,COMPRAS!DD:DD,"SI")+SUMIFS(COMPRAS!CA:CA,COMPRAS!BX:BX,V83,COMPRAS!DD:DD,"SI")</f>
        <v>0</v>
      </c>
      <c r="AF83" s="978"/>
      <c r="AG83" s="978"/>
      <c r="AH83" s="978"/>
      <c r="AI83" s="14"/>
    </row>
    <row r="84" spans="1:36" ht="21" customHeight="1" outlineLevel="2" x14ac:dyDescent="0.35">
      <c r="A84" s="41"/>
      <c r="B84" s="15"/>
      <c r="C84" s="15"/>
      <c r="D84" s="15"/>
      <c r="E84" s="15"/>
      <c r="F84" s="15"/>
      <c r="G84" s="15"/>
      <c r="H84" s="15"/>
      <c r="I84" s="15"/>
      <c r="J84" s="15"/>
      <c r="K84" s="15"/>
      <c r="L84" s="15"/>
      <c r="M84" s="15"/>
      <c r="N84" s="15"/>
      <c r="O84" s="15"/>
      <c r="P84" s="15"/>
      <c r="Q84" s="15"/>
      <c r="R84" s="15"/>
      <c r="S84" s="15"/>
      <c r="T84" s="15"/>
      <c r="U84" s="245" t="s">
        <v>124</v>
      </c>
      <c r="V84" s="246" t="s">
        <v>123</v>
      </c>
      <c r="W84" s="225"/>
      <c r="X84" s="977">
        <f>+SUMIFS(COMPRAS!BG:BG,COMPRAS!BF:BF,V84,COMPRAS!DD:DD,"SI")+SUMIFS(COMPRAS!BP:BP,COMPRAS!BO:BO,V84,COMPRAS!DD:DD,"SI")+SUMIFS(COMPRAS!BY:BY,COMPRAS!BX:BX,V84,COMPRAS!DD:DD,"SI")</f>
        <v>0</v>
      </c>
      <c r="Y84" s="978"/>
      <c r="Z84" s="978"/>
      <c r="AA84" s="978"/>
      <c r="AB84" s="130"/>
      <c r="AC84" s="226"/>
      <c r="AD84" s="74"/>
      <c r="AE84" s="977">
        <f>SUMIFS(COMPRAS!BI:BI,COMPRAS!BF:BF,V84,COMPRAS!DD:DD,"SI")+SUMIFS(COMPRAS!BR:BR,COMPRAS!BO:BO,V84,COMPRAS!DD:DD,"SI")+SUMIFS(COMPRAS!CA:CA,COMPRAS!BX:BX,V84,COMPRAS!DD:DD,"SI")</f>
        <v>0</v>
      </c>
      <c r="AF84" s="978"/>
      <c r="AG84" s="978"/>
      <c r="AH84" s="978"/>
      <c r="AI84" s="14"/>
    </row>
    <row r="85" spans="1:36" ht="21" customHeight="1" outlineLevel="2" x14ac:dyDescent="0.35">
      <c r="A85" s="41"/>
      <c r="B85" s="15"/>
      <c r="C85" s="15"/>
      <c r="D85" s="15"/>
      <c r="E85" s="15"/>
      <c r="F85" s="15"/>
      <c r="G85" s="15"/>
      <c r="H85" s="15"/>
      <c r="I85" s="15"/>
      <c r="J85" s="15"/>
      <c r="K85" s="15"/>
      <c r="L85" s="15"/>
      <c r="M85" s="15"/>
      <c r="N85" s="15"/>
      <c r="O85" s="15"/>
      <c r="P85" s="15"/>
      <c r="Q85" s="15"/>
      <c r="R85" s="15"/>
      <c r="S85" s="15"/>
      <c r="T85" s="15"/>
      <c r="U85" s="245" t="s">
        <v>130</v>
      </c>
      <c r="V85" s="246" t="s">
        <v>129</v>
      </c>
      <c r="W85" s="225"/>
      <c r="X85" s="977">
        <f>+SUMIFS(COMPRAS!BG:BG,COMPRAS!BF:BF,V85,COMPRAS!DD:DD,"SI")+SUMIFS(COMPRAS!BP:BP,COMPRAS!BO:BO,V85,COMPRAS!DD:DD,"SI")+SUMIFS(COMPRAS!BY:BY,COMPRAS!BX:BX,V85,COMPRAS!DD:DD,"SI")</f>
        <v>0</v>
      </c>
      <c r="Y85" s="978"/>
      <c r="Z85" s="978"/>
      <c r="AA85" s="978"/>
      <c r="AB85" s="130"/>
      <c r="AC85" s="226"/>
      <c r="AD85" s="74"/>
      <c r="AE85" s="977">
        <f>SUMIFS(COMPRAS!BI:BI,COMPRAS!BF:BF,V85,COMPRAS!DD:DD,"SI")+SUMIFS(COMPRAS!BR:BR,COMPRAS!BO:BO,V85,COMPRAS!DD:DD,"SI")+SUMIFS(COMPRAS!CA:CA,COMPRAS!BX:BX,V85,COMPRAS!DD:DD,"SI")</f>
        <v>0</v>
      </c>
      <c r="AF85" s="978"/>
      <c r="AG85" s="978"/>
      <c r="AH85" s="978"/>
      <c r="AI85" s="14"/>
    </row>
    <row r="86" spans="1:36" ht="21" customHeight="1" outlineLevel="2" x14ac:dyDescent="0.35">
      <c r="A86" s="41"/>
      <c r="B86" s="15"/>
      <c r="C86" s="15"/>
      <c r="D86" s="15"/>
      <c r="E86" s="15"/>
      <c r="F86" s="15"/>
      <c r="G86" s="15"/>
      <c r="H86" s="15"/>
      <c r="I86" s="15"/>
      <c r="J86" s="15"/>
      <c r="K86" s="15"/>
      <c r="L86" s="15"/>
      <c r="M86" s="15"/>
      <c r="N86" s="15"/>
      <c r="O86" s="15"/>
      <c r="P86" s="15"/>
      <c r="Q86" s="15"/>
      <c r="R86" s="15"/>
      <c r="S86" s="15"/>
      <c r="T86" s="15"/>
      <c r="U86" s="245" t="s">
        <v>132</v>
      </c>
      <c r="V86" s="246" t="s">
        <v>131</v>
      </c>
      <c r="W86" s="225"/>
      <c r="X86" s="977">
        <f>+SUMIFS(COMPRAS!BG:BG,COMPRAS!BF:BF,V86,COMPRAS!DD:DD,"SI")+SUMIFS(COMPRAS!BP:BP,COMPRAS!BO:BO,V86,COMPRAS!DD:DD,"SI")+SUMIFS(COMPRAS!BY:BY,COMPRAS!BX:BX,V86,COMPRAS!DD:DD,"SI")</f>
        <v>0</v>
      </c>
      <c r="Y86" s="978"/>
      <c r="Z86" s="978"/>
      <c r="AA86" s="978"/>
      <c r="AB86" s="130"/>
      <c r="AC86" s="226"/>
      <c r="AD86" s="74"/>
      <c r="AE86" s="977">
        <f>SUMIFS(COMPRAS!BI:BI,COMPRAS!BF:BF,V86,COMPRAS!DD:DD,"SI")+SUMIFS(COMPRAS!BR:BR,COMPRAS!BO:BO,V86,COMPRAS!DD:DD,"SI")+SUMIFS(COMPRAS!CA:CA,COMPRAS!BX:BX,V86,COMPRAS!DD:DD,"SI")</f>
        <v>0</v>
      </c>
      <c r="AF86" s="978"/>
      <c r="AG86" s="978"/>
      <c r="AH86" s="978"/>
      <c r="AI86" s="14"/>
    </row>
    <row r="87" spans="1:36" ht="21" customHeight="1" outlineLevel="2" x14ac:dyDescent="0.35">
      <c r="A87" s="41"/>
      <c r="B87" s="15"/>
      <c r="C87" s="15"/>
      <c r="D87" s="15"/>
      <c r="E87" s="15"/>
      <c r="F87" s="15"/>
      <c r="G87" s="15"/>
      <c r="H87" s="15"/>
      <c r="I87" s="15"/>
      <c r="J87" s="15"/>
      <c r="K87" s="15"/>
      <c r="L87" s="15"/>
      <c r="M87" s="15"/>
      <c r="N87" s="15"/>
      <c r="O87" s="15"/>
      <c r="P87" s="15"/>
      <c r="Q87" s="15"/>
      <c r="R87" s="15"/>
      <c r="S87" s="15"/>
      <c r="T87" s="15"/>
      <c r="U87" s="245" t="s">
        <v>1042</v>
      </c>
      <c r="V87" s="246" t="s">
        <v>1041</v>
      </c>
      <c r="W87" s="225"/>
      <c r="X87" s="977">
        <f>+SUMIFS(COMPRAS!BG:BG,COMPRAS!BF:BF,V87,COMPRAS!DD:DD,"SI")+SUMIFS(COMPRAS!BP:BP,COMPRAS!BO:BO,V87,COMPRAS!DD:DD,"SI")+SUMIFS(COMPRAS!BY:BY,COMPRAS!BX:BX,V87,COMPRAS!DD:DD,"SI")</f>
        <v>0</v>
      </c>
      <c r="Y87" s="978"/>
      <c r="Z87" s="978"/>
      <c r="AA87" s="978"/>
      <c r="AB87" s="130"/>
      <c r="AC87" s="226"/>
      <c r="AD87" s="74"/>
      <c r="AE87" s="977">
        <f>SUMIFS(COMPRAS!BI:BI,COMPRAS!BF:BF,V87,COMPRAS!DD:DD,"SI")+SUMIFS(COMPRAS!BR:BR,COMPRAS!BO:BO,V87,COMPRAS!DD:DD,"SI")+SUMIFS(COMPRAS!CA:CA,COMPRAS!BX:BX,V87,COMPRAS!DD:DD,"SI")</f>
        <v>0</v>
      </c>
      <c r="AF87" s="978"/>
      <c r="AG87" s="978"/>
      <c r="AH87" s="978"/>
      <c r="AI87" s="14"/>
    </row>
    <row r="88" spans="1:36" ht="21" customHeight="1" outlineLevel="1" x14ac:dyDescent="0.35">
      <c r="A88" s="41" t="s">
        <v>971</v>
      </c>
      <c r="B88" s="15"/>
      <c r="C88" s="15"/>
      <c r="D88" s="15"/>
      <c r="E88" s="15"/>
      <c r="F88" s="15"/>
      <c r="G88" s="15"/>
      <c r="H88" s="15"/>
      <c r="I88" s="15"/>
      <c r="J88" s="15"/>
      <c r="K88" s="15"/>
      <c r="L88" s="15"/>
      <c r="M88" s="15"/>
      <c r="N88" s="15"/>
      <c r="O88" s="15"/>
      <c r="P88" s="15"/>
      <c r="Q88" s="15"/>
      <c r="R88" s="15"/>
      <c r="S88" s="15"/>
      <c r="T88" s="15"/>
      <c r="U88" s="130"/>
      <c r="V88" s="54">
        <v>324</v>
      </c>
      <c r="W88" s="225" t="s">
        <v>769</v>
      </c>
      <c r="X88" s="977">
        <f>SUM(X89:AA91)</f>
        <v>0</v>
      </c>
      <c r="Y88" s="978"/>
      <c r="Z88" s="978"/>
      <c r="AA88" s="978"/>
      <c r="AB88" s="130"/>
      <c r="AC88" s="111">
        <v>374</v>
      </c>
      <c r="AD88" s="74" t="s">
        <v>769</v>
      </c>
      <c r="AE88" s="977">
        <f>SUM(AE89:AH91)</f>
        <v>0</v>
      </c>
      <c r="AF88" s="978"/>
      <c r="AG88" s="978"/>
      <c r="AH88" s="978"/>
      <c r="AI88" s="14"/>
      <c r="AJ88" s="270"/>
    </row>
    <row r="89" spans="1:36" ht="21" customHeight="1" outlineLevel="2" x14ac:dyDescent="0.35">
      <c r="A89" s="41"/>
      <c r="B89" s="15"/>
      <c r="C89" s="15"/>
      <c r="D89" s="15"/>
      <c r="E89" s="15"/>
      <c r="F89" s="15"/>
      <c r="G89" s="15"/>
      <c r="H89" s="15"/>
      <c r="I89" s="15"/>
      <c r="J89" s="15"/>
      <c r="K89" s="15"/>
      <c r="L89" s="15"/>
      <c r="M89" s="15"/>
      <c r="N89" s="15"/>
      <c r="O89" s="15"/>
      <c r="P89" s="15"/>
      <c r="Q89" s="15"/>
      <c r="R89" s="15"/>
      <c r="S89" s="15"/>
      <c r="T89" s="15"/>
      <c r="U89" s="245" t="s">
        <v>136</v>
      </c>
      <c r="V89" s="246" t="s">
        <v>135</v>
      </c>
      <c r="W89" s="225"/>
      <c r="X89" s="977">
        <f>+SUMIFS(COMPRAS!BG:BG,COMPRAS!BF:BF,V89,COMPRAS!DD:DD,"SI")+SUMIFS(COMPRAS!BP:BP,COMPRAS!BO:BO,V89,COMPRAS!DD:DD,"SI")+SUMIFS(COMPRAS!BY:BY,COMPRAS!BX:BX,V89,COMPRAS!DD:DD,"SI")</f>
        <v>0</v>
      </c>
      <c r="Y89" s="978"/>
      <c r="Z89" s="978"/>
      <c r="AA89" s="978"/>
      <c r="AB89" s="130"/>
      <c r="AC89" s="226"/>
      <c r="AD89" s="74"/>
      <c r="AE89" s="977">
        <f>SUMIFS(COMPRAS!BI:BI,COMPRAS!BF:BF,V89,COMPRAS!DD:DD,"SI")+SUMIFS(COMPRAS!BR:BR,COMPRAS!BO:BO,V89,COMPRAS!DD:DD,"SI")+SUMIFS(COMPRAS!CA:CA,COMPRAS!BX:BX,V89,COMPRAS!DD:DD,"SI")</f>
        <v>0</v>
      </c>
      <c r="AF89" s="978"/>
      <c r="AG89" s="978"/>
      <c r="AH89" s="978"/>
      <c r="AI89" s="14"/>
    </row>
    <row r="90" spans="1:36" ht="21" customHeight="1" outlineLevel="2" x14ac:dyDescent="0.35">
      <c r="A90" s="41"/>
      <c r="B90" s="15"/>
      <c r="C90" s="15"/>
      <c r="D90" s="15"/>
      <c r="E90" s="15"/>
      <c r="F90" s="15"/>
      <c r="G90" s="15"/>
      <c r="H90" s="15"/>
      <c r="I90" s="15"/>
      <c r="J90" s="15"/>
      <c r="K90" s="15"/>
      <c r="L90" s="15"/>
      <c r="M90" s="15"/>
      <c r="N90" s="15"/>
      <c r="O90" s="15"/>
      <c r="P90" s="15"/>
      <c r="Q90" s="15"/>
      <c r="R90" s="15"/>
      <c r="S90" s="15"/>
      <c r="T90" s="15"/>
      <c r="U90" s="245" t="s">
        <v>138</v>
      </c>
      <c r="V90" s="246" t="s">
        <v>137</v>
      </c>
      <c r="W90" s="225"/>
      <c r="X90" s="977">
        <f>+SUMIFS(COMPRAS!BG:BG,COMPRAS!BF:BF,V90,COMPRAS!DD:DD,"SI")+SUMIFS(COMPRAS!BP:BP,COMPRAS!BO:BO,V90,COMPRAS!DD:DD,"SI")+SUMIFS(COMPRAS!BY:BY,COMPRAS!BX:BX,V90,COMPRAS!DD:DD,"SI")</f>
        <v>0</v>
      </c>
      <c r="Y90" s="978"/>
      <c r="Z90" s="978"/>
      <c r="AA90" s="978"/>
      <c r="AB90" s="130"/>
      <c r="AC90" s="226"/>
      <c r="AD90" s="74"/>
      <c r="AE90" s="977">
        <f>SUMIFS(COMPRAS!BI:BI,COMPRAS!BF:BF,V90,COMPRAS!DD:DD,"SI")+SUMIFS(COMPRAS!BR:BR,COMPRAS!BO:BO,V90,COMPRAS!DD:DD,"SI")+SUMIFS(COMPRAS!CA:CA,COMPRAS!BX:BX,V90,COMPRAS!DD:DD,"SI")</f>
        <v>0</v>
      </c>
      <c r="AF90" s="978"/>
      <c r="AG90" s="978"/>
      <c r="AH90" s="978"/>
      <c r="AI90" s="14"/>
    </row>
    <row r="91" spans="1:36" ht="21" customHeight="1" outlineLevel="2" x14ac:dyDescent="0.35">
      <c r="A91" s="41"/>
      <c r="B91" s="15"/>
      <c r="C91" s="15"/>
      <c r="D91" s="15"/>
      <c r="E91" s="15"/>
      <c r="F91" s="15"/>
      <c r="G91" s="15"/>
      <c r="H91" s="15"/>
      <c r="I91" s="15"/>
      <c r="J91" s="15"/>
      <c r="K91" s="15"/>
      <c r="L91" s="15"/>
      <c r="M91" s="15"/>
      <c r="N91" s="15"/>
      <c r="O91" s="15"/>
      <c r="P91" s="15"/>
      <c r="Q91" s="15"/>
      <c r="R91" s="15"/>
      <c r="S91" s="15"/>
      <c r="T91" s="15"/>
      <c r="U91" s="245" t="s">
        <v>1048</v>
      </c>
      <c r="V91" s="246" t="s">
        <v>1047</v>
      </c>
      <c r="W91" s="225"/>
      <c r="X91" s="977">
        <f>+SUMIFS(COMPRAS!BG:BG,COMPRAS!BF:BF,V91,COMPRAS!DD:DD,"SI")+SUMIFS(COMPRAS!BP:BP,COMPRAS!BO:BO,V91,COMPRAS!DD:DD,"SI")+SUMIFS(COMPRAS!BY:BY,COMPRAS!BX:BX,V91,COMPRAS!DD:DD,"SI")</f>
        <v>0</v>
      </c>
      <c r="Y91" s="978"/>
      <c r="Z91" s="978"/>
      <c r="AA91" s="978"/>
      <c r="AB91" s="130"/>
      <c r="AC91" s="226"/>
      <c r="AD91" s="74"/>
      <c r="AE91" s="977">
        <f>SUMIFS(COMPRAS!BI:BI,COMPRAS!BF:BF,V91,COMPRAS!DD:DD,"SI")+SUMIFS(COMPRAS!BR:BR,COMPRAS!BO:BO,V91,COMPRAS!DD:DD,"SI")+SUMIFS(COMPRAS!CA:CA,COMPRAS!BX:BX,V91,COMPRAS!DD:DD,"SI")</f>
        <v>0</v>
      </c>
      <c r="AF91" s="978"/>
      <c r="AG91" s="978"/>
      <c r="AH91" s="978"/>
      <c r="AI91" s="14"/>
    </row>
    <row r="92" spans="1:36" ht="21" customHeight="1" outlineLevel="1" x14ac:dyDescent="0.35">
      <c r="A92" s="41" t="s">
        <v>2248</v>
      </c>
      <c r="B92" s="15"/>
      <c r="C92" s="15"/>
      <c r="D92" s="15"/>
      <c r="E92" s="15"/>
      <c r="F92" s="15"/>
      <c r="G92" s="15"/>
      <c r="H92" s="15"/>
      <c r="I92" s="15"/>
      <c r="J92" s="15"/>
      <c r="K92" s="15"/>
      <c r="L92" s="15"/>
      <c r="M92" s="15"/>
      <c r="N92" s="15"/>
      <c r="O92" s="15"/>
      <c r="P92" s="15"/>
      <c r="Q92" s="15"/>
      <c r="R92" s="15"/>
      <c r="S92" s="15"/>
      <c r="T92" s="15"/>
      <c r="U92" s="130"/>
      <c r="V92" s="54">
        <v>3230</v>
      </c>
      <c r="W92" s="225" t="s">
        <v>769</v>
      </c>
      <c r="X92" s="977">
        <f>SUM(X93:AA98)</f>
        <v>0</v>
      </c>
      <c r="Y92" s="978"/>
      <c r="Z92" s="978"/>
      <c r="AA92" s="978"/>
      <c r="AB92" s="130"/>
      <c r="AC92" s="984"/>
      <c r="AD92" s="985"/>
      <c r="AE92" s="985"/>
      <c r="AF92" s="985"/>
      <c r="AG92" s="985"/>
      <c r="AH92" s="985"/>
      <c r="AI92" s="986"/>
      <c r="AJ92" s="270"/>
    </row>
    <row r="93" spans="1:36" ht="21" customHeight="1" outlineLevel="2" x14ac:dyDescent="0.35">
      <c r="A93" s="41"/>
      <c r="B93" s="15"/>
      <c r="C93" s="15"/>
      <c r="D93" s="15"/>
      <c r="E93" s="15"/>
      <c r="F93" s="15"/>
      <c r="G93" s="15"/>
      <c r="H93" s="15"/>
      <c r="I93" s="15"/>
      <c r="J93" s="15"/>
      <c r="K93" s="15"/>
      <c r="L93" s="15"/>
      <c r="M93" s="15"/>
      <c r="N93" s="15"/>
      <c r="O93" s="15"/>
      <c r="P93" s="15"/>
      <c r="Q93" s="15"/>
      <c r="R93" s="15"/>
      <c r="S93" s="15"/>
      <c r="T93" s="15"/>
      <c r="U93" s="245" t="s">
        <v>114</v>
      </c>
      <c r="V93" s="246" t="s">
        <v>113</v>
      </c>
      <c r="W93" s="225"/>
      <c r="X93" s="977">
        <f>+SUMIFS(COMPRAS!BG:BG,COMPRAS!BF:BF,V93,COMPRAS!DD:DD,"SI")+SUMIFS(COMPRAS!BP:BP,COMPRAS!BO:BO,V93,COMPRAS!DD:DD,"SI")+SUMIFS(COMPRAS!BY:BY,COMPRAS!BX:BX,V93,COMPRAS!DD:DD,"SI")</f>
        <v>0</v>
      </c>
      <c r="Y93" s="978"/>
      <c r="Z93" s="978"/>
      <c r="AA93" s="978"/>
      <c r="AB93" s="130"/>
      <c r="AC93" s="1114"/>
      <c r="AD93" s="1115"/>
      <c r="AE93" s="1115"/>
      <c r="AF93" s="1115"/>
      <c r="AG93" s="1115"/>
      <c r="AH93" s="1115"/>
      <c r="AI93" s="1116"/>
    </row>
    <row r="94" spans="1:36" ht="21" customHeight="1" outlineLevel="2" x14ac:dyDescent="0.35">
      <c r="A94" s="41"/>
      <c r="B94" s="15"/>
      <c r="C94" s="15"/>
      <c r="D94" s="15"/>
      <c r="E94" s="15"/>
      <c r="F94" s="15"/>
      <c r="G94" s="15"/>
      <c r="H94" s="15"/>
      <c r="I94" s="15"/>
      <c r="J94" s="15"/>
      <c r="K94" s="15"/>
      <c r="L94" s="15"/>
      <c r="M94" s="15"/>
      <c r="N94" s="15"/>
      <c r="O94" s="15"/>
      <c r="P94" s="15"/>
      <c r="Q94" s="15"/>
      <c r="R94" s="15"/>
      <c r="S94" s="15"/>
      <c r="T94" s="15"/>
      <c r="U94" s="245" t="s">
        <v>126</v>
      </c>
      <c r="V94" s="246" t="s">
        <v>125</v>
      </c>
      <c r="W94" s="225"/>
      <c r="X94" s="977">
        <f>+SUMIFS(COMPRAS!BG:BG,COMPRAS!BF:BF,V94,COMPRAS!DD:DD,"SI")+SUMIFS(COMPRAS!BP:BP,COMPRAS!BO:BO,V94,COMPRAS!DD:DD,"SI")+SUMIFS(COMPRAS!BY:BY,COMPRAS!BX:BX,V94,COMPRAS!DD:DD,"SI")</f>
        <v>0</v>
      </c>
      <c r="Y94" s="978"/>
      <c r="Z94" s="978"/>
      <c r="AA94" s="978"/>
      <c r="AB94" s="130"/>
      <c r="AC94" s="995"/>
      <c r="AD94" s="996"/>
      <c r="AE94" s="996"/>
      <c r="AF94" s="996"/>
      <c r="AG94" s="996"/>
      <c r="AH94" s="996"/>
      <c r="AI94" s="997"/>
    </row>
    <row r="95" spans="1:36" ht="21" customHeight="1" outlineLevel="2" x14ac:dyDescent="0.35">
      <c r="A95" s="41"/>
      <c r="B95" s="15"/>
      <c r="C95" s="15"/>
      <c r="D95" s="15"/>
      <c r="E95" s="15"/>
      <c r="F95" s="15"/>
      <c r="G95" s="15"/>
      <c r="H95" s="15"/>
      <c r="I95" s="15"/>
      <c r="J95" s="15"/>
      <c r="K95" s="15"/>
      <c r="L95" s="15"/>
      <c r="M95" s="15"/>
      <c r="N95" s="15"/>
      <c r="O95" s="15"/>
      <c r="P95" s="15"/>
      <c r="Q95" s="15"/>
      <c r="R95" s="15"/>
      <c r="S95" s="15"/>
      <c r="T95" s="15"/>
      <c r="U95" s="245" t="s">
        <v>128</v>
      </c>
      <c r="V95" s="246" t="s">
        <v>127</v>
      </c>
      <c r="W95" s="225"/>
      <c r="X95" s="977">
        <f>+SUMIFS(COMPRAS!BG:BG,COMPRAS!BF:BF,V95,COMPRAS!DD:DD,"SI")+SUMIFS(COMPRAS!BP:BP,COMPRAS!BO:BO,V95,COMPRAS!DD:DD,"SI")+SUMIFS(COMPRAS!BY:BY,COMPRAS!BX:BX,V95,COMPRAS!DD:DD,"SI")</f>
        <v>0</v>
      </c>
      <c r="Y95" s="978"/>
      <c r="Z95" s="978"/>
      <c r="AA95" s="978"/>
      <c r="AB95" s="130"/>
      <c r="AC95" s="995"/>
      <c r="AD95" s="996"/>
      <c r="AE95" s="996"/>
      <c r="AF95" s="996"/>
      <c r="AG95" s="996"/>
      <c r="AH95" s="996"/>
      <c r="AI95" s="997"/>
    </row>
    <row r="96" spans="1:36" ht="21" customHeight="1" outlineLevel="2" x14ac:dyDescent="0.35">
      <c r="A96" s="41"/>
      <c r="B96" s="15"/>
      <c r="C96" s="15"/>
      <c r="D96" s="15"/>
      <c r="E96" s="15"/>
      <c r="F96" s="15"/>
      <c r="G96" s="15"/>
      <c r="H96" s="15"/>
      <c r="I96" s="15"/>
      <c r="J96" s="15"/>
      <c r="K96" s="15"/>
      <c r="L96" s="15"/>
      <c r="M96" s="15"/>
      <c r="N96" s="15"/>
      <c r="O96" s="15"/>
      <c r="P96" s="15"/>
      <c r="Q96" s="15"/>
      <c r="R96" s="15"/>
      <c r="S96" s="15"/>
      <c r="T96" s="15"/>
      <c r="U96" s="245" t="s">
        <v>134</v>
      </c>
      <c r="V96" s="246" t="s">
        <v>133</v>
      </c>
      <c r="W96" s="225"/>
      <c r="X96" s="977">
        <f>+SUMIFS(COMPRAS!BG:BG,COMPRAS!BF:BF,V96,COMPRAS!DD:DD,"SI")+SUMIFS(COMPRAS!BP:BP,COMPRAS!BO:BO,V96,COMPRAS!DD:DD,"SI")+SUMIFS(COMPRAS!BY:BY,COMPRAS!BX:BX,V96,COMPRAS!DD:DD,"SI")</f>
        <v>0</v>
      </c>
      <c r="Y96" s="978"/>
      <c r="Z96" s="978"/>
      <c r="AA96" s="978"/>
      <c r="AB96" s="130"/>
      <c r="AC96" s="995"/>
      <c r="AD96" s="996"/>
      <c r="AE96" s="996"/>
      <c r="AF96" s="996"/>
      <c r="AG96" s="996"/>
      <c r="AH96" s="996"/>
      <c r="AI96" s="997"/>
    </row>
    <row r="97" spans="1:41" ht="21" customHeight="1" outlineLevel="2" x14ac:dyDescent="0.35">
      <c r="A97" s="41"/>
      <c r="B97" s="15"/>
      <c r="C97" s="15"/>
      <c r="D97" s="15"/>
      <c r="E97" s="15"/>
      <c r="F97" s="15"/>
      <c r="G97" s="15"/>
      <c r="H97" s="15"/>
      <c r="I97" s="15"/>
      <c r="J97" s="15"/>
      <c r="K97" s="15"/>
      <c r="L97" s="15"/>
      <c r="M97" s="15"/>
      <c r="N97" s="15"/>
      <c r="O97" s="15"/>
      <c r="P97" s="15"/>
      <c r="Q97" s="15"/>
      <c r="R97" s="15"/>
      <c r="S97" s="15"/>
      <c r="T97" s="15"/>
      <c r="U97" s="245" t="s">
        <v>1044</v>
      </c>
      <c r="V97" s="246" t="s">
        <v>1043</v>
      </c>
      <c r="W97" s="225"/>
      <c r="X97" s="977">
        <f>+SUMIFS(COMPRAS!BG:BG,COMPRAS!BF:BF,V97,COMPRAS!DD:DD,"SI")+SUMIFS(COMPRAS!BP:BP,COMPRAS!BO:BO,V97,COMPRAS!DD:DD,"SI")+SUMIFS(COMPRAS!BY:BY,COMPRAS!BX:BX,V97,COMPRAS!DD:DD,"SI")</f>
        <v>0</v>
      </c>
      <c r="Y97" s="978"/>
      <c r="Z97" s="978"/>
      <c r="AA97" s="978"/>
      <c r="AB97" s="130"/>
      <c r="AC97" s="995"/>
      <c r="AD97" s="996"/>
      <c r="AE97" s="996"/>
      <c r="AF97" s="996"/>
      <c r="AG97" s="996"/>
      <c r="AH97" s="996"/>
      <c r="AI97" s="997"/>
    </row>
    <row r="98" spans="1:41" ht="21" customHeight="1" outlineLevel="2" x14ac:dyDescent="0.35">
      <c r="A98" s="41"/>
      <c r="B98" s="15"/>
      <c r="C98" s="15"/>
      <c r="D98" s="15"/>
      <c r="E98" s="15"/>
      <c r="F98" s="15"/>
      <c r="G98" s="15"/>
      <c r="H98" s="15"/>
      <c r="I98" s="15"/>
      <c r="J98" s="15"/>
      <c r="K98" s="15"/>
      <c r="L98" s="15"/>
      <c r="M98" s="15"/>
      <c r="N98" s="15"/>
      <c r="O98" s="15"/>
      <c r="P98" s="15"/>
      <c r="Q98" s="15"/>
      <c r="R98" s="15"/>
      <c r="S98" s="15"/>
      <c r="T98" s="15"/>
      <c r="U98" s="245" t="s">
        <v>1046</v>
      </c>
      <c r="V98" s="246" t="s">
        <v>1045</v>
      </c>
      <c r="W98" s="225"/>
      <c r="X98" s="977">
        <f>+SUMIFS(COMPRAS!BG:BG,COMPRAS!BF:BF,V98,COMPRAS!DD:DD,"SI")+SUMIFS(COMPRAS!BP:BP,COMPRAS!BO:BO,V98,COMPRAS!DD:DD,"SI")+SUMIFS(COMPRAS!BY:BY,COMPRAS!BX:BX,V98,COMPRAS!DD:DD,"SI")</f>
        <v>0</v>
      </c>
      <c r="Y98" s="978"/>
      <c r="Z98" s="978"/>
      <c r="AA98" s="978"/>
      <c r="AB98" s="130"/>
      <c r="AC98" s="984"/>
      <c r="AD98" s="985"/>
      <c r="AE98" s="985"/>
      <c r="AF98" s="985"/>
      <c r="AG98" s="985"/>
      <c r="AH98" s="985"/>
      <c r="AI98" s="986"/>
    </row>
    <row r="99" spans="1:41" ht="21" customHeight="1" outlineLevel="1" x14ac:dyDescent="0.35">
      <c r="A99" s="1105" t="s">
        <v>1244</v>
      </c>
      <c r="B99" s="1106"/>
      <c r="C99" s="1107"/>
      <c r="D99" s="15" t="s">
        <v>970</v>
      </c>
      <c r="E99" s="15"/>
      <c r="F99" s="15"/>
      <c r="G99" s="15"/>
      <c r="H99" s="15"/>
      <c r="I99" s="15"/>
      <c r="J99" s="15"/>
      <c r="K99" s="15"/>
      <c r="L99" s="15"/>
      <c r="M99" s="15"/>
      <c r="N99" s="15"/>
      <c r="O99" s="15"/>
      <c r="P99" s="15"/>
      <c r="Q99" s="15"/>
      <c r="R99" s="15"/>
      <c r="S99" s="15"/>
      <c r="T99" s="15"/>
      <c r="U99" s="130"/>
      <c r="V99" s="54">
        <v>325</v>
      </c>
      <c r="W99" s="225" t="s">
        <v>769</v>
      </c>
      <c r="X99" s="977">
        <f>SUM(X100:AA101)</f>
        <v>0</v>
      </c>
      <c r="Y99" s="978"/>
      <c r="Z99" s="978"/>
      <c r="AA99" s="978"/>
      <c r="AB99" s="130"/>
      <c r="AC99" s="111">
        <v>375</v>
      </c>
      <c r="AD99" s="74" t="s">
        <v>769</v>
      </c>
      <c r="AE99" s="979">
        <f>SUM(AE100:AH101)</f>
        <v>0</v>
      </c>
      <c r="AF99" s="980"/>
      <c r="AG99" s="980"/>
      <c r="AH99" s="980"/>
      <c r="AI99" s="206"/>
      <c r="AJ99" s="270"/>
    </row>
    <row r="100" spans="1:41" ht="21" customHeight="1" outlineLevel="2" x14ac:dyDescent="0.35">
      <c r="A100" s="1101"/>
      <c r="B100" s="1013"/>
      <c r="C100" s="1021"/>
      <c r="D100" s="15"/>
      <c r="E100" s="15"/>
      <c r="F100" s="15"/>
      <c r="G100" s="15"/>
      <c r="H100" s="15"/>
      <c r="I100" s="15"/>
      <c r="J100" s="15"/>
      <c r="K100" s="15"/>
      <c r="L100" s="15"/>
      <c r="M100" s="15"/>
      <c r="N100" s="15"/>
      <c r="O100" s="15"/>
      <c r="P100" s="15"/>
      <c r="Q100" s="15"/>
      <c r="R100" s="15"/>
      <c r="S100" s="15"/>
      <c r="T100" s="15"/>
      <c r="U100" s="245" t="s">
        <v>139</v>
      </c>
      <c r="V100" s="246">
        <v>325</v>
      </c>
      <c r="W100" s="225"/>
      <c r="X100" s="977">
        <f>+SUMIFS(COMPRAS!BG:BG,COMPRAS!BF:BF,V100,COMPRAS!DD:DD,"SI")+SUMIFS(COMPRAS!BP:BP,COMPRAS!BO:BO,V100,COMPRAS!DD:DD,"SI")+SUMIFS(COMPRAS!BY:BY,COMPRAS!BX:BX,V100,COMPRAS!DD:DD,"SI")</f>
        <v>0</v>
      </c>
      <c r="Y100" s="978"/>
      <c r="Z100" s="978"/>
      <c r="AA100" s="978"/>
      <c r="AB100" s="130"/>
      <c r="AC100" s="226"/>
      <c r="AD100" s="74"/>
      <c r="AE100" s="977">
        <f>SUMIFS(COMPRAS!BI:BI,COMPRAS!BF:BF,V100,COMPRAS!DD:DD,"SI")+SUMIFS(COMPRAS!BR:BR,COMPRAS!BO:BO,V100,COMPRAS!DD:DD,"SI")+SUMIFS(COMPRAS!CA:CA,COMPRAS!BX:BX,V100,COMPRAS!DD:DD,"SI")</f>
        <v>0</v>
      </c>
      <c r="AF100" s="978"/>
      <c r="AG100" s="978"/>
      <c r="AH100" s="978"/>
      <c r="AI100" s="14"/>
    </row>
    <row r="101" spans="1:41" ht="21" customHeight="1" outlineLevel="2" x14ac:dyDescent="0.35">
      <c r="A101" s="1101"/>
      <c r="B101" s="1013"/>
      <c r="C101" s="1021"/>
      <c r="D101" s="15"/>
      <c r="E101" s="15"/>
      <c r="F101" s="15"/>
      <c r="G101" s="15"/>
      <c r="H101" s="15"/>
      <c r="I101" s="15"/>
      <c r="J101" s="15"/>
      <c r="K101" s="15"/>
      <c r="L101" s="15"/>
      <c r="M101" s="15"/>
      <c r="N101" s="15"/>
      <c r="O101" s="15"/>
      <c r="P101" s="15"/>
      <c r="Q101" s="15"/>
      <c r="R101" s="15"/>
      <c r="S101" s="15"/>
      <c r="T101" s="15"/>
      <c r="U101" s="245" t="s">
        <v>141</v>
      </c>
      <c r="V101" s="246" t="s">
        <v>140</v>
      </c>
      <c r="W101" s="225"/>
      <c r="X101" s="977">
        <f>+SUMIFS(COMPRAS!BG:BG,COMPRAS!BF:BF,V101,COMPRAS!DD:DD,"SI")+SUMIFS(COMPRAS!BP:BP,COMPRAS!BO:BO,V101,COMPRAS!DD:DD,"SI")+SUMIFS(COMPRAS!BY:BY,COMPRAS!BX:BX,V101,COMPRAS!DD:DD,"SI")</f>
        <v>0</v>
      </c>
      <c r="Y101" s="978"/>
      <c r="Z101" s="978"/>
      <c r="AA101" s="978"/>
      <c r="AB101" s="130"/>
      <c r="AC101" s="226"/>
      <c r="AD101" s="74"/>
      <c r="AE101" s="977">
        <f>SUMIFS(COMPRAS!BI:BI,COMPRAS!BF:BF,V101,COMPRAS!DD:DD,"SI")+SUMIFS(COMPRAS!BR:BR,COMPRAS!BO:BO,V101,COMPRAS!DD:DD,"SI")+SUMIFS(COMPRAS!CA:CA,COMPRAS!BX:BX,V101,COMPRAS!DD:DD,"SI")</f>
        <v>0</v>
      </c>
      <c r="AF101" s="978"/>
      <c r="AG101" s="978"/>
      <c r="AH101" s="978"/>
      <c r="AI101" s="14"/>
    </row>
    <row r="102" spans="1:41" ht="21" customHeight="1" outlineLevel="1" x14ac:dyDescent="0.35">
      <c r="A102" s="1101"/>
      <c r="B102" s="1013"/>
      <c r="C102" s="1021"/>
      <c r="D102" s="37" t="s">
        <v>2413</v>
      </c>
      <c r="E102" s="37"/>
      <c r="F102" s="15"/>
      <c r="G102" s="15"/>
      <c r="H102" s="15"/>
      <c r="I102" s="15"/>
      <c r="J102" s="15"/>
      <c r="K102" s="15"/>
      <c r="L102" s="15"/>
      <c r="M102" s="15"/>
      <c r="N102" s="15"/>
      <c r="O102" s="15"/>
      <c r="P102" s="15"/>
      <c r="Q102" s="15"/>
      <c r="R102" s="15"/>
      <c r="S102" s="15"/>
      <c r="T102" s="15"/>
      <c r="U102" s="245"/>
      <c r="V102" s="54">
        <v>3250</v>
      </c>
      <c r="W102" s="225" t="s">
        <v>769</v>
      </c>
      <c r="X102" s="977">
        <f>+SUMIFS(COMPRAS!BG:BG,COMPRAS!BF:BF,V102,COMPRAS!DD:DD,"SI")+SUMIFS(COMPRAS!BP:BP,COMPRAS!BO:BO,V102,COMPRAS!DD:DD,"SI")+SUMIFS(COMPRAS!BY:BY,COMPRAS!BX:BX,V102,COMPRAS!DD:DD,"SI")</f>
        <v>0</v>
      </c>
      <c r="Y102" s="978"/>
      <c r="Z102" s="978"/>
      <c r="AA102" s="978"/>
      <c r="AB102" s="130"/>
      <c r="AC102" s="984"/>
      <c r="AD102" s="985"/>
      <c r="AE102" s="985"/>
      <c r="AF102" s="985"/>
      <c r="AG102" s="985"/>
      <c r="AH102" s="985"/>
      <c r="AI102" s="986"/>
      <c r="AJ102" s="270"/>
      <c r="AO102" s="919"/>
    </row>
    <row r="103" spans="1:41" ht="21" customHeight="1" outlineLevel="1" x14ac:dyDescent="0.35">
      <c r="A103" s="1101"/>
      <c r="B103" s="1013"/>
      <c r="C103" s="1021"/>
      <c r="D103" s="37" t="s">
        <v>969</v>
      </c>
      <c r="E103" s="37"/>
      <c r="F103" s="15"/>
      <c r="G103" s="15"/>
      <c r="H103" s="15"/>
      <c r="I103" s="15"/>
      <c r="J103" s="15"/>
      <c r="K103" s="15"/>
      <c r="L103" s="15"/>
      <c r="M103" s="15"/>
      <c r="N103" s="15"/>
      <c r="O103" s="15"/>
      <c r="P103" s="15"/>
      <c r="Q103" s="15"/>
      <c r="R103" s="15"/>
      <c r="S103" s="15"/>
      <c r="T103" s="15"/>
      <c r="U103" s="245"/>
      <c r="V103" s="54">
        <v>326</v>
      </c>
      <c r="W103" s="225" t="s">
        <v>769</v>
      </c>
      <c r="X103" s="977">
        <f>+SUMIFS(COMPRAS!BG:BG,COMPRAS!BF:BF,V103,COMPRAS!DD:DD,"SI")+SUMIFS(COMPRAS!BP:BP,COMPRAS!BO:BO,V103,COMPRAS!DD:DD,"SI")+SUMIFS(COMPRAS!BY:BY,COMPRAS!BX:BX,V103,COMPRAS!DD:DD,"SI")</f>
        <v>0</v>
      </c>
      <c r="Y103" s="978"/>
      <c r="Z103" s="978"/>
      <c r="AA103" s="978"/>
      <c r="AB103" s="130"/>
      <c r="AC103" s="226">
        <v>376</v>
      </c>
      <c r="AD103" s="74" t="s">
        <v>769</v>
      </c>
      <c r="AE103" s="977">
        <f>SUMIFS(COMPRAS!BI:BI,COMPRAS!BF:BF,V103,COMPRAS!DD:DD,"SI")+SUMIFS(COMPRAS!BR:BR,COMPRAS!BO:BO,V103,COMPRAS!DD:DD,"SI")+SUMIFS(COMPRAS!CA:CA,COMPRAS!BX:BX,V103,COMPRAS!DD:DD,"SI")</f>
        <v>0</v>
      </c>
      <c r="AF103" s="978"/>
      <c r="AG103" s="978"/>
      <c r="AH103" s="978"/>
      <c r="AI103" s="14"/>
      <c r="AJ103" s="270"/>
    </row>
    <row r="104" spans="1:41" ht="21" customHeight="1" outlineLevel="1" x14ac:dyDescent="0.35">
      <c r="A104" s="1101"/>
      <c r="B104" s="1013"/>
      <c r="C104" s="1021"/>
      <c r="D104" s="37" t="s">
        <v>968</v>
      </c>
      <c r="E104" s="37"/>
      <c r="F104" s="15"/>
      <c r="G104" s="15"/>
      <c r="H104" s="15"/>
      <c r="I104" s="15"/>
      <c r="J104" s="15"/>
      <c r="K104" s="15"/>
      <c r="L104" s="15"/>
      <c r="M104" s="15"/>
      <c r="N104" s="15"/>
      <c r="O104" s="15"/>
      <c r="P104" s="15"/>
      <c r="Q104" s="15"/>
      <c r="R104" s="15"/>
      <c r="S104" s="15"/>
      <c r="T104" s="15"/>
      <c r="U104" s="245"/>
      <c r="V104" s="54">
        <v>327</v>
      </c>
      <c r="W104" s="225" t="s">
        <v>769</v>
      </c>
      <c r="X104" s="977">
        <f>+SUMIFS(COMPRAS!BG:BG,COMPRAS!BF:BF,V104,COMPRAS!DD:DD,"SI")+SUMIFS(COMPRAS!BP:BP,COMPRAS!BO:BO,V104,COMPRAS!DD:DD,"SI")+SUMIFS(COMPRAS!BY:BY,COMPRAS!BX:BX,V104,COMPRAS!DD:DD,"SI")</f>
        <v>0</v>
      </c>
      <c r="Y104" s="978"/>
      <c r="Z104" s="978"/>
      <c r="AA104" s="978"/>
      <c r="AB104" s="130"/>
      <c r="AC104" s="226">
        <v>377</v>
      </c>
      <c r="AD104" s="74" t="s">
        <v>769</v>
      </c>
      <c r="AE104" s="977">
        <f>SUMIFS(COMPRAS!BI:BI,COMPRAS!BF:BF,V104,COMPRAS!DD:DD,"SI")+SUMIFS(COMPRAS!BR:BR,COMPRAS!BO:BO,V104,COMPRAS!DD:DD,"SI")+SUMIFS(COMPRAS!CA:CA,COMPRAS!BX:BX,V104,COMPRAS!DD:DD,"SI")</f>
        <v>0</v>
      </c>
      <c r="AF104" s="978"/>
      <c r="AG104" s="978"/>
      <c r="AH104" s="978"/>
      <c r="AI104" s="14"/>
      <c r="AJ104" s="270"/>
    </row>
    <row r="105" spans="1:41" ht="21" customHeight="1" outlineLevel="1" x14ac:dyDescent="0.35">
      <c r="A105" s="1101"/>
      <c r="B105" s="1013"/>
      <c r="C105" s="1021"/>
      <c r="D105" s="37" t="s">
        <v>967</v>
      </c>
      <c r="E105" s="37"/>
      <c r="F105" s="15"/>
      <c r="G105" s="15"/>
      <c r="H105" s="15"/>
      <c r="I105" s="15"/>
      <c r="J105" s="15"/>
      <c r="K105" s="15"/>
      <c r="L105" s="15"/>
      <c r="M105" s="15"/>
      <c r="N105" s="15"/>
      <c r="O105" s="15"/>
      <c r="P105" s="15"/>
      <c r="Q105" s="15"/>
      <c r="R105" s="15"/>
      <c r="S105" s="15"/>
      <c r="T105" s="15"/>
      <c r="U105" s="245"/>
      <c r="V105" s="54">
        <v>328</v>
      </c>
      <c r="W105" s="225" t="s">
        <v>769</v>
      </c>
      <c r="X105" s="977">
        <f>+SUMIFS(COMPRAS!BG:BG,COMPRAS!BF:BF,V105,COMPRAS!DD:DD,"SI")+SUMIFS(COMPRAS!BP:BP,COMPRAS!BO:BO,V105,COMPRAS!DD:DD,"SI")+SUMIFS(COMPRAS!BY:BY,COMPRAS!BX:BX,V105,COMPRAS!DD:DD,"SI")</f>
        <v>0</v>
      </c>
      <c r="Y105" s="978"/>
      <c r="Z105" s="978"/>
      <c r="AA105" s="978"/>
      <c r="AB105" s="130"/>
      <c r="AC105" s="226">
        <v>378</v>
      </c>
      <c r="AD105" s="74" t="s">
        <v>769</v>
      </c>
      <c r="AE105" s="977">
        <f>SUMIFS(COMPRAS!BI:BI,COMPRAS!BF:BF,V105,COMPRAS!DD:DD,"SI")+SUMIFS(COMPRAS!BR:BR,COMPRAS!BO:BO,V105,COMPRAS!DD:DD,"SI")+SUMIFS(COMPRAS!CA:CA,COMPRAS!BX:BX,V105,COMPRAS!DD:DD,"SI")</f>
        <v>0</v>
      </c>
      <c r="AF105" s="978"/>
      <c r="AG105" s="978"/>
      <c r="AH105" s="978"/>
      <c r="AI105" s="14"/>
      <c r="AJ105" s="270"/>
    </row>
    <row r="106" spans="1:41" ht="21" customHeight="1" outlineLevel="1" x14ac:dyDescent="0.35">
      <c r="A106" s="1101"/>
      <c r="B106" s="1013"/>
      <c r="C106" s="1021"/>
      <c r="D106" s="37" t="s">
        <v>966</v>
      </c>
      <c r="E106" s="37"/>
      <c r="F106" s="15"/>
      <c r="G106" s="15"/>
      <c r="H106" s="15"/>
      <c r="I106" s="15"/>
      <c r="J106" s="15"/>
      <c r="K106" s="15"/>
      <c r="L106" s="15"/>
      <c r="M106" s="15"/>
      <c r="N106" s="15"/>
      <c r="O106" s="15"/>
      <c r="P106" s="15"/>
      <c r="Q106" s="15"/>
      <c r="R106" s="15"/>
      <c r="S106" s="15"/>
      <c r="T106" s="15"/>
      <c r="U106" s="245"/>
      <c r="V106" s="54">
        <v>329</v>
      </c>
      <c r="W106" s="225" t="s">
        <v>769</v>
      </c>
      <c r="X106" s="977">
        <f>+SUMIFS(COMPRAS!BG:BG,COMPRAS!BF:BF,V106,COMPRAS!DD:DD,"SI")+SUMIFS(COMPRAS!BP:BP,COMPRAS!BO:BO,V106,COMPRAS!DD:DD,"SI")+SUMIFS(COMPRAS!BY:BY,COMPRAS!BX:BX,V106,COMPRAS!DD:DD,"SI")</f>
        <v>0</v>
      </c>
      <c r="Y106" s="978"/>
      <c r="Z106" s="978"/>
      <c r="AA106" s="978"/>
      <c r="AB106" s="130"/>
      <c r="AC106" s="226">
        <v>379</v>
      </c>
      <c r="AD106" s="74" t="s">
        <v>769</v>
      </c>
      <c r="AE106" s="977">
        <f>SUMIFS(COMPRAS!BI:BI,COMPRAS!BF:BF,V106,COMPRAS!DD:DD,"SI")+SUMIFS(COMPRAS!BR:BR,COMPRAS!BO:BO,V106,COMPRAS!DD:DD,"SI")+SUMIFS(COMPRAS!CA:CA,COMPRAS!BX:BX,V106,COMPRAS!DD:DD,"SI")</f>
        <v>0</v>
      </c>
      <c r="AF106" s="978"/>
      <c r="AG106" s="978"/>
      <c r="AH106" s="978"/>
      <c r="AI106" s="14"/>
      <c r="AJ106" s="270"/>
    </row>
    <row r="107" spans="1:41" ht="21" customHeight="1" outlineLevel="1" x14ac:dyDescent="0.35">
      <c r="A107" s="1101"/>
      <c r="B107" s="1013"/>
      <c r="C107" s="1021"/>
      <c r="D107" s="37" t="s">
        <v>965</v>
      </c>
      <c r="E107" s="37"/>
      <c r="F107" s="15"/>
      <c r="G107" s="15"/>
      <c r="H107" s="15"/>
      <c r="I107" s="15"/>
      <c r="J107" s="15"/>
      <c r="K107" s="15"/>
      <c r="L107" s="15"/>
      <c r="M107" s="15"/>
      <c r="N107" s="15"/>
      <c r="O107" s="15"/>
      <c r="P107" s="15"/>
      <c r="Q107" s="15"/>
      <c r="R107" s="15"/>
      <c r="S107" s="15"/>
      <c r="T107" s="15"/>
      <c r="U107" s="245"/>
      <c r="V107" s="54">
        <v>330</v>
      </c>
      <c r="W107" s="225" t="s">
        <v>769</v>
      </c>
      <c r="X107" s="977">
        <f>+SUMIFS(COMPRAS!BG:BG,COMPRAS!BF:BF,V107,COMPRAS!DD:DD,"SI")+SUMIFS(COMPRAS!BP:BP,COMPRAS!BO:BO,V107,COMPRAS!DD:DD,"SI")+SUMIFS(COMPRAS!BY:BY,COMPRAS!BX:BX,V107,COMPRAS!DD:DD,"SI")</f>
        <v>0</v>
      </c>
      <c r="Y107" s="978"/>
      <c r="Z107" s="978"/>
      <c r="AA107" s="978"/>
      <c r="AB107" s="130"/>
      <c r="AC107" s="226">
        <v>380</v>
      </c>
      <c r="AD107" s="74" t="s">
        <v>769</v>
      </c>
      <c r="AE107" s="977">
        <f>SUMIFS(COMPRAS!BI:BI,COMPRAS!BF:BF,V107,COMPRAS!DD:DD,"SI")+SUMIFS(COMPRAS!BR:BR,COMPRAS!BO:BO,V107,COMPRAS!DD:DD,"SI")+SUMIFS(COMPRAS!CA:CA,COMPRAS!BX:BX,V107,COMPRAS!DD:DD,"SI")</f>
        <v>0</v>
      </c>
      <c r="AF107" s="978"/>
      <c r="AG107" s="978"/>
      <c r="AH107" s="978"/>
      <c r="AI107" s="14"/>
      <c r="AJ107" s="270"/>
    </row>
    <row r="108" spans="1:41" ht="21" customHeight="1" outlineLevel="1" x14ac:dyDescent="0.35">
      <c r="A108" s="1102"/>
      <c r="B108" s="1103"/>
      <c r="C108" s="1104"/>
      <c r="D108" s="37" t="s">
        <v>2079</v>
      </c>
      <c r="E108" s="37"/>
      <c r="F108" s="15"/>
      <c r="G108" s="15"/>
      <c r="H108" s="15"/>
      <c r="I108" s="15"/>
      <c r="J108" s="15"/>
      <c r="K108" s="15"/>
      <c r="L108" s="15"/>
      <c r="M108" s="15"/>
      <c r="N108" s="15"/>
      <c r="O108" s="15"/>
      <c r="P108" s="15"/>
      <c r="Q108" s="15"/>
      <c r="R108" s="15"/>
      <c r="S108" s="15"/>
      <c r="T108" s="15"/>
      <c r="U108" s="245"/>
      <c r="V108" s="54">
        <v>331</v>
      </c>
      <c r="W108" s="225" t="s">
        <v>769</v>
      </c>
      <c r="X108" s="977">
        <f>+SUMIFS(COMPRAS!BG:BG,COMPRAS!BF:BF,V108,COMPRAS!DD:DD,"SI")+SUMIFS(COMPRAS!BP:BP,COMPRAS!BO:BO,V108,COMPRAS!DD:DD,"SI")+SUMIFS(COMPRAS!BY:BY,COMPRAS!BX:BX,V108,COMPRAS!DD:DD,"SI")</f>
        <v>0</v>
      </c>
      <c r="Y108" s="978"/>
      <c r="Z108" s="978"/>
      <c r="AA108" s="978"/>
      <c r="AB108" s="130"/>
      <c r="AC108" s="1080"/>
      <c r="AD108" s="1081"/>
      <c r="AE108" s="1081"/>
      <c r="AF108" s="1081"/>
      <c r="AG108" s="1081"/>
      <c r="AH108" s="1081"/>
      <c r="AI108" s="1082"/>
    </row>
    <row r="109" spans="1:41" ht="20.399999999999999" customHeight="1" outlineLevel="1" x14ac:dyDescent="0.35">
      <c r="A109" s="248" t="s">
        <v>2249</v>
      </c>
      <c r="B109" s="37"/>
      <c r="C109" s="37"/>
      <c r="D109" s="37"/>
      <c r="E109" s="15"/>
      <c r="F109" s="15"/>
      <c r="G109" s="15"/>
      <c r="H109" s="15"/>
      <c r="I109" s="15"/>
      <c r="J109" s="15"/>
      <c r="K109" s="15"/>
      <c r="L109" s="15"/>
      <c r="M109" s="15"/>
      <c r="N109" s="15"/>
      <c r="O109" s="15"/>
      <c r="P109" s="15"/>
      <c r="Q109" s="15"/>
      <c r="R109" s="15"/>
      <c r="S109" s="15"/>
      <c r="T109" s="15"/>
      <c r="U109" s="245"/>
      <c r="V109" s="54">
        <v>333</v>
      </c>
      <c r="W109" s="225" t="s">
        <v>769</v>
      </c>
      <c r="X109" s="977">
        <f>+SUMIFS(COMPRAS!BG:BG,COMPRAS!BF:BF,V109,COMPRAS!DD:DD,"SI")+SUMIFS(COMPRAS!BP:BP,COMPRAS!BO:BO,V109,COMPRAS!DD:DD,"SI")+SUMIFS(COMPRAS!BY:BY,COMPRAS!BX:BX,V109,COMPRAS!DD:DD,"SI")</f>
        <v>0</v>
      </c>
      <c r="Y109" s="978"/>
      <c r="Z109" s="978"/>
      <c r="AA109" s="978"/>
      <c r="AB109" s="130"/>
      <c r="AC109" s="226">
        <v>383</v>
      </c>
      <c r="AD109" s="74" t="s">
        <v>769</v>
      </c>
      <c r="AE109" s="977">
        <f>SUMIFS(COMPRAS!BI:BI,COMPRAS!BF:BF,V109,COMPRAS!DD:DD,"SI")+SUMIFS(COMPRAS!BR:BR,COMPRAS!BO:BO,V109,COMPRAS!DD:DD,"SI")+SUMIFS(COMPRAS!CA:CA,COMPRAS!BX:BX,V109,COMPRAS!DD:DD,"SI")</f>
        <v>0</v>
      </c>
      <c r="AF109" s="978"/>
      <c r="AG109" s="978"/>
      <c r="AH109" s="978"/>
      <c r="AI109" s="14"/>
      <c r="AJ109" s="270"/>
    </row>
    <row r="110" spans="1:41" ht="21" customHeight="1" outlineLevel="1" thickBot="1" x14ac:dyDescent="0.4">
      <c r="A110" s="248" t="s">
        <v>2250</v>
      </c>
      <c r="B110" s="37"/>
      <c r="C110" s="37"/>
      <c r="D110" s="37"/>
      <c r="E110" s="15"/>
      <c r="F110" s="15"/>
      <c r="G110" s="15"/>
      <c r="H110" s="15"/>
      <c r="I110" s="15"/>
      <c r="J110" s="15"/>
      <c r="K110" s="15"/>
      <c r="L110" s="15"/>
      <c r="M110" s="15"/>
      <c r="N110" s="15"/>
      <c r="O110" s="15"/>
      <c r="P110" s="15"/>
      <c r="Q110" s="15"/>
      <c r="R110" s="15"/>
      <c r="S110" s="15"/>
      <c r="T110" s="15"/>
      <c r="U110" s="245"/>
      <c r="V110" s="54">
        <v>334</v>
      </c>
      <c r="W110" s="225" t="s">
        <v>769</v>
      </c>
      <c r="X110" s="977">
        <f>+SUMIFS(COMPRAS!BG:BG,COMPRAS!BF:BF,V110,COMPRAS!DD:DD,"SI")+SUMIFS(COMPRAS!BP:BP,COMPRAS!BO:BO,V110,COMPRAS!DD:DD,"SI")+SUMIFS(COMPRAS!BY:BY,COMPRAS!BX:BX,V110,COMPRAS!DD:DD,"SI")</f>
        <v>0</v>
      </c>
      <c r="Y110" s="978"/>
      <c r="Z110" s="978"/>
      <c r="AA110" s="978"/>
      <c r="AB110" s="130"/>
      <c r="AC110" s="226">
        <v>384</v>
      </c>
      <c r="AD110" s="74" t="s">
        <v>769</v>
      </c>
      <c r="AE110" s="977">
        <f>SUMIFS(COMPRAS!BI:BI,COMPRAS!BF:BF,V110,COMPRAS!DD:DD,"SI")+SUMIFS(COMPRAS!BR:BR,COMPRAS!BO:BO,V110,COMPRAS!DD:DD,"SI")+SUMIFS(COMPRAS!CA:CA,COMPRAS!BX:BX,V110,COMPRAS!DD:DD,"SI")</f>
        <v>0</v>
      </c>
      <c r="AF110" s="978"/>
      <c r="AG110" s="978"/>
      <c r="AH110" s="978"/>
      <c r="AI110" s="14"/>
      <c r="AJ110" s="270"/>
    </row>
    <row r="111" spans="1:41" ht="21" customHeight="1" outlineLevel="1" thickBot="1" x14ac:dyDescent="0.4">
      <c r="A111" s="981" t="s">
        <v>2251</v>
      </c>
      <c r="B111" s="982"/>
      <c r="C111" s="982"/>
      <c r="D111" s="982"/>
      <c r="E111" s="982"/>
      <c r="F111" s="982"/>
      <c r="G111" s="982"/>
      <c r="H111" s="982"/>
      <c r="I111" s="982"/>
      <c r="J111" s="982"/>
      <c r="K111" s="982"/>
      <c r="L111" s="982"/>
      <c r="M111" s="982"/>
      <c r="N111" s="982"/>
      <c r="O111" s="982"/>
      <c r="P111" s="982"/>
      <c r="Q111" s="982"/>
      <c r="R111" s="982"/>
      <c r="S111" s="982"/>
      <c r="T111" s="982"/>
      <c r="U111" s="982"/>
      <c r="V111" s="982"/>
      <c r="W111" s="982"/>
      <c r="X111" s="982"/>
      <c r="Y111" s="982"/>
      <c r="Z111" s="982"/>
      <c r="AA111" s="982"/>
      <c r="AB111" s="982"/>
      <c r="AC111" s="982"/>
      <c r="AD111" s="982"/>
      <c r="AE111" s="982"/>
      <c r="AF111" s="982"/>
      <c r="AG111" s="982"/>
      <c r="AH111" s="982"/>
      <c r="AI111" s="983"/>
    </row>
    <row r="112" spans="1:41" ht="21" customHeight="1" outlineLevel="1" thickBot="1" x14ac:dyDescent="0.4">
      <c r="A112" s="41" t="s">
        <v>2252</v>
      </c>
      <c r="B112" s="37"/>
      <c r="C112" s="37"/>
      <c r="D112" s="37"/>
      <c r="E112" s="15"/>
      <c r="F112" s="15"/>
      <c r="G112" s="15"/>
      <c r="H112" s="15"/>
      <c r="I112" s="15"/>
      <c r="J112" s="15"/>
      <c r="K112" s="15"/>
      <c r="L112" s="15"/>
      <c r="M112" s="15"/>
      <c r="N112" s="15"/>
      <c r="O112" s="15"/>
      <c r="P112" s="15"/>
      <c r="Q112" s="15"/>
      <c r="R112" s="15"/>
      <c r="S112" s="15"/>
      <c r="T112" s="15"/>
      <c r="U112" s="245"/>
      <c r="V112" s="54">
        <v>335</v>
      </c>
      <c r="W112" s="225" t="s">
        <v>769</v>
      </c>
      <c r="X112" s="977">
        <f>+SUMIFS(COMPRAS!BG:BG,COMPRAS!BF:BF,V112,COMPRAS!DD:DD,"SI")+SUMIFS(COMPRAS!BP:BP,COMPRAS!BO:BO,V112,COMPRAS!DD:DD,"SI")+SUMIFS(COMPRAS!BY:BY,COMPRAS!BX:BX,V112,COMPRAS!DD:DD,"SI")</f>
        <v>0</v>
      </c>
      <c r="Y112" s="978"/>
      <c r="Z112" s="978"/>
      <c r="AA112" s="978"/>
      <c r="AB112" s="130"/>
      <c r="AC112" s="226">
        <v>385</v>
      </c>
      <c r="AD112" s="74" t="s">
        <v>769</v>
      </c>
      <c r="AE112" s="977">
        <f>SUMIFS(COMPRAS!BI:BI,COMPRAS!BF:BF,V112,COMPRAS!DD:DD,"SI")+SUMIFS(COMPRAS!BR:BR,COMPRAS!BO:BO,V112,COMPRAS!DD:DD,"SI")+SUMIFS(COMPRAS!CA:CA,COMPRAS!BX:BX,V112,COMPRAS!DD:DD,"SI")</f>
        <v>0</v>
      </c>
      <c r="AF112" s="978"/>
      <c r="AG112" s="978"/>
      <c r="AH112" s="978"/>
      <c r="AI112" s="14"/>
      <c r="AJ112" s="270"/>
    </row>
    <row r="113" spans="1:36" ht="21" customHeight="1" outlineLevel="1" thickBot="1" x14ac:dyDescent="0.4">
      <c r="A113" s="981" t="s">
        <v>2253</v>
      </c>
      <c r="B113" s="982"/>
      <c r="C113" s="982"/>
      <c r="D113" s="982"/>
      <c r="E113" s="982"/>
      <c r="F113" s="982"/>
      <c r="G113" s="982"/>
      <c r="H113" s="982"/>
      <c r="I113" s="982"/>
      <c r="J113" s="982"/>
      <c r="K113" s="982"/>
      <c r="L113" s="982"/>
      <c r="M113" s="982"/>
      <c r="N113" s="982"/>
      <c r="O113" s="982"/>
      <c r="P113" s="982"/>
      <c r="Q113" s="982"/>
      <c r="R113" s="982"/>
      <c r="S113" s="982"/>
      <c r="T113" s="982"/>
      <c r="U113" s="982"/>
      <c r="V113" s="982"/>
      <c r="W113" s="982"/>
      <c r="X113" s="982"/>
      <c r="Y113" s="982"/>
      <c r="Z113" s="982"/>
      <c r="AA113" s="982"/>
      <c r="AB113" s="982"/>
      <c r="AC113" s="982"/>
      <c r="AD113" s="982"/>
      <c r="AE113" s="982"/>
      <c r="AF113" s="982"/>
      <c r="AG113" s="982"/>
      <c r="AH113" s="982"/>
      <c r="AI113" s="983"/>
    </row>
    <row r="114" spans="1:36" ht="21" customHeight="1" outlineLevel="1" thickBot="1" x14ac:dyDescent="0.4">
      <c r="A114" s="41" t="s">
        <v>2196</v>
      </c>
      <c r="B114" s="37"/>
      <c r="C114" s="37"/>
      <c r="D114" s="37"/>
      <c r="E114" s="15"/>
      <c r="F114" s="15"/>
      <c r="G114" s="15"/>
      <c r="H114" s="15"/>
      <c r="I114" s="15"/>
      <c r="J114" s="15"/>
      <c r="K114" s="15"/>
      <c r="L114" s="15"/>
      <c r="M114" s="15"/>
      <c r="N114" s="15"/>
      <c r="O114" s="15"/>
      <c r="P114" s="15"/>
      <c r="Q114" s="15"/>
      <c r="R114" s="15"/>
      <c r="S114" s="15"/>
      <c r="T114" s="15"/>
      <c r="U114" s="245"/>
      <c r="V114" s="54">
        <v>3481</v>
      </c>
      <c r="W114" s="225" t="s">
        <v>769</v>
      </c>
      <c r="X114" s="977">
        <f>+SUMIFS(COMPRAS!BG:BG,COMPRAS!BF:BF,V114,COMPRAS!DD:DD,"SI")+SUMIFS(COMPRAS!BP:BP,COMPRAS!BO:BO,V114,COMPRAS!DD:DD,"SI")+SUMIFS(COMPRAS!BY:BY,COMPRAS!BX:BX,V114,COMPRAS!DD:DD,"SI")</f>
        <v>0</v>
      </c>
      <c r="Y114" s="978"/>
      <c r="Z114" s="978"/>
      <c r="AA114" s="978"/>
      <c r="AB114" s="130"/>
      <c r="AC114" s="226">
        <v>3981</v>
      </c>
      <c r="AD114" s="74" t="s">
        <v>769</v>
      </c>
      <c r="AE114" s="977">
        <f>SUMIFS(COMPRAS!BI:BI,COMPRAS!BF:BF,V114,COMPRAS!DD:DD,"SI")+SUMIFS(COMPRAS!BR:BR,COMPRAS!BO:BO,V114,COMPRAS!DD:DD,"SI")+SUMIFS(COMPRAS!CA:CA,COMPRAS!BX:BX,V114,COMPRAS!DD:DD,"SI")</f>
        <v>0</v>
      </c>
      <c r="AF114" s="978"/>
      <c r="AG114" s="978"/>
      <c r="AH114" s="978"/>
      <c r="AI114" s="14"/>
      <c r="AJ114" s="270"/>
    </row>
    <row r="115" spans="1:36" ht="21" customHeight="1" outlineLevel="1" thickBot="1" x14ac:dyDescent="0.4">
      <c r="A115" s="981"/>
      <c r="B115" s="982"/>
      <c r="C115" s="982"/>
      <c r="D115" s="982"/>
      <c r="E115" s="982"/>
      <c r="F115" s="982"/>
      <c r="G115" s="982"/>
      <c r="H115" s="982"/>
      <c r="I115" s="982"/>
      <c r="J115" s="982"/>
      <c r="K115" s="982"/>
      <c r="L115" s="982"/>
      <c r="M115" s="982"/>
      <c r="N115" s="982"/>
      <c r="O115" s="982"/>
      <c r="P115" s="982"/>
      <c r="Q115" s="982"/>
      <c r="R115" s="982"/>
      <c r="S115" s="982"/>
      <c r="T115" s="982"/>
      <c r="U115" s="982"/>
      <c r="V115" s="982"/>
      <c r="W115" s="982"/>
      <c r="X115" s="982"/>
      <c r="Y115" s="982"/>
      <c r="Z115" s="982"/>
      <c r="AA115" s="982"/>
      <c r="AB115" s="982"/>
      <c r="AC115" s="982"/>
      <c r="AD115" s="982"/>
      <c r="AE115" s="982"/>
      <c r="AF115" s="982"/>
      <c r="AG115" s="982"/>
      <c r="AH115" s="982"/>
      <c r="AI115" s="983"/>
    </row>
    <row r="116" spans="1:36" ht="21" customHeight="1" outlineLevel="1" x14ac:dyDescent="0.35">
      <c r="A116" s="1101" t="s">
        <v>964</v>
      </c>
      <c r="B116" s="1013"/>
      <c r="C116" s="1021"/>
      <c r="D116" s="43" t="s">
        <v>963</v>
      </c>
      <c r="E116" s="43"/>
      <c r="F116" s="43"/>
      <c r="G116" s="43"/>
      <c r="H116" s="43"/>
      <c r="I116" s="43"/>
      <c r="J116" s="43"/>
      <c r="K116" s="43"/>
      <c r="L116" s="43"/>
      <c r="M116" s="43"/>
      <c r="N116" s="43"/>
      <c r="O116" s="43"/>
      <c r="P116" s="43"/>
      <c r="Q116" s="43"/>
      <c r="R116" s="43"/>
      <c r="S116" s="43"/>
      <c r="T116" s="43"/>
      <c r="U116" s="142"/>
      <c r="V116" s="111">
        <v>336</v>
      </c>
      <c r="W116" s="225" t="s">
        <v>769</v>
      </c>
      <c r="X116" s="979">
        <f>+SUMIFS(COMPRAS!BG:BG,COMPRAS!BF:BF,V116,COMPRAS!DD:DD,"SI")+SUMIFS(COMPRAS!BP:BP,COMPRAS!BO:BO,V116,COMPRAS!DD:DD,"SI")+SUMIFS(COMPRAS!BY:BY,COMPRAS!BX:BX,V116,COMPRAS!DD:DD,"SI")</f>
        <v>0</v>
      </c>
      <c r="Y116" s="980"/>
      <c r="Z116" s="980"/>
      <c r="AA116" s="980"/>
      <c r="AB116" s="142"/>
      <c r="AC116" s="226">
        <v>386</v>
      </c>
      <c r="AD116" s="74" t="s">
        <v>769</v>
      </c>
      <c r="AE116" s="979">
        <f>SUMIFS(COMPRAS!BI:BI,COMPRAS!BF:BF,V116,COMPRAS!DD:DD,"SI")+SUMIFS(COMPRAS!BR:BR,COMPRAS!BO:BO,V116,COMPRAS!DD:DD,"SI")+SUMIFS(COMPRAS!CA:CA,COMPRAS!BX:BX,V116,COMPRAS!DD:DD,"SI")</f>
        <v>0</v>
      </c>
      <c r="AF116" s="980"/>
      <c r="AG116" s="980"/>
      <c r="AH116" s="980"/>
      <c r="AI116" s="206"/>
      <c r="AJ116" s="270"/>
    </row>
    <row r="117" spans="1:36" ht="21" customHeight="1" outlineLevel="1" x14ac:dyDescent="0.35">
      <c r="A117" s="1102"/>
      <c r="B117" s="1103"/>
      <c r="C117" s="1104"/>
      <c r="D117" s="15" t="s">
        <v>962</v>
      </c>
      <c r="E117" s="15"/>
      <c r="F117" s="15"/>
      <c r="G117" s="15"/>
      <c r="H117" s="15"/>
      <c r="I117" s="15"/>
      <c r="J117" s="15"/>
      <c r="K117" s="15"/>
      <c r="L117" s="15"/>
      <c r="M117" s="15"/>
      <c r="N117" s="15"/>
      <c r="O117" s="15"/>
      <c r="P117" s="15"/>
      <c r="Q117" s="15"/>
      <c r="R117" s="15"/>
      <c r="S117" s="15"/>
      <c r="T117" s="15"/>
      <c r="U117" s="130"/>
      <c r="V117" s="54">
        <v>337</v>
      </c>
      <c r="W117" s="225" t="s">
        <v>769</v>
      </c>
      <c r="X117" s="977">
        <f>+SUMIFS(COMPRAS!BG:BG,COMPRAS!BF:BF,V117,COMPRAS!DD:DD,"SI")+SUMIFS(COMPRAS!BP:BP,COMPRAS!BO:BO,V117,COMPRAS!DD:DD,"SI")+SUMIFS(COMPRAS!BY:BY,COMPRAS!BX:BX,V117,COMPRAS!DD:DD,"SI")</f>
        <v>0</v>
      </c>
      <c r="Y117" s="978"/>
      <c r="Z117" s="978"/>
      <c r="AA117" s="978"/>
      <c r="AB117" s="130"/>
      <c r="AC117" s="111">
        <v>387</v>
      </c>
      <c r="AD117" s="74" t="s">
        <v>769</v>
      </c>
      <c r="AE117" s="977">
        <f>SUMIFS(COMPRAS!BI:BI,COMPRAS!BF:BF,V117,COMPRAS!DD:DD,"SI")+SUMIFS(COMPRAS!BR:BR,COMPRAS!BO:BO,V117,COMPRAS!DD:DD,"SI")+SUMIFS(COMPRAS!CA:CA,COMPRAS!BX:BX,V117,COMPRAS!DD:DD,"SI")</f>
        <v>0</v>
      </c>
      <c r="AF117" s="978"/>
      <c r="AG117" s="978"/>
      <c r="AH117" s="978"/>
      <c r="AI117" s="14"/>
      <c r="AJ117" s="270"/>
    </row>
    <row r="118" spans="1:36" ht="21" customHeight="1" outlineLevel="1" x14ac:dyDescent="0.35">
      <c r="A118" s="41" t="s">
        <v>2254</v>
      </c>
      <c r="B118" s="15"/>
      <c r="C118" s="15"/>
      <c r="D118" s="15"/>
      <c r="E118" s="15"/>
      <c r="F118" s="15"/>
      <c r="G118" s="15"/>
      <c r="H118" s="15"/>
      <c r="I118" s="15"/>
      <c r="J118" s="15"/>
      <c r="K118" s="15"/>
      <c r="L118" s="15"/>
      <c r="M118" s="15"/>
      <c r="N118" s="15"/>
      <c r="O118" s="15"/>
      <c r="P118" s="15"/>
      <c r="Q118" s="15"/>
      <c r="R118" s="15"/>
      <c r="S118" s="15"/>
      <c r="T118" s="15"/>
      <c r="U118" s="130"/>
      <c r="V118" s="54">
        <v>3370</v>
      </c>
      <c r="W118" s="225" t="s">
        <v>769</v>
      </c>
      <c r="X118" s="977">
        <f>SUM(X119:AA119)</f>
        <v>0</v>
      </c>
      <c r="Y118" s="978"/>
      <c r="Z118" s="978"/>
      <c r="AA118" s="978"/>
      <c r="AB118" s="130"/>
      <c r="AC118" s="111">
        <v>3870</v>
      </c>
      <c r="AD118" s="74" t="s">
        <v>769</v>
      </c>
      <c r="AE118" s="977">
        <f>SUM(AE119:AH119)</f>
        <v>0</v>
      </c>
      <c r="AF118" s="978"/>
      <c r="AG118" s="978"/>
      <c r="AH118" s="978"/>
      <c r="AI118" s="14"/>
      <c r="AJ118" s="270"/>
    </row>
    <row r="119" spans="1:36" ht="21" customHeight="1" outlineLevel="2" x14ac:dyDescent="0.35">
      <c r="A119" s="247"/>
      <c r="B119" s="37"/>
      <c r="C119" s="37"/>
      <c r="D119" s="37"/>
      <c r="E119" s="15"/>
      <c r="F119" s="15"/>
      <c r="G119" s="15"/>
      <c r="H119" s="15"/>
      <c r="I119" s="15"/>
      <c r="J119" s="15"/>
      <c r="K119" s="15"/>
      <c r="L119" s="15"/>
      <c r="M119" s="15"/>
      <c r="N119" s="15"/>
      <c r="O119" s="15"/>
      <c r="P119" s="15"/>
      <c r="Q119" s="15"/>
      <c r="R119" s="15"/>
      <c r="S119" s="15"/>
      <c r="T119" s="15"/>
      <c r="U119" s="245" t="s">
        <v>1061</v>
      </c>
      <c r="V119" s="228" t="s">
        <v>1060</v>
      </c>
      <c r="W119" s="74"/>
      <c r="X119" s="977">
        <f>+SUMIFS(COMPRAS!BG:BG,COMPRAS!BF:BF,V119,COMPRAS!DD:DD,"SI")+SUMIFS(COMPRAS!BP:BP,COMPRAS!BO:BO,V119,COMPRAS!DD:DD,"SI")+SUMIFS(COMPRAS!BY:BY,COMPRAS!BX:BX,V119,COMPRAS!DD:DD,"SI")</f>
        <v>0</v>
      </c>
      <c r="Y119" s="978"/>
      <c r="Z119" s="978"/>
      <c r="AA119" s="978"/>
      <c r="AB119" s="130"/>
      <c r="AC119" s="54"/>
      <c r="AD119" s="53"/>
      <c r="AE119" s="977">
        <f>SUMIFS(COMPRAS!BI:BI,COMPRAS!BF:BF,V119,COMPRAS!DD:DD,"SI")+SUMIFS(COMPRAS!BR:BR,COMPRAS!BO:BO,V119,COMPRAS!DD:DD,"SI")+SUMIFS(COMPRAS!CA:CA,COMPRAS!BX:BX,V119,COMPRAS!DD:DD,"SI")</f>
        <v>0</v>
      </c>
      <c r="AF119" s="978"/>
      <c r="AG119" s="978"/>
      <c r="AH119" s="978"/>
      <c r="AI119" s="14"/>
    </row>
    <row r="120" spans="1:36" ht="21" customHeight="1" outlineLevel="1" x14ac:dyDescent="0.35">
      <c r="A120" s="41" t="s">
        <v>2255</v>
      </c>
      <c r="B120" s="15"/>
      <c r="C120" s="15"/>
      <c r="D120" s="15"/>
      <c r="E120" s="15"/>
      <c r="F120" s="15"/>
      <c r="G120" s="15"/>
      <c r="H120" s="15"/>
      <c r="I120" s="15"/>
      <c r="J120" s="15"/>
      <c r="K120" s="15"/>
      <c r="L120" s="15"/>
      <c r="M120" s="15"/>
      <c r="N120" s="15"/>
      <c r="O120" s="15"/>
      <c r="P120" s="15"/>
      <c r="Q120" s="15"/>
      <c r="R120" s="15"/>
      <c r="S120" s="15"/>
      <c r="T120" s="15"/>
      <c r="U120" s="245"/>
      <c r="V120" s="54">
        <v>350</v>
      </c>
      <c r="W120" s="225" t="s">
        <v>769</v>
      </c>
      <c r="X120" s="977">
        <f>SUM(X121:AA121)</f>
        <v>0</v>
      </c>
      <c r="Y120" s="978"/>
      <c r="Z120" s="978"/>
      <c r="AA120" s="978"/>
      <c r="AB120" s="130"/>
      <c r="AC120" s="226">
        <v>400</v>
      </c>
      <c r="AD120" s="74" t="s">
        <v>769</v>
      </c>
      <c r="AE120" s="977">
        <f>SUM(AE121:AH121)</f>
        <v>0</v>
      </c>
      <c r="AF120" s="978"/>
      <c r="AG120" s="978"/>
      <c r="AH120" s="978"/>
      <c r="AI120" s="14"/>
      <c r="AJ120" s="270"/>
    </row>
    <row r="121" spans="1:36" ht="21" customHeight="1" outlineLevel="2" x14ac:dyDescent="0.35">
      <c r="A121" s="41"/>
      <c r="B121" s="15"/>
      <c r="C121" s="15"/>
      <c r="D121" s="15"/>
      <c r="E121" s="15"/>
      <c r="F121" s="15"/>
      <c r="G121" s="15"/>
      <c r="H121" s="15"/>
      <c r="I121" s="15"/>
      <c r="J121" s="15"/>
      <c r="K121" s="15"/>
      <c r="L121" s="15"/>
      <c r="M121" s="15"/>
      <c r="N121" s="15"/>
      <c r="O121" s="15"/>
      <c r="P121" s="15"/>
      <c r="Q121" s="15"/>
      <c r="R121" s="15"/>
      <c r="S121" s="15"/>
      <c r="T121" s="15"/>
      <c r="U121" s="245" t="s">
        <v>1158</v>
      </c>
      <c r="V121" s="246">
        <v>350</v>
      </c>
      <c r="W121" s="225"/>
      <c r="X121" s="977">
        <f>+SUMIFS(COMPRAS!BG:BG,COMPRAS!BF:BF,V121,COMPRAS!DD:DD,"SI")+SUMIFS(COMPRAS!BP:BP,COMPRAS!BO:BO,V121,COMPRAS!DD:DD,"SI")+SUMIFS(COMPRAS!BY:BY,COMPRAS!BX:BX,V121,COMPRAS!DD:DD,"SI")</f>
        <v>0</v>
      </c>
      <c r="Y121" s="978"/>
      <c r="Z121" s="978"/>
      <c r="AA121" s="978"/>
      <c r="AB121" s="130"/>
      <c r="AC121" s="226"/>
      <c r="AD121" s="74"/>
      <c r="AE121" s="977">
        <f>SUMIFS(COMPRAS!BI:BI,COMPRAS!BF:BF,V121,COMPRAS!DD:DD,"SI")+SUMIFS(COMPRAS!BR:BR,COMPRAS!BO:BO,V121,COMPRAS!DD:DD,"SI")+SUMIFS(COMPRAS!CA:CA,COMPRAS!BX:BX,V121,COMPRAS!DD:DD,"SI")</f>
        <v>0</v>
      </c>
      <c r="AF121" s="978"/>
      <c r="AG121" s="978"/>
      <c r="AH121" s="978"/>
      <c r="AI121" s="14"/>
    </row>
    <row r="122" spans="1:36" ht="21" customHeight="1" outlineLevel="1" x14ac:dyDescent="0.35">
      <c r="A122" s="1105" t="s">
        <v>955</v>
      </c>
      <c r="B122" s="1106"/>
      <c r="C122" s="1107"/>
      <c r="D122" s="15" t="s">
        <v>1160</v>
      </c>
      <c r="E122" s="15"/>
      <c r="F122" s="37"/>
      <c r="G122" s="37"/>
      <c r="H122" s="37"/>
      <c r="I122" s="37"/>
      <c r="J122" s="37"/>
      <c r="K122" s="37"/>
      <c r="L122" s="37"/>
      <c r="M122" s="37"/>
      <c r="N122" s="37"/>
      <c r="O122" s="37"/>
      <c r="P122" s="37"/>
      <c r="Q122" s="37"/>
      <c r="R122" s="37"/>
      <c r="S122" s="37"/>
      <c r="T122" s="37"/>
      <c r="U122" s="242"/>
      <c r="V122" s="54">
        <v>3440</v>
      </c>
      <c r="W122" s="74" t="s">
        <v>769</v>
      </c>
      <c r="X122" s="977">
        <f>+SUMIFS(COMPRAS!BG:BG,COMPRAS!BF:BF,V122,COMPRAS!BH:BH,"=0.0275",COMPRAS!DD:DD,"SI")+SUMIFS(COMPRAS!BP:BP,COMPRAS!BO:BO,V122,COMPRAS!BQ:BQ,"=0.0275",COMPRAS!DD:DD,"SI")+SUMIFS(COMPRAS!BY:BY,COMPRAS!BX:BX,V122,COMPRAS!BZ:BZ,"=0.0275",COMPRAS!DD:DD,"SI")</f>
        <v>0</v>
      </c>
      <c r="Y122" s="978"/>
      <c r="Z122" s="978"/>
      <c r="AA122" s="978"/>
      <c r="AB122" s="130"/>
      <c r="AC122" s="111">
        <v>3940</v>
      </c>
      <c r="AD122" s="74" t="s">
        <v>769</v>
      </c>
      <c r="AE122" s="977">
        <f>SUMIFS(COMPRAS!BI:BI,COMPRAS!BF:BF,V122,COMPRAS!BH:BH,"=0.0275",COMPRAS!DD:DD,"SI")+SUMIFS(COMPRAS!BR:BR,COMPRAS!BO:BO,V122,COMPRAS!BQ:BQ,"=0.0275",COMPRAS!DD:DD,"SI")+SUMIFS(COMPRAS!CA:CA,COMPRAS!BX:BX,V122,COMPRAS!BZ:BZ,"=0.0275",COMPRAS!DD:DD,"SI")</f>
        <v>0</v>
      </c>
      <c r="AF122" s="978"/>
      <c r="AG122" s="978"/>
      <c r="AH122" s="978"/>
      <c r="AI122" s="14"/>
      <c r="AJ122" s="270"/>
    </row>
    <row r="123" spans="1:36" ht="21" customHeight="1" outlineLevel="1" x14ac:dyDescent="0.35">
      <c r="A123" s="1101"/>
      <c r="B123" s="1013"/>
      <c r="C123" s="1021"/>
      <c r="D123" s="15" t="s">
        <v>2430</v>
      </c>
      <c r="E123" s="15"/>
      <c r="F123" s="37"/>
      <c r="G123" s="37"/>
      <c r="H123" s="37"/>
      <c r="I123" s="37"/>
      <c r="J123" s="37"/>
      <c r="K123" s="37"/>
      <c r="L123" s="37"/>
      <c r="M123" s="37"/>
      <c r="N123" s="37"/>
      <c r="O123" s="37"/>
      <c r="P123" s="37"/>
      <c r="Q123" s="37"/>
      <c r="R123" s="37"/>
      <c r="S123" s="37"/>
      <c r="T123" s="37"/>
      <c r="U123" s="242"/>
      <c r="V123" s="54">
        <v>3440</v>
      </c>
      <c r="W123" s="74" t="s">
        <v>769</v>
      </c>
      <c r="X123" s="977">
        <f>+SUMIFS(COMPRAS!BG:BG,COMPRAS!BF:BF,V123,COMPRAS!BH:BH,"=0.03",COMPRAS!DD:DD,"SI")+SUMIFS(COMPRAS!BP:BP,COMPRAS!BO:BO,V123,COMPRAS!BQ:BQ,"=0.03",COMPRAS!DD:DD,"SI")+SUMIFS(COMPRAS!BY:BY,COMPRAS!BX:BX,V123,COMPRAS!BZ:BZ,"=0.03",COMPRAS!DD:DD,"SI")</f>
        <v>0</v>
      </c>
      <c r="Y123" s="978"/>
      <c r="Z123" s="978"/>
      <c r="AA123" s="978"/>
      <c r="AB123" s="130"/>
      <c r="AC123" s="111">
        <v>3940</v>
      </c>
      <c r="AD123" s="74" t="s">
        <v>769</v>
      </c>
      <c r="AE123" s="977">
        <f>SUMIFS(COMPRAS!BI:BI,COMPRAS!BF:BF,V123,COMPRAS!BH:BH,"=0.03",COMPRAS!DD:DD,"SI")+SUMIFS(COMPRAS!BR:BR,COMPRAS!BO:BO,V123,COMPRAS!BQ:BQ,"=0.03",COMPRAS!DD:DD,"SI")+SUMIFS(COMPRAS!CA:CA,COMPRAS!BX:BX,V123,COMPRAS!BZ:BZ,"=0.03",COMPRAS!DD:DD,"SI")</f>
        <v>0</v>
      </c>
      <c r="AF123" s="978"/>
      <c r="AG123" s="978"/>
      <c r="AH123" s="978"/>
      <c r="AI123" s="14"/>
      <c r="AJ123" s="270"/>
    </row>
    <row r="124" spans="1:36" ht="21" customHeight="1" outlineLevel="1" x14ac:dyDescent="0.35">
      <c r="A124" s="1101"/>
      <c r="B124" s="1013"/>
      <c r="C124" s="1021"/>
      <c r="D124" s="15" t="s">
        <v>954</v>
      </c>
      <c r="E124" s="15"/>
      <c r="F124" s="37"/>
      <c r="G124" s="37"/>
      <c r="H124" s="37"/>
      <c r="I124" s="37"/>
      <c r="J124" s="37"/>
      <c r="K124" s="37"/>
      <c r="L124" s="37"/>
      <c r="M124" s="37"/>
      <c r="N124" s="37"/>
      <c r="O124" s="37"/>
      <c r="P124" s="37"/>
      <c r="Q124" s="37"/>
      <c r="R124" s="37"/>
      <c r="S124" s="37"/>
      <c r="T124" s="37"/>
      <c r="U124" s="242"/>
      <c r="V124" s="54">
        <v>345</v>
      </c>
      <c r="W124" s="74" t="s">
        <v>769</v>
      </c>
      <c r="X124" s="977">
        <f>+SUMIFS(COMPRAS!BG:BG,COMPRAS!BF:BF,V124,COMPRAS!DD:DD,"SI")+SUMIFS(COMPRAS!BP:BP,COMPRAS!BO:BO,V124,COMPRAS!DD:DD,"SI")+SUMIFS(COMPRAS!BY:BY,COMPRAS!BX:BX,V124,COMPRAS!DD:DD,"SI")</f>
        <v>0</v>
      </c>
      <c r="Y124" s="978"/>
      <c r="Z124" s="978"/>
      <c r="AA124" s="978"/>
      <c r="AB124" s="130"/>
      <c r="AC124" s="226">
        <v>395</v>
      </c>
      <c r="AD124" s="74" t="s">
        <v>769</v>
      </c>
      <c r="AE124" s="977">
        <f>SUMIFS(COMPRAS!BI:BI,COMPRAS!BF:BF,V124,COMPRAS!DD:DD,"SI")+SUMIFS(COMPRAS!BR:BR,COMPRAS!BO:BO,V124,COMPRAS!DD:DD,"SI")+SUMIFS(COMPRAS!CA:CA,COMPRAS!BX:BX,V124,COMPRAS!DD:DD,"SI")</f>
        <v>0</v>
      </c>
      <c r="AF124" s="978"/>
      <c r="AG124" s="978"/>
      <c r="AH124" s="978"/>
      <c r="AI124" s="14"/>
      <c r="AJ124" s="270"/>
    </row>
    <row r="125" spans="1:36" ht="21" customHeight="1" outlineLevel="1" x14ac:dyDescent="0.35">
      <c r="A125" s="1101"/>
      <c r="B125" s="1013"/>
      <c r="C125" s="1021"/>
      <c r="D125" s="15" t="s">
        <v>2256</v>
      </c>
      <c r="E125" s="15"/>
      <c r="F125" s="15"/>
      <c r="G125" s="15"/>
      <c r="H125" s="15"/>
      <c r="I125" s="15"/>
      <c r="J125" s="15"/>
      <c r="K125" s="15"/>
      <c r="L125" s="15"/>
      <c r="M125" s="15"/>
      <c r="N125" s="15"/>
      <c r="O125" s="15"/>
      <c r="P125" s="15"/>
      <c r="Q125" s="15"/>
      <c r="R125" s="15"/>
      <c r="S125" s="15"/>
      <c r="T125" s="15"/>
      <c r="U125" s="130"/>
      <c r="V125" s="54">
        <v>346</v>
      </c>
      <c r="W125" s="74" t="s">
        <v>769</v>
      </c>
      <c r="X125" s="977">
        <f>SUM(X126:AA129)</f>
        <v>0</v>
      </c>
      <c r="Y125" s="978"/>
      <c r="Z125" s="978"/>
      <c r="AA125" s="978"/>
      <c r="AB125" s="130"/>
      <c r="AC125" s="54">
        <v>396</v>
      </c>
      <c r="AD125" s="53" t="s">
        <v>769</v>
      </c>
      <c r="AE125" s="977">
        <f>SUM(AE126:AH129)</f>
        <v>0</v>
      </c>
      <c r="AF125" s="978"/>
      <c r="AG125" s="978"/>
      <c r="AH125" s="978"/>
      <c r="AI125" s="14"/>
      <c r="AJ125" s="270"/>
    </row>
    <row r="126" spans="1:36" ht="21" customHeight="1" outlineLevel="2" x14ac:dyDescent="0.35">
      <c r="A126" s="1101"/>
      <c r="B126" s="1013"/>
      <c r="C126" s="1021"/>
      <c r="D126" s="15"/>
      <c r="E126" s="15"/>
      <c r="F126" s="15"/>
      <c r="G126" s="15"/>
      <c r="H126" s="15"/>
      <c r="I126" s="15"/>
      <c r="J126" s="15"/>
      <c r="K126" s="15"/>
      <c r="L126" s="15"/>
      <c r="M126" s="15"/>
      <c r="N126" s="15"/>
      <c r="O126" s="15"/>
      <c r="P126" s="15"/>
      <c r="Q126" s="15"/>
      <c r="R126" s="15"/>
      <c r="S126" s="15"/>
      <c r="T126" s="15"/>
      <c r="U126" s="229" t="s">
        <v>1055</v>
      </c>
      <c r="V126" s="228">
        <v>346</v>
      </c>
      <c r="W126" s="74"/>
      <c r="X126" s="977">
        <f>+SUMIFS(COMPRAS!BG:BG,COMPRAS!BF:BF,V126,COMPRAS!DD:DD,"SI")+SUMIFS(COMPRAS!BP:BP,COMPRAS!BO:BO,V126,COMPRAS!DD:DD,"SI")+SUMIFS(COMPRAS!BY:BY,COMPRAS!BX:BX,V126,COMPRAS!DD:DD,"SI")</f>
        <v>0</v>
      </c>
      <c r="Y126" s="978"/>
      <c r="Z126" s="978"/>
      <c r="AA126" s="978"/>
      <c r="AB126" s="130"/>
      <c r="AC126" s="54"/>
      <c r="AD126" s="53"/>
      <c r="AE126" s="977">
        <f>SUMIFS(COMPRAS!BI:BI,COMPRAS!BF:BF,V126,COMPRAS!DD:DD,"SI")+SUMIFS(COMPRAS!BR:BR,COMPRAS!BO:BO,V126,COMPRAS!DD:DD,"SI")+SUMIFS(COMPRAS!CA:CA,COMPRAS!BX:BX,V126,COMPRAS!DD:DD,"SI")</f>
        <v>0</v>
      </c>
      <c r="AF126" s="978"/>
      <c r="AG126" s="978"/>
      <c r="AH126" s="978"/>
      <c r="AI126" s="14"/>
    </row>
    <row r="127" spans="1:36" ht="21" customHeight="1" outlineLevel="2" x14ac:dyDescent="0.35">
      <c r="A127" s="1101"/>
      <c r="B127" s="1013"/>
      <c r="C127" s="1021"/>
      <c r="D127" s="15"/>
      <c r="E127" s="15"/>
      <c r="F127" s="15"/>
      <c r="G127" s="15"/>
      <c r="H127" s="15"/>
      <c r="I127" s="15"/>
      <c r="J127" s="15"/>
      <c r="K127" s="15"/>
      <c r="L127" s="15"/>
      <c r="M127" s="15"/>
      <c r="N127" s="15"/>
      <c r="O127" s="15"/>
      <c r="P127" s="15"/>
      <c r="Q127" s="15"/>
      <c r="R127" s="15"/>
      <c r="S127" s="15"/>
      <c r="T127" s="15"/>
      <c r="U127" s="229" t="s">
        <v>1075</v>
      </c>
      <c r="V127" s="228" t="s">
        <v>171</v>
      </c>
      <c r="W127" s="74"/>
      <c r="X127" s="977">
        <f>+SUMIFS(COMPRAS!BG:BG,COMPRAS!BF:BF,V127,COMPRAS!DD:DD,"SI")+SUMIFS(COMPRAS!BP:BP,COMPRAS!BO:BO,V127,COMPRAS!DD:DD,"SI")+SUMIFS(COMPRAS!BY:BY,COMPRAS!BX:BX,V127,COMPRAS!DD:DD,"SI")</f>
        <v>0</v>
      </c>
      <c r="Y127" s="978"/>
      <c r="Z127" s="978"/>
      <c r="AA127" s="978"/>
      <c r="AB127" s="130"/>
      <c r="AC127" s="54"/>
      <c r="AD127" s="53"/>
      <c r="AE127" s="977">
        <f>SUMIFS(COMPRAS!BI:BI,COMPRAS!BF:BF,V127,COMPRAS!DD:DD,"SI")+SUMIFS(COMPRAS!BR:BR,COMPRAS!BO:BO,V127,COMPRAS!DD:DD,"SI")+SUMIFS(COMPRAS!CA:CA,COMPRAS!BX:BX,V127,COMPRAS!DD:DD,"SI")</f>
        <v>0</v>
      </c>
      <c r="AF127" s="978"/>
      <c r="AG127" s="978"/>
      <c r="AH127" s="978"/>
      <c r="AI127" s="14"/>
    </row>
    <row r="128" spans="1:36" ht="21" customHeight="1" outlineLevel="2" x14ac:dyDescent="0.35">
      <c r="A128" s="1101"/>
      <c r="B128" s="1013"/>
      <c r="C128" s="1021"/>
      <c r="D128" s="15"/>
      <c r="E128" s="15"/>
      <c r="F128" s="15"/>
      <c r="G128" s="15"/>
      <c r="H128" s="15"/>
      <c r="I128" s="15"/>
      <c r="J128" s="15"/>
      <c r="K128" s="15"/>
      <c r="L128" s="15"/>
      <c r="M128" s="15"/>
      <c r="N128" s="15"/>
      <c r="O128" s="15"/>
      <c r="P128" s="15"/>
      <c r="Q128" s="15"/>
      <c r="R128" s="15"/>
      <c r="S128" s="15"/>
      <c r="T128" s="15"/>
      <c r="U128" s="229" t="s">
        <v>1057</v>
      </c>
      <c r="V128" s="228" t="s">
        <v>1056</v>
      </c>
      <c r="W128" s="74"/>
      <c r="X128" s="977">
        <f>+SUMIFS(COMPRAS!BG:BG,COMPRAS!BF:BF,V128,COMPRAS!DD:DD,"SI")+SUMIFS(COMPRAS!BP:BP,COMPRAS!BO:BO,V128,COMPRAS!DD:DD,"SI")+SUMIFS(COMPRAS!BY:BY,COMPRAS!BX:BX,V128,COMPRAS!DD:DD,"SI")</f>
        <v>0</v>
      </c>
      <c r="Y128" s="978"/>
      <c r="Z128" s="978"/>
      <c r="AA128" s="978"/>
      <c r="AB128" s="130"/>
      <c r="AC128" s="54"/>
      <c r="AD128" s="53"/>
      <c r="AE128" s="977">
        <f>SUMIFS(COMPRAS!BI:BI,COMPRAS!BF:BF,V128,COMPRAS!DD:DD,"SI")+SUMIFS(COMPRAS!BR:BR,COMPRAS!BO:BO,V128,COMPRAS!DD:DD,"SI")+SUMIFS(COMPRAS!CA:CA,COMPRAS!BX:BX,V128,COMPRAS!DD:DD,"SI")</f>
        <v>0</v>
      </c>
      <c r="AF128" s="978"/>
      <c r="AG128" s="978"/>
      <c r="AH128" s="978"/>
      <c r="AI128" s="14"/>
    </row>
    <row r="129" spans="1:37" ht="21" customHeight="1" outlineLevel="2" thickBot="1" x14ac:dyDescent="0.4">
      <c r="A129" s="1101"/>
      <c r="B129" s="1013"/>
      <c r="C129" s="1021"/>
      <c r="D129" s="37"/>
      <c r="E129" s="37"/>
      <c r="F129" s="37"/>
      <c r="G129" s="37"/>
      <c r="H129" s="37"/>
      <c r="I129" s="37"/>
      <c r="J129" s="37"/>
      <c r="K129" s="37"/>
      <c r="L129" s="37"/>
      <c r="M129" s="37"/>
      <c r="N129" s="37"/>
      <c r="O129" s="37"/>
      <c r="P129" s="37"/>
      <c r="Q129" s="37"/>
      <c r="R129" s="37"/>
      <c r="S129" s="37"/>
      <c r="T129" s="37"/>
      <c r="U129" s="229" t="s">
        <v>1059</v>
      </c>
      <c r="V129" s="835" t="s">
        <v>1058</v>
      </c>
      <c r="W129" s="836"/>
      <c r="X129" s="990">
        <f>+SUMIFS(COMPRAS!BG:BG,COMPRAS!BF:BF,V129,COMPRAS!DD:DD,"SI")+SUMIFS(COMPRAS!BP:BP,COMPRAS!BO:BO,V129,COMPRAS!DD:DD,"SI")+SUMIFS(COMPRAS!BY:BY,COMPRAS!BX:BX,V129,COMPRAS!DD:DD,"SI")</f>
        <v>0</v>
      </c>
      <c r="Y129" s="991"/>
      <c r="Z129" s="991"/>
      <c r="AA129" s="991"/>
      <c r="AB129" s="242"/>
      <c r="AC129" s="52"/>
      <c r="AD129" s="51"/>
      <c r="AE129" s="990">
        <f>SUMIFS(COMPRAS!BI:BI,COMPRAS!BF:BF,V129,COMPRAS!DD:DD,"SI")+SUMIFS(COMPRAS!BR:BR,COMPRAS!BO:BO,V129,COMPRAS!DD:DD,"SI")+SUMIFS(COMPRAS!CA:CA,COMPRAS!BX:BX,V129,COMPRAS!DD:DD,"SI")</f>
        <v>0</v>
      </c>
      <c r="AF129" s="991"/>
      <c r="AG129" s="991"/>
      <c r="AH129" s="991"/>
      <c r="AI129" s="205"/>
    </row>
    <row r="130" spans="1:37" ht="21" customHeight="1" outlineLevel="1" thickBot="1" x14ac:dyDescent="0.4">
      <c r="A130" s="981" t="s">
        <v>2257</v>
      </c>
      <c r="B130" s="982"/>
      <c r="C130" s="982"/>
      <c r="D130" s="982"/>
      <c r="E130" s="982"/>
      <c r="F130" s="982"/>
      <c r="G130" s="982"/>
      <c r="H130" s="982"/>
      <c r="I130" s="982"/>
      <c r="J130" s="982"/>
      <c r="K130" s="982"/>
      <c r="L130" s="982"/>
      <c r="M130" s="982"/>
      <c r="N130" s="982"/>
      <c r="O130" s="982"/>
      <c r="P130" s="982"/>
      <c r="Q130" s="982"/>
      <c r="R130" s="982"/>
      <c r="S130" s="982"/>
      <c r="T130" s="982"/>
      <c r="U130" s="982"/>
      <c r="V130" s="982"/>
      <c r="W130" s="982"/>
      <c r="X130" s="982"/>
      <c r="Y130" s="982"/>
      <c r="Z130" s="982"/>
      <c r="AA130" s="982"/>
      <c r="AB130" s="982"/>
      <c r="AC130" s="982"/>
      <c r="AD130" s="982"/>
      <c r="AE130" s="982"/>
      <c r="AF130" s="982"/>
      <c r="AG130" s="982"/>
      <c r="AH130" s="982"/>
      <c r="AI130" s="983"/>
    </row>
    <row r="131" spans="1:37" ht="21.75" customHeight="1" outlineLevel="1" x14ac:dyDescent="0.35">
      <c r="A131" s="1101" t="s">
        <v>2258</v>
      </c>
      <c r="B131" s="1013"/>
      <c r="C131" s="1021"/>
      <c r="D131" s="43" t="s">
        <v>1163</v>
      </c>
      <c r="E131" s="43"/>
      <c r="F131" s="43"/>
      <c r="G131" s="43"/>
      <c r="H131" s="43"/>
      <c r="I131" s="43"/>
      <c r="J131" s="43"/>
      <c r="K131" s="43"/>
      <c r="L131" s="43"/>
      <c r="M131" s="43"/>
      <c r="N131" s="43"/>
      <c r="O131" s="1085" t="s">
        <v>956</v>
      </c>
      <c r="P131" s="1086"/>
      <c r="Q131" s="111">
        <v>5300</v>
      </c>
      <c r="R131" s="225" t="s">
        <v>769</v>
      </c>
      <c r="S131" s="1087"/>
      <c r="T131" s="1088"/>
      <c r="U131" s="1089"/>
      <c r="V131" s="111">
        <v>3400</v>
      </c>
      <c r="W131" s="225" t="s">
        <v>769</v>
      </c>
      <c r="X131" s="979">
        <f>SUM(X132)</f>
        <v>0</v>
      </c>
      <c r="Y131" s="980"/>
      <c r="Z131" s="980"/>
      <c r="AA131" s="980"/>
      <c r="AB131" s="142"/>
      <c r="AC131" s="226">
        <v>3900</v>
      </c>
      <c r="AD131" s="74" t="s">
        <v>769</v>
      </c>
      <c r="AE131" s="979">
        <f>SUM(AE132)</f>
        <v>0</v>
      </c>
      <c r="AF131" s="980"/>
      <c r="AG131" s="980"/>
      <c r="AH131" s="980"/>
      <c r="AI131" s="206"/>
      <c r="AJ131" s="270"/>
    </row>
    <row r="132" spans="1:37" ht="21" customHeight="1" outlineLevel="1" x14ac:dyDescent="0.35">
      <c r="A132" s="1101"/>
      <c r="B132" s="1013"/>
      <c r="C132" s="1021"/>
      <c r="D132" s="15"/>
      <c r="E132" s="15"/>
      <c r="F132" s="15"/>
      <c r="G132" s="15"/>
      <c r="H132" s="15"/>
      <c r="I132" s="15"/>
      <c r="J132" s="15"/>
      <c r="K132" s="15"/>
      <c r="L132" s="15"/>
      <c r="M132" s="15"/>
      <c r="N132" s="15"/>
      <c r="O132" s="15"/>
      <c r="P132" s="15"/>
      <c r="Q132" s="15"/>
      <c r="R132" s="15"/>
      <c r="S132" s="15"/>
      <c r="T132" s="15"/>
      <c r="U132" s="245" t="s">
        <v>1163</v>
      </c>
      <c r="V132" s="246">
        <v>340</v>
      </c>
      <c r="W132" s="225"/>
      <c r="X132" s="977">
        <f>+SUMIFS(COMPRAS!BG:BG,COMPRAS!BF:BF,V132,COMPRAS!DD:DD,"SI")+SUMIFS(COMPRAS!BP:BP,COMPRAS!BO:BO,V132,COMPRAS!DD:DD,"SI")+SUMIFS(COMPRAS!BY:BY,COMPRAS!BX:BX,V132,COMPRAS!DD:DD,"SI")</f>
        <v>0</v>
      </c>
      <c r="Y132" s="978"/>
      <c r="Z132" s="978"/>
      <c r="AA132" s="978"/>
      <c r="AB132" s="130"/>
      <c r="AC132" s="226"/>
      <c r="AD132" s="74"/>
      <c r="AE132" s="977">
        <f>SUMIFS(COMPRAS!BI:BI,COMPRAS!BF:BF,V132,COMPRAS!DD:DD,"SI")+SUMIFS(COMPRAS!BR:BR,COMPRAS!BO:BO,V132,COMPRAS!DD:DD,"SI")+SUMIFS(COMPRAS!CA:CA,COMPRAS!BX:BX,V132,COMPRAS!DD:DD,"SI")</f>
        <v>0</v>
      </c>
      <c r="AF132" s="978"/>
      <c r="AG132" s="978"/>
      <c r="AH132" s="978"/>
      <c r="AI132" s="14"/>
    </row>
    <row r="133" spans="1:37" ht="21.75" customHeight="1" outlineLevel="1" x14ac:dyDescent="0.35">
      <c r="A133" s="1101"/>
      <c r="B133" s="1013"/>
      <c r="C133" s="1021"/>
      <c r="D133" s="15" t="s">
        <v>1162</v>
      </c>
      <c r="E133" s="15"/>
      <c r="F133" s="15"/>
      <c r="G133" s="15"/>
      <c r="H133" s="15"/>
      <c r="I133" s="15"/>
      <c r="J133" s="15"/>
      <c r="K133" s="15"/>
      <c r="L133" s="15"/>
      <c r="M133" s="15"/>
      <c r="N133" s="15"/>
      <c r="O133" s="1083" t="s">
        <v>956</v>
      </c>
      <c r="P133" s="1084"/>
      <c r="Q133" s="54">
        <v>5100</v>
      </c>
      <c r="R133" s="225" t="s">
        <v>769</v>
      </c>
      <c r="S133" s="992"/>
      <c r="T133" s="993"/>
      <c r="U133" s="994"/>
      <c r="V133" s="54">
        <v>3380</v>
      </c>
      <c r="W133" s="225" t="s">
        <v>769</v>
      </c>
      <c r="X133" s="977">
        <f>SUM(X134)</f>
        <v>0</v>
      </c>
      <c r="Y133" s="978"/>
      <c r="Z133" s="978"/>
      <c r="AA133" s="978"/>
      <c r="AB133" s="130"/>
      <c r="AC133" s="226">
        <v>3880</v>
      </c>
      <c r="AD133" s="74" t="s">
        <v>769</v>
      </c>
      <c r="AE133" s="977">
        <f>SUM(AE134)</f>
        <v>0</v>
      </c>
      <c r="AF133" s="978"/>
      <c r="AG133" s="978"/>
      <c r="AH133" s="978"/>
      <c r="AI133" s="14"/>
      <c r="AJ133" s="270"/>
    </row>
    <row r="134" spans="1:37" ht="21" customHeight="1" outlineLevel="1" x14ac:dyDescent="0.35">
      <c r="A134" s="1101"/>
      <c r="B134" s="1013"/>
      <c r="C134" s="1021"/>
      <c r="D134" s="15"/>
      <c r="E134" s="15"/>
      <c r="F134" s="15"/>
      <c r="G134" s="15"/>
      <c r="H134" s="15"/>
      <c r="I134" s="15"/>
      <c r="J134" s="15"/>
      <c r="K134" s="15"/>
      <c r="L134" s="15"/>
      <c r="M134" s="15"/>
      <c r="N134" s="15"/>
      <c r="O134" s="15"/>
      <c r="P134" s="15"/>
      <c r="Q134" s="15"/>
      <c r="R134" s="15"/>
      <c r="S134" s="15"/>
      <c r="T134" s="15"/>
      <c r="U134" s="245" t="s">
        <v>1162</v>
      </c>
      <c r="V134" s="246">
        <v>338</v>
      </c>
      <c r="W134" s="225"/>
      <c r="X134" s="977">
        <f>+SUMIFS(COMPRAS!BG:BG,COMPRAS!BF:BF,V134,COMPRAS!DD:DD,"SI")+SUMIFS(COMPRAS!BP:BP,COMPRAS!BO:BO,V134,COMPRAS!DD:DD,"SI")+SUMIFS(COMPRAS!BY:BY,COMPRAS!BX:BX,V134,COMPRAS!DD:DD,"SI")</f>
        <v>0</v>
      </c>
      <c r="Y134" s="978"/>
      <c r="Z134" s="978"/>
      <c r="AA134" s="978"/>
      <c r="AB134" s="130"/>
      <c r="AC134" s="226"/>
      <c r="AD134" s="74"/>
      <c r="AE134" s="977">
        <f>SUMIFS(COMPRAS!BI:BI,COMPRAS!BF:BF,V134,COMPRAS!DD:DD,"SI")+SUMIFS(COMPRAS!BR:BR,COMPRAS!BO:BO,V134,COMPRAS!DD:DD,"SI")+SUMIFS(COMPRAS!CA:CA,COMPRAS!BX:BX,V134,COMPRAS!DD:DD,"SI")</f>
        <v>0</v>
      </c>
      <c r="AF134" s="978"/>
      <c r="AG134" s="978"/>
      <c r="AH134" s="978"/>
      <c r="AI134" s="14"/>
      <c r="AK134" s="269"/>
    </row>
    <row r="135" spans="1:37" ht="21.75" customHeight="1" outlineLevel="1" x14ac:dyDescent="0.35">
      <c r="A135" s="1101"/>
      <c r="B135" s="1013"/>
      <c r="C135" s="1021"/>
      <c r="D135" s="15" t="s">
        <v>961</v>
      </c>
      <c r="E135" s="15"/>
      <c r="F135" s="15"/>
      <c r="G135" s="15"/>
      <c r="H135" s="15"/>
      <c r="I135" s="15"/>
      <c r="J135" s="15"/>
      <c r="K135" s="15"/>
      <c r="L135" s="15"/>
      <c r="M135" s="15"/>
      <c r="N135" s="15"/>
      <c r="O135" s="1083" t="s">
        <v>956</v>
      </c>
      <c r="P135" s="1084"/>
      <c r="Q135" s="54">
        <v>510</v>
      </c>
      <c r="R135" s="225" t="s">
        <v>769</v>
      </c>
      <c r="S135" s="992"/>
      <c r="T135" s="993"/>
      <c r="U135" s="994"/>
      <c r="V135" s="54">
        <v>338</v>
      </c>
      <c r="W135" s="225" t="s">
        <v>769</v>
      </c>
      <c r="X135" s="977">
        <f>+SUMIFS(COMPRAS!BG:BG,COMPRAS!BF:BF,V135,COMPRAS!DD:DD,"SI")+SUMIFS(COMPRAS!BP:BP,COMPRAS!BO:BO,V135,COMPRAS!DD:DD,"SI")+SUMIFS(COMPRAS!BY:BY,COMPRAS!BX:BX,V135,COMPRAS!DD:DD,"SI")</f>
        <v>0</v>
      </c>
      <c r="Y135" s="978"/>
      <c r="Z135" s="978"/>
      <c r="AA135" s="978"/>
      <c r="AB135" s="130"/>
      <c r="AC135" s="226">
        <v>388</v>
      </c>
      <c r="AD135" s="74" t="s">
        <v>769</v>
      </c>
      <c r="AE135" s="977">
        <f>SUMIFS(COMPRAS!BI:BI,COMPRAS!BF:BF,V135,COMPRAS!DD:DD,"SI")+SUMIFS(COMPRAS!BR:BR,COMPRAS!BO:BO,V135,COMPRAS!DD:DD,"SI")+SUMIFS(COMPRAS!CA:CA,COMPRAS!BX:BX,V135,COMPRAS!DD:DD,"SI")</f>
        <v>0</v>
      </c>
      <c r="AF135" s="978"/>
      <c r="AG135" s="978"/>
      <c r="AH135" s="978"/>
      <c r="AI135" s="14"/>
      <c r="AJ135" s="270"/>
    </row>
    <row r="136" spans="1:37" ht="21.75" customHeight="1" outlineLevel="1" x14ac:dyDescent="0.35">
      <c r="A136" s="1101"/>
      <c r="B136" s="1013"/>
      <c r="C136" s="1021"/>
      <c r="D136" s="15" t="s">
        <v>960</v>
      </c>
      <c r="E136" s="15"/>
      <c r="F136" s="15"/>
      <c r="G136" s="15"/>
      <c r="H136" s="15"/>
      <c r="I136" s="15"/>
      <c r="J136" s="15"/>
      <c r="K136" s="15"/>
      <c r="L136" s="15"/>
      <c r="M136" s="15"/>
      <c r="N136" s="15"/>
      <c r="O136" s="1083" t="s">
        <v>956</v>
      </c>
      <c r="P136" s="1084"/>
      <c r="Q136" s="54">
        <v>520</v>
      </c>
      <c r="R136" s="225" t="s">
        <v>769</v>
      </c>
      <c r="S136" s="992"/>
      <c r="T136" s="993"/>
      <c r="U136" s="994"/>
      <c r="V136" s="54">
        <v>339</v>
      </c>
      <c r="W136" s="225" t="s">
        <v>769</v>
      </c>
      <c r="X136" s="977">
        <f>+SUMIFS(COMPRAS!BG:BG,COMPRAS!BF:BF,V136,COMPRAS!DD:DD,"SI")+SUMIFS(COMPRAS!BP:BP,COMPRAS!BO:BO,V136,COMPRAS!DD:DD,"SI")+SUMIFS(COMPRAS!BY:BY,COMPRAS!BX:BX,V136,COMPRAS!DD:DD,"SI")</f>
        <v>0</v>
      </c>
      <c r="Y136" s="978"/>
      <c r="Z136" s="978"/>
      <c r="AA136" s="978"/>
      <c r="AB136" s="130"/>
      <c r="AC136" s="226">
        <v>389</v>
      </c>
      <c r="AD136" s="74" t="s">
        <v>769</v>
      </c>
      <c r="AE136" s="977">
        <f>SUMIFS(COMPRAS!BI:BI,COMPRAS!BF:BF,V136,COMPRAS!DD:DD,"SI")+SUMIFS(COMPRAS!BR:BR,COMPRAS!BO:BO,V136,COMPRAS!DD:DD,"SI")+SUMIFS(COMPRAS!CA:CA,COMPRAS!BX:BX,V136,COMPRAS!DD:DD,"SI")</f>
        <v>0</v>
      </c>
      <c r="AF136" s="978"/>
      <c r="AG136" s="978"/>
      <c r="AH136" s="978"/>
      <c r="AI136" s="14"/>
      <c r="AJ136" s="270"/>
    </row>
    <row r="137" spans="1:37" ht="21.75" customHeight="1" outlineLevel="1" x14ac:dyDescent="0.35">
      <c r="A137" s="1101"/>
      <c r="B137" s="1013"/>
      <c r="C137" s="1021"/>
      <c r="D137" s="15" t="s">
        <v>959</v>
      </c>
      <c r="E137" s="15"/>
      <c r="F137" s="15"/>
      <c r="G137" s="15"/>
      <c r="H137" s="15"/>
      <c r="I137" s="15"/>
      <c r="J137" s="15"/>
      <c r="K137" s="15"/>
      <c r="L137" s="15"/>
      <c r="M137" s="15"/>
      <c r="N137" s="15"/>
      <c r="O137" s="1083" t="s">
        <v>956</v>
      </c>
      <c r="P137" s="1084"/>
      <c r="Q137" s="54">
        <v>530</v>
      </c>
      <c r="R137" s="225" t="s">
        <v>769</v>
      </c>
      <c r="S137" s="992"/>
      <c r="T137" s="993"/>
      <c r="U137" s="994"/>
      <c r="V137" s="54">
        <v>340</v>
      </c>
      <c r="W137" s="225" t="s">
        <v>769</v>
      </c>
      <c r="X137" s="977">
        <f>+SUMIFS(COMPRAS!BG:BG,COMPRAS!BF:BF,V137,COMPRAS!DD:DD,"SI")+SUMIFS(COMPRAS!BP:BP,COMPRAS!BO:BO,V137,COMPRAS!DD:DD,"SI")+SUMIFS(COMPRAS!BY:BY,COMPRAS!BX:BX,V137,COMPRAS!DD:DD,"SI")</f>
        <v>0</v>
      </c>
      <c r="Y137" s="978"/>
      <c r="Z137" s="978"/>
      <c r="AA137" s="978"/>
      <c r="AB137" s="130"/>
      <c r="AC137" s="226">
        <v>390</v>
      </c>
      <c r="AD137" s="74" t="s">
        <v>769</v>
      </c>
      <c r="AE137" s="977">
        <f>SUMIFS(COMPRAS!BI:BI,COMPRAS!BF:BF,V137,COMPRAS!DD:DD,"SI")+SUMIFS(COMPRAS!BR:BR,COMPRAS!BO:BO,V137,COMPRAS!DD:DD,"SI")+SUMIFS(COMPRAS!CA:CA,COMPRAS!BX:BX,V137,COMPRAS!DD:DD,"SI")</f>
        <v>0</v>
      </c>
      <c r="AF137" s="978"/>
      <c r="AG137" s="978"/>
      <c r="AH137" s="978"/>
      <c r="AI137" s="14"/>
      <c r="AJ137" s="270"/>
    </row>
    <row r="138" spans="1:37" ht="21.75" customHeight="1" outlineLevel="1" x14ac:dyDescent="0.35">
      <c r="A138" s="1101"/>
      <c r="B138" s="1013"/>
      <c r="C138" s="1021"/>
      <c r="D138" s="15" t="s">
        <v>958</v>
      </c>
      <c r="E138" s="15"/>
      <c r="F138" s="15"/>
      <c r="G138" s="15"/>
      <c r="H138" s="15"/>
      <c r="I138" s="15"/>
      <c r="J138" s="15"/>
      <c r="K138" s="15"/>
      <c r="L138" s="15"/>
      <c r="M138" s="15"/>
      <c r="N138" s="15"/>
      <c r="O138" s="1083" t="s">
        <v>956</v>
      </c>
      <c r="P138" s="1084"/>
      <c r="Q138" s="54">
        <v>540</v>
      </c>
      <c r="R138" s="225" t="s">
        <v>769</v>
      </c>
      <c r="S138" s="992"/>
      <c r="T138" s="993"/>
      <c r="U138" s="994"/>
      <c r="V138" s="54">
        <v>341</v>
      </c>
      <c r="W138" s="225" t="s">
        <v>769</v>
      </c>
      <c r="X138" s="977">
        <f>+SUMIFS(COMPRAS!BG:BG,COMPRAS!BF:BF,V138,COMPRAS!DD:DD,"SI")+SUMIFS(COMPRAS!BP:BP,COMPRAS!BO:BO,V138,COMPRAS!DD:DD,"SI")+SUMIFS(COMPRAS!BY:BY,COMPRAS!BX:BX,V138,COMPRAS!DD:DD,"SI")</f>
        <v>0</v>
      </c>
      <c r="Y138" s="978"/>
      <c r="Z138" s="978"/>
      <c r="AA138" s="978"/>
      <c r="AB138" s="130"/>
      <c r="AC138" s="226">
        <v>391</v>
      </c>
      <c r="AD138" s="74" t="s">
        <v>769</v>
      </c>
      <c r="AE138" s="977">
        <f>SUMIFS(COMPRAS!BI:BI,COMPRAS!BF:BF,V138,COMPRAS!DD:DD,"SI")+SUMIFS(COMPRAS!BR:BR,COMPRAS!BO:BO,V138,COMPRAS!DD:DD,"SI")+SUMIFS(COMPRAS!CA:CA,COMPRAS!BX:BX,V138,COMPRAS!DD:DD,"SI")</f>
        <v>0</v>
      </c>
      <c r="AF138" s="978"/>
      <c r="AG138" s="978"/>
      <c r="AH138" s="978"/>
      <c r="AI138" s="14"/>
      <c r="AJ138" s="270"/>
    </row>
    <row r="139" spans="1:37" ht="21.75" customHeight="1" outlineLevel="1" x14ac:dyDescent="0.35">
      <c r="A139" s="1101"/>
      <c r="B139" s="1013"/>
      <c r="C139" s="1021"/>
      <c r="D139" s="15" t="s">
        <v>957</v>
      </c>
      <c r="E139" s="15"/>
      <c r="F139" s="15"/>
      <c r="G139" s="15"/>
      <c r="H139" s="15"/>
      <c r="I139" s="15"/>
      <c r="J139" s="15"/>
      <c r="K139" s="15"/>
      <c r="L139" s="15"/>
      <c r="M139" s="15"/>
      <c r="N139" s="15"/>
      <c r="O139" s="1083" t="s">
        <v>956</v>
      </c>
      <c r="P139" s="1084"/>
      <c r="Q139" s="54">
        <v>550</v>
      </c>
      <c r="R139" s="225" t="s">
        <v>769</v>
      </c>
      <c r="S139" s="992"/>
      <c r="T139" s="993"/>
      <c r="U139" s="994"/>
      <c r="V139" s="54">
        <v>342</v>
      </c>
      <c r="W139" s="225" t="s">
        <v>769</v>
      </c>
      <c r="X139" s="977">
        <f>SUM(X140:AA140)</f>
        <v>0</v>
      </c>
      <c r="Y139" s="978"/>
      <c r="Z139" s="978"/>
      <c r="AA139" s="978"/>
      <c r="AB139" s="130"/>
      <c r="AC139" s="226">
        <v>392</v>
      </c>
      <c r="AD139" s="74" t="s">
        <v>769</v>
      </c>
      <c r="AE139" s="977">
        <f>SUM(AE140:AH140)</f>
        <v>0</v>
      </c>
      <c r="AF139" s="978"/>
      <c r="AG139" s="978"/>
      <c r="AH139" s="978"/>
      <c r="AI139" s="14"/>
      <c r="AJ139" s="270"/>
    </row>
    <row r="140" spans="1:37" ht="21" customHeight="1" outlineLevel="2" x14ac:dyDescent="0.35">
      <c r="A140" s="1102"/>
      <c r="B140" s="1103"/>
      <c r="C140" s="1104"/>
      <c r="D140" s="37"/>
      <c r="E140" s="15"/>
      <c r="F140" s="15"/>
      <c r="G140" s="15"/>
      <c r="H140" s="15"/>
      <c r="I140" s="15"/>
      <c r="J140" s="15"/>
      <c r="K140" s="15"/>
      <c r="L140" s="15"/>
      <c r="M140" s="15"/>
      <c r="N140" s="15"/>
      <c r="O140" s="15"/>
      <c r="P140" s="15"/>
      <c r="Q140" s="15"/>
      <c r="R140" s="15"/>
      <c r="S140" s="15"/>
      <c r="T140" s="15"/>
      <c r="U140" s="245" t="s">
        <v>164</v>
      </c>
      <c r="V140" s="246">
        <v>342</v>
      </c>
      <c r="W140" s="225"/>
      <c r="X140" s="977">
        <f>+SUMIFS(COMPRAS!BG:BG,COMPRAS!BF:BF,V140,COMPRAS!DD:DD,"SI")+SUMIFS(COMPRAS!BP:BP,COMPRAS!BO:BO,V140,COMPRAS!DD:DD,"SI")+SUMIFS(COMPRAS!BY:BY,COMPRAS!BX:BX,V140,COMPRAS!DD:DD,"SI")</f>
        <v>0</v>
      </c>
      <c r="Y140" s="978"/>
      <c r="Z140" s="978"/>
      <c r="AA140" s="978"/>
      <c r="AB140" s="130"/>
      <c r="AC140" s="226"/>
      <c r="AD140" s="74"/>
      <c r="AE140" s="977">
        <f>SUMIFS(COMPRAS!BI:BI,COMPRAS!BF:BF,V140,COMPRAS!DD:DD,"SI")+SUMIFS(COMPRAS!BR:BR,COMPRAS!BO:BO,V140,COMPRAS!DD:DD,"SI")+SUMIFS(COMPRAS!CA:CA,COMPRAS!BX:BX,V140,COMPRAS!DD:DD,"SI")</f>
        <v>0</v>
      </c>
      <c r="AF140" s="978"/>
      <c r="AG140" s="978"/>
      <c r="AH140" s="978"/>
      <c r="AI140" s="14"/>
    </row>
    <row r="141" spans="1:37" ht="21" customHeight="1" outlineLevel="1" x14ac:dyDescent="0.35">
      <c r="A141" s="271" t="s">
        <v>1157</v>
      </c>
      <c r="B141" s="15"/>
      <c r="C141" s="15"/>
      <c r="D141" s="15"/>
      <c r="E141" s="15"/>
      <c r="F141" s="15"/>
      <c r="G141" s="15"/>
      <c r="H141" s="15"/>
      <c r="I141" s="15"/>
      <c r="J141" s="15"/>
      <c r="K141" s="15"/>
      <c r="L141" s="15"/>
      <c r="M141" s="15"/>
      <c r="N141" s="15"/>
      <c r="O141" s="15"/>
      <c r="P141" s="15"/>
      <c r="Q141" s="15"/>
      <c r="R141" s="15"/>
      <c r="S141" s="15"/>
      <c r="T141" s="15"/>
      <c r="U141" s="245"/>
      <c r="V141" s="54">
        <v>348</v>
      </c>
      <c r="W141" s="225" t="s">
        <v>769</v>
      </c>
      <c r="X141" s="977">
        <f>SUM(X142:AA143)</f>
        <v>0</v>
      </c>
      <c r="Y141" s="978"/>
      <c r="Z141" s="978"/>
      <c r="AA141" s="978"/>
      <c r="AB141" s="130"/>
      <c r="AC141" s="226">
        <v>398</v>
      </c>
      <c r="AD141" s="74" t="s">
        <v>769</v>
      </c>
      <c r="AE141" s="977">
        <f>SUM(AE142:AH143)</f>
        <v>0</v>
      </c>
      <c r="AF141" s="978"/>
      <c r="AG141" s="978"/>
      <c r="AH141" s="978"/>
      <c r="AI141" s="14"/>
      <c r="AJ141" s="270"/>
    </row>
    <row r="142" spans="1:37" ht="21" customHeight="1" outlineLevel="2" x14ac:dyDescent="0.35">
      <c r="A142" s="41"/>
      <c r="B142" s="15"/>
      <c r="C142" s="15"/>
      <c r="D142" s="15"/>
      <c r="E142" s="15"/>
      <c r="F142" s="15"/>
      <c r="G142" s="15"/>
      <c r="H142" s="15"/>
      <c r="I142" s="15"/>
      <c r="J142" s="15"/>
      <c r="K142" s="15"/>
      <c r="L142" s="15"/>
      <c r="M142" s="15"/>
      <c r="N142" s="15"/>
      <c r="O142" s="15"/>
      <c r="P142" s="15"/>
      <c r="Q142" s="15"/>
      <c r="R142" s="15"/>
      <c r="S142" s="15"/>
      <c r="T142" s="15"/>
      <c r="U142" s="245" t="s">
        <v>1156</v>
      </c>
      <c r="V142" s="246">
        <v>348</v>
      </c>
      <c r="W142" s="225"/>
      <c r="X142" s="977">
        <f>+SUMIFS(COMPRAS!BG:BG,COMPRAS!BF:BF,V142,COMPRAS!DD:DD,"SI")+SUMIFS(COMPRAS!BP:BP,COMPRAS!BO:BO,V142,COMPRAS!DD:DD,"SI")+SUMIFS(COMPRAS!BY:BY,COMPRAS!BX:BX,V142,COMPRAS!DD:DD,"SI")</f>
        <v>0</v>
      </c>
      <c r="Y142" s="978"/>
      <c r="Z142" s="978"/>
      <c r="AA142" s="978"/>
      <c r="AB142" s="130"/>
      <c r="AC142" s="226"/>
      <c r="AD142" s="74"/>
      <c r="AE142" s="977">
        <f>SUMIFS(COMPRAS!BI:BI,COMPRAS!BF:BF,V142,COMPRAS!DD:DD,"SI")+SUMIFS(COMPRAS!BR:BR,COMPRAS!BO:BO,V142,COMPRAS!DD:DD,"SI")+SUMIFS(COMPRAS!CA:CA,COMPRAS!BX:BX,V142,COMPRAS!DD:DD,"SI")</f>
        <v>0</v>
      </c>
      <c r="AF142" s="978"/>
      <c r="AG142" s="978"/>
      <c r="AH142" s="978"/>
      <c r="AI142" s="14"/>
    </row>
    <row r="143" spans="1:37" ht="21" customHeight="1" outlineLevel="2" x14ac:dyDescent="0.35">
      <c r="A143" s="41"/>
      <c r="B143" s="15"/>
      <c r="C143" s="15"/>
      <c r="D143" s="15"/>
      <c r="E143" s="15"/>
      <c r="F143" s="15"/>
      <c r="G143" s="15"/>
      <c r="H143" s="15"/>
      <c r="I143" s="15"/>
      <c r="J143" s="15"/>
      <c r="K143" s="15"/>
      <c r="L143" s="15"/>
      <c r="M143" s="15"/>
      <c r="N143" s="15"/>
      <c r="O143" s="15"/>
      <c r="P143" s="15"/>
      <c r="Q143" s="15"/>
      <c r="R143" s="15"/>
      <c r="S143" s="15"/>
      <c r="T143" s="15"/>
      <c r="U143" s="245" t="s">
        <v>1040</v>
      </c>
      <c r="V143" s="246" t="s">
        <v>1039</v>
      </c>
      <c r="W143" s="225"/>
      <c r="X143" s="977">
        <f>+SUMIFS(COMPRAS!BG:BG,COMPRAS!BF:BF,V143,COMPRAS!DD:DD,"SI")+SUMIFS(COMPRAS!BP:BP,COMPRAS!BO:BO,V143,COMPRAS!DD:DD,"SI")+SUMIFS(COMPRAS!BY:BY,COMPRAS!BX:BX,V143,COMPRAS!DD:DD,"SI")</f>
        <v>0</v>
      </c>
      <c r="Y143" s="978"/>
      <c r="Z143" s="978"/>
      <c r="AA143" s="978"/>
      <c r="AB143" s="130"/>
      <c r="AC143" s="226"/>
      <c r="AD143" s="74"/>
      <c r="AE143" s="977">
        <f>SUMIFS(COMPRAS!BI:BI,COMPRAS!BF:BF,V143,COMPRAS!DD:DD,"SI")+SUMIFS(COMPRAS!BR:BR,COMPRAS!BO:BO,V143,COMPRAS!DD:DD,"SI")+SUMIFS(COMPRAS!CA:CA,COMPRAS!BX:BX,V143,COMPRAS!DD:DD,"SI")</f>
        <v>0</v>
      </c>
      <c r="AF143" s="978"/>
      <c r="AG143" s="978"/>
      <c r="AH143" s="978"/>
      <c r="AI143" s="14"/>
    </row>
    <row r="144" spans="1:37" ht="21" customHeight="1" outlineLevel="1" x14ac:dyDescent="0.35">
      <c r="A144" s="1105" t="s">
        <v>2259</v>
      </c>
      <c r="B144" s="1106"/>
      <c r="C144" s="1107"/>
      <c r="D144" s="37" t="s">
        <v>2261</v>
      </c>
      <c r="E144" s="15"/>
      <c r="F144" s="15"/>
      <c r="G144" s="15"/>
      <c r="H144" s="15"/>
      <c r="I144" s="15"/>
      <c r="J144" s="15"/>
      <c r="K144" s="15"/>
      <c r="L144" s="15"/>
      <c r="M144" s="15"/>
      <c r="N144" s="15"/>
      <c r="O144" s="15"/>
      <c r="P144" s="15"/>
      <c r="Q144" s="15"/>
      <c r="R144" s="15"/>
      <c r="S144" s="15"/>
      <c r="T144" s="15"/>
      <c r="U144" s="130"/>
      <c r="V144" s="54">
        <v>3483</v>
      </c>
      <c r="W144" s="225" t="s">
        <v>769</v>
      </c>
      <c r="X144" s="977">
        <f>+SUMIFS(COMPRAS!BG:BG,COMPRAS!BF:BF,V144,COMPRAS!DD:DD,"SI")+SUMIFS(COMPRAS!BP:BP,COMPRAS!BO:BO,V144,COMPRAS!DD:DD,"SI")+SUMIFS(COMPRAS!BY:BY,COMPRAS!BX:BX,V144,COMPRAS!DD:DD,"SI")</f>
        <v>0</v>
      </c>
      <c r="Y144" s="978"/>
      <c r="Z144" s="978"/>
      <c r="AA144" s="978"/>
      <c r="AB144" s="130"/>
      <c r="AC144" s="1114"/>
      <c r="AD144" s="1115"/>
      <c r="AE144" s="1115"/>
      <c r="AF144" s="1115"/>
      <c r="AG144" s="1115"/>
      <c r="AH144" s="1115"/>
      <c r="AI144" s="1116"/>
      <c r="AJ144" s="270"/>
    </row>
    <row r="145" spans="1:36" ht="21" customHeight="1" outlineLevel="1" x14ac:dyDescent="0.35">
      <c r="A145" s="1101"/>
      <c r="B145" s="1013"/>
      <c r="C145" s="1021"/>
      <c r="D145" s="37" t="s">
        <v>2262</v>
      </c>
      <c r="E145" s="37"/>
      <c r="F145" s="15"/>
      <c r="G145" s="15"/>
      <c r="H145" s="15"/>
      <c r="I145" s="15"/>
      <c r="J145" s="15"/>
      <c r="K145" s="15"/>
      <c r="L145" s="15"/>
      <c r="M145" s="15"/>
      <c r="N145" s="15"/>
      <c r="O145" s="15"/>
      <c r="P145" s="15"/>
      <c r="Q145" s="15"/>
      <c r="R145" s="15"/>
      <c r="S145" s="15"/>
      <c r="T145" s="15"/>
      <c r="U145" s="245"/>
      <c r="V145" s="54">
        <v>3484</v>
      </c>
      <c r="W145" s="225" t="s">
        <v>769</v>
      </c>
      <c r="X145" s="977">
        <f>+SUMIFS(COMPRAS!BG:BG,COMPRAS!BF:BF,V145,COMPRAS!DD:DD,"SI")+SUMIFS(COMPRAS!BP:BP,COMPRAS!BO:BO,V145,COMPRAS!DD:DD,"SI")+SUMIFS(COMPRAS!BY:BY,COMPRAS!BX:BX,V145,COMPRAS!DD:DD,"SI")</f>
        <v>0</v>
      </c>
      <c r="Y145" s="978"/>
      <c r="Z145" s="978"/>
      <c r="AA145" s="978"/>
      <c r="AB145" s="130"/>
      <c r="AC145" s="995"/>
      <c r="AD145" s="996"/>
      <c r="AE145" s="996"/>
      <c r="AF145" s="996"/>
      <c r="AG145" s="996"/>
      <c r="AH145" s="996"/>
      <c r="AI145" s="997"/>
      <c r="AJ145" s="270"/>
    </row>
    <row r="146" spans="1:36" ht="21" customHeight="1" outlineLevel="1" x14ac:dyDescent="0.35">
      <c r="A146" s="1101"/>
      <c r="B146" s="1013"/>
      <c r="C146" s="1021"/>
      <c r="D146" s="37" t="s">
        <v>2263</v>
      </c>
      <c r="E146" s="37"/>
      <c r="F146" s="15"/>
      <c r="G146" s="15"/>
      <c r="H146" s="15"/>
      <c r="I146" s="15"/>
      <c r="J146" s="15"/>
      <c r="K146" s="15"/>
      <c r="L146" s="15"/>
      <c r="M146" s="15"/>
      <c r="N146" s="15"/>
      <c r="O146" s="15"/>
      <c r="P146" s="15"/>
      <c r="Q146" s="15"/>
      <c r="R146" s="15"/>
      <c r="S146" s="15"/>
      <c r="T146" s="15"/>
      <c r="U146" s="245"/>
      <c r="V146" s="54">
        <v>3485</v>
      </c>
      <c r="W146" s="225" t="s">
        <v>769</v>
      </c>
      <c r="X146" s="977">
        <f>+SUMIFS(COMPRAS!BG:BG,COMPRAS!BF:BF,V146,COMPRAS!DD:DD,"SI")+SUMIFS(COMPRAS!BP:BP,COMPRAS!BO:BO,V146,COMPRAS!DD:DD,"SI")+SUMIFS(COMPRAS!BY:BY,COMPRAS!BX:BX,V146,COMPRAS!DD:DD,"SI")</f>
        <v>0</v>
      </c>
      <c r="Y146" s="978"/>
      <c r="Z146" s="978"/>
      <c r="AA146" s="978"/>
      <c r="AB146" s="130"/>
      <c r="AC146" s="984"/>
      <c r="AD146" s="985"/>
      <c r="AE146" s="985"/>
      <c r="AF146" s="985"/>
      <c r="AG146" s="985"/>
      <c r="AH146" s="985"/>
      <c r="AI146" s="986"/>
      <c r="AJ146" s="270"/>
    </row>
    <row r="147" spans="1:36" ht="21" customHeight="1" outlineLevel="1" x14ac:dyDescent="0.35">
      <c r="A147" s="1101"/>
      <c r="B147" s="1013"/>
      <c r="C147" s="1021"/>
      <c r="D147" s="37" t="s">
        <v>2264</v>
      </c>
      <c r="E147" s="37"/>
      <c r="F147" s="15"/>
      <c r="G147" s="15"/>
      <c r="H147" s="15"/>
      <c r="I147" s="15"/>
      <c r="J147" s="15"/>
      <c r="K147" s="15"/>
      <c r="L147" s="15"/>
      <c r="M147" s="15"/>
      <c r="N147" s="15"/>
      <c r="O147" s="15"/>
      <c r="P147" s="15"/>
      <c r="Q147" s="15"/>
      <c r="R147" s="15"/>
      <c r="S147" s="15"/>
      <c r="T147" s="15"/>
      <c r="U147" s="245"/>
      <c r="V147" s="54">
        <v>3480</v>
      </c>
      <c r="W147" s="225" t="s">
        <v>769</v>
      </c>
      <c r="X147" s="977">
        <f>SUM(X148:AA148)</f>
        <v>0</v>
      </c>
      <c r="Y147" s="978"/>
      <c r="Z147" s="978"/>
      <c r="AA147" s="978"/>
      <c r="AB147" s="130"/>
      <c r="AC147" s="226">
        <v>3980</v>
      </c>
      <c r="AD147" s="74" t="s">
        <v>769</v>
      </c>
      <c r="AE147" s="977">
        <f>SUM(AE148:AH148)</f>
        <v>0</v>
      </c>
      <c r="AF147" s="978"/>
      <c r="AG147" s="978"/>
      <c r="AH147" s="978"/>
      <c r="AI147" s="14"/>
      <c r="AJ147" s="270"/>
    </row>
    <row r="148" spans="1:36" ht="21" hidden="1" customHeight="1" outlineLevel="2" x14ac:dyDescent="0.35">
      <c r="A148" s="1102"/>
      <c r="B148" s="1103"/>
      <c r="C148" s="1104"/>
      <c r="D148" s="839"/>
      <c r="E148" s="37"/>
      <c r="F148" s="15"/>
      <c r="G148" s="15"/>
      <c r="H148" s="15"/>
      <c r="I148" s="15"/>
      <c r="J148" s="15"/>
      <c r="K148" s="15"/>
      <c r="L148" s="15"/>
      <c r="M148" s="15"/>
      <c r="N148" s="15"/>
      <c r="O148" s="15"/>
      <c r="P148" s="15"/>
      <c r="Q148" s="15"/>
      <c r="R148" s="15"/>
      <c r="S148" s="15"/>
      <c r="T148" s="15"/>
      <c r="U148" s="245" t="s">
        <v>2260</v>
      </c>
      <c r="V148" s="246">
        <v>3480</v>
      </c>
      <c r="W148" s="225"/>
      <c r="X148" s="977">
        <f>+SUMIFS(COMPRAS!BG:BG,COMPRAS!BF:BF,V148,COMPRAS!DD:DD,"SI")+SUMIFS(COMPRAS!BP:BP,COMPRAS!BO:BO,V148,COMPRAS!DD:DD,"SI")+SUMIFS(COMPRAS!BY:BY,COMPRAS!BX:BX,V148,COMPRAS!DD:DD,"SI")</f>
        <v>0</v>
      </c>
      <c r="Y148" s="978"/>
      <c r="Z148" s="978"/>
      <c r="AA148" s="978"/>
      <c r="AB148" s="130"/>
      <c r="AC148" s="226"/>
      <c r="AD148" s="74"/>
      <c r="AE148" s="977">
        <f>SUMIFS(COMPRAS!BI:BI,COMPRAS!BF:BF,V148,COMPRAS!DD:DD,"SI")+SUMIFS(COMPRAS!BR:BR,COMPRAS!BO:BO,V148,COMPRAS!DD:DD,"SI")+SUMIFS(COMPRAS!CA:CA,COMPRAS!BX:BX,V148,COMPRAS!DD:DD,"SI")</f>
        <v>0</v>
      </c>
      <c r="AF148" s="978"/>
      <c r="AG148" s="978"/>
      <c r="AH148" s="978"/>
      <c r="AI148" s="14"/>
    </row>
    <row r="149" spans="1:36" ht="8.4" customHeight="1" outlineLevel="1" collapsed="1" thickBot="1" x14ac:dyDescent="0.4">
      <c r="A149" s="41"/>
      <c r="B149" s="15"/>
      <c r="C149" s="15"/>
      <c r="D149" s="15"/>
      <c r="E149" s="15"/>
      <c r="F149" s="15"/>
      <c r="G149" s="15"/>
      <c r="H149" s="15"/>
      <c r="I149" s="15"/>
      <c r="J149" s="15"/>
      <c r="K149" s="15"/>
      <c r="L149" s="15"/>
      <c r="M149" s="15"/>
      <c r="N149" s="15"/>
      <c r="O149" s="15"/>
      <c r="P149" s="15"/>
      <c r="Q149" s="15"/>
      <c r="R149" s="15"/>
      <c r="S149" s="15"/>
      <c r="T149" s="15"/>
      <c r="U149" s="245"/>
      <c r="V149" s="246"/>
      <c r="W149" s="225"/>
      <c r="X149" s="1025"/>
      <c r="Y149" s="1026"/>
      <c r="Z149" s="1026"/>
      <c r="AA149" s="1026"/>
      <c r="AB149" s="130"/>
      <c r="AC149" s="226"/>
      <c r="AD149" s="74"/>
      <c r="AE149" s="1025"/>
      <c r="AF149" s="1026"/>
      <c r="AG149" s="1026"/>
      <c r="AH149" s="1026"/>
      <c r="AI149" s="14"/>
    </row>
    <row r="150" spans="1:36" ht="21" customHeight="1" thickBot="1" x14ac:dyDescent="0.4">
      <c r="A150" s="1093" t="s">
        <v>953</v>
      </c>
      <c r="B150" s="1094"/>
      <c r="C150" s="1094"/>
      <c r="D150" s="1094"/>
      <c r="E150" s="1094"/>
      <c r="F150" s="1094"/>
      <c r="G150" s="1094"/>
      <c r="H150" s="1094"/>
      <c r="I150" s="1094"/>
      <c r="J150" s="1094"/>
      <c r="K150" s="1094"/>
      <c r="L150" s="1094"/>
      <c r="M150" s="1094"/>
      <c r="N150" s="1094"/>
      <c r="O150" s="1094"/>
      <c r="P150" s="1094"/>
      <c r="Q150" s="1094"/>
      <c r="R150" s="1094"/>
      <c r="S150" s="1094"/>
      <c r="T150" s="1094"/>
      <c r="U150" s="1095"/>
      <c r="V150" s="216">
        <v>349</v>
      </c>
      <c r="W150" s="244" t="s">
        <v>767</v>
      </c>
      <c r="X150" s="998">
        <f>X18+X19+X21+X23+X30+X31+X32+X33+X34+X36+X39+X41+X43+X65+X72+X73+X38+X75+X88+X92+X99+X102+X103+X104+X105+X106+X107+X108+X54+X109+X110+X112+X116+X117+X118+X133+X131+X135+X136+X137+X138+X139+X45+X49+X122+X124+X125+X141+X114+X70+X120+X147+X123+X144+X145+X146</f>
        <v>36549.58</v>
      </c>
      <c r="Y150" s="999"/>
      <c r="Z150" s="999"/>
      <c r="AA150" s="999"/>
      <c r="AB150" s="78"/>
      <c r="AC150" s="216">
        <v>399</v>
      </c>
      <c r="AD150" s="244" t="s">
        <v>767</v>
      </c>
      <c r="AE150" s="998">
        <f>AE18+AE19+AE21+AE23+AE30+AE31+AE32+AE33+AE34+AE36+AE39+AE41+AE43+AE65+AE72+AE73+AE38+AE75+AE88+AE92+AE99+AE102+AE103+AE104+AE105+AE106+AE107+AE108+AE54+AE109+AE110+AE112+AE116+AE117+AE118+AE133+AE131+AE135+AE136+AE137+AE138+AE139+AE45+AE49+AE122+AE124+AE125+AE141+AE114+AE70+AE120+AE147+AE123</f>
        <v>353.91999999999996</v>
      </c>
      <c r="AF150" s="999"/>
      <c r="AG150" s="999"/>
      <c r="AH150" s="999"/>
      <c r="AI150" s="56"/>
    </row>
    <row r="151" spans="1:36" ht="21" customHeight="1" thickBot="1" x14ac:dyDescent="0.4">
      <c r="A151" s="1090" t="s">
        <v>952</v>
      </c>
      <c r="B151" s="1091"/>
      <c r="C151" s="1091"/>
      <c r="D151" s="1091"/>
      <c r="E151" s="1091"/>
      <c r="F151" s="1091"/>
      <c r="G151" s="1091"/>
      <c r="H151" s="1091"/>
      <c r="I151" s="1091"/>
      <c r="J151" s="1091"/>
      <c r="K151" s="1091"/>
      <c r="L151" s="1091"/>
      <c r="M151" s="1091"/>
      <c r="N151" s="1091"/>
      <c r="O151" s="1091"/>
      <c r="P151" s="1091"/>
      <c r="Q151" s="1091"/>
      <c r="R151" s="1091"/>
      <c r="S151" s="1091"/>
      <c r="T151" s="1091"/>
      <c r="U151" s="1091"/>
      <c r="V151" s="1091"/>
      <c r="W151" s="1091"/>
      <c r="X151" s="1091"/>
      <c r="Y151" s="1091"/>
      <c r="Z151" s="1091"/>
      <c r="AA151" s="1091"/>
      <c r="AB151" s="1091"/>
      <c r="AC151" s="1091"/>
      <c r="AD151" s="1091"/>
      <c r="AE151" s="1091"/>
      <c r="AF151" s="1091"/>
      <c r="AG151" s="1091"/>
      <c r="AH151" s="1091"/>
      <c r="AI151" s="1092"/>
    </row>
    <row r="152" spans="1:36" ht="21" customHeight="1" outlineLevel="1" x14ac:dyDescent="0.35">
      <c r="A152" s="1009" t="s">
        <v>951</v>
      </c>
      <c r="B152" s="1010"/>
      <c r="C152" s="1020"/>
      <c r="D152" s="118" t="s">
        <v>950</v>
      </c>
      <c r="E152" s="118"/>
      <c r="F152" s="118"/>
      <c r="G152" s="118"/>
      <c r="H152" s="118"/>
      <c r="I152" s="118"/>
      <c r="J152" s="118"/>
      <c r="K152" s="118"/>
      <c r="L152" s="118"/>
      <c r="M152" s="118"/>
      <c r="N152" s="118"/>
      <c r="O152" s="118"/>
      <c r="P152" s="118"/>
      <c r="Q152" s="118"/>
      <c r="R152" s="118"/>
      <c r="S152" s="118"/>
      <c r="T152" s="118"/>
      <c r="U152" s="243"/>
      <c r="V152" s="234">
        <v>402</v>
      </c>
      <c r="W152" s="148" t="s">
        <v>769</v>
      </c>
      <c r="X152" s="977">
        <f>SUM(X153)</f>
        <v>0</v>
      </c>
      <c r="Y152" s="978"/>
      <c r="Z152" s="978"/>
      <c r="AA152" s="978"/>
      <c r="AB152" s="118"/>
      <c r="AC152" s="234">
        <v>452</v>
      </c>
      <c r="AD152" s="233" t="s">
        <v>769</v>
      </c>
      <c r="AE152" s="979">
        <f>SUM(AE153:AH153)</f>
        <v>0</v>
      </c>
      <c r="AF152" s="980"/>
      <c r="AG152" s="980"/>
      <c r="AH152" s="980"/>
      <c r="AI152" s="232"/>
    </row>
    <row r="153" spans="1:36" ht="21" customHeight="1" outlineLevel="2" x14ac:dyDescent="0.35">
      <c r="A153" s="1012"/>
      <c r="B153" s="1013"/>
      <c r="C153" s="1021"/>
      <c r="D153" s="43"/>
      <c r="E153" s="43"/>
      <c r="F153" s="43"/>
      <c r="G153" s="43"/>
      <c r="H153" s="43"/>
      <c r="I153" s="43"/>
      <c r="J153" s="43"/>
      <c r="K153" s="43"/>
      <c r="L153" s="43"/>
      <c r="M153" s="43"/>
      <c r="N153" s="43"/>
      <c r="O153" s="43"/>
      <c r="P153" s="43"/>
      <c r="Q153" s="43"/>
      <c r="R153" s="43"/>
      <c r="U153" s="229" t="s">
        <v>193</v>
      </c>
      <c r="V153" s="272" t="s">
        <v>192</v>
      </c>
      <c r="W153" s="74"/>
      <c r="X153" s="977">
        <f>SUMIFS(COMPRAS!BG:BG,COMPRAS!BF:BF,V153,COMPRAS!CS:CS,"=01-REGIMEN GENERAL",COMPRAS!CX:CX,"=SI",COMPRAS!DD:DD,"=SI")+SUMIFS(COMPRAS!BP:BP,COMPRAS!BO:BO,V153,COMPRAS!CS:CS,"=01-REGIMEN GENERAL",COMPRAS!CX:CX,"=SI",COMPRAS!DD:DD,"=SI")+SUMIFS(COMPRAS!BY:BY,COMPRAS!BX:BX,V153,COMPRAS!CS:CS,"=01-REGIMEN GENERAL",COMPRAS!CX:CX,"=SI",COMPRAS!DD:DD,"=SI")</f>
        <v>0</v>
      </c>
      <c r="Y153" s="978"/>
      <c r="Z153" s="978"/>
      <c r="AA153" s="978"/>
      <c r="AB153" s="43"/>
      <c r="AC153" s="111"/>
      <c r="AD153" s="227"/>
      <c r="AE153" s="977">
        <f>SUMIFS(COMPRAS!BI:BI,COMPRAS!BF:BF,V153,COMPRAS!CS:CS,"=01-REGIMEN GENERAL",COMPRAS!CX:CX,"=SI",COMPRAS!DD:DD,"=SI")+SUMIFS(COMPRAS!BR:BR,COMPRAS!BO:BO,V153,COMPRAS!CS:CS,"=01-REGIMEN GENERAL",COMPRAS!CX:CX,"=SI",COMPRAS!DD:DD,"=SI")+SUMIFS(COMPRAS!CA:CA,COMPRAS!BX:BX,V153,COMPRAS!CS:CS,"=01-REGIMEN GENERAL",COMPRAS!CX:CX,"=SI",COMPRAS!DD:DD,"=SI")</f>
        <v>0</v>
      </c>
      <c r="AF153" s="978"/>
      <c r="AG153" s="978"/>
      <c r="AH153" s="978"/>
      <c r="AI153" s="206"/>
    </row>
    <row r="154" spans="1:36" ht="21" customHeight="1" outlineLevel="1" x14ac:dyDescent="0.35">
      <c r="A154" s="1012"/>
      <c r="B154" s="1013"/>
      <c r="C154" s="1021"/>
      <c r="D154" s="43" t="s">
        <v>947</v>
      </c>
      <c r="E154" s="43"/>
      <c r="F154" s="43"/>
      <c r="G154" s="43"/>
      <c r="H154" s="43"/>
      <c r="I154" s="43"/>
      <c r="J154" s="43"/>
      <c r="K154" s="43"/>
      <c r="L154" s="43"/>
      <c r="M154" s="43"/>
      <c r="N154" s="43"/>
      <c r="O154" s="43"/>
      <c r="P154" s="43"/>
      <c r="Q154" s="43"/>
      <c r="R154" s="43"/>
      <c r="S154" s="37"/>
      <c r="T154" s="37"/>
      <c r="U154" s="242"/>
      <c r="V154" s="54">
        <v>403</v>
      </c>
      <c r="W154" s="53" t="s">
        <v>769</v>
      </c>
      <c r="X154" s="977">
        <f>SUM(X155:AA157)</f>
        <v>0</v>
      </c>
      <c r="Y154" s="978"/>
      <c r="Z154" s="978"/>
      <c r="AA154" s="978"/>
      <c r="AB154" s="15"/>
      <c r="AC154" s="111">
        <v>453</v>
      </c>
      <c r="AD154" s="227" t="s">
        <v>769</v>
      </c>
      <c r="AE154" s="977">
        <f>SUM(AE155:AH157)</f>
        <v>0</v>
      </c>
      <c r="AF154" s="978"/>
      <c r="AG154" s="978"/>
      <c r="AH154" s="978"/>
      <c r="AI154" s="14"/>
    </row>
    <row r="155" spans="1:36" ht="21" customHeight="1" outlineLevel="2" x14ac:dyDescent="0.35">
      <c r="A155" s="1012"/>
      <c r="B155" s="1013"/>
      <c r="C155" s="1021"/>
      <c r="D155" s="43"/>
      <c r="E155" s="43"/>
      <c r="F155" s="43"/>
      <c r="G155" s="43"/>
      <c r="H155" s="43"/>
      <c r="I155" s="43"/>
      <c r="J155" s="43"/>
      <c r="K155" s="43"/>
      <c r="L155" s="43"/>
      <c r="M155" s="43"/>
      <c r="N155" s="43"/>
      <c r="O155" s="43"/>
      <c r="P155" s="43"/>
      <c r="Q155" s="43"/>
      <c r="R155" s="43"/>
      <c r="S155" s="37"/>
      <c r="T155" s="37"/>
      <c r="U155" s="229" t="s">
        <v>187</v>
      </c>
      <c r="V155" s="272" t="s">
        <v>186</v>
      </c>
      <c r="W155" s="225"/>
      <c r="X155" s="977">
        <f>SUMIFS(COMPRAS!BG:BG,COMPRAS!BF:BF,V155,COMPRAS!CS:CS,"=01-REGIMEN GENERAL",COMPRAS!CX:CX,"=SI",COMPRAS!DD:DD,"=SI")+SUMIFS(COMPRAS!BP:BP,COMPRAS!BO:BO,V155,COMPRAS!CS:CS,"=01-REGIMEN GENERAL",COMPRAS!CX:CX,"=SI",COMPRAS!DD:DD,"=SI")+SUMIFS(COMPRAS!BY:BY,COMPRAS!BX:BX,V155,COMPRAS!CS:CS,"=01-REGIMEN GENERAL",COMPRAS!CX:CX,"=SI",COMPRAS!DD:DD,"=SI")</f>
        <v>0</v>
      </c>
      <c r="Y155" s="978"/>
      <c r="Z155" s="978"/>
      <c r="AA155" s="978"/>
      <c r="AB155" s="224"/>
      <c r="AC155" s="52"/>
      <c r="AD155" s="227"/>
      <c r="AE155" s="977">
        <f>SUMIFS(COMPRAS!BI:BI,COMPRAS!BF:BF,V155,COMPRAS!CS:CS,"=01-REGIMEN GENERAL",COMPRAS!CX:CX,"=SI",COMPRAS!DD:DD,"=SI")+SUMIFS(COMPRAS!BR:BR,COMPRAS!BO:BO,V155,COMPRAS!CS:CS,"=01-REGIMEN GENERAL",COMPRAS!CX:CX,"=SI",COMPRAS!DD:DD,"=SI")+SUMIFS(COMPRAS!CA:CA,COMPRAS!BX:BX,V155,COMPRAS!CS:CS,"=01-REGIMEN GENERAL",COMPRAS!CX:CX,"=SI",COMPRAS!DD:DD,"=SI")</f>
        <v>0</v>
      </c>
      <c r="AF155" s="978"/>
      <c r="AG155" s="978"/>
      <c r="AH155" s="978"/>
      <c r="AI155" s="206"/>
    </row>
    <row r="156" spans="1:36" ht="21" customHeight="1" outlineLevel="2" x14ac:dyDescent="0.35">
      <c r="A156" s="1012"/>
      <c r="B156" s="1013"/>
      <c r="C156" s="1021"/>
      <c r="D156" s="43"/>
      <c r="E156" s="43"/>
      <c r="F156" s="43"/>
      <c r="G156" s="43"/>
      <c r="H156" s="43"/>
      <c r="I156" s="43"/>
      <c r="J156" s="43"/>
      <c r="K156" s="43"/>
      <c r="L156" s="43"/>
      <c r="M156" s="43"/>
      <c r="N156" s="43"/>
      <c r="O156" s="43"/>
      <c r="P156" s="43"/>
      <c r="Q156" s="43"/>
      <c r="R156" s="43"/>
      <c r="S156" s="37"/>
      <c r="T156" s="37"/>
      <c r="U156" s="229" t="s">
        <v>189</v>
      </c>
      <c r="V156" s="272" t="s">
        <v>188</v>
      </c>
      <c r="W156" s="225"/>
      <c r="X156" s="977">
        <f>SUMIFS(COMPRAS!BG:BG,COMPRAS!BF:BF,V156,COMPRAS!CS:CS,"=01-REGIMEN GENERAL",COMPRAS!CX:CX,"=SI",COMPRAS!DD:DD,"=SI")+SUMIFS(COMPRAS!BP:BP,COMPRAS!BO:BO,V156,COMPRAS!CS:CS,"=01-REGIMEN GENERAL",COMPRAS!CX:CX,"=SI",COMPRAS!DD:DD,"=SI")+SUMIFS(COMPRAS!BY:BY,COMPRAS!BX:BX,V156,COMPRAS!CS:CS,"=01-REGIMEN GENERAL",COMPRAS!CX:CX,"=SI",COMPRAS!DD:DD,"=SI")</f>
        <v>0</v>
      </c>
      <c r="Y156" s="978"/>
      <c r="Z156" s="978"/>
      <c r="AA156" s="978"/>
      <c r="AB156" s="224"/>
      <c r="AC156" s="52"/>
      <c r="AD156" s="227"/>
      <c r="AE156" s="977">
        <f>SUMIFS(COMPRAS!BI:BI,COMPRAS!BF:BF,V156,COMPRAS!CS:CS,"=01-REGIMEN GENERAL",COMPRAS!CX:CX,"=SI",COMPRAS!DD:DD,"=SI")+SUMIFS(COMPRAS!BR:BR,COMPRAS!BO:BO,V156,COMPRAS!CS:CS,"=01-REGIMEN GENERAL",COMPRAS!CX:CX,"=SI",COMPRAS!DD:DD,"=SI")+SUMIFS(COMPRAS!CA:CA,COMPRAS!BX:BX,V156,COMPRAS!CS:CS,"=01-REGIMEN GENERAL",COMPRAS!CX:CX,"=SI",COMPRAS!DD:DD,"=SI")</f>
        <v>0</v>
      </c>
      <c r="AF156" s="978"/>
      <c r="AG156" s="978"/>
      <c r="AH156" s="978"/>
      <c r="AI156" s="206"/>
    </row>
    <row r="157" spans="1:36" ht="21" customHeight="1" outlineLevel="2" x14ac:dyDescent="0.35">
      <c r="A157" s="1012"/>
      <c r="B157" s="1013"/>
      <c r="C157" s="1021"/>
      <c r="D157" s="43"/>
      <c r="E157" s="43"/>
      <c r="F157" s="43"/>
      <c r="G157" s="43"/>
      <c r="H157" s="43"/>
      <c r="I157" s="43"/>
      <c r="J157" s="43"/>
      <c r="K157" s="43"/>
      <c r="L157" s="43"/>
      <c r="M157" s="43"/>
      <c r="N157" s="43"/>
      <c r="O157" s="43"/>
      <c r="P157" s="43"/>
      <c r="Q157" s="43"/>
      <c r="R157" s="43"/>
      <c r="S157" s="37"/>
      <c r="T157" s="37"/>
      <c r="U157" s="229" t="s">
        <v>191</v>
      </c>
      <c r="V157" s="272" t="s">
        <v>190</v>
      </c>
      <c r="W157" s="225"/>
      <c r="X157" s="977">
        <f>SUMIFS(COMPRAS!BG:BG,COMPRAS!BF:BF,V157,COMPRAS!CS:CS,"=01-REGIMEN GENERAL",COMPRAS!CX:CX,"=SI",COMPRAS!DD:DD,"=SI")+SUMIFS(COMPRAS!BP:BP,COMPRAS!BO:BO,V157,COMPRAS!CS:CS,"=01-REGIMEN GENERAL",COMPRAS!CX:CX,"=SI",COMPRAS!DD:DD,"=SI")+SUMIFS(COMPRAS!BY:BY,COMPRAS!BX:BX,V157,COMPRAS!CS:CS,"=01-REGIMEN GENERAL",COMPRAS!CX:CX,"=SI",COMPRAS!DD:DD,"=SI")</f>
        <v>0</v>
      </c>
      <c r="Y157" s="978"/>
      <c r="Z157" s="978"/>
      <c r="AA157" s="978"/>
      <c r="AB157" s="224"/>
      <c r="AC157" s="54"/>
      <c r="AD157" s="227"/>
      <c r="AE157" s="977">
        <f>SUMIFS(COMPRAS!BI:BI,COMPRAS!BF:BF,V157,COMPRAS!CS:CS,"=01-REGIMEN GENERAL",COMPRAS!CX:CX,"=SI",COMPRAS!DD:DD,"=SI")+SUMIFS(COMPRAS!BR:BR,COMPRAS!BO:BO,V157,COMPRAS!CS:CS,"=01-REGIMEN GENERAL",COMPRAS!CX:CX,"=SI",COMPRAS!DD:DD,"=SI")+SUMIFS(COMPRAS!CA:CA,COMPRAS!BX:BX,V157,COMPRAS!CS:CS,"=01-REGIMEN GENERAL",COMPRAS!CX:CX,"=SI",COMPRAS!DD:DD,"=SI")</f>
        <v>0</v>
      </c>
      <c r="AF157" s="978"/>
      <c r="AG157" s="978"/>
      <c r="AH157" s="978"/>
      <c r="AI157" s="206"/>
    </row>
    <row r="158" spans="1:36" ht="21" customHeight="1" outlineLevel="1" x14ac:dyDescent="0.35">
      <c r="A158" s="1012"/>
      <c r="B158" s="1013"/>
      <c r="C158" s="1021"/>
      <c r="D158" s="43" t="s">
        <v>944</v>
      </c>
      <c r="E158" s="43"/>
      <c r="F158" s="43"/>
      <c r="G158" s="43"/>
      <c r="H158" s="43"/>
      <c r="I158" s="43"/>
      <c r="J158" s="43"/>
      <c r="K158" s="43"/>
      <c r="L158" s="43"/>
      <c r="M158" s="43"/>
      <c r="N158" s="43"/>
      <c r="O158" s="43"/>
      <c r="P158" s="43"/>
      <c r="Q158" s="43"/>
      <c r="R158" s="43"/>
      <c r="S158" s="37"/>
      <c r="T158" s="37"/>
      <c r="U158" s="242"/>
      <c r="V158" s="54">
        <v>404</v>
      </c>
      <c r="W158" s="53" t="s">
        <v>769</v>
      </c>
      <c r="X158" s="977">
        <f>SUM(X159:AA161)</f>
        <v>0</v>
      </c>
      <c r="Y158" s="978"/>
      <c r="Z158" s="978"/>
      <c r="AA158" s="978"/>
      <c r="AB158" s="15"/>
      <c r="AC158" s="111">
        <v>454</v>
      </c>
      <c r="AD158" s="227" t="s">
        <v>769</v>
      </c>
      <c r="AE158" s="977">
        <f>SUM(AE159:AH161)</f>
        <v>0</v>
      </c>
      <c r="AF158" s="978"/>
      <c r="AG158" s="978"/>
      <c r="AH158" s="978"/>
      <c r="AI158" s="14"/>
    </row>
    <row r="159" spans="1:36" ht="21" customHeight="1" outlineLevel="2" x14ac:dyDescent="0.35">
      <c r="A159" s="1012"/>
      <c r="B159" s="1013"/>
      <c r="C159" s="1021"/>
      <c r="D159" s="15"/>
      <c r="E159" s="15"/>
      <c r="F159" s="15"/>
      <c r="G159" s="15"/>
      <c r="H159" s="15"/>
      <c r="I159" s="15"/>
      <c r="J159" s="15"/>
      <c r="K159" s="15"/>
      <c r="L159" s="15"/>
      <c r="M159" s="15"/>
      <c r="N159" s="15"/>
      <c r="O159" s="15"/>
      <c r="P159" s="15"/>
      <c r="Q159" s="15"/>
      <c r="R159" s="15"/>
      <c r="S159" s="15"/>
      <c r="T159" s="15"/>
      <c r="U159" s="229" t="s">
        <v>1080</v>
      </c>
      <c r="V159" s="272" t="s">
        <v>181</v>
      </c>
      <c r="W159" s="225" t="s">
        <v>769</v>
      </c>
      <c r="X159" s="977">
        <f>SUMIFS(COMPRAS!BG:BG,COMPRAS!BF:BF,V159,COMPRAS!CS:CS,"=01-REGIMEN GENERAL",COMPRAS!CX:CX,"=SI",COMPRAS!DD:DD,"=SI")+SUMIFS(COMPRAS!BP:BP,COMPRAS!BO:BO,V159,COMPRAS!CS:CS,"=01-REGIMEN GENERAL",COMPRAS!CX:CX,"=SI",COMPRAS!DD:DD,"=SI")+SUMIFS(COMPRAS!BY:BY,COMPRAS!BX:BX,V159,COMPRAS!CS:CS,"=01-REGIMEN GENERAL",COMPRAS!CX:CX,"=SI",COMPRAS!DD:DD,"=SI")</f>
        <v>0</v>
      </c>
      <c r="Y159" s="978"/>
      <c r="Z159" s="978"/>
      <c r="AA159" s="978"/>
      <c r="AB159" s="224"/>
      <c r="AC159" s="54"/>
      <c r="AD159" s="227" t="s">
        <v>769</v>
      </c>
      <c r="AE159" s="977">
        <f>SUMIFS(COMPRAS!BI:BI,COMPRAS!BF:BF,V159,COMPRAS!CS:CS,"=01-REGIMEN GENERAL",COMPRAS!CX:CX,"=SI",COMPRAS!DD:DD,"=SI")+SUMIFS(COMPRAS!BR:BR,COMPRAS!BO:BO,V159,COMPRAS!CS:CS,"=01-REGIMEN GENERAL",COMPRAS!CX:CX,"=SI",COMPRAS!DD:DD,"=SI")+SUMIFS(COMPRAS!CA:CA,COMPRAS!BX:BX,V159,COMPRAS!CS:CS,"=01-REGIMEN GENERAL",COMPRAS!CX:CX,"=SI",COMPRAS!DD:DD,"=SI")</f>
        <v>0</v>
      </c>
      <c r="AF159" s="978"/>
      <c r="AG159" s="978"/>
      <c r="AH159" s="978"/>
      <c r="AI159" s="206"/>
    </row>
    <row r="160" spans="1:36" ht="21" customHeight="1" outlineLevel="2" x14ac:dyDescent="0.35">
      <c r="A160" s="1012"/>
      <c r="B160" s="1013"/>
      <c r="C160" s="1021"/>
      <c r="D160" s="15"/>
      <c r="E160" s="15"/>
      <c r="F160" s="15"/>
      <c r="G160" s="15"/>
      <c r="H160" s="15"/>
      <c r="I160" s="15"/>
      <c r="J160" s="15"/>
      <c r="K160" s="15"/>
      <c r="L160" s="15"/>
      <c r="M160" s="15"/>
      <c r="N160" s="15"/>
      <c r="O160" s="15"/>
      <c r="P160" s="15"/>
      <c r="Q160" s="15"/>
      <c r="R160" s="15"/>
      <c r="S160" s="15"/>
      <c r="T160" s="15"/>
      <c r="U160" s="229" t="s">
        <v>1082</v>
      </c>
      <c r="V160" s="272" t="s">
        <v>183</v>
      </c>
      <c r="W160" s="225" t="s">
        <v>769</v>
      </c>
      <c r="X160" s="977">
        <f>SUMIFS(COMPRAS!BG:BG,COMPRAS!BF:BF,V160,COMPRAS!CS:CS,"=01-REGIMEN GENERAL",COMPRAS!CX:CX,"=SI",COMPRAS!DD:DD,"=SI")+SUMIFS(COMPRAS!BP:BP,COMPRAS!BO:BO,V160,COMPRAS!CS:CS,"=01-REGIMEN GENERAL",COMPRAS!CX:CX,"=SI",COMPRAS!DD:DD,"=SI")+SUMIFS(COMPRAS!BY:BY,COMPRAS!BX:BX,V160,COMPRAS!CS:CS,"=01-REGIMEN GENERAL",COMPRAS!CX:CX,"=SI",COMPRAS!DD:DD,"=SI")</f>
        <v>0</v>
      </c>
      <c r="Y160" s="978"/>
      <c r="Z160" s="978"/>
      <c r="AA160" s="978"/>
      <c r="AB160" s="224"/>
      <c r="AC160" s="54"/>
      <c r="AD160" s="227" t="s">
        <v>769</v>
      </c>
      <c r="AE160" s="977">
        <f>SUMIFS(COMPRAS!BI:BI,COMPRAS!BF:BF,V160,COMPRAS!CS:CS,"=01-REGIMEN GENERAL",COMPRAS!CX:CX,"=SI",COMPRAS!DD:DD,"=SI")+SUMIFS(COMPRAS!BR:BR,COMPRAS!BO:BO,V160,COMPRAS!CS:CS,"=01-REGIMEN GENERAL",COMPRAS!CX:CX,"=SI",COMPRAS!DD:DD,"=SI")+SUMIFS(COMPRAS!CA:CA,COMPRAS!BX:BX,V160,COMPRAS!CS:CS,"=01-REGIMEN GENERAL",COMPRAS!CX:CX,"=SI",COMPRAS!DD:DD,"=SI")</f>
        <v>0</v>
      </c>
      <c r="AF160" s="978"/>
      <c r="AG160" s="978"/>
      <c r="AH160" s="978"/>
      <c r="AI160" s="206"/>
    </row>
    <row r="161" spans="1:35" ht="21" customHeight="1" outlineLevel="2" x14ac:dyDescent="0.35">
      <c r="A161" s="1012"/>
      <c r="B161" s="1013"/>
      <c r="C161" s="1021"/>
      <c r="D161" s="15"/>
      <c r="E161" s="15"/>
      <c r="F161" s="15"/>
      <c r="G161" s="15"/>
      <c r="H161" s="15"/>
      <c r="I161" s="15"/>
      <c r="J161" s="15"/>
      <c r="K161" s="15"/>
      <c r="L161" s="15"/>
      <c r="M161" s="15"/>
      <c r="N161" s="15"/>
      <c r="O161" s="15"/>
      <c r="P161" s="15"/>
      <c r="Q161" s="15"/>
      <c r="R161" s="15"/>
      <c r="S161" s="15"/>
      <c r="T161" s="15"/>
      <c r="U161" s="229" t="s">
        <v>1065</v>
      </c>
      <c r="V161" s="272" t="s">
        <v>1064</v>
      </c>
      <c r="W161" s="225" t="s">
        <v>769</v>
      </c>
      <c r="X161" s="977">
        <f>SUMIFS(COMPRAS!BG:BG,COMPRAS!BF:BF,V161,COMPRAS!CS:CS,"=01-REGIMEN GENERAL",COMPRAS!CX:CX,"=SI",COMPRAS!DD:DD,"=SI")+SUMIFS(COMPRAS!BP:BP,COMPRAS!BO:BO,V161,COMPRAS!CS:CS,"=01-REGIMEN GENERAL",COMPRAS!CX:CX,"=SI",COMPRAS!DD:DD,"=SI")+SUMIFS(COMPRAS!BY:BY,COMPRAS!BX:BX,V161,COMPRAS!CS:CS,"=01-REGIMEN GENERAL",COMPRAS!CX:CX,"=SI",COMPRAS!DD:DD,"=SI")</f>
        <v>0</v>
      </c>
      <c r="Y161" s="978"/>
      <c r="Z161" s="978"/>
      <c r="AA161" s="978"/>
      <c r="AB161" s="224"/>
      <c r="AC161" s="54"/>
      <c r="AD161" s="227" t="s">
        <v>769</v>
      </c>
      <c r="AE161" s="977">
        <f>SUMIFS(COMPRAS!BI:BI,COMPRAS!BF:BF,V161,COMPRAS!CS:CS,"=01-REGIMEN GENERAL",COMPRAS!CX:CX,"=SI",COMPRAS!DD:DD,"=SI")+SUMIFS(COMPRAS!BR:BR,COMPRAS!BO:BO,V161,COMPRAS!CS:CS,"=01-REGIMEN GENERAL",COMPRAS!CX:CX,"=SI",COMPRAS!DD:DD,"=SI")+SUMIFS(COMPRAS!CA:CA,COMPRAS!BX:BX,V161,COMPRAS!CS:CS,"=01-REGIMEN GENERAL",COMPRAS!CX:CX,"=SI",COMPRAS!DD:DD,"=SI")</f>
        <v>0</v>
      </c>
      <c r="AF161" s="978"/>
      <c r="AG161" s="978"/>
      <c r="AH161" s="978"/>
      <c r="AI161" s="206"/>
    </row>
    <row r="162" spans="1:35" ht="21" customHeight="1" outlineLevel="1" x14ac:dyDescent="0.35">
      <c r="A162" s="1012"/>
      <c r="B162" s="1013"/>
      <c r="C162" s="1021"/>
      <c r="D162" s="15" t="s">
        <v>943</v>
      </c>
      <c r="E162" s="15"/>
      <c r="F162" s="15"/>
      <c r="G162" s="15"/>
      <c r="H162" s="15"/>
      <c r="I162" s="15"/>
      <c r="J162" s="15"/>
      <c r="K162" s="15"/>
      <c r="L162" s="15"/>
      <c r="M162" s="15"/>
      <c r="N162" s="15"/>
      <c r="O162" s="15"/>
      <c r="P162" s="15"/>
      <c r="Q162" s="15"/>
      <c r="R162" s="15"/>
      <c r="S162" s="15"/>
      <c r="T162" s="15"/>
      <c r="U162" s="130"/>
      <c r="V162" s="226">
        <v>405</v>
      </c>
      <c r="W162" s="225" t="s">
        <v>769</v>
      </c>
      <c r="X162" s="977">
        <f>SUM(X163)</f>
        <v>0</v>
      </c>
      <c r="Y162" s="978"/>
      <c r="Z162" s="978"/>
      <c r="AA162" s="978"/>
      <c r="AB162" s="224"/>
      <c r="AC162" s="1099"/>
      <c r="AD162" s="1099"/>
      <c r="AE162" s="1099"/>
      <c r="AF162" s="1099"/>
      <c r="AG162" s="1099"/>
      <c r="AH162" s="1099"/>
      <c r="AI162" s="1100"/>
    </row>
    <row r="163" spans="1:35" ht="21" customHeight="1" outlineLevel="2" x14ac:dyDescent="0.35">
      <c r="A163" s="1012"/>
      <c r="B163" s="1013"/>
      <c r="C163" s="1021"/>
      <c r="D163" s="15"/>
      <c r="E163" s="15"/>
      <c r="F163" s="15"/>
      <c r="G163" s="15"/>
      <c r="H163" s="15"/>
      <c r="I163" s="15"/>
      <c r="J163" s="15"/>
      <c r="K163" s="15"/>
      <c r="L163" s="15"/>
      <c r="M163" s="15"/>
      <c r="N163" s="15"/>
      <c r="O163" s="15"/>
      <c r="P163" s="15"/>
      <c r="Q163" s="15"/>
      <c r="R163" s="15"/>
      <c r="S163" s="15"/>
      <c r="T163" s="15"/>
      <c r="U163" s="229" t="s">
        <v>175</v>
      </c>
      <c r="V163" s="228">
        <v>504</v>
      </c>
      <c r="W163" s="225"/>
      <c r="X163" s="977">
        <f>SUMIFS(COMPRAS!BG:BG,COMPRAS!BF:BF,V163,COMPRAS!CS:CS,"=01-REGIMEN GENERAL",COMPRAS!CX:CX,"=SI",COMPRAS!DD:DD,"=SI")+SUMIFS(COMPRAS!BP:BP,COMPRAS!BO:BO,V163,COMPRAS!CS:CS,"=01-REGIMEN GENERAL",COMPRAS!CX:CX,"=SI",COMPRAS!DD:DD,"=SI")+SUMIFS(COMPRAS!BY:BY,COMPRAS!BX:BX,V163,COMPRAS!CS:CS,"=01-REGIMEN GENERAL",COMPRAS!CX:CX,"=SI",COMPRAS!DD:DD,"=SI")</f>
        <v>0</v>
      </c>
      <c r="Y163" s="978"/>
      <c r="Z163" s="978"/>
      <c r="AA163" s="978"/>
      <c r="AB163" s="224"/>
      <c r="AC163" s="1096"/>
      <c r="AD163" s="1097"/>
      <c r="AE163" s="1097"/>
      <c r="AF163" s="1097"/>
      <c r="AG163" s="1097"/>
      <c r="AH163" s="1097"/>
      <c r="AI163" s="1098"/>
    </row>
    <row r="164" spans="1:35" ht="21" customHeight="1" outlineLevel="1" x14ac:dyDescent="0.35">
      <c r="A164" s="1012"/>
      <c r="B164" s="1013"/>
      <c r="C164" s="1021"/>
      <c r="D164" s="15" t="s">
        <v>942</v>
      </c>
      <c r="E164" s="15"/>
      <c r="F164" s="15"/>
      <c r="G164" s="15"/>
      <c r="H164" s="15"/>
      <c r="I164" s="15"/>
      <c r="J164" s="15"/>
      <c r="K164" s="15"/>
      <c r="L164" s="15"/>
      <c r="M164" s="15"/>
      <c r="N164" s="15"/>
      <c r="O164" s="15"/>
      <c r="P164" s="15"/>
      <c r="Q164" s="15"/>
      <c r="R164" s="15"/>
      <c r="S164" s="15"/>
      <c r="T164" s="15"/>
      <c r="U164" s="130"/>
      <c r="V164" s="226">
        <v>406</v>
      </c>
      <c r="W164" s="225" t="s">
        <v>769</v>
      </c>
      <c r="X164" s="977">
        <f>SUM(X165:AA165)</f>
        <v>0</v>
      </c>
      <c r="Y164" s="978"/>
      <c r="Z164" s="978"/>
      <c r="AA164" s="978"/>
      <c r="AB164" s="224"/>
      <c r="AC164" s="111">
        <v>456</v>
      </c>
      <c r="AD164" s="227" t="s">
        <v>769</v>
      </c>
      <c r="AE164" s="979">
        <f>SUM(AE165:AH165)</f>
        <v>0</v>
      </c>
      <c r="AF164" s="980"/>
      <c r="AG164" s="980"/>
      <c r="AH164" s="980"/>
      <c r="AI164" s="206"/>
    </row>
    <row r="165" spans="1:35" ht="21" customHeight="1" outlineLevel="2" x14ac:dyDescent="0.35">
      <c r="A165" s="1012"/>
      <c r="B165" s="1013"/>
      <c r="C165" s="1021"/>
      <c r="D165" s="15"/>
      <c r="E165" s="15"/>
      <c r="F165" s="15"/>
      <c r="G165" s="15"/>
      <c r="H165" s="15"/>
      <c r="I165" s="15"/>
      <c r="J165" s="15"/>
      <c r="K165" s="15"/>
      <c r="L165" s="15"/>
      <c r="M165" s="15"/>
      <c r="N165" s="15"/>
      <c r="O165" s="15"/>
      <c r="P165" s="15"/>
      <c r="Q165" s="15"/>
      <c r="R165" s="15"/>
      <c r="S165" s="15"/>
      <c r="T165" s="15"/>
      <c r="U165" s="229" t="s">
        <v>177</v>
      </c>
      <c r="V165" s="228" t="s">
        <v>176</v>
      </c>
      <c r="W165" s="225"/>
      <c r="X165" s="977">
        <f>SUMIFS(COMPRAS!BG:BG,COMPRAS!BF:BF,V165,COMPRAS!CS:CS,"=01-REGIMEN GENERAL",COMPRAS!CX:CX,"=SI",COMPRAS!DD:DD,"=SI")+SUMIFS(COMPRAS!BP:BP,COMPRAS!BO:BO,V165,COMPRAS!CS:CS,"=01-REGIMEN GENERAL",COMPRAS!CX:CX,"=SI",COMPRAS!DD:DD,"=SI")+SUMIFS(COMPRAS!BY:BY,COMPRAS!BX:BX,V165,COMPRAS!CS:CS,"=01-REGIMEN GENERAL",COMPRAS!CX:CX,"=SI",COMPRAS!DD:DD,"=SI")</f>
        <v>0</v>
      </c>
      <c r="Y165" s="978"/>
      <c r="Z165" s="978"/>
      <c r="AA165" s="978"/>
      <c r="AB165" s="224"/>
      <c r="AC165" s="52"/>
      <c r="AD165" s="227"/>
      <c r="AE165" s="977">
        <f>SUMIFS(COMPRAS!BI:BI,COMPRAS!BF:BF,V165,COMPRAS!CS:CS,"=01-REGIMEN GENERAL",COMPRAS!CX:CX,"=SI",COMPRAS!DD:DD,"=SI")+SUMIFS(COMPRAS!BR:BR,COMPRAS!BO:BO,V165,COMPRAS!CS:CS,"=01-REGIMEN GENERAL",COMPRAS!CX:CX,"=SI",COMPRAS!DD:DD,"=SI")+SUMIFS(COMPRAS!CA:CA,COMPRAS!BX:BX,V165,COMPRAS!CS:CS,"=01-REGIMEN GENERAL",COMPRAS!CX:CX,"=SI",COMPRAS!DD:DD,"=SI")</f>
        <v>0</v>
      </c>
      <c r="AF165" s="978"/>
      <c r="AG165" s="978"/>
      <c r="AH165" s="978"/>
      <c r="AI165" s="206"/>
    </row>
    <row r="166" spans="1:35" ht="21" customHeight="1" outlineLevel="1" x14ac:dyDescent="0.35">
      <c r="A166" s="1012"/>
      <c r="B166" s="1013"/>
      <c r="C166" s="1021"/>
      <c r="D166" s="15" t="s">
        <v>941</v>
      </c>
      <c r="E166" s="15"/>
      <c r="F166" s="15"/>
      <c r="G166" s="15"/>
      <c r="H166" s="15"/>
      <c r="I166" s="15"/>
      <c r="J166" s="15"/>
      <c r="K166" s="15"/>
      <c r="L166" s="15"/>
      <c r="M166" s="15"/>
      <c r="N166" s="15"/>
      <c r="O166" s="15"/>
      <c r="P166" s="15"/>
      <c r="Q166" s="15"/>
      <c r="R166" s="15"/>
      <c r="S166" s="15"/>
      <c r="T166" s="15"/>
      <c r="U166" s="130"/>
      <c r="V166" s="226">
        <v>407</v>
      </c>
      <c r="W166" s="225" t="s">
        <v>769</v>
      </c>
      <c r="X166" s="977">
        <f>SUM(X167:AA167)</f>
        <v>0</v>
      </c>
      <c r="Y166" s="978"/>
      <c r="Z166" s="978"/>
      <c r="AA166" s="978"/>
      <c r="AB166" s="224"/>
      <c r="AC166" s="54">
        <v>457</v>
      </c>
      <c r="AD166" s="227" t="s">
        <v>769</v>
      </c>
      <c r="AE166" s="977">
        <f>SUM(AE167:AH167)</f>
        <v>0</v>
      </c>
      <c r="AF166" s="978"/>
      <c r="AG166" s="978"/>
      <c r="AH166" s="978"/>
      <c r="AI166" s="206"/>
    </row>
    <row r="167" spans="1:35" ht="21" customHeight="1" outlineLevel="2" x14ac:dyDescent="0.35">
      <c r="A167" s="1012"/>
      <c r="B167" s="1013"/>
      <c r="C167" s="1021"/>
      <c r="D167" s="15"/>
      <c r="E167" s="15"/>
      <c r="F167" s="15"/>
      <c r="G167" s="15"/>
      <c r="H167" s="15"/>
      <c r="I167" s="15"/>
      <c r="J167" s="15"/>
      <c r="K167" s="15"/>
      <c r="L167" s="15"/>
      <c r="M167" s="15"/>
      <c r="N167" s="15"/>
      <c r="O167" s="15"/>
      <c r="P167" s="15"/>
      <c r="Q167" s="15"/>
      <c r="R167" s="15"/>
      <c r="S167" s="15"/>
      <c r="T167" s="15"/>
      <c r="U167" s="229" t="s">
        <v>1077</v>
      </c>
      <c r="V167" s="228" t="s">
        <v>178</v>
      </c>
      <c r="W167" s="225"/>
      <c r="X167" s="977">
        <f>SUMIFS(COMPRAS!BG:BG,COMPRAS!BF:BF,V167,COMPRAS!CS:CS,"=01-REGIMEN GENERAL",COMPRAS!CX:CX,"=SI",COMPRAS!DD:DD,"=SI")+SUMIFS(COMPRAS!BP:BP,COMPRAS!BO:BO,V167,COMPRAS!CS:CS,"=01-REGIMEN GENERAL",COMPRAS!CX:CX,"=SI",COMPRAS!DD:DD,"=SI")+SUMIFS(COMPRAS!BY:BY,COMPRAS!BX:BX,V167,COMPRAS!CS:CS,"=01-REGIMEN GENERAL",COMPRAS!CX:CX,"=SI",COMPRAS!DD:DD,"=SI")</f>
        <v>0</v>
      </c>
      <c r="Y167" s="978"/>
      <c r="Z167" s="978"/>
      <c r="AA167" s="978"/>
      <c r="AB167" s="224"/>
      <c r="AC167" s="52"/>
      <c r="AD167" s="227"/>
      <c r="AE167" s="977">
        <f>SUMIFS(COMPRAS!BI:BI,COMPRAS!BF:BF,V167,COMPRAS!CS:CS,"=01-REGIMEN GENERAL",COMPRAS!CX:CX,"=SI",COMPRAS!DD:DD,"=SI")+SUMIFS(COMPRAS!BR:BR,COMPRAS!BO:BO,V167,COMPRAS!CS:CS,"=01-REGIMEN GENERAL",COMPRAS!CX:CX,"=SI",COMPRAS!DD:DD,"=SI")+SUMIFS(COMPRAS!CA:CA,COMPRAS!BX:BX,V167,COMPRAS!CS:CS,"=01-REGIMEN GENERAL",COMPRAS!CX:CX,"=SI",COMPRAS!DD:DD,"=SI")</f>
        <v>0</v>
      </c>
      <c r="AF167" s="978"/>
      <c r="AG167" s="978"/>
      <c r="AH167" s="978"/>
      <c r="AI167" s="206"/>
    </row>
    <row r="168" spans="1:35" ht="21" customHeight="1" outlineLevel="1" x14ac:dyDescent="0.35">
      <c r="A168" s="1012"/>
      <c r="B168" s="1013"/>
      <c r="C168" s="1021"/>
      <c r="D168" s="15" t="s">
        <v>1164</v>
      </c>
      <c r="E168" s="15"/>
      <c r="F168" s="15"/>
      <c r="G168" s="15"/>
      <c r="H168" s="15"/>
      <c r="I168" s="15"/>
      <c r="J168" s="15"/>
      <c r="K168" s="15"/>
      <c r="L168" s="15"/>
      <c r="M168" s="15"/>
      <c r="N168" s="15"/>
      <c r="O168" s="15"/>
      <c r="P168" s="15"/>
      <c r="Q168" s="15"/>
      <c r="R168" s="15"/>
      <c r="S168" s="15"/>
      <c r="T168" s="15"/>
      <c r="U168" s="130"/>
      <c r="V168" s="226">
        <v>4050</v>
      </c>
      <c r="W168" s="225" t="s">
        <v>769</v>
      </c>
      <c r="X168" s="977">
        <f>SUM(X169)</f>
        <v>0</v>
      </c>
      <c r="Y168" s="978"/>
      <c r="Z168" s="978"/>
      <c r="AA168" s="978"/>
      <c r="AB168" s="224"/>
      <c r="AC168" s="54">
        <v>4550</v>
      </c>
      <c r="AD168" s="227" t="s">
        <v>769</v>
      </c>
      <c r="AE168" s="977">
        <f>SUM(AE169:AH169)</f>
        <v>0</v>
      </c>
      <c r="AF168" s="978"/>
      <c r="AG168" s="978"/>
      <c r="AH168" s="978"/>
      <c r="AI168" s="206"/>
    </row>
    <row r="169" spans="1:35" ht="21" customHeight="1" outlineLevel="2" x14ac:dyDescent="0.35">
      <c r="A169" s="1012"/>
      <c r="B169" s="1013"/>
      <c r="C169" s="1021"/>
      <c r="D169" s="15"/>
      <c r="E169" s="15"/>
      <c r="F169" s="15"/>
      <c r="G169" s="15"/>
      <c r="H169" s="15"/>
      <c r="I169" s="15"/>
      <c r="J169" s="15"/>
      <c r="K169" s="15"/>
      <c r="L169" s="15"/>
      <c r="M169" s="15"/>
      <c r="N169" s="15"/>
      <c r="O169" s="15"/>
      <c r="P169" s="15"/>
      <c r="Q169" s="15"/>
      <c r="R169" s="15"/>
      <c r="S169" s="15"/>
      <c r="T169" s="15"/>
      <c r="U169" s="229" t="s">
        <v>1076</v>
      </c>
      <c r="V169" s="228">
        <v>504</v>
      </c>
      <c r="W169" s="225"/>
      <c r="X169" s="977">
        <f>SUMIFS(COMPRAS!BG:BG,COMPRAS!BF:BF,V169,COMPRAS!CS:CS,"=01-REGIMEN GENERAL",COMPRAS!CX:CX,"=SI",COMPRAS!DD:DD,"=SI")+SUMIFS(COMPRAS!BP:BP,COMPRAS!BO:BO,V169,COMPRAS!CS:CS,"=01-REGIMEN GENERAL",COMPRAS!CX:CX,"=SI",COMPRAS!DD:DD,"=SI")+SUMIFS(COMPRAS!BY:BY,COMPRAS!BX:BX,V169,COMPRAS!CS:CS,"=01-REGIMEN GENERAL",COMPRAS!CX:CX,"=SI",COMPRAS!DD:DD,"=SI")</f>
        <v>0</v>
      </c>
      <c r="Y169" s="978"/>
      <c r="Z169" s="978"/>
      <c r="AA169" s="978"/>
      <c r="AB169" s="224"/>
      <c r="AC169" s="52"/>
      <c r="AD169" s="227"/>
      <c r="AE169" s="977">
        <f>SUMIFS(COMPRAS!BI:BI,COMPRAS!BF:BF,V169,COMPRAS!CS:CS,"=01-REGIMEN GENERAL",COMPRAS!CX:CX,"=SI",COMPRAS!DD:DD,"=SI")+SUMIFS(COMPRAS!BR:BR,COMPRAS!BO:BO,V169,COMPRAS!CS:CS,"=01-REGIMEN GENERAL",COMPRAS!CX:CX,"=SI",COMPRAS!DD:DD,"=SI")+SUMIFS(COMPRAS!CA:CA,COMPRAS!BX:BX,V169,COMPRAS!CS:CS,"=01-REGIMEN GENERAL",COMPRAS!CX:CX,"=SI",COMPRAS!DD:DD,"=SI")</f>
        <v>0</v>
      </c>
      <c r="AF169" s="978"/>
      <c r="AG169" s="978"/>
      <c r="AH169" s="978"/>
      <c r="AI169" s="206"/>
    </row>
    <row r="170" spans="1:35" ht="21" customHeight="1" outlineLevel="1" x14ac:dyDescent="0.35">
      <c r="A170" s="1012"/>
      <c r="B170" s="1013"/>
      <c r="C170" s="1021"/>
      <c r="D170" s="15" t="s">
        <v>1165</v>
      </c>
      <c r="E170" s="15"/>
      <c r="F170" s="15"/>
      <c r="G170" s="15"/>
      <c r="H170" s="15"/>
      <c r="I170" s="15"/>
      <c r="J170" s="15"/>
      <c r="K170" s="15"/>
      <c r="L170" s="15"/>
      <c r="M170" s="15"/>
      <c r="N170" s="15"/>
      <c r="O170" s="15"/>
      <c r="P170" s="15"/>
      <c r="Q170" s="15"/>
      <c r="R170" s="15"/>
      <c r="S170" s="15"/>
      <c r="T170" s="15"/>
      <c r="U170" s="130"/>
      <c r="V170" s="226">
        <v>4060</v>
      </c>
      <c r="W170" s="225" t="s">
        <v>769</v>
      </c>
      <c r="X170" s="977">
        <f>SUM(X171)</f>
        <v>0</v>
      </c>
      <c r="Y170" s="978"/>
      <c r="Z170" s="978"/>
      <c r="AA170" s="978"/>
      <c r="AB170" s="224"/>
      <c r="AC170" s="54">
        <v>4560</v>
      </c>
      <c r="AD170" s="227" t="s">
        <v>769</v>
      </c>
      <c r="AE170" s="977">
        <f>SUM(AE171:AH171)</f>
        <v>0</v>
      </c>
      <c r="AF170" s="978"/>
      <c r="AG170" s="978"/>
      <c r="AH170" s="978"/>
      <c r="AI170" s="206"/>
    </row>
    <row r="171" spans="1:35" ht="21" customHeight="1" outlineLevel="2" x14ac:dyDescent="0.35">
      <c r="A171" s="1012"/>
      <c r="B171" s="1013"/>
      <c r="C171" s="1021"/>
      <c r="D171" s="15"/>
      <c r="E171" s="15"/>
      <c r="F171" s="15"/>
      <c r="G171" s="15"/>
      <c r="H171" s="15"/>
      <c r="I171" s="15"/>
      <c r="J171" s="15"/>
      <c r="K171" s="15"/>
      <c r="L171" s="15"/>
      <c r="M171" s="15"/>
      <c r="N171" s="15"/>
      <c r="O171" s="15"/>
      <c r="P171" s="15"/>
      <c r="Q171" s="15"/>
      <c r="R171" s="15"/>
      <c r="S171" s="15"/>
      <c r="T171" s="15"/>
      <c r="U171" s="229" t="s">
        <v>1169</v>
      </c>
      <c r="V171" s="228" t="s">
        <v>176</v>
      </c>
      <c r="W171" s="225"/>
      <c r="X171" s="977">
        <f>SUMIFS(COMPRAS!BG:BG,COMPRAS!BF:BF,V171,COMPRAS!CS:CS,"=01-REGIMEN GENERAL",COMPRAS!CX:CX,"=SI",COMPRAS!DD:DD,"=SI")+SUMIFS(COMPRAS!BP:BP,COMPRAS!BO:BO,V171,COMPRAS!CS:CS,"=01-REGIMEN GENERAL",COMPRAS!CX:CX,"=SI",COMPRAS!DD:DD,"=SI")+SUMIFS(COMPRAS!BY:BY,COMPRAS!BX:BX,V171,COMPRAS!CS:CS,"=01-REGIMEN GENERAL",COMPRAS!CX:CX,"=SI",COMPRAS!DD:DD,"=SI")</f>
        <v>0</v>
      </c>
      <c r="Y171" s="978"/>
      <c r="Z171" s="978"/>
      <c r="AA171" s="978"/>
      <c r="AB171" s="224"/>
      <c r="AC171" s="52"/>
      <c r="AD171" s="227"/>
      <c r="AE171" s="977">
        <f>SUMIFS(COMPRAS!BI:BI,COMPRAS!BF:BF,V171,COMPRAS!CS:CS,"=01-REGIMEN GENERAL",COMPRAS!CX:CX,"=SI",COMPRAS!DD:DD,"=SI")+SUMIFS(COMPRAS!BR:BR,COMPRAS!BO:BO,V171,COMPRAS!CS:CS,"=01-REGIMEN GENERAL",COMPRAS!CX:CX,"=SI",COMPRAS!DD:DD,"=SI")+SUMIFS(COMPRAS!CA:CA,COMPRAS!BX:BX,V171,COMPRAS!CS:CS,"=01-REGIMEN GENERAL",COMPRAS!CX:CX,"=SI",COMPRAS!DD:DD,"=SI")</f>
        <v>0</v>
      </c>
      <c r="AF171" s="978"/>
      <c r="AG171" s="978"/>
      <c r="AH171" s="978"/>
      <c r="AI171" s="206"/>
    </row>
    <row r="172" spans="1:35" ht="21" customHeight="1" outlineLevel="1" x14ac:dyDescent="0.35">
      <c r="A172" s="1012"/>
      <c r="B172" s="1013"/>
      <c r="C172" s="1021"/>
      <c r="D172" s="15" t="s">
        <v>1166</v>
      </c>
      <c r="E172" s="15"/>
      <c r="F172" s="15"/>
      <c r="G172" s="15"/>
      <c r="H172" s="15"/>
      <c r="I172" s="15"/>
      <c r="J172" s="15"/>
      <c r="K172" s="15"/>
      <c r="L172" s="15"/>
      <c r="M172" s="15"/>
      <c r="N172" s="15"/>
      <c r="O172" s="15"/>
      <c r="P172" s="15"/>
      <c r="Q172" s="15"/>
      <c r="R172" s="15"/>
      <c r="S172" s="15"/>
      <c r="T172" s="15"/>
      <c r="U172" s="130"/>
      <c r="V172" s="226">
        <v>4070</v>
      </c>
      <c r="W172" s="225" t="s">
        <v>769</v>
      </c>
      <c r="X172" s="977">
        <f>SUM(X173)</f>
        <v>0</v>
      </c>
      <c r="Y172" s="978"/>
      <c r="Z172" s="978"/>
      <c r="AA172" s="978"/>
      <c r="AB172" s="224"/>
      <c r="AC172" s="54">
        <v>4570</v>
      </c>
      <c r="AD172" s="227" t="s">
        <v>769</v>
      </c>
      <c r="AE172" s="977">
        <f>SUM(AE173:AH173)</f>
        <v>0</v>
      </c>
      <c r="AF172" s="978"/>
      <c r="AG172" s="978"/>
      <c r="AH172" s="978"/>
      <c r="AI172" s="206"/>
    </row>
    <row r="173" spans="1:35" ht="21" customHeight="1" outlineLevel="2" x14ac:dyDescent="0.35">
      <c r="A173" s="1012"/>
      <c r="B173" s="1013"/>
      <c r="C173" s="1021"/>
      <c r="D173" s="15"/>
      <c r="E173" s="15"/>
      <c r="F173" s="15"/>
      <c r="G173" s="15"/>
      <c r="H173" s="15"/>
      <c r="I173" s="15"/>
      <c r="J173" s="15"/>
      <c r="K173" s="15"/>
      <c r="L173" s="15"/>
      <c r="M173" s="15"/>
      <c r="N173" s="15"/>
      <c r="O173" s="15"/>
      <c r="P173" s="15"/>
      <c r="Q173" s="15"/>
      <c r="R173" s="15"/>
      <c r="S173" s="15"/>
      <c r="T173" s="15"/>
      <c r="U173" s="229" t="s">
        <v>1168</v>
      </c>
      <c r="V173" s="228" t="s">
        <v>178</v>
      </c>
      <c r="W173" s="225"/>
      <c r="X173" s="977">
        <f>SUMIFS(COMPRAS!BG:BG,COMPRAS!BF:BF,V173,COMPRAS!CS:CS,"=01-REGIMEN GENERAL",COMPRAS!CX:CX,"=SI",COMPRAS!DD:DD,"=SI")+SUMIFS(COMPRAS!BP:BP,COMPRAS!BO:BO,V173,COMPRAS!CS:CS,"=01-REGIMEN GENERAL",COMPRAS!CX:CX,"=SI",COMPRAS!DD:DD,"=SI")+SUMIFS(COMPRAS!BY:BY,COMPRAS!BX:BX,V173,COMPRAS!CS:CS,"=01-REGIMEN GENERAL",COMPRAS!CX:CX,"=SI",COMPRAS!DD:DD,"=SI")</f>
        <v>0</v>
      </c>
      <c r="Y173" s="978"/>
      <c r="Z173" s="978"/>
      <c r="AA173" s="978"/>
      <c r="AB173" s="224"/>
      <c r="AC173" s="52"/>
      <c r="AD173" s="227"/>
      <c r="AE173" s="977">
        <f>SUMIFS(COMPRAS!BI:BI,COMPRAS!BF:BF,V173,COMPRAS!CS:CS,"=01-REGIMEN GENERAL",COMPRAS!CX:CX,"=SI",COMPRAS!DD:DD,"=SI")+SUMIFS(COMPRAS!BR:BR,COMPRAS!BO:BO,V173,COMPRAS!CS:CS,"=01-REGIMEN GENERAL",COMPRAS!CX:CX,"=SI",COMPRAS!DD:DD,"=SI")+SUMIFS(COMPRAS!CA:CA,COMPRAS!BX:BX,V173,COMPRAS!CS:CS,"=01-REGIMEN GENERAL",COMPRAS!CX:CX,"=SI",COMPRAS!DD:DD,"=SI")</f>
        <v>0</v>
      </c>
      <c r="AF173" s="978"/>
      <c r="AG173" s="978"/>
      <c r="AH173" s="978"/>
      <c r="AI173" s="206"/>
    </row>
    <row r="174" spans="1:35" ht="21" customHeight="1" outlineLevel="1" x14ac:dyDescent="0.35">
      <c r="A174" s="1012"/>
      <c r="B174" s="1013"/>
      <c r="C174" s="1021"/>
      <c r="D174" s="15" t="s">
        <v>940</v>
      </c>
      <c r="E174" s="15"/>
      <c r="F174" s="15"/>
      <c r="G174" s="15"/>
      <c r="H174" s="15"/>
      <c r="I174" s="15"/>
      <c r="J174" s="15"/>
      <c r="K174" s="15"/>
      <c r="L174" s="15"/>
      <c r="M174" s="15"/>
      <c r="N174" s="15"/>
      <c r="O174" s="15"/>
      <c r="P174" s="15"/>
      <c r="Q174" s="15"/>
      <c r="R174" s="15"/>
      <c r="S174" s="15"/>
      <c r="T174" s="15"/>
      <c r="U174" s="130"/>
      <c r="V174" s="226">
        <v>408</v>
      </c>
      <c r="W174" s="225" t="s">
        <v>769</v>
      </c>
      <c r="X174" s="977">
        <f>SUM(X175:AA175)</f>
        <v>0</v>
      </c>
      <c r="Y174" s="978"/>
      <c r="Z174" s="978"/>
      <c r="AA174" s="978"/>
      <c r="AB174" s="224"/>
      <c r="AC174" s="54">
        <v>458</v>
      </c>
      <c r="AD174" s="227" t="s">
        <v>769</v>
      </c>
      <c r="AE174" s="977">
        <f>SUM(AE175:AH175)</f>
        <v>0</v>
      </c>
      <c r="AF174" s="978"/>
      <c r="AG174" s="978"/>
      <c r="AH174" s="978"/>
      <c r="AI174" s="206"/>
    </row>
    <row r="175" spans="1:35" ht="21" customHeight="1" outlineLevel="2" x14ac:dyDescent="0.35">
      <c r="A175" s="1012"/>
      <c r="B175" s="1013"/>
      <c r="C175" s="1021"/>
      <c r="D175" s="15"/>
      <c r="E175" s="15"/>
      <c r="F175" s="15"/>
      <c r="G175" s="15"/>
      <c r="H175" s="15"/>
      <c r="I175" s="15"/>
      <c r="J175" s="15"/>
      <c r="K175" s="15"/>
      <c r="L175" s="15"/>
      <c r="M175" s="15"/>
      <c r="N175" s="15"/>
      <c r="O175" s="15"/>
      <c r="P175" s="15"/>
      <c r="Q175" s="15"/>
      <c r="R175" s="15"/>
      <c r="S175" s="15"/>
      <c r="T175" s="15"/>
      <c r="U175" s="229" t="s">
        <v>225</v>
      </c>
      <c r="V175" s="272">
        <v>521</v>
      </c>
      <c r="W175" s="225"/>
      <c r="X175" s="977">
        <f>SUMIFS(COMPRAS!BG:BG,COMPRAS!BF:BF,V175,COMPRAS!CS:CS,"=01-REGIMEN GENERAL",COMPRAS!CX:CX,"=SI",COMPRAS!DD:DD,"=SI")+SUMIFS(COMPRAS!BP:BP,COMPRAS!BO:BO,V175,COMPRAS!CS:CS,"=01-REGIMEN GENERAL",COMPRAS!CX:CX,"=SI",COMPRAS!DD:DD,"=SI")+SUMIFS(COMPRAS!BY:BY,COMPRAS!BX:BX,V175,COMPRAS!CS:CS,"=01-REGIMEN GENERAL",COMPRAS!CX:CX,"=SI",COMPRAS!DD:DD,"=SI")</f>
        <v>0</v>
      </c>
      <c r="Y175" s="978"/>
      <c r="Z175" s="978"/>
      <c r="AA175" s="978"/>
      <c r="AB175" s="224"/>
      <c r="AC175" s="52"/>
      <c r="AD175" s="227"/>
      <c r="AE175" s="977">
        <f>SUMIFS(COMPRAS!BI:BI,COMPRAS!BF:BF,V175,COMPRAS!CS:CS,"=01-REGIMEN GENERAL",COMPRAS!CX:CX,"=SI",COMPRAS!DD:DD,"=SI")+SUMIFS(COMPRAS!BR:BR,COMPRAS!BO:BO,V175,COMPRAS!CS:CS,"=01-REGIMEN GENERAL",COMPRAS!CX:CX,"=SI",COMPRAS!DD:DD,"=SI")+SUMIFS(COMPRAS!CA:CA,COMPRAS!BX:BX,V175,COMPRAS!CS:CS,"=01-REGIMEN GENERAL",COMPRAS!CX:CX,"=SI",COMPRAS!DD:DD,"=SI")</f>
        <v>0</v>
      </c>
      <c r="AF175" s="978"/>
      <c r="AG175" s="978"/>
      <c r="AH175" s="978"/>
      <c r="AI175" s="206"/>
    </row>
    <row r="176" spans="1:35" ht="21" customHeight="1" outlineLevel="1" x14ac:dyDescent="0.35">
      <c r="A176" s="1012"/>
      <c r="B176" s="1013"/>
      <c r="C176" s="1021"/>
      <c r="D176" s="15" t="s">
        <v>939</v>
      </c>
      <c r="E176" s="15"/>
      <c r="F176" s="15"/>
      <c r="G176" s="15"/>
      <c r="H176" s="15"/>
      <c r="I176" s="15"/>
      <c r="J176" s="15"/>
      <c r="K176" s="15"/>
      <c r="L176" s="15"/>
      <c r="M176" s="15"/>
      <c r="N176" s="15"/>
      <c r="O176" s="15"/>
      <c r="P176" s="15"/>
      <c r="Q176" s="15"/>
      <c r="R176" s="15"/>
      <c r="S176" s="15"/>
      <c r="T176" s="15"/>
      <c r="U176" s="130"/>
      <c r="V176" s="226">
        <v>409</v>
      </c>
      <c r="W176" s="225" t="s">
        <v>769</v>
      </c>
      <c r="X176" s="977">
        <f>SUM(X177:AA177)</f>
        <v>0</v>
      </c>
      <c r="Y176" s="978"/>
      <c r="Z176" s="978"/>
      <c r="AA176" s="978"/>
      <c r="AB176" s="224"/>
      <c r="AC176" s="54">
        <v>459</v>
      </c>
      <c r="AD176" s="227" t="s">
        <v>769</v>
      </c>
      <c r="AE176" s="977">
        <f>SUM(AE177:AH177)</f>
        <v>0</v>
      </c>
      <c r="AF176" s="978"/>
      <c r="AG176" s="978"/>
      <c r="AH176" s="978"/>
      <c r="AI176" s="206"/>
    </row>
    <row r="177" spans="1:35" ht="21" customHeight="1" outlineLevel="2" x14ac:dyDescent="0.35">
      <c r="A177" s="1012"/>
      <c r="B177" s="1013"/>
      <c r="C177" s="1021"/>
      <c r="D177" s="15"/>
      <c r="E177" s="15"/>
      <c r="F177" s="15"/>
      <c r="G177" s="15"/>
      <c r="H177" s="15"/>
      <c r="I177" s="15"/>
      <c r="J177" s="15"/>
      <c r="K177" s="15"/>
      <c r="L177" s="15"/>
      <c r="M177" s="15"/>
      <c r="N177" s="15"/>
      <c r="O177" s="15"/>
      <c r="P177" s="15"/>
      <c r="Q177" s="15"/>
      <c r="R177" s="15"/>
      <c r="S177" s="15"/>
      <c r="T177" s="15"/>
      <c r="U177" s="229" t="s">
        <v>227</v>
      </c>
      <c r="V177" s="272" t="s">
        <v>226</v>
      </c>
      <c r="W177" s="225"/>
      <c r="X177" s="977">
        <f>SUMIFS(COMPRAS!BG:BG,COMPRAS!BF:BF,V177,COMPRAS!CS:CS,"=01-REGIMEN GENERAL",COMPRAS!CX:CX,"=SI",COMPRAS!DD:DD,"=SI")+SUMIFS(COMPRAS!BP:BP,COMPRAS!BO:BO,V177,COMPRAS!CS:CS,"=01-REGIMEN GENERAL",COMPRAS!CX:CX,"=SI",COMPRAS!DD:DD,"=SI")+SUMIFS(COMPRAS!BY:BY,COMPRAS!BX:BX,V177,COMPRAS!CS:CS,"=01-REGIMEN GENERAL",COMPRAS!CX:CX,"=SI",COMPRAS!DD:DD,"=SI")</f>
        <v>0</v>
      </c>
      <c r="Y177" s="978"/>
      <c r="Z177" s="978"/>
      <c r="AA177" s="978"/>
      <c r="AB177" s="224"/>
      <c r="AC177" s="52"/>
      <c r="AD177" s="227"/>
      <c r="AE177" s="977">
        <f>SUMIFS(COMPRAS!BI:BI,COMPRAS!BF:BF,V177,COMPRAS!CS:CS,"=01-REGIMEN GENERAL",COMPRAS!CX:CX,"=SI",COMPRAS!DD:DD,"=SI")+SUMIFS(COMPRAS!BR:BR,COMPRAS!BO:BO,V177,COMPRAS!CS:CS,"=01-REGIMEN GENERAL",COMPRAS!CX:CX,"=SI",COMPRAS!DD:DD,"=SI")+SUMIFS(COMPRAS!CA:CA,COMPRAS!BX:BX,V177,COMPRAS!CS:CS,"=01-REGIMEN GENERAL",COMPRAS!CX:CX,"=SI",COMPRAS!DD:DD,"=SI")</f>
        <v>0</v>
      </c>
      <c r="AF177" s="978"/>
      <c r="AG177" s="978"/>
      <c r="AH177" s="978"/>
      <c r="AI177" s="206"/>
    </row>
    <row r="178" spans="1:35" ht="21" customHeight="1" outlineLevel="1" x14ac:dyDescent="0.35">
      <c r="A178" s="1012"/>
      <c r="B178" s="1013"/>
      <c r="C178" s="1021"/>
      <c r="D178" s="15" t="s">
        <v>938</v>
      </c>
      <c r="E178" s="15"/>
      <c r="F178" s="15"/>
      <c r="G178" s="15"/>
      <c r="H178" s="15"/>
      <c r="I178" s="15"/>
      <c r="J178" s="15"/>
      <c r="K178" s="15"/>
      <c r="L178" s="15"/>
      <c r="M178" s="15"/>
      <c r="N178" s="15"/>
      <c r="O178" s="15"/>
      <c r="P178" s="15"/>
      <c r="Q178" s="15"/>
      <c r="R178" s="15"/>
      <c r="S178" s="15"/>
      <c r="T178" s="15"/>
      <c r="U178" s="130"/>
      <c r="V178" s="226">
        <v>410</v>
      </c>
      <c r="W178" s="225" t="s">
        <v>769</v>
      </c>
      <c r="X178" s="977">
        <f>SUM(X179:AA179)</f>
        <v>0</v>
      </c>
      <c r="Y178" s="978"/>
      <c r="Z178" s="978"/>
      <c r="AA178" s="978"/>
      <c r="AB178" s="224"/>
      <c r="AC178" s="54">
        <v>460</v>
      </c>
      <c r="AD178" s="227" t="s">
        <v>769</v>
      </c>
      <c r="AE178" s="977">
        <f>SUM(AE179:AH179)</f>
        <v>0</v>
      </c>
      <c r="AF178" s="978"/>
      <c r="AG178" s="978"/>
      <c r="AH178" s="978"/>
      <c r="AI178" s="206"/>
    </row>
    <row r="179" spans="1:35" ht="21" customHeight="1" outlineLevel="2" x14ac:dyDescent="0.35">
      <c r="A179" s="1012"/>
      <c r="B179" s="1013"/>
      <c r="C179" s="1021"/>
      <c r="D179" s="15"/>
      <c r="E179" s="15"/>
      <c r="F179" s="15"/>
      <c r="G179" s="15"/>
      <c r="H179" s="15"/>
      <c r="I179" s="15"/>
      <c r="J179" s="15"/>
      <c r="K179" s="15"/>
      <c r="L179" s="15"/>
      <c r="M179" s="15"/>
      <c r="N179" s="15"/>
      <c r="O179" s="15"/>
      <c r="P179" s="15"/>
      <c r="Q179" s="15"/>
      <c r="R179" s="15"/>
      <c r="S179" s="15"/>
      <c r="T179" s="15"/>
      <c r="U179" s="229" t="s">
        <v>1063</v>
      </c>
      <c r="V179" s="272" t="s">
        <v>1062</v>
      </c>
      <c r="W179" s="225"/>
      <c r="X179" s="977">
        <f>SUMIFS(COMPRAS!BG:BG,COMPRAS!BF:BF,V179,COMPRAS!CS:CS,"=01-REGIMEN GENERAL",COMPRAS!CX:CX,"=SI",COMPRAS!DD:DD,"=SI")+SUMIFS(COMPRAS!BP:BP,COMPRAS!BO:BO,V179,COMPRAS!CS:CS,"=01-REGIMEN GENERAL",COMPRAS!CX:CX,"=SI",COMPRAS!DD:DD,"=SI")+SUMIFS(COMPRAS!BY:BY,COMPRAS!BX:BX,V179,COMPRAS!CS:CS,"=01-REGIMEN GENERAL",COMPRAS!CX:CX,"=SI",COMPRAS!DD:DD,"=SI")</f>
        <v>0</v>
      </c>
      <c r="Y179" s="978"/>
      <c r="Z179" s="978"/>
      <c r="AA179" s="978"/>
      <c r="AB179" s="224"/>
      <c r="AC179" s="52"/>
      <c r="AD179" s="227"/>
      <c r="AE179" s="977">
        <f>SUMIFS(COMPRAS!BI:BI,COMPRAS!BF:BF,V179,COMPRAS!CS:CS,"=01-REGIMEN GENERAL",COMPRAS!CX:CX,"=SI",COMPRAS!DD:DD,"=SI")+SUMIFS(COMPRAS!BR:BR,COMPRAS!BO:BO,V179,COMPRAS!CS:CS,"=01-REGIMEN GENERAL",COMPRAS!CX:CX,"=SI",COMPRAS!DD:DD,"=SI")+SUMIFS(COMPRAS!CA:CA,COMPRAS!BX:BX,V179,COMPRAS!CS:CS,"=01-REGIMEN GENERAL",COMPRAS!CX:CX,"=SI",COMPRAS!DD:DD,"=SI")</f>
        <v>0</v>
      </c>
      <c r="AF179" s="978"/>
      <c r="AG179" s="978"/>
      <c r="AH179" s="978"/>
      <c r="AI179" s="206"/>
    </row>
    <row r="180" spans="1:35" ht="21" customHeight="1" outlineLevel="1" x14ac:dyDescent="0.35">
      <c r="A180" s="1012"/>
      <c r="B180" s="1013"/>
      <c r="C180" s="1021"/>
      <c r="D180" s="15" t="s">
        <v>937</v>
      </c>
      <c r="E180" s="15"/>
      <c r="F180" s="15"/>
      <c r="G180" s="15"/>
      <c r="H180" s="15"/>
      <c r="I180" s="15"/>
      <c r="J180" s="15"/>
      <c r="K180" s="15"/>
      <c r="L180" s="15"/>
      <c r="M180" s="15"/>
      <c r="N180" s="15"/>
      <c r="O180" s="15"/>
      <c r="P180" s="15"/>
      <c r="Q180" s="15"/>
      <c r="R180" s="15"/>
      <c r="S180" s="15"/>
      <c r="T180" s="15"/>
      <c r="U180" s="130"/>
      <c r="V180" s="226">
        <v>411</v>
      </c>
      <c r="W180" s="225" t="s">
        <v>769</v>
      </c>
      <c r="X180" s="977">
        <f>SUM(X181:AA206)</f>
        <v>0</v>
      </c>
      <c r="Y180" s="978"/>
      <c r="Z180" s="978"/>
      <c r="AA180" s="978"/>
      <c r="AB180" s="224"/>
      <c r="AC180" s="54">
        <v>461</v>
      </c>
      <c r="AD180" s="227" t="s">
        <v>769</v>
      </c>
      <c r="AE180" s="977">
        <f>SUM(AE181:AH206)</f>
        <v>0</v>
      </c>
      <c r="AF180" s="978"/>
      <c r="AG180" s="978"/>
      <c r="AH180" s="978"/>
      <c r="AI180" s="206"/>
    </row>
    <row r="181" spans="1:35" ht="21" customHeight="1" outlineLevel="2" x14ac:dyDescent="0.35">
      <c r="A181" s="1012"/>
      <c r="B181" s="1013"/>
      <c r="C181" s="1021"/>
      <c r="D181" s="15"/>
      <c r="E181" s="15"/>
      <c r="F181" s="15"/>
      <c r="G181" s="15"/>
      <c r="H181" s="15"/>
      <c r="I181" s="15"/>
      <c r="J181" s="15"/>
      <c r="K181" s="15"/>
      <c r="L181" s="15"/>
      <c r="M181" s="15"/>
      <c r="N181" s="15"/>
      <c r="O181" s="15"/>
      <c r="P181" s="15"/>
      <c r="Q181" s="15"/>
      <c r="R181" s="15"/>
      <c r="S181" s="15"/>
      <c r="T181" s="15"/>
      <c r="U181" s="229" t="s">
        <v>172</v>
      </c>
      <c r="V181" s="272">
        <v>500</v>
      </c>
      <c r="W181" s="225"/>
      <c r="X181" s="977">
        <f>SUMIFS(COMPRAS!BG:BG,COMPRAS!BF:BF,V181,COMPRAS!CS:CS,"=01-REGIMEN GENERAL",COMPRAS!CX:CX,"=SI",COMPRAS!DD:DD,"=SI")+SUMIFS(COMPRAS!BP:BP,COMPRAS!BO:BO,V181,COMPRAS!CS:CS,"=01-REGIMEN GENERAL",COMPRAS!CX:CX,"=SI",COMPRAS!DD:DD,"=SI")+SUMIFS(COMPRAS!BY:BY,COMPRAS!BX:BX,V181,COMPRAS!CS:CS,"=01-REGIMEN GENERAL",COMPRAS!CX:CX,"=SI",COMPRAS!DD:DD,"=SI")</f>
        <v>0</v>
      </c>
      <c r="Y181" s="978"/>
      <c r="Z181" s="978"/>
      <c r="AA181" s="978"/>
      <c r="AB181" s="224"/>
      <c r="AC181" s="52"/>
      <c r="AD181" s="227"/>
      <c r="AE181" s="977">
        <f>SUMIFS(COMPRAS!BI:BI,COMPRAS!BF:BF,V181,COMPRAS!CS:CS,"=01-REGIMEN GENERAL",COMPRAS!CX:CX,"=SI",COMPRAS!DD:DD,"=SI")+SUMIFS(COMPRAS!BR:BR,COMPRAS!BO:BO,V181,COMPRAS!CS:CS,"=01-REGIMEN GENERAL",COMPRAS!CX:CX,"=SI",COMPRAS!DD:DD,"=SI")+SUMIFS(COMPRAS!CA:CA,COMPRAS!BX:BX,V181,COMPRAS!CS:CS,"=01-REGIMEN GENERAL",COMPRAS!CX:CX,"=SI",COMPRAS!DD:DD,"=SI")</f>
        <v>0</v>
      </c>
      <c r="AF181" s="978"/>
      <c r="AG181" s="978"/>
      <c r="AH181" s="978"/>
      <c r="AI181" s="206"/>
    </row>
    <row r="182" spans="1:35" ht="21" customHeight="1" outlineLevel="2" x14ac:dyDescent="0.35">
      <c r="A182" s="1012"/>
      <c r="B182" s="1013"/>
      <c r="C182" s="1021"/>
      <c r="D182" s="15"/>
      <c r="E182" s="15"/>
      <c r="F182" s="15"/>
      <c r="G182" s="15"/>
      <c r="H182" s="15"/>
      <c r="I182" s="15"/>
      <c r="J182" s="15"/>
      <c r="K182" s="15"/>
      <c r="L182" s="15"/>
      <c r="M182" s="15"/>
      <c r="N182" s="15"/>
      <c r="O182" s="15"/>
      <c r="P182" s="15"/>
      <c r="Q182" s="15"/>
      <c r="R182" s="15"/>
      <c r="S182" s="15"/>
      <c r="T182" s="15"/>
      <c r="U182" s="229" t="s">
        <v>173</v>
      </c>
      <c r="V182" s="272">
        <v>501</v>
      </c>
      <c r="W182" s="225"/>
      <c r="X182" s="977">
        <f>SUMIFS(COMPRAS!BG:BG,COMPRAS!BF:BF,V182,COMPRAS!CS:CS,"=01-REGIMEN GENERAL",COMPRAS!CX:CX,"=SI",COMPRAS!DD:DD,"=SI")+SUMIFS(COMPRAS!BP:BP,COMPRAS!BO:BO,V182,COMPRAS!CS:CS,"=01-REGIMEN GENERAL",COMPRAS!CX:CX,"=SI",COMPRAS!DD:DD,"=SI")+SUMIFS(COMPRAS!BY:BY,COMPRAS!BX:BX,V182,COMPRAS!CS:CS,"=01-REGIMEN GENERAL",COMPRAS!CX:CX,"=SI",COMPRAS!DD:DD,"=SI")</f>
        <v>0</v>
      </c>
      <c r="Y182" s="978"/>
      <c r="Z182" s="978"/>
      <c r="AA182" s="978"/>
      <c r="AB182" s="224"/>
      <c r="AC182" s="52"/>
      <c r="AD182" s="227"/>
      <c r="AE182" s="977">
        <f>SUMIFS(COMPRAS!BI:BI,COMPRAS!BF:BF,V182,COMPRAS!CS:CS,"=01-REGIMEN GENERAL",COMPRAS!CX:CX,"=SI",COMPRAS!DD:DD,"=SI")+SUMIFS(COMPRAS!BR:BR,COMPRAS!BO:BO,V182,COMPRAS!CS:CS,"=01-REGIMEN GENERAL",COMPRAS!CX:CX,"=SI",COMPRAS!DD:DD,"=SI")+SUMIFS(COMPRAS!CA:CA,COMPRAS!BX:BX,V182,COMPRAS!CS:CS,"=01-REGIMEN GENERAL",COMPRAS!CX:CX,"=SI",COMPRAS!DD:DD,"=SI")</f>
        <v>0</v>
      </c>
      <c r="AF182" s="978"/>
      <c r="AG182" s="978"/>
      <c r="AH182" s="978"/>
      <c r="AI182" s="206"/>
    </row>
    <row r="183" spans="1:35" ht="21" customHeight="1" outlineLevel="2" x14ac:dyDescent="0.35">
      <c r="A183" s="1012"/>
      <c r="B183" s="1013"/>
      <c r="C183" s="1021"/>
      <c r="D183" s="15"/>
      <c r="E183" s="15"/>
      <c r="F183" s="15"/>
      <c r="G183" s="15"/>
      <c r="H183" s="15"/>
      <c r="I183" s="15"/>
      <c r="J183" s="15"/>
      <c r="K183" s="15"/>
      <c r="L183" s="15"/>
      <c r="M183" s="15"/>
      <c r="N183" s="15"/>
      <c r="O183" s="15"/>
      <c r="P183" s="15"/>
      <c r="Q183" s="15"/>
      <c r="R183" s="15"/>
      <c r="S183" s="15"/>
      <c r="T183" s="15"/>
      <c r="U183" s="229" t="s">
        <v>174</v>
      </c>
      <c r="V183" s="272">
        <v>503</v>
      </c>
      <c r="W183" s="225"/>
      <c r="X183" s="977">
        <f>SUMIFS(COMPRAS!BG:BG,COMPRAS!BF:BF,V183,COMPRAS!CS:CS,"=01-REGIMEN GENERAL",COMPRAS!CX:CX,"=SI",COMPRAS!DD:DD,"=SI")+SUMIFS(COMPRAS!BP:BP,COMPRAS!BO:BO,V183,COMPRAS!CS:CS,"=01-REGIMEN GENERAL",COMPRAS!CX:CX,"=SI",COMPRAS!DD:DD,"=SI")+SUMIFS(COMPRAS!BY:BY,COMPRAS!BX:BX,V183,COMPRAS!CS:CS,"=01-REGIMEN GENERAL",COMPRAS!CX:CX,"=SI",COMPRAS!DD:DD,"=SI")</f>
        <v>0</v>
      </c>
      <c r="Y183" s="978"/>
      <c r="Z183" s="978"/>
      <c r="AA183" s="978"/>
      <c r="AB183" s="224"/>
      <c r="AC183" s="52"/>
      <c r="AD183" s="227"/>
      <c r="AE183" s="977">
        <f>SUMIFS(COMPRAS!BI:BI,COMPRAS!BF:BF,V183,COMPRAS!CS:CS,"=01-REGIMEN GENERAL",COMPRAS!CX:CX,"=SI",COMPRAS!DD:DD,"=SI")+SUMIFS(COMPRAS!BR:BR,COMPRAS!BO:BO,V183,COMPRAS!CS:CS,"=01-REGIMEN GENERAL",COMPRAS!CX:CX,"=SI",COMPRAS!DD:DD,"=SI")+SUMIFS(COMPRAS!CA:CA,COMPRAS!BX:BX,V183,COMPRAS!CS:CS,"=01-REGIMEN GENERAL",COMPRAS!CX:CX,"=SI",COMPRAS!DD:DD,"=SI")</f>
        <v>0</v>
      </c>
      <c r="AF183" s="978"/>
      <c r="AG183" s="978"/>
      <c r="AH183" s="978"/>
      <c r="AI183" s="206"/>
    </row>
    <row r="184" spans="1:35" ht="21" customHeight="1" outlineLevel="2" x14ac:dyDescent="0.35">
      <c r="A184" s="1012"/>
      <c r="B184" s="1013"/>
      <c r="C184" s="1021"/>
      <c r="D184" s="15"/>
      <c r="E184" s="15"/>
      <c r="F184" s="15"/>
      <c r="G184" s="15"/>
      <c r="H184" s="15"/>
      <c r="I184" s="15"/>
      <c r="J184" s="15"/>
      <c r="K184" s="15"/>
      <c r="L184" s="15"/>
      <c r="M184" s="15"/>
      <c r="N184" s="15"/>
      <c r="O184" s="15"/>
      <c r="P184" s="15"/>
      <c r="Q184" s="15"/>
      <c r="R184" s="15"/>
      <c r="S184" s="15"/>
      <c r="T184" s="15"/>
      <c r="U184" s="229" t="s">
        <v>185</v>
      </c>
      <c r="V184" s="272">
        <v>505</v>
      </c>
      <c r="W184" s="225"/>
      <c r="X184" s="977">
        <f>SUMIFS(COMPRAS!BG:BG,COMPRAS!BF:BF,V184,COMPRAS!CS:CS,"=01-REGIMEN GENERAL",COMPRAS!CX:CX,"=SI",COMPRAS!DD:DD,"=SI")+SUMIFS(COMPRAS!BP:BP,COMPRAS!BO:BO,V184,COMPRAS!CS:CS,"=01-REGIMEN GENERAL",COMPRAS!CX:CX,"=SI",COMPRAS!DD:DD,"=SI")+SUMIFS(COMPRAS!BY:BY,COMPRAS!BX:BX,V184,COMPRAS!CS:CS,"=01-REGIMEN GENERAL",COMPRAS!CX:CX,"=SI",COMPRAS!DD:DD,"=SI")</f>
        <v>0</v>
      </c>
      <c r="Y184" s="978"/>
      <c r="Z184" s="978"/>
      <c r="AA184" s="978"/>
      <c r="AB184" s="224"/>
      <c r="AC184" s="52"/>
      <c r="AD184" s="227"/>
      <c r="AE184" s="977">
        <f>SUMIFS(COMPRAS!BI:BI,COMPRAS!BF:BF,V184,COMPRAS!CS:CS,"=01-REGIMEN GENERAL",COMPRAS!CX:CX,"=SI",COMPRAS!DD:DD,"=SI")+SUMIFS(COMPRAS!BR:BR,COMPRAS!BO:BO,V184,COMPRAS!CS:CS,"=01-REGIMEN GENERAL",COMPRAS!CX:CX,"=SI",COMPRAS!DD:DD,"=SI")+SUMIFS(COMPRAS!CA:CA,COMPRAS!BX:BX,V184,COMPRAS!CS:CS,"=01-REGIMEN GENERAL",COMPRAS!CX:CX,"=SI",COMPRAS!DD:DD,"=SI")</f>
        <v>0</v>
      </c>
      <c r="AF184" s="978"/>
      <c r="AG184" s="978"/>
      <c r="AH184" s="978"/>
      <c r="AI184" s="206"/>
    </row>
    <row r="185" spans="1:35" ht="21" customHeight="1" outlineLevel="2" x14ac:dyDescent="0.35">
      <c r="A185" s="1012"/>
      <c r="B185" s="1013"/>
      <c r="C185" s="1021"/>
      <c r="D185" s="15"/>
      <c r="E185" s="15"/>
      <c r="F185" s="15"/>
      <c r="G185" s="15"/>
      <c r="H185" s="15"/>
      <c r="I185" s="15"/>
      <c r="J185" s="15"/>
      <c r="K185" s="15"/>
      <c r="L185" s="15"/>
      <c r="M185" s="15"/>
      <c r="N185" s="15"/>
      <c r="O185" s="15"/>
      <c r="P185" s="15"/>
      <c r="Q185" s="15"/>
      <c r="R185" s="15"/>
      <c r="S185" s="15"/>
      <c r="T185" s="15"/>
      <c r="U185" s="229" t="s">
        <v>198</v>
      </c>
      <c r="V185" s="272">
        <v>509</v>
      </c>
      <c r="W185" s="225"/>
      <c r="X185" s="977">
        <f>SUMIFS(COMPRAS!BG:BG,COMPRAS!BF:BF,V185,COMPRAS!CS:CS,"=01-REGIMEN GENERAL",COMPRAS!CX:CX,"=SI",COMPRAS!DD:DD,"=SI")+SUMIFS(COMPRAS!BP:BP,COMPRAS!BO:BO,V185,COMPRAS!CS:CS,"=01-REGIMEN GENERAL",COMPRAS!CX:CX,"=SI",COMPRAS!DD:DD,"=SI")+SUMIFS(COMPRAS!BY:BY,COMPRAS!BX:BX,V185,COMPRAS!CS:CS,"=01-REGIMEN GENERAL",COMPRAS!CX:CX,"=SI",COMPRAS!DD:DD,"=SI")</f>
        <v>0</v>
      </c>
      <c r="Y185" s="978"/>
      <c r="Z185" s="978"/>
      <c r="AA185" s="978"/>
      <c r="AB185" s="224"/>
      <c r="AC185" s="52"/>
      <c r="AD185" s="227"/>
      <c r="AE185" s="977">
        <f>SUMIFS(COMPRAS!BI:BI,COMPRAS!BF:BF,V185,COMPRAS!CS:CS,"=01-REGIMEN GENERAL",COMPRAS!CX:CX,"=SI",COMPRAS!DD:DD,"=SI")+SUMIFS(COMPRAS!BR:BR,COMPRAS!BO:BO,V185,COMPRAS!CS:CS,"=01-REGIMEN GENERAL",COMPRAS!CX:CX,"=SI",COMPRAS!DD:DD,"=SI")+SUMIFS(COMPRAS!CA:CA,COMPRAS!BX:BX,V185,COMPRAS!CS:CS,"=01-REGIMEN GENERAL",COMPRAS!CX:CX,"=SI",COMPRAS!DD:DD,"=SI")</f>
        <v>0</v>
      </c>
      <c r="AF185" s="978"/>
      <c r="AG185" s="978"/>
      <c r="AH185" s="978"/>
      <c r="AI185" s="206"/>
    </row>
    <row r="186" spans="1:35" ht="21" customHeight="1" outlineLevel="2" x14ac:dyDescent="0.35">
      <c r="A186" s="1012"/>
      <c r="B186" s="1013"/>
      <c r="C186" s="1021"/>
      <c r="D186" s="15"/>
      <c r="E186" s="15"/>
      <c r="F186" s="15"/>
      <c r="G186" s="15"/>
      <c r="H186" s="15"/>
      <c r="I186" s="15"/>
      <c r="J186" s="15"/>
      <c r="K186" s="15"/>
      <c r="L186" s="15"/>
      <c r="M186" s="15"/>
      <c r="N186" s="15"/>
      <c r="O186" s="15"/>
      <c r="P186" s="15"/>
      <c r="Q186" s="15"/>
      <c r="R186" s="15"/>
      <c r="S186" s="15"/>
      <c r="T186" s="15"/>
      <c r="U186" s="229" t="s">
        <v>201</v>
      </c>
      <c r="V186" s="272">
        <v>510</v>
      </c>
      <c r="W186" s="225"/>
      <c r="X186" s="977">
        <f>SUMIFS(COMPRAS!BG:BG,COMPRAS!BF:BF,V186,COMPRAS!CS:CS,"=01-REGIMEN GENERAL",COMPRAS!CX:CX,"=SI",COMPRAS!DD:DD,"=SI")+SUMIFS(COMPRAS!BP:BP,COMPRAS!BO:BO,V186,COMPRAS!CS:CS,"=01-REGIMEN GENERAL",COMPRAS!CX:CX,"=SI",COMPRAS!DD:DD,"=SI")+SUMIFS(COMPRAS!BY:BY,COMPRAS!BX:BX,V186,COMPRAS!CS:CS,"=01-REGIMEN GENERAL",COMPRAS!CX:CX,"=SI",COMPRAS!DD:DD,"=SI")</f>
        <v>0</v>
      </c>
      <c r="Y186" s="978"/>
      <c r="Z186" s="978"/>
      <c r="AA186" s="978"/>
      <c r="AB186" s="224"/>
      <c r="AC186" s="52"/>
      <c r="AD186" s="227"/>
      <c r="AE186" s="977">
        <f>SUMIFS(COMPRAS!BI:BI,COMPRAS!BF:BF,V186,COMPRAS!CS:CS,"=01-REGIMEN GENERAL",COMPRAS!CX:CX,"=SI",COMPRAS!DD:DD,"=SI")+SUMIFS(COMPRAS!BR:BR,COMPRAS!BO:BO,V186,COMPRAS!CS:CS,"=01-REGIMEN GENERAL",COMPRAS!CX:CX,"=SI",COMPRAS!DD:DD,"=SI")+SUMIFS(COMPRAS!CA:CA,COMPRAS!BX:BX,V186,COMPRAS!CS:CS,"=01-REGIMEN GENERAL",COMPRAS!CX:CX,"=SI",COMPRAS!DD:DD,"=SI")</f>
        <v>0</v>
      </c>
      <c r="AF186" s="978"/>
      <c r="AG186" s="978"/>
      <c r="AH186" s="978"/>
      <c r="AI186" s="206"/>
    </row>
    <row r="187" spans="1:35" ht="21" customHeight="1" outlineLevel="2" x14ac:dyDescent="0.35">
      <c r="A187" s="1012"/>
      <c r="B187" s="1013"/>
      <c r="C187" s="1021"/>
      <c r="D187" s="15"/>
      <c r="E187" s="15"/>
      <c r="F187" s="15"/>
      <c r="G187" s="15"/>
      <c r="H187" s="15"/>
      <c r="I187" s="15"/>
      <c r="J187" s="15"/>
      <c r="K187" s="15"/>
      <c r="L187" s="15"/>
      <c r="M187" s="15"/>
      <c r="N187" s="15"/>
      <c r="O187" s="15"/>
      <c r="P187" s="15"/>
      <c r="Q187" s="15"/>
      <c r="R187" s="15"/>
      <c r="S187" s="15"/>
      <c r="T187" s="15"/>
      <c r="U187" s="229" t="s">
        <v>202</v>
      </c>
      <c r="V187" s="272">
        <v>511</v>
      </c>
      <c r="W187" s="225"/>
      <c r="X187" s="977">
        <f>SUMIFS(COMPRAS!BG:BG,COMPRAS!BF:BF,V187,COMPRAS!CS:CS,"=01-REGIMEN GENERAL",COMPRAS!CX:CX,"=SI",COMPRAS!DD:DD,"=SI")+SUMIFS(COMPRAS!BP:BP,COMPRAS!BO:BO,V187,COMPRAS!CS:CS,"=01-REGIMEN GENERAL",COMPRAS!CX:CX,"=SI",COMPRAS!DD:DD,"=SI")+SUMIFS(COMPRAS!BY:BY,COMPRAS!BX:BX,V187,COMPRAS!CS:CS,"=01-REGIMEN GENERAL",COMPRAS!CX:CX,"=SI",COMPRAS!DD:DD,"=SI")</f>
        <v>0</v>
      </c>
      <c r="Y187" s="978"/>
      <c r="Z187" s="978"/>
      <c r="AA187" s="978"/>
      <c r="AB187" s="224"/>
      <c r="AC187" s="52"/>
      <c r="AD187" s="227"/>
      <c r="AE187" s="977">
        <f>SUMIFS(COMPRAS!BI:BI,COMPRAS!BF:BF,V187,COMPRAS!CS:CS,"=01-REGIMEN GENERAL",COMPRAS!CX:CX,"=SI",COMPRAS!DD:DD,"=SI")+SUMIFS(COMPRAS!BR:BR,COMPRAS!BO:BO,V187,COMPRAS!CS:CS,"=01-REGIMEN GENERAL",COMPRAS!CX:CX,"=SI",COMPRAS!DD:DD,"=SI")+SUMIFS(COMPRAS!CA:CA,COMPRAS!BX:BX,V187,COMPRAS!CS:CS,"=01-REGIMEN GENERAL",COMPRAS!CX:CX,"=SI",COMPRAS!DD:DD,"=SI")</f>
        <v>0</v>
      </c>
      <c r="AF187" s="978"/>
      <c r="AG187" s="978"/>
      <c r="AH187" s="978"/>
      <c r="AI187" s="206"/>
    </row>
    <row r="188" spans="1:35" ht="21" customHeight="1" outlineLevel="2" x14ac:dyDescent="0.35">
      <c r="A188" s="1012"/>
      <c r="B188" s="1013"/>
      <c r="C188" s="1021"/>
      <c r="D188" s="15"/>
      <c r="E188" s="15"/>
      <c r="F188" s="15"/>
      <c r="G188" s="15"/>
      <c r="H188" s="15"/>
      <c r="I188" s="15"/>
      <c r="J188" s="15"/>
      <c r="K188" s="15"/>
      <c r="L188" s="15"/>
      <c r="M188" s="15"/>
      <c r="N188" s="15"/>
      <c r="O188" s="15"/>
      <c r="P188" s="15"/>
      <c r="Q188" s="15"/>
      <c r="R188" s="15"/>
      <c r="S188" s="15"/>
      <c r="T188" s="15"/>
      <c r="U188" s="229" t="s">
        <v>203</v>
      </c>
      <c r="V188" s="272">
        <v>512</v>
      </c>
      <c r="W188" s="225"/>
      <c r="X188" s="977">
        <f>SUMIFS(COMPRAS!BG:BG,COMPRAS!BF:BF,V188,COMPRAS!CS:CS,"=01-REGIMEN GENERAL",COMPRAS!CX:CX,"=SI",COMPRAS!DD:DD,"=SI")+SUMIFS(COMPRAS!BP:BP,COMPRAS!BO:BO,V188,COMPRAS!CS:CS,"=01-REGIMEN GENERAL",COMPRAS!CX:CX,"=SI",COMPRAS!DD:DD,"=SI")+SUMIFS(COMPRAS!BY:BY,COMPRAS!BX:BX,V188,COMPRAS!CS:CS,"=01-REGIMEN GENERAL",COMPRAS!CX:CX,"=SI",COMPRAS!DD:DD,"=SI")</f>
        <v>0</v>
      </c>
      <c r="Y188" s="978"/>
      <c r="Z188" s="978"/>
      <c r="AA188" s="978"/>
      <c r="AB188" s="224"/>
      <c r="AC188" s="52"/>
      <c r="AD188" s="227"/>
      <c r="AE188" s="977">
        <f>SUMIFS(COMPRAS!BI:BI,COMPRAS!BF:BF,V188,COMPRAS!CS:CS,"=01-REGIMEN GENERAL",COMPRAS!CX:CX,"=SI",COMPRAS!DD:DD,"=SI")+SUMIFS(COMPRAS!BR:BR,COMPRAS!BO:BO,V188,COMPRAS!CS:CS,"=01-REGIMEN GENERAL",COMPRAS!CX:CX,"=SI",COMPRAS!DD:DD,"=SI")+SUMIFS(COMPRAS!CA:CA,COMPRAS!BX:BX,V188,COMPRAS!CS:CS,"=01-REGIMEN GENERAL",COMPRAS!CX:CX,"=SI",COMPRAS!DD:DD,"=SI")</f>
        <v>0</v>
      </c>
      <c r="AF188" s="978"/>
      <c r="AG188" s="978"/>
      <c r="AH188" s="978"/>
      <c r="AI188" s="206"/>
    </row>
    <row r="189" spans="1:35" ht="21" customHeight="1" outlineLevel="2" x14ac:dyDescent="0.35">
      <c r="A189" s="1012"/>
      <c r="B189" s="1013"/>
      <c r="C189" s="1021"/>
      <c r="D189" s="15"/>
      <c r="E189" s="15"/>
      <c r="F189" s="15"/>
      <c r="G189" s="15"/>
      <c r="H189" s="15"/>
      <c r="I189" s="15"/>
      <c r="J189" s="15"/>
      <c r="K189" s="15"/>
      <c r="L189" s="15"/>
      <c r="M189" s="15"/>
      <c r="N189" s="15"/>
      <c r="O189" s="15"/>
      <c r="P189" s="15"/>
      <c r="Q189" s="15"/>
      <c r="R189" s="15"/>
      <c r="S189" s="15"/>
      <c r="T189" s="15"/>
      <c r="U189" s="229" t="s">
        <v>204</v>
      </c>
      <c r="V189" s="272">
        <v>513</v>
      </c>
      <c r="W189" s="225"/>
      <c r="X189" s="977">
        <f>SUMIFS(COMPRAS!BG:BG,COMPRAS!BF:BF,V189,COMPRAS!CS:CS,"=01-REGIMEN GENERAL",COMPRAS!CX:CX,"=SI",COMPRAS!DD:DD,"=SI")+SUMIFS(COMPRAS!BP:BP,COMPRAS!BO:BO,V189,COMPRAS!CS:CS,"=01-REGIMEN GENERAL",COMPRAS!CX:CX,"=SI",COMPRAS!DD:DD,"=SI")+SUMIFS(COMPRAS!BY:BY,COMPRAS!BX:BX,V189,COMPRAS!CS:CS,"=01-REGIMEN GENERAL",COMPRAS!CX:CX,"=SI",COMPRAS!DD:DD,"=SI")</f>
        <v>0</v>
      </c>
      <c r="Y189" s="978"/>
      <c r="Z189" s="978"/>
      <c r="AA189" s="978"/>
      <c r="AB189" s="224"/>
      <c r="AC189" s="52"/>
      <c r="AD189" s="227"/>
      <c r="AE189" s="977">
        <f>SUMIFS(COMPRAS!BI:BI,COMPRAS!BF:BF,V189,COMPRAS!CS:CS,"=01-REGIMEN GENERAL",COMPRAS!CX:CX,"=SI",COMPRAS!DD:DD,"=SI")+SUMIFS(COMPRAS!BR:BR,COMPRAS!BO:BO,V189,COMPRAS!CS:CS,"=01-REGIMEN GENERAL",COMPRAS!CX:CX,"=SI",COMPRAS!DD:DD,"=SI")+SUMIFS(COMPRAS!CA:CA,COMPRAS!BX:BX,V189,COMPRAS!CS:CS,"=01-REGIMEN GENERAL",COMPRAS!CX:CX,"=SI",COMPRAS!DD:DD,"=SI")</f>
        <v>0</v>
      </c>
      <c r="AF189" s="978"/>
      <c r="AG189" s="978"/>
      <c r="AH189" s="978"/>
      <c r="AI189" s="206"/>
    </row>
    <row r="190" spans="1:35" ht="21" customHeight="1" outlineLevel="2" x14ac:dyDescent="0.35">
      <c r="A190" s="1012"/>
      <c r="B190" s="1013"/>
      <c r="C190" s="1021"/>
      <c r="D190" s="15"/>
      <c r="E190" s="15"/>
      <c r="F190" s="15"/>
      <c r="G190" s="15"/>
      <c r="H190" s="15"/>
      <c r="I190" s="15"/>
      <c r="J190" s="15"/>
      <c r="K190" s="15"/>
      <c r="L190" s="15"/>
      <c r="M190" s="15"/>
      <c r="N190" s="15"/>
      <c r="O190" s="15"/>
      <c r="P190" s="15"/>
      <c r="Q190" s="15"/>
      <c r="R190" s="15"/>
      <c r="S190" s="15"/>
      <c r="T190" s="15"/>
      <c r="U190" s="229" t="s">
        <v>207</v>
      </c>
      <c r="V190" s="272">
        <v>514</v>
      </c>
      <c r="W190" s="225"/>
      <c r="X190" s="977">
        <f>SUMIFS(COMPRAS!BG:BG,COMPRAS!BF:BF,V190,COMPRAS!CS:CS,"=01-REGIMEN GENERAL",COMPRAS!CX:CX,"=SI",COMPRAS!DD:DD,"=SI")+SUMIFS(COMPRAS!BP:BP,COMPRAS!BO:BO,V190,COMPRAS!CS:CS,"=01-REGIMEN GENERAL",COMPRAS!CX:CX,"=SI",COMPRAS!DD:DD,"=SI")+SUMIFS(COMPRAS!BY:BY,COMPRAS!BX:BX,V190,COMPRAS!CS:CS,"=01-REGIMEN GENERAL",COMPRAS!CX:CX,"=SI",COMPRAS!DD:DD,"=SI")</f>
        <v>0</v>
      </c>
      <c r="Y190" s="978"/>
      <c r="Z190" s="978"/>
      <c r="AA190" s="978"/>
      <c r="AB190" s="224"/>
      <c r="AC190" s="52"/>
      <c r="AD190" s="227"/>
      <c r="AE190" s="977">
        <f>SUMIFS(COMPRAS!BI:BI,COMPRAS!BF:BF,V190,COMPRAS!CS:CS,"=01-REGIMEN GENERAL",COMPRAS!CX:CX,"=SI",COMPRAS!DD:DD,"=SI")+SUMIFS(COMPRAS!BR:BR,COMPRAS!BO:BO,V190,COMPRAS!CS:CS,"=01-REGIMEN GENERAL",COMPRAS!CX:CX,"=SI",COMPRAS!DD:DD,"=SI")+SUMIFS(COMPRAS!CA:CA,COMPRAS!BX:BX,V190,COMPRAS!CS:CS,"=01-REGIMEN GENERAL",COMPRAS!CX:CX,"=SI",COMPRAS!DD:DD,"=SI")</f>
        <v>0</v>
      </c>
      <c r="AF190" s="978"/>
      <c r="AG190" s="978"/>
      <c r="AH190" s="978"/>
      <c r="AI190" s="206"/>
    </row>
    <row r="191" spans="1:35" ht="21" customHeight="1" outlineLevel="2" x14ac:dyDescent="0.35">
      <c r="A191" s="1012"/>
      <c r="B191" s="1013"/>
      <c r="C191" s="1021"/>
      <c r="D191" s="15"/>
      <c r="E191" s="15"/>
      <c r="F191" s="15"/>
      <c r="G191" s="15"/>
      <c r="H191" s="15"/>
      <c r="I191" s="15"/>
      <c r="J191" s="15"/>
      <c r="K191" s="15"/>
      <c r="L191" s="15"/>
      <c r="M191" s="15"/>
      <c r="N191" s="15"/>
      <c r="O191" s="15"/>
      <c r="P191" s="15"/>
      <c r="Q191" s="15"/>
      <c r="R191" s="15"/>
      <c r="S191" s="15"/>
      <c r="T191" s="15"/>
      <c r="U191" s="229" t="s">
        <v>208</v>
      </c>
      <c r="V191" s="272">
        <v>515</v>
      </c>
      <c r="W191" s="225"/>
      <c r="X191" s="977">
        <f>SUMIFS(COMPRAS!BG:BG,COMPRAS!BF:BF,V191,COMPRAS!CS:CS,"=01-REGIMEN GENERAL",COMPRAS!CX:CX,"=SI",COMPRAS!DD:DD,"=SI")+SUMIFS(COMPRAS!BP:BP,COMPRAS!BO:BO,V191,COMPRAS!CS:CS,"=01-REGIMEN GENERAL",COMPRAS!CX:CX,"=SI",COMPRAS!DD:DD,"=SI")+SUMIFS(COMPRAS!BY:BY,COMPRAS!BX:BX,V191,COMPRAS!CS:CS,"=01-REGIMEN GENERAL",COMPRAS!CX:CX,"=SI",COMPRAS!DD:DD,"=SI")</f>
        <v>0</v>
      </c>
      <c r="Y191" s="978"/>
      <c r="Z191" s="978"/>
      <c r="AA191" s="978"/>
      <c r="AB191" s="224"/>
      <c r="AC191" s="52"/>
      <c r="AD191" s="227"/>
      <c r="AE191" s="977">
        <f>SUMIFS(COMPRAS!BI:BI,COMPRAS!BF:BF,V191,COMPRAS!CS:CS,"=01-REGIMEN GENERAL",COMPRAS!CX:CX,"=SI",COMPRAS!DD:DD,"=SI")+SUMIFS(COMPRAS!BR:BR,COMPRAS!BO:BO,V191,COMPRAS!CS:CS,"=01-REGIMEN GENERAL",COMPRAS!CX:CX,"=SI",COMPRAS!DD:DD,"=SI")+SUMIFS(COMPRAS!CA:CA,COMPRAS!BX:BX,V191,COMPRAS!CS:CS,"=01-REGIMEN GENERAL",COMPRAS!CX:CX,"=SI",COMPRAS!DD:DD,"=SI")</f>
        <v>0</v>
      </c>
      <c r="AF191" s="978"/>
      <c r="AG191" s="978"/>
      <c r="AH191" s="978"/>
      <c r="AI191" s="206"/>
    </row>
    <row r="192" spans="1:35" ht="21" customHeight="1" outlineLevel="2" x14ac:dyDescent="0.35">
      <c r="A192" s="1012"/>
      <c r="B192" s="1013"/>
      <c r="C192" s="1021"/>
      <c r="D192" s="15"/>
      <c r="E192" s="15"/>
      <c r="F192" s="15"/>
      <c r="G192" s="15"/>
      <c r="H192" s="15"/>
      <c r="I192" s="15"/>
      <c r="J192" s="15"/>
      <c r="K192" s="15"/>
      <c r="L192" s="15"/>
      <c r="M192" s="15"/>
      <c r="N192" s="15"/>
      <c r="O192" s="15"/>
      <c r="P192" s="15"/>
      <c r="Q192" s="15"/>
      <c r="R192" s="15"/>
      <c r="S192" s="15"/>
      <c r="T192" s="15"/>
      <c r="U192" s="229" t="s">
        <v>209</v>
      </c>
      <c r="V192" s="272">
        <v>516</v>
      </c>
      <c r="W192" s="225"/>
      <c r="X192" s="977">
        <f>SUMIFS(COMPRAS!BG:BG,COMPRAS!BF:BF,V192,COMPRAS!CS:CS,"=01-REGIMEN GENERAL",COMPRAS!CX:CX,"=SI",COMPRAS!DD:DD,"=SI")+SUMIFS(COMPRAS!BP:BP,COMPRAS!BO:BO,V192,COMPRAS!CS:CS,"=01-REGIMEN GENERAL",COMPRAS!CX:CX,"=SI",COMPRAS!DD:DD,"=SI")+SUMIFS(COMPRAS!BY:BY,COMPRAS!BX:BX,V192,COMPRAS!CS:CS,"=01-REGIMEN GENERAL",COMPRAS!CX:CX,"=SI",COMPRAS!DD:DD,"=SI")</f>
        <v>0</v>
      </c>
      <c r="Y192" s="978"/>
      <c r="Z192" s="978"/>
      <c r="AA192" s="978"/>
      <c r="AB192" s="224"/>
      <c r="AC192" s="52"/>
      <c r="AD192" s="227"/>
      <c r="AE192" s="977">
        <f>SUMIFS(COMPRAS!BI:BI,COMPRAS!BF:BF,V192,COMPRAS!CS:CS,"=01-REGIMEN GENERAL",COMPRAS!CX:CX,"=SI",COMPRAS!DD:DD,"=SI")+SUMIFS(COMPRAS!BR:BR,COMPRAS!BO:BO,V192,COMPRAS!CS:CS,"=01-REGIMEN GENERAL",COMPRAS!CX:CX,"=SI",COMPRAS!DD:DD,"=SI")+SUMIFS(COMPRAS!CA:CA,COMPRAS!BX:BX,V192,COMPRAS!CS:CS,"=01-REGIMEN GENERAL",COMPRAS!CX:CX,"=SI",COMPRAS!DD:DD,"=SI")</f>
        <v>0</v>
      </c>
      <c r="AF192" s="978"/>
      <c r="AG192" s="978"/>
      <c r="AH192" s="978"/>
      <c r="AI192" s="206"/>
    </row>
    <row r="193" spans="1:35" ht="21" customHeight="1" outlineLevel="2" x14ac:dyDescent="0.35">
      <c r="A193" s="1012"/>
      <c r="B193" s="1013"/>
      <c r="C193" s="1021"/>
      <c r="D193" s="15"/>
      <c r="E193" s="15"/>
      <c r="F193" s="15"/>
      <c r="G193" s="15"/>
      <c r="H193" s="15"/>
      <c r="I193" s="15"/>
      <c r="J193" s="15"/>
      <c r="K193" s="15"/>
      <c r="L193" s="15"/>
      <c r="M193" s="15"/>
      <c r="N193" s="15"/>
      <c r="O193" s="15"/>
      <c r="P193" s="15"/>
      <c r="Q193" s="15"/>
      <c r="R193" s="15"/>
      <c r="S193" s="15"/>
      <c r="T193" s="15"/>
      <c r="U193" s="229" t="s">
        <v>210</v>
      </c>
      <c r="V193" s="272">
        <v>517</v>
      </c>
      <c r="W193" s="225"/>
      <c r="X193" s="977">
        <f>SUMIFS(COMPRAS!BG:BG,COMPRAS!BF:BF,V193,COMPRAS!CS:CS,"=01-REGIMEN GENERAL",COMPRAS!CX:CX,"=SI",COMPRAS!DD:DD,"=SI")+SUMIFS(COMPRAS!BP:BP,COMPRAS!BO:BO,V193,COMPRAS!CS:CS,"=01-REGIMEN GENERAL",COMPRAS!CX:CX,"=SI",COMPRAS!DD:DD,"=SI")+SUMIFS(COMPRAS!BY:BY,COMPRAS!BX:BX,V193,COMPRAS!CS:CS,"=01-REGIMEN GENERAL",COMPRAS!CX:CX,"=SI",COMPRAS!DD:DD,"=SI")</f>
        <v>0</v>
      </c>
      <c r="Y193" s="978"/>
      <c r="Z193" s="978"/>
      <c r="AA193" s="978"/>
      <c r="AB193" s="224"/>
      <c r="AC193" s="52"/>
      <c r="AD193" s="227"/>
      <c r="AE193" s="977">
        <f>SUMIFS(COMPRAS!BI:BI,COMPRAS!BF:BF,V193,COMPRAS!CS:CS,"=01-REGIMEN GENERAL",COMPRAS!CX:CX,"=SI",COMPRAS!DD:DD,"=SI")+SUMIFS(COMPRAS!BR:BR,COMPRAS!BO:BO,V193,COMPRAS!CS:CS,"=01-REGIMEN GENERAL",COMPRAS!CX:CX,"=SI",COMPRAS!DD:DD,"=SI")+SUMIFS(COMPRAS!CA:CA,COMPRAS!BX:BX,V193,COMPRAS!CS:CS,"=01-REGIMEN GENERAL",COMPRAS!CX:CX,"=SI",COMPRAS!DD:DD,"=SI")</f>
        <v>0</v>
      </c>
      <c r="AF193" s="978"/>
      <c r="AG193" s="978"/>
      <c r="AH193" s="978"/>
      <c r="AI193" s="206"/>
    </row>
    <row r="194" spans="1:35" ht="21" customHeight="1" outlineLevel="2" x14ac:dyDescent="0.35">
      <c r="A194" s="1012"/>
      <c r="B194" s="1013"/>
      <c r="C194" s="1021"/>
      <c r="D194" s="15"/>
      <c r="E194" s="15"/>
      <c r="F194" s="15"/>
      <c r="G194" s="15"/>
      <c r="H194" s="15"/>
      <c r="I194" s="15"/>
      <c r="J194" s="15"/>
      <c r="K194" s="15"/>
      <c r="L194" s="15"/>
      <c r="M194" s="15"/>
      <c r="N194" s="15"/>
      <c r="O194" s="15"/>
      <c r="P194" s="15"/>
      <c r="Q194" s="15"/>
      <c r="R194" s="15"/>
      <c r="S194" s="15"/>
      <c r="T194" s="15"/>
      <c r="U194" s="229" t="s">
        <v>211</v>
      </c>
      <c r="V194" s="272">
        <v>518</v>
      </c>
      <c r="W194" s="225"/>
      <c r="X194" s="977">
        <f>SUMIFS(COMPRAS!BG:BG,COMPRAS!BF:BF,V194,COMPRAS!CS:CS,"=01-REGIMEN GENERAL",COMPRAS!CX:CX,"=SI",COMPRAS!DD:DD,"=SI")+SUMIFS(COMPRAS!BP:BP,COMPRAS!BO:BO,V194,COMPRAS!CS:CS,"=01-REGIMEN GENERAL",COMPRAS!CX:CX,"=SI",COMPRAS!DD:DD,"=SI")+SUMIFS(COMPRAS!BY:BY,COMPRAS!BX:BX,V194,COMPRAS!CS:CS,"=01-REGIMEN GENERAL",COMPRAS!CX:CX,"=SI",COMPRAS!DD:DD,"=SI")</f>
        <v>0</v>
      </c>
      <c r="Y194" s="978"/>
      <c r="Z194" s="978"/>
      <c r="AA194" s="978"/>
      <c r="AB194" s="224"/>
      <c r="AC194" s="52"/>
      <c r="AD194" s="227"/>
      <c r="AE194" s="977">
        <f>SUMIFS(COMPRAS!BI:BI,COMPRAS!BF:BF,V194,COMPRAS!CS:CS,"=01-REGIMEN GENERAL",COMPRAS!CX:CX,"=SI",COMPRAS!DD:DD,"=SI")+SUMIFS(COMPRAS!BR:BR,COMPRAS!BO:BO,V194,COMPRAS!CS:CS,"=01-REGIMEN GENERAL",COMPRAS!CX:CX,"=SI",COMPRAS!DD:DD,"=SI")+SUMIFS(COMPRAS!CA:CA,COMPRAS!BX:BX,V194,COMPRAS!CS:CS,"=01-REGIMEN GENERAL",COMPRAS!CX:CX,"=SI",COMPRAS!DD:DD,"=SI")</f>
        <v>0</v>
      </c>
      <c r="AF194" s="978"/>
      <c r="AG194" s="978"/>
      <c r="AH194" s="978"/>
      <c r="AI194" s="206"/>
    </row>
    <row r="195" spans="1:35" ht="21" customHeight="1" outlineLevel="2" x14ac:dyDescent="0.35">
      <c r="A195" s="1012"/>
      <c r="B195" s="1013"/>
      <c r="C195" s="1021"/>
      <c r="D195" s="15"/>
      <c r="E195" s="15"/>
      <c r="F195" s="15"/>
      <c r="G195" s="15"/>
      <c r="H195" s="15"/>
      <c r="I195" s="15"/>
      <c r="J195" s="15"/>
      <c r="K195" s="15"/>
      <c r="L195" s="15"/>
      <c r="M195" s="15"/>
      <c r="N195" s="15"/>
      <c r="O195" s="15"/>
      <c r="P195" s="15"/>
      <c r="Q195" s="15"/>
      <c r="R195" s="15"/>
      <c r="S195" s="15"/>
      <c r="T195" s="15"/>
      <c r="U195" s="229" t="s">
        <v>212</v>
      </c>
      <c r="V195" s="272">
        <v>519</v>
      </c>
      <c r="W195" s="225"/>
      <c r="X195" s="977">
        <f>SUMIFS(COMPRAS!BG:BG,COMPRAS!BF:BF,V195,COMPRAS!CS:CS,"=01-REGIMEN GENERAL",COMPRAS!CX:CX,"=SI",COMPRAS!DD:DD,"=SI")+SUMIFS(COMPRAS!BP:BP,COMPRAS!BO:BO,V195,COMPRAS!CS:CS,"=01-REGIMEN GENERAL",COMPRAS!CX:CX,"=SI",COMPRAS!DD:DD,"=SI")+SUMIFS(COMPRAS!BY:BY,COMPRAS!BX:BX,V195,COMPRAS!CS:CS,"=01-REGIMEN GENERAL",COMPRAS!CX:CX,"=SI",COMPRAS!DD:DD,"=SI")</f>
        <v>0</v>
      </c>
      <c r="Y195" s="978"/>
      <c r="Z195" s="978"/>
      <c r="AA195" s="978"/>
      <c r="AB195" s="224"/>
      <c r="AC195" s="52"/>
      <c r="AD195" s="227"/>
      <c r="AE195" s="977">
        <f>SUMIFS(COMPRAS!BI:BI,COMPRAS!BF:BF,V195,COMPRAS!CS:CS,"=01-REGIMEN GENERAL",COMPRAS!CX:CX,"=SI",COMPRAS!DD:DD,"=SI")+SUMIFS(COMPRAS!BR:BR,COMPRAS!BO:BO,V195,COMPRAS!CS:CS,"=01-REGIMEN GENERAL",COMPRAS!CX:CX,"=SI",COMPRAS!DD:DD,"=SI")+SUMIFS(COMPRAS!CA:CA,COMPRAS!BX:BX,V195,COMPRAS!CS:CS,"=01-REGIMEN GENERAL",COMPRAS!CX:CX,"=SI",COMPRAS!DD:DD,"=SI")</f>
        <v>0</v>
      </c>
      <c r="AF195" s="978"/>
      <c r="AG195" s="978"/>
      <c r="AH195" s="978"/>
      <c r="AI195" s="206"/>
    </row>
    <row r="196" spans="1:35" ht="21" customHeight="1" outlineLevel="2" x14ac:dyDescent="0.35">
      <c r="A196" s="1012"/>
      <c r="B196" s="1013"/>
      <c r="C196" s="1021"/>
      <c r="D196" s="15"/>
      <c r="E196" s="15"/>
      <c r="F196" s="15"/>
      <c r="G196" s="15"/>
      <c r="H196" s="15"/>
      <c r="I196" s="15"/>
      <c r="J196" s="15"/>
      <c r="K196" s="15"/>
      <c r="L196" s="15"/>
      <c r="M196" s="15"/>
      <c r="N196" s="15"/>
      <c r="O196" s="15"/>
      <c r="P196" s="15"/>
      <c r="Q196" s="15"/>
      <c r="R196" s="15"/>
      <c r="S196" s="15"/>
      <c r="T196" s="15"/>
      <c r="U196" s="229" t="s">
        <v>1068</v>
      </c>
      <c r="V196" s="272">
        <v>525</v>
      </c>
      <c r="W196" s="225"/>
      <c r="X196" s="977">
        <f>SUMIFS(COMPRAS!BG:BG,COMPRAS!BF:BF,V196,COMPRAS!CS:CS,"=01-REGIMEN GENERAL",COMPRAS!CX:CX,"=SI",COMPRAS!DD:DD,"=SI")+SUMIFS(COMPRAS!BP:BP,COMPRAS!BO:BO,V196,COMPRAS!CS:CS,"=01-REGIMEN GENERAL",COMPRAS!CX:CX,"=SI",COMPRAS!DD:DD,"=SI")+SUMIFS(COMPRAS!BY:BY,COMPRAS!BX:BX,V196,COMPRAS!CS:CS,"=01-REGIMEN GENERAL",COMPRAS!CX:CX,"=SI",COMPRAS!DD:DD,"=SI")</f>
        <v>0</v>
      </c>
      <c r="Y196" s="978"/>
      <c r="Z196" s="978"/>
      <c r="AA196" s="978"/>
      <c r="AB196" s="224"/>
      <c r="AC196" s="52"/>
      <c r="AD196" s="227"/>
      <c r="AE196" s="977">
        <f>SUMIFS(COMPRAS!BI:BI,COMPRAS!BF:BF,V196,COMPRAS!CS:CS,"=01-REGIMEN GENERAL",COMPRAS!CX:CX,"=SI",COMPRAS!DD:DD,"=SI")+SUMIFS(COMPRAS!BR:BR,COMPRAS!BO:BO,V196,COMPRAS!CS:CS,"=01-REGIMEN GENERAL",COMPRAS!CX:CX,"=SI",COMPRAS!DD:DD,"=SI")+SUMIFS(COMPRAS!CA:CA,COMPRAS!BX:BX,V196,COMPRAS!CS:CS,"=01-REGIMEN GENERAL",COMPRAS!CX:CX,"=SI",COMPRAS!DD:DD,"=SI")</f>
        <v>0</v>
      </c>
      <c r="AF196" s="978"/>
      <c r="AG196" s="978"/>
      <c r="AH196" s="978"/>
      <c r="AI196" s="206"/>
    </row>
    <row r="197" spans="1:35" ht="21" customHeight="1" outlineLevel="2" x14ac:dyDescent="0.35">
      <c r="A197" s="1012"/>
      <c r="B197" s="1013"/>
      <c r="C197" s="1021"/>
      <c r="D197" s="15"/>
      <c r="E197" s="15"/>
      <c r="F197" s="15"/>
      <c r="G197" s="15"/>
      <c r="H197" s="15"/>
      <c r="I197" s="15"/>
      <c r="J197" s="15"/>
      <c r="K197" s="15"/>
      <c r="L197" s="15"/>
      <c r="M197" s="15"/>
      <c r="N197" s="15"/>
      <c r="O197" s="15"/>
      <c r="P197" s="15"/>
      <c r="Q197" s="15"/>
      <c r="R197" s="15"/>
      <c r="S197" s="15"/>
      <c r="T197" s="15"/>
      <c r="U197" s="229" t="s">
        <v>195</v>
      </c>
      <c r="V197" s="272" t="s">
        <v>194</v>
      </c>
      <c r="W197" s="225"/>
      <c r="X197" s="977">
        <f>SUMIFS(COMPRAS!BG:BG,COMPRAS!BF:BF,V197,COMPRAS!CS:CS,"=01-REGIMEN GENERAL",COMPRAS!CX:CX,"=SI",COMPRAS!DD:DD,"=SI")+SUMIFS(COMPRAS!BP:BP,COMPRAS!BO:BO,V197,COMPRAS!CS:CS,"=01-REGIMEN GENERAL",COMPRAS!CX:CX,"=SI",COMPRAS!DD:DD,"=SI")+SUMIFS(COMPRAS!BY:BY,COMPRAS!BX:BX,V197,COMPRAS!CS:CS,"=01-REGIMEN GENERAL",COMPRAS!CX:CX,"=SI",COMPRAS!DD:DD,"=SI")</f>
        <v>0</v>
      </c>
      <c r="Y197" s="978"/>
      <c r="Z197" s="978"/>
      <c r="AA197" s="978"/>
      <c r="AB197" s="224"/>
      <c r="AC197" s="52"/>
      <c r="AD197" s="227"/>
      <c r="AE197" s="977">
        <f>SUMIFS(COMPRAS!BI:BI,COMPRAS!BF:BF,V197,COMPRAS!CS:CS,"=01-REGIMEN GENERAL",COMPRAS!CX:CX,"=SI",COMPRAS!DD:DD,"=SI")+SUMIFS(COMPRAS!BR:BR,COMPRAS!BO:BO,V197,COMPRAS!CS:CS,"=01-REGIMEN GENERAL",COMPRAS!CX:CX,"=SI",COMPRAS!DD:DD,"=SI")+SUMIFS(COMPRAS!CA:CA,COMPRAS!BX:BX,V197,COMPRAS!CS:CS,"=01-REGIMEN GENERAL",COMPRAS!CX:CX,"=SI",COMPRAS!DD:DD,"=SI")</f>
        <v>0</v>
      </c>
      <c r="AF197" s="978"/>
      <c r="AG197" s="978"/>
      <c r="AH197" s="978"/>
      <c r="AI197" s="206"/>
    </row>
    <row r="198" spans="1:35" ht="21" customHeight="1" outlineLevel="2" x14ac:dyDescent="0.35">
      <c r="A198" s="1012"/>
      <c r="B198" s="1013"/>
      <c r="C198" s="1021"/>
      <c r="D198" s="15"/>
      <c r="E198" s="15"/>
      <c r="F198" s="15"/>
      <c r="G198" s="15"/>
      <c r="H198" s="15"/>
      <c r="I198" s="15"/>
      <c r="J198" s="15"/>
      <c r="K198" s="15"/>
      <c r="L198" s="15"/>
      <c r="M198" s="15"/>
      <c r="N198" s="15"/>
      <c r="O198" s="15"/>
      <c r="P198" s="15"/>
      <c r="Q198" s="15"/>
      <c r="R198" s="15"/>
      <c r="S198" s="15"/>
      <c r="T198" s="15"/>
      <c r="U198" s="229" t="s">
        <v>197</v>
      </c>
      <c r="V198" s="272" t="s">
        <v>196</v>
      </c>
      <c r="W198" s="225"/>
      <c r="X198" s="977">
        <f>SUMIFS(COMPRAS!BG:BG,COMPRAS!BF:BF,V198,COMPRAS!CS:CS,"=01-REGIMEN GENERAL",COMPRAS!CX:CX,"=SI",COMPRAS!DD:DD,"=SI")+SUMIFS(COMPRAS!BP:BP,COMPRAS!BO:BO,V198,COMPRAS!CS:CS,"=01-REGIMEN GENERAL",COMPRAS!CX:CX,"=SI",COMPRAS!DD:DD,"=SI")+SUMIFS(COMPRAS!BY:BY,COMPRAS!BX:BX,V198,COMPRAS!CS:CS,"=01-REGIMEN GENERAL",COMPRAS!CX:CX,"=SI",COMPRAS!DD:DD,"=SI")</f>
        <v>0</v>
      </c>
      <c r="Y198" s="978"/>
      <c r="Z198" s="978"/>
      <c r="AA198" s="978"/>
      <c r="AB198" s="224"/>
      <c r="AC198" s="52"/>
      <c r="AD198" s="227"/>
      <c r="AE198" s="977">
        <f>SUMIFS(COMPRAS!BI:BI,COMPRAS!BF:BF,V198,COMPRAS!CS:CS,"=01-REGIMEN GENERAL",COMPRAS!CX:CX,"=SI",COMPRAS!DD:DD,"=SI")+SUMIFS(COMPRAS!BR:BR,COMPRAS!BO:BO,V198,COMPRAS!CS:CS,"=01-REGIMEN GENERAL",COMPRAS!CX:CX,"=SI",COMPRAS!DD:DD,"=SI")+SUMIFS(COMPRAS!CA:CA,COMPRAS!BX:BX,V198,COMPRAS!CS:CS,"=01-REGIMEN GENERAL",COMPRAS!CX:CX,"=SI",COMPRAS!DD:DD,"=SI")</f>
        <v>0</v>
      </c>
      <c r="AF198" s="978"/>
      <c r="AG198" s="978"/>
      <c r="AH198" s="978"/>
      <c r="AI198" s="206"/>
    </row>
    <row r="199" spans="1:35" ht="21" customHeight="1" outlineLevel="2" x14ac:dyDescent="0.35">
      <c r="A199" s="1012"/>
      <c r="B199" s="1013"/>
      <c r="C199" s="1021"/>
      <c r="D199" s="15"/>
      <c r="E199" s="15"/>
      <c r="F199" s="15"/>
      <c r="G199" s="15"/>
      <c r="H199" s="15"/>
      <c r="I199" s="15"/>
      <c r="J199" s="15"/>
      <c r="K199" s="15"/>
      <c r="L199" s="15"/>
      <c r="M199" s="15"/>
      <c r="N199" s="15"/>
      <c r="O199" s="15"/>
      <c r="P199" s="15"/>
      <c r="Q199" s="15"/>
      <c r="R199" s="15"/>
      <c r="S199" s="15"/>
      <c r="T199" s="15"/>
      <c r="U199" s="229" t="s">
        <v>200</v>
      </c>
      <c r="V199" s="272" t="s">
        <v>199</v>
      </c>
      <c r="W199" s="225"/>
      <c r="X199" s="977">
        <f>SUMIFS(COMPRAS!BG:BG,COMPRAS!BF:BF,V199,COMPRAS!CS:CS,"=01-REGIMEN GENERAL",COMPRAS!CX:CX,"=SI",COMPRAS!DD:DD,"=SI")+SUMIFS(COMPRAS!BP:BP,COMPRAS!BO:BO,V199,COMPRAS!CS:CS,"=01-REGIMEN GENERAL",COMPRAS!CX:CX,"=SI",COMPRAS!DD:DD,"=SI")+SUMIFS(COMPRAS!BY:BY,COMPRAS!BX:BX,V199,COMPRAS!CS:CS,"=01-REGIMEN GENERAL",COMPRAS!CX:CX,"=SI",COMPRAS!DD:DD,"=SI")</f>
        <v>0</v>
      </c>
      <c r="Y199" s="978"/>
      <c r="Z199" s="978"/>
      <c r="AA199" s="978"/>
      <c r="AB199" s="224"/>
      <c r="AC199" s="52"/>
      <c r="AD199" s="227"/>
      <c r="AE199" s="977">
        <f>SUMIFS(COMPRAS!BI:BI,COMPRAS!BF:BF,V199,COMPRAS!CS:CS,"=01-REGIMEN GENERAL",COMPRAS!CX:CX,"=SI",COMPRAS!DD:DD,"=SI")+SUMIFS(COMPRAS!BR:BR,COMPRAS!BO:BO,V199,COMPRAS!CS:CS,"=01-REGIMEN GENERAL",COMPRAS!CX:CX,"=SI",COMPRAS!DD:DD,"=SI")+SUMIFS(COMPRAS!CA:CA,COMPRAS!BX:BX,V199,COMPRAS!CS:CS,"=01-REGIMEN GENERAL",COMPRAS!CX:CX,"=SI",COMPRAS!DD:DD,"=SI")</f>
        <v>0</v>
      </c>
      <c r="AF199" s="978"/>
      <c r="AG199" s="978"/>
      <c r="AH199" s="978"/>
      <c r="AI199" s="206"/>
    </row>
    <row r="200" spans="1:35" ht="21" customHeight="1" outlineLevel="2" x14ac:dyDescent="0.35">
      <c r="A200" s="1012"/>
      <c r="B200" s="1013"/>
      <c r="C200" s="1021"/>
      <c r="D200" s="15"/>
      <c r="E200" s="15"/>
      <c r="F200" s="15"/>
      <c r="G200" s="15"/>
      <c r="H200" s="15"/>
      <c r="I200" s="15"/>
      <c r="J200" s="15"/>
      <c r="K200" s="15"/>
      <c r="L200" s="15"/>
      <c r="M200" s="15"/>
      <c r="N200" s="15"/>
      <c r="O200" s="15"/>
      <c r="P200" s="15"/>
      <c r="Q200" s="15"/>
      <c r="R200" s="15"/>
      <c r="S200" s="15"/>
      <c r="T200" s="15"/>
      <c r="U200" s="229" t="s">
        <v>206</v>
      </c>
      <c r="V200" s="272" t="s">
        <v>205</v>
      </c>
      <c r="W200" s="225"/>
      <c r="X200" s="977">
        <f>SUMIFS(COMPRAS!BG:BG,COMPRAS!BF:BF,V200,COMPRAS!CS:CS,"=01-REGIMEN GENERAL",COMPRAS!CX:CX,"=SI",COMPRAS!DD:DD,"=SI")+SUMIFS(COMPRAS!BP:BP,COMPRAS!BO:BO,V200,COMPRAS!CS:CS,"=01-REGIMEN GENERAL",COMPRAS!CX:CX,"=SI",COMPRAS!DD:DD,"=SI")+SUMIFS(COMPRAS!BY:BY,COMPRAS!BX:BX,V200,COMPRAS!CS:CS,"=01-REGIMEN GENERAL",COMPRAS!CX:CX,"=SI",COMPRAS!DD:DD,"=SI")</f>
        <v>0</v>
      </c>
      <c r="Y200" s="978"/>
      <c r="Z200" s="978"/>
      <c r="AA200" s="978"/>
      <c r="AB200" s="224"/>
      <c r="AC200" s="52"/>
      <c r="AD200" s="227"/>
      <c r="AE200" s="977">
        <f>SUMIFS(COMPRAS!BI:BI,COMPRAS!BF:BF,V200,COMPRAS!CS:CS,"=01-REGIMEN GENERAL",COMPRAS!CX:CX,"=SI",COMPRAS!DD:DD,"=SI")+SUMIFS(COMPRAS!BR:BR,COMPRAS!BO:BO,V200,COMPRAS!CS:CS,"=01-REGIMEN GENERAL",COMPRAS!CX:CX,"=SI",COMPRAS!DD:DD,"=SI")+SUMIFS(COMPRAS!CA:CA,COMPRAS!BX:BX,V200,COMPRAS!CS:CS,"=01-REGIMEN GENERAL",COMPRAS!CX:CX,"=SI",COMPRAS!DD:DD,"=SI")</f>
        <v>0</v>
      </c>
      <c r="AF200" s="978"/>
      <c r="AG200" s="978"/>
      <c r="AH200" s="978"/>
      <c r="AI200" s="206"/>
    </row>
    <row r="201" spans="1:35" ht="21" customHeight="1" outlineLevel="2" x14ac:dyDescent="0.35">
      <c r="A201" s="1012"/>
      <c r="B201" s="1013"/>
      <c r="C201" s="1021"/>
      <c r="D201" s="15"/>
      <c r="E201" s="15"/>
      <c r="F201" s="15"/>
      <c r="G201" s="15"/>
      <c r="H201" s="15"/>
      <c r="I201" s="15"/>
      <c r="J201" s="15"/>
      <c r="K201" s="15"/>
      <c r="L201" s="15"/>
      <c r="M201" s="15"/>
      <c r="N201" s="15"/>
      <c r="O201" s="15"/>
      <c r="P201" s="15"/>
      <c r="Q201" s="15"/>
      <c r="R201" s="15"/>
      <c r="S201" s="15"/>
      <c r="T201" s="15"/>
      <c r="U201" s="229" t="s">
        <v>214</v>
      </c>
      <c r="V201" s="272" t="s">
        <v>213</v>
      </c>
      <c r="W201" s="225"/>
      <c r="X201" s="977">
        <f>SUMIFS(COMPRAS!BG:BG,COMPRAS!BF:BF,V201,COMPRAS!CS:CS,"=01-REGIMEN GENERAL",COMPRAS!CX:CX,"=SI",COMPRAS!DD:DD,"=SI")+SUMIFS(COMPRAS!BP:BP,COMPRAS!BO:BO,V201,COMPRAS!CS:CS,"=01-REGIMEN GENERAL",COMPRAS!CX:CX,"=SI",COMPRAS!DD:DD,"=SI")+SUMIFS(COMPRAS!BY:BY,COMPRAS!BX:BX,V201,COMPRAS!CS:CS,"=01-REGIMEN GENERAL",COMPRAS!CX:CX,"=SI",COMPRAS!DD:DD,"=SI")</f>
        <v>0</v>
      </c>
      <c r="Y201" s="978"/>
      <c r="Z201" s="978"/>
      <c r="AA201" s="978"/>
      <c r="AB201" s="224"/>
      <c r="AC201" s="52"/>
      <c r="AD201" s="227"/>
      <c r="AE201" s="977">
        <f>SUMIFS(COMPRAS!BI:BI,COMPRAS!BF:BF,V201,COMPRAS!CS:CS,"=01-REGIMEN GENERAL",COMPRAS!CX:CX,"=SI",COMPRAS!DD:DD,"=SI")+SUMIFS(COMPRAS!BR:BR,COMPRAS!BO:BO,V201,COMPRAS!CS:CS,"=01-REGIMEN GENERAL",COMPRAS!CX:CX,"=SI",COMPRAS!DD:DD,"=SI")+SUMIFS(COMPRAS!CA:CA,COMPRAS!BX:BX,V201,COMPRAS!CS:CS,"=01-REGIMEN GENERAL",COMPRAS!CX:CX,"=SI",COMPRAS!DD:DD,"=SI")</f>
        <v>0</v>
      </c>
      <c r="AF201" s="978"/>
      <c r="AG201" s="978"/>
      <c r="AH201" s="978"/>
      <c r="AI201" s="206"/>
    </row>
    <row r="202" spans="1:35" ht="21" customHeight="1" outlineLevel="2" x14ac:dyDescent="0.35">
      <c r="A202" s="1012"/>
      <c r="B202" s="1013"/>
      <c r="C202" s="1021"/>
      <c r="D202" s="15"/>
      <c r="E202" s="15"/>
      <c r="F202" s="15"/>
      <c r="G202" s="15"/>
      <c r="H202" s="15"/>
      <c r="I202" s="15"/>
      <c r="J202" s="15"/>
      <c r="K202" s="15"/>
      <c r="L202" s="15"/>
      <c r="M202" s="15"/>
      <c r="N202" s="15"/>
      <c r="O202" s="15"/>
      <c r="P202" s="15"/>
      <c r="Q202" s="15"/>
      <c r="R202" s="15"/>
      <c r="S202" s="15"/>
      <c r="T202" s="15"/>
      <c r="U202" s="229" t="s">
        <v>216</v>
      </c>
      <c r="V202" s="272" t="s">
        <v>215</v>
      </c>
      <c r="W202" s="225"/>
      <c r="X202" s="977">
        <f>SUMIFS(COMPRAS!BG:BG,COMPRAS!BF:BF,V202,COMPRAS!CS:CS,"=01-REGIMEN GENERAL",COMPRAS!CX:CX,"=SI",COMPRAS!DD:DD,"=SI")+SUMIFS(COMPRAS!BP:BP,COMPRAS!BO:BO,V202,COMPRAS!CS:CS,"=01-REGIMEN GENERAL",COMPRAS!CX:CX,"=SI",COMPRAS!DD:DD,"=SI")+SUMIFS(COMPRAS!BY:BY,COMPRAS!BX:BX,V202,COMPRAS!CS:CS,"=01-REGIMEN GENERAL",COMPRAS!CX:CX,"=SI",COMPRAS!DD:DD,"=SI")</f>
        <v>0</v>
      </c>
      <c r="Y202" s="978"/>
      <c r="Z202" s="978"/>
      <c r="AA202" s="978"/>
      <c r="AB202" s="224"/>
      <c r="AC202" s="52"/>
      <c r="AD202" s="227"/>
      <c r="AE202" s="977">
        <f>SUMIFS(COMPRAS!BI:BI,COMPRAS!BF:BF,V202,COMPRAS!CS:CS,"=01-REGIMEN GENERAL",COMPRAS!CX:CX,"=SI",COMPRAS!DD:DD,"=SI")+SUMIFS(COMPRAS!BR:BR,COMPRAS!BO:BO,V202,COMPRAS!CS:CS,"=01-REGIMEN GENERAL",COMPRAS!CX:CX,"=SI",COMPRAS!DD:DD,"=SI")+SUMIFS(COMPRAS!CA:CA,COMPRAS!BX:BX,V202,COMPRAS!CS:CS,"=01-REGIMEN GENERAL",COMPRAS!CX:CX,"=SI",COMPRAS!DD:DD,"=SI")</f>
        <v>0</v>
      </c>
      <c r="AF202" s="978"/>
      <c r="AG202" s="978"/>
      <c r="AH202" s="978"/>
      <c r="AI202" s="206"/>
    </row>
    <row r="203" spans="1:35" ht="21" customHeight="1" outlineLevel="2" x14ac:dyDescent="0.35">
      <c r="A203" s="1012"/>
      <c r="B203" s="1013"/>
      <c r="C203" s="1021"/>
      <c r="D203" s="15"/>
      <c r="E203" s="15"/>
      <c r="F203" s="15"/>
      <c r="G203" s="15"/>
      <c r="H203" s="15"/>
      <c r="I203" s="15"/>
      <c r="J203" s="15"/>
      <c r="K203" s="15"/>
      <c r="L203" s="15"/>
      <c r="M203" s="15"/>
      <c r="N203" s="15"/>
      <c r="O203" s="15"/>
      <c r="P203" s="15"/>
      <c r="Q203" s="15"/>
      <c r="R203" s="15"/>
      <c r="S203" s="15"/>
      <c r="T203" s="15"/>
      <c r="U203" s="229" t="s">
        <v>218</v>
      </c>
      <c r="V203" s="272" t="s">
        <v>217</v>
      </c>
      <c r="W203" s="225"/>
      <c r="X203" s="977">
        <f>SUMIFS(COMPRAS!BG:BG,COMPRAS!BF:BF,V203,COMPRAS!CS:CS,"=01-REGIMEN GENERAL",COMPRAS!CX:CX,"=SI",COMPRAS!DD:DD,"=SI")+SUMIFS(COMPRAS!BP:BP,COMPRAS!BO:BO,V203,COMPRAS!CS:CS,"=01-REGIMEN GENERAL",COMPRAS!CX:CX,"=SI",COMPRAS!DD:DD,"=SI")+SUMIFS(COMPRAS!BY:BY,COMPRAS!BX:BX,V203,COMPRAS!CS:CS,"=01-REGIMEN GENERAL",COMPRAS!CX:CX,"=SI",COMPRAS!DD:DD,"=SI")</f>
        <v>0</v>
      </c>
      <c r="Y203" s="978"/>
      <c r="Z203" s="978"/>
      <c r="AA203" s="978"/>
      <c r="AB203" s="224"/>
      <c r="AC203" s="52"/>
      <c r="AD203" s="227"/>
      <c r="AE203" s="977">
        <f>SUMIFS(COMPRAS!BI:BI,COMPRAS!BF:BF,V203,COMPRAS!CS:CS,"=01-REGIMEN GENERAL",COMPRAS!CX:CX,"=SI",COMPRAS!DD:DD,"=SI")+SUMIFS(COMPRAS!BR:BR,COMPRAS!BO:BO,V203,COMPRAS!CS:CS,"=01-REGIMEN GENERAL",COMPRAS!CX:CX,"=SI",COMPRAS!DD:DD,"=SI")+SUMIFS(COMPRAS!CA:CA,COMPRAS!BX:BX,V203,COMPRAS!CS:CS,"=01-REGIMEN GENERAL",COMPRAS!CX:CX,"=SI",COMPRAS!DD:DD,"=SI")</f>
        <v>0</v>
      </c>
      <c r="AF203" s="978"/>
      <c r="AG203" s="978"/>
      <c r="AH203" s="978"/>
      <c r="AI203" s="206"/>
    </row>
    <row r="204" spans="1:35" ht="21" customHeight="1" outlineLevel="2" x14ac:dyDescent="0.35">
      <c r="A204" s="1012"/>
      <c r="B204" s="1013"/>
      <c r="C204" s="1021"/>
      <c r="D204" s="15"/>
      <c r="E204" s="15"/>
      <c r="F204" s="15"/>
      <c r="G204" s="15"/>
      <c r="H204" s="15"/>
      <c r="I204" s="15"/>
      <c r="J204" s="15"/>
      <c r="K204" s="15"/>
      <c r="L204" s="15"/>
      <c r="M204" s="15"/>
      <c r="N204" s="15"/>
      <c r="O204" s="15"/>
      <c r="P204" s="15"/>
      <c r="Q204" s="15"/>
      <c r="R204" s="15"/>
      <c r="S204" s="15"/>
      <c r="T204" s="15"/>
      <c r="U204" s="229" t="s">
        <v>220</v>
      </c>
      <c r="V204" s="272" t="s">
        <v>219</v>
      </c>
      <c r="W204" s="225"/>
      <c r="X204" s="977">
        <f>SUMIFS(COMPRAS!BG:BG,COMPRAS!BF:BF,V204,COMPRAS!CS:CS,"=01-REGIMEN GENERAL",COMPRAS!CX:CX,"=SI",COMPRAS!DD:DD,"=SI")+SUMIFS(COMPRAS!BP:BP,COMPRAS!BO:BO,V204,COMPRAS!CS:CS,"=01-REGIMEN GENERAL",COMPRAS!CX:CX,"=SI",COMPRAS!DD:DD,"=SI")+SUMIFS(COMPRAS!BY:BY,COMPRAS!BX:BX,V204,COMPRAS!CS:CS,"=01-REGIMEN GENERAL",COMPRAS!CX:CX,"=SI",COMPRAS!DD:DD,"=SI")</f>
        <v>0</v>
      </c>
      <c r="Y204" s="978"/>
      <c r="Z204" s="978"/>
      <c r="AA204" s="978"/>
      <c r="AB204" s="224"/>
      <c r="AC204" s="52"/>
      <c r="AD204" s="227"/>
      <c r="AE204" s="977">
        <f>SUMIFS(COMPRAS!BI:BI,COMPRAS!BF:BF,V204,COMPRAS!CS:CS,"=01-REGIMEN GENERAL",COMPRAS!CX:CX,"=SI",COMPRAS!DD:DD,"=SI")+SUMIFS(COMPRAS!BR:BR,COMPRAS!BO:BO,V204,COMPRAS!CS:CS,"=01-REGIMEN GENERAL",COMPRAS!CX:CX,"=SI",COMPRAS!DD:DD,"=SI")+SUMIFS(COMPRAS!CA:CA,COMPRAS!BX:BX,V204,COMPRAS!CS:CS,"=01-REGIMEN GENERAL",COMPRAS!CX:CX,"=SI",COMPRAS!DD:DD,"=SI")</f>
        <v>0</v>
      </c>
      <c r="AF204" s="978"/>
      <c r="AG204" s="978"/>
      <c r="AH204" s="978"/>
      <c r="AI204" s="206"/>
    </row>
    <row r="205" spans="1:35" ht="21" customHeight="1" outlineLevel="2" x14ac:dyDescent="0.35">
      <c r="A205" s="1012"/>
      <c r="B205" s="1013"/>
      <c r="C205" s="1021"/>
      <c r="D205" s="15"/>
      <c r="E205" s="15"/>
      <c r="F205" s="15"/>
      <c r="G205" s="15"/>
      <c r="H205" s="15"/>
      <c r="I205" s="15"/>
      <c r="J205" s="15"/>
      <c r="K205" s="15"/>
      <c r="L205" s="15"/>
      <c r="M205" s="15"/>
      <c r="N205" s="15"/>
      <c r="O205" s="15"/>
      <c r="P205" s="15"/>
      <c r="Q205" s="15"/>
      <c r="R205" s="15"/>
      <c r="S205" s="15"/>
      <c r="T205" s="15"/>
      <c r="U205" s="229" t="s">
        <v>222</v>
      </c>
      <c r="V205" s="272" t="s">
        <v>221</v>
      </c>
      <c r="W205" s="225"/>
      <c r="X205" s="977">
        <f>SUMIFS(COMPRAS!BG:BG,COMPRAS!BF:BF,V205,COMPRAS!CS:CS,"=01-REGIMEN GENERAL",COMPRAS!CX:CX,"=SI",COMPRAS!DD:DD,"=SI")+SUMIFS(COMPRAS!BP:BP,COMPRAS!BO:BO,V205,COMPRAS!CS:CS,"=01-REGIMEN GENERAL",COMPRAS!CX:CX,"=SI",COMPRAS!DD:DD,"=SI")+SUMIFS(COMPRAS!BY:BY,COMPRAS!BX:BX,V205,COMPRAS!CS:CS,"=01-REGIMEN GENERAL",COMPRAS!CX:CX,"=SI",COMPRAS!DD:DD,"=SI")</f>
        <v>0</v>
      </c>
      <c r="Y205" s="978"/>
      <c r="Z205" s="978"/>
      <c r="AA205" s="978"/>
      <c r="AB205" s="224"/>
      <c r="AC205" s="52"/>
      <c r="AD205" s="227"/>
      <c r="AE205" s="977">
        <f>SUMIFS(COMPRAS!BI:BI,COMPRAS!BF:BF,V205,COMPRAS!CS:CS,"=01-REGIMEN GENERAL",COMPRAS!CX:CX,"=SI",COMPRAS!DD:DD,"=SI")+SUMIFS(COMPRAS!BR:BR,COMPRAS!BO:BO,V205,COMPRAS!CS:CS,"=01-REGIMEN GENERAL",COMPRAS!CX:CX,"=SI",COMPRAS!DD:DD,"=SI")+SUMIFS(COMPRAS!CA:CA,COMPRAS!BX:BX,V205,COMPRAS!CS:CS,"=01-REGIMEN GENERAL",COMPRAS!CX:CX,"=SI",COMPRAS!DD:DD,"=SI")</f>
        <v>0</v>
      </c>
      <c r="AF205" s="978"/>
      <c r="AG205" s="978"/>
      <c r="AH205" s="978"/>
      <c r="AI205" s="206"/>
    </row>
    <row r="206" spans="1:35" ht="21" customHeight="1" outlineLevel="2" x14ac:dyDescent="0.35">
      <c r="A206" s="1012"/>
      <c r="B206" s="1013"/>
      <c r="C206" s="1021"/>
      <c r="D206" s="15"/>
      <c r="E206" s="15"/>
      <c r="F206" s="15"/>
      <c r="G206" s="15"/>
      <c r="H206" s="15"/>
      <c r="I206" s="15"/>
      <c r="J206" s="15"/>
      <c r="K206" s="15"/>
      <c r="L206" s="15"/>
      <c r="M206" s="15"/>
      <c r="N206" s="15"/>
      <c r="O206" s="15"/>
      <c r="P206" s="15"/>
      <c r="Q206" s="15"/>
      <c r="R206" s="15"/>
      <c r="S206" s="15"/>
      <c r="T206" s="15"/>
      <c r="U206" s="229" t="s">
        <v>224</v>
      </c>
      <c r="V206" s="272" t="s">
        <v>223</v>
      </c>
      <c r="W206" s="225"/>
      <c r="X206" s="977">
        <f>SUMIFS(COMPRAS!BG:BG,COMPRAS!BF:BF,V206,COMPRAS!CS:CS,"=01-REGIMEN GENERAL",COMPRAS!CX:CX,"=SI",COMPRAS!DD:DD,"=SI")+SUMIFS(COMPRAS!BP:BP,COMPRAS!BO:BO,V206,COMPRAS!CS:CS,"=01-REGIMEN GENERAL",COMPRAS!CX:CX,"=SI",COMPRAS!DD:DD,"=SI")+SUMIFS(COMPRAS!BY:BY,COMPRAS!BX:BX,V206,COMPRAS!CS:CS,"=01-REGIMEN GENERAL",COMPRAS!CX:CX,"=SI",COMPRAS!DD:DD,"=SI")</f>
        <v>0</v>
      </c>
      <c r="Y206" s="978"/>
      <c r="Z206" s="978"/>
      <c r="AA206" s="978"/>
      <c r="AB206" s="224"/>
      <c r="AC206" s="52"/>
      <c r="AD206" s="227"/>
      <c r="AE206" s="977">
        <f>SUMIFS(COMPRAS!BI:BI,COMPRAS!BF:BF,V206,COMPRAS!CS:CS,"=01-REGIMEN GENERAL",COMPRAS!CX:CX,"=SI",COMPRAS!DD:DD,"=SI")+SUMIFS(COMPRAS!BR:BR,COMPRAS!BO:BO,V206,COMPRAS!CS:CS,"=01-REGIMEN GENERAL",COMPRAS!CX:CX,"=SI",COMPRAS!DD:DD,"=SI")+SUMIFS(COMPRAS!CA:CA,COMPRAS!BX:BX,V206,COMPRAS!CS:CS,"=01-REGIMEN GENERAL",COMPRAS!CX:CX,"=SI",COMPRAS!DD:DD,"=SI")</f>
        <v>0</v>
      </c>
      <c r="AF206" s="978"/>
      <c r="AG206" s="978"/>
      <c r="AH206" s="978"/>
      <c r="AI206" s="206"/>
    </row>
    <row r="207" spans="1:35" ht="21" customHeight="1" outlineLevel="1" thickBot="1" x14ac:dyDescent="0.4">
      <c r="A207" s="1012"/>
      <c r="B207" s="1013"/>
      <c r="C207" s="1021"/>
      <c r="D207" s="15" t="s">
        <v>936</v>
      </c>
      <c r="E207" s="15"/>
      <c r="F207" s="15"/>
      <c r="G207" s="15"/>
      <c r="H207" s="15"/>
      <c r="I207" s="15"/>
      <c r="J207" s="15"/>
      <c r="K207" s="15"/>
      <c r="L207" s="15"/>
      <c r="M207" s="15"/>
      <c r="N207" s="15"/>
      <c r="O207" s="15"/>
      <c r="P207" s="15"/>
      <c r="Q207" s="15"/>
      <c r="R207" s="15"/>
      <c r="S207" s="15"/>
      <c r="T207" s="15"/>
      <c r="U207" s="130"/>
      <c r="V207" s="226">
        <v>412</v>
      </c>
      <c r="W207" s="225" t="s">
        <v>769</v>
      </c>
      <c r="X207" s="1025">
        <f>SUM(X208:AA208)</f>
        <v>0</v>
      </c>
      <c r="Y207" s="1026"/>
      <c r="Z207" s="1026"/>
      <c r="AA207" s="1026"/>
      <c r="AB207" s="220"/>
      <c r="AC207" s="1003"/>
      <c r="AD207" s="1004"/>
      <c r="AE207" s="1004"/>
      <c r="AF207" s="1004"/>
      <c r="AG207" s="1004"/>
      <c r="AH207" s="1004"/>
      <c r="AI207" s="1005"/>
    </row>
    <row r="208" spans="1:35" ht="21" customHeight="1" outlineLevel="2" thickBot="1" x14ac:dyDescent="0.4">
      <c r="A208" s="1015"/>
      <c r="B208" s="1016"/>
      <c r="C208" s="1022"/>
      <c r="D208" s="5"/>
      <c r="E208" s="5"/>
      <c r="F208" s="5"/>
      <c r="G208" s="5"/>
      <c r="H208" s="5"/>
      <c r="I208" s="5"/>
      <c r="J208" s="5"/>
      <c r="K208" s="5"/>
      <c r="L208" s="5"/>
      <c r="M208" s="5"/>
      <c r="N208" s="5"/>
      <c r="O208" s="5"/>
      <c r="P208" s="5"/>
      <c r="Q208" s="5"/>
      <c r="R208" s="5"/>
      <c r="S208" s="5"/>
      <c r="T208" s="5"/>
      <c r="U208" s="223" t="s">
        <v>228</v>
      </c>
      <c r="V208" s="222">
        <v>524</v>
      </c>
      <c r="W208" s="221"/>
      <c r="X208" s="1018">
        <f>SUMIFS(COMPRAS!BG:BG,COMPRAS!BF:BF,V208,COMPRAS!CS:CS,"=01-REGIMEN GENERAL",COMPRAS!CX:CX,"=SI",COMPRAS!DD:DD,"=SI")+SUMIFS(COMPRAS!BP:BP,COMPRAS!BO:BO,V208,COMPRAS!CS:CS,"=01-REGIMEN GENERAL",COMPRAS!CX:CX,"=SI",COMPRAS!DD:DD,"=SI")+SUMIFS(COMPRAS!BY:BY,COMPRAS!BX:BX,V208,COMPRAS!CS:CS,"=01-REGIMEN GENERAL",COMPRAS!CX:CX,"=SI",COMPRAS!DD:DD,"=SI")</f>
        <v>0</v>
      </c>
      <c r="Y208" s="1019"/>
      <c r="Z208" s="1019"/>
      <c r="AA208" s="1019"/>
      <c r="AB208" s="268"/>
      <c r="AC208" s="1000"/>
      <c r="AD208" s="1001"/>
      <c r="AE208" s="1001"/>
      <c r="AF208" s="1001"/>
      <c r="AG208" s="1001"/>
      <c r="AH208" s="1001"/>
      <c r="AI208" s="1002"/>
    </row>
    <row r="209" spans="1:35" ht="21" customHeight="1" outlineLevel="1" x14ac:dyDescent="0.35">
      <c r="A209" s="1009" t="s">
        <v>949</v>
      </c>
      <c r="B209" s="1010"/>
      <c r="C209" s="1011"/>
      <c r="D209" s="118" t="s">
        <v>948</v>
      </c>
      <c r="E209" s="118"/>
      <c r="F209" s="118"/>
      <c r="G209" s="118"/>
      <c r="H209" s="118"/>
      <c r="I209" s="118"/>
      <c r="J209" s="118"/>
      <c r="K209" s="118"/>
      <c r="L209" s="118"/>
      <c r="M209" s="118"/>
      <c r="N209" s="118"/>
      <c r="O209" s="118"/>
      <c r="P209" s="118"/>
      <c r="Q209" s="118"/>
      <c r="R209" s="118"/>
      <c r="S209" s="118"/>
      <c r="T209" s="118"/>
      <c r="U209" s="238"/>
      <c r="V209" s="237">
        <v>413</v>
      </c>
      <c r="W209" s="236" t="s">
        <v>769</v>
      </c>
      <c r="X209" s="979">
        <f>SUM(X210)</f>
        <v>0</v>
      </c>
      <c r="Y209" s="980"/>
      <c r="Z209" s="980"/>
      <c r="AA209" s="980"/>
      <c r="AB209" s="230"/>
      <c r="AC209" s="234">
        <v>463</v>
      </c>
      <c r="AD209" s="233" t="s">
        <v>769</v>
      </c>
      <c r="AE209" s="977">
        <f>SUM(AE210)</f>
        <v>0</v>
      </c>
      <c r="AF209" s="978"/>
      <c r="AG209" s="978"/>
      <c r="AH209" s="978"/>
      <c r="AI209" s="232"/>
    </row>
    <row r="210" spans="1:35" ht="21" customHeight="1" outlineLevel="2" x14ac:dyDescent="0.35">
      <c r="A210" s="1012"/>
      <c r="B210" s="1013"/>
      <c r="C210" s="1014"/>
      <c r="D210" s="43"/>
      <c r="E210" s="43"/>
      <c r="F210" s="43"/>
      <c r="G210" s="43"/>
      <c r="H210" s="43"/>
      <c r="I210" s="43"/>
      <c r="J210" s="43"/>
      <c r="K210" s="43"/>
      <c r="L210" s="43"/>
      <c r="M210" s="43"/>
      <c r="N210" s="43"/>
      <c r="O210" s="43"/>
      <c r="P210" s="43"/>
      <c r="Q210" s="43"/>
      <c r="R210" s="43"/>
      <c r="U210" s="229" t="s">
        <v>193</v>
      </c>
      <c r="V210" s="272" t="s">
        <v>192</v>
      </c>
      <c r="W210" s="74"/>
      <c r="X210" s="977">
        <f>SUMIFS(COMPRAS!BG:BG,COMPRAS!BF:BF,V210,COMPRAS!CS:CS,"=01-REGIMEN GENERAL",COMPRAS!CX:CX,"&lt;&gt;SI",COMPRAS!DD:DD,"=SI")+SUMIFS(COMPRAS!BP:BP,COMPRAS!BO:BO,V210,COMPRAS!CS:CS,"=01-REGIMEN GENERAL",COMPRAS!CX:CX,"&lt;&gt;SI",COMPRAS!DD:DD,"=SI")+SUMIFS(COMPRAS!BY:BY,COMPRAS!BX:BX,V210,COMPRAS!CS:CS,"=01-REGIMEN GENERAL",COMPRAS!CX:CX,"&lt;&gt;SI",COMPRAS!DD:DD,"=SI")</f>
        <v>0</v>
      </c>
      <c r="Y210" s="978"/>
      <c r="Z210" s="978"/>
      <c r="AA210" s="978"/>
      <c r="AB210" s="43"/>
      <c r="AC210" s="111"/>
      <c r="AD210" s="227"/>
      <c r="AE210" s="977">
        <f>SUMIFS(COMPRAS!BI:BI,COMPRAS!BF:BF,V210,COMPRAS!CS:CS,"=01-REGIMEN GENERAL",COMPRAS!CX:CX,"&lt;&gt;SI",COMPRAS!DD:DD,"=SI")+SUMIFS(COMPRAS!BR:BR,COMPRAS!BO:BO,V210,COMPRAS!CS:CS,"=01-REGIMEN GENERAL",COMPRAS!CX:CX,"&lt;&gt;SI",COMPRAS!DD:DD,"=SI")+SUMIFS(COMPRAS!CA:CA,COMPRAS!BX:BX,V210,COMPRAS!CS:CS,"=01-REGIMEN GENERAL",COMPRAS!CX:CX,"&lt;&gt;SI",COMPRAS!DD:DD,"=SI")</f>
        <v>0</v>
      </c>
      <c r="AF210" s="978"/>
      <c r="AG210" s="978"/>
      <c r="AH210" s="978"/>
      <c r="AI210" s="206"/>
    </row>
    <row r="211" spans="1:35" ht="21" customHeight="1" outlineLevel="1" x14ac:dyDescent="0.35">
      <c r="A211" s="1012"/>
      <c r="B211" s="1013"/>
      <c r="C211" s="1014"/>
      <c r="D211" s="43" t="s">
        <v>947</v>
      </c>
      <c r="E211" s="43"/>
      <c r="F211" s="43"/>
      <c r="G211" s="43"/>
      <c r="H211" s="43"/>
      <c r="I211" s="43"/>
      <c r="J211" s="43"/>
      <c r="K211" s="43"/>
      <c r="L211" s="43"/>
      <c r="M211" s="43"/>
      <c r="N211" s="43"/>
      <c r="O211" s="43"/>
      <c r="P211" s="43"/>
      <c r="Q211" s="43"/>
      <c r="R211" s="15"/>
      <c r="S211" s="15"/>
      <c r="T211" s="15"/>
      <c r="U211" s="130"/>
      <c r="V211" s="241">
        <v>414</v>
      </c>
      <c r="W211" s="240" t="s">
        <v>769</v>
      </c>
      <c r="X211" s="977">
        <f>SUM(X212:AA214)</f>
        <v>0</v>
      </c>
      <c r="Y211" s="978"/>
      <c r="Z211" s="978"/>
      <c r="AA211" s="978"/>
      <c r="AB211" s="224"/>
      <c r="AC211" s="54">
        <v>464</v>
      </c>
      <c r="AD211" s="239" t="s">
        <v>769</v>
      </c>
      <c r="AE211" s="977">
        <f>SUM(AE212:AH214)</f>
        <v>0</v>
      </c>
      <c r="AF211" s="978"/>
      <c r="AG211" s="978"/>
      <c r="AH211" s="978"/>
      <c r="AI211" s="206"/>
    </row>
    <row r="212" spans="1:35" ht="21" customHeight="1" outlineLevel="2" x14ac:dyDescent="0.35">
      <c r="A212" s="1012"/>
      <c r="B212" s="1013"/>
      <c r="C212" s="1014"/>
      <c r="D212" s="43"/>
      <c r="E212" s="43"/>
      <c r="F212" s="43"/>
      <c r="G212" s="43"/>
      <c r="H212" s="43"/>
      <c r="I212" s="43"/>
      <c r="J212" s="43"/>
      <c r="K212" s="43"/>
      <c r="L212" s="43"/>
      <c r="M212" s="43"/>
      <c r="N212" s="43"/>
      <c r="O212" s="43"/>
      <c r="P212" s="43"/>
      <c r="Q212" s="43"/>
      <c r="R212" s="43"/>
      <c r="S212" s="37"/>
      <c r="T212" s="37"/>
      <c r="U212" s="229" t="s">
        <v>187</v>
      </c>
      <c r="V212" s="272" t="s">
        <v>186</v>
      </c>
      <c r="W212" s="225"/>
      <c r="X212" s="977">
        <f>SUMIFS(COMPRAS!BG:BG,COMPRAS!BF:BF,V212,COMPRAS!CS:CS,"=01-REGIMEN GENERAL",COMPRAS!CX:CX,"&lt;&gt;SI",COMPRAS!DD:DD,"=SI")+SUMIFS(COMPRAS!BP:BP,COMPRAS!BO:BO,V212,COMPRAS!CS:CS,"=01-REGIMEN GENERAL",COMPRAS!CX:CX,"&lt;&gt;SI",COMPRAS!DD:DD,"=SI")+SUMIFS(COMPRAS!BY:BY,COMPRAS!BX:BX,V212,COMPRAS!CS:CS,"=01-REGIMEN GENERAL",COMPRAS!CX:CX,"&lt;&gt;SI",COMPRAS!DD:DD,"=SI")</f>
        <v>0</v>
      </c>
      <c r="Y212" s="978"/>
      <c r="Z212" s="978"/>
      <c r="AA212" s="978"/>
      <c r="AB212" s="224"/>
      <c r="AC212" s="52"/>
      <c r="AD212" s="227"/>
      <c r="AE212" s="977">
        <f>SUMIFS(COMPRAS!BI:BI,COMPRAS!BF:BF,V212,COMPRAS!CS:CS,"=01-REGIMEN GENERAL",COMPRAS!CX:CX,"&lt;&gt;SI",COMPRAS!DD:DD,"=SI")+SUMIFS(COMPRAS!BR:BR,COMPRAS!BO:BO,V212,COMPRAS!CS:CS,"=01-REGIMEN GENERAL",COMPRAS!CX:CX,"&lt;&gt;SI",COMPRAS!DD:DD,"=SI")+SUMIFS(COMPRAS!CA:CA,COMPRAS!BX:BX,V212,COMPRAS!CS:CS,"=01-REGIMEN GENERAL",COMPRAS!CX:CX,"&lt;&gt;SI",COMPRAS!DD:DD,"=SI")</f>
        <v>0</v>
      </c>
      <c r="AF212" s="978"/>
      <c r="AG212" s="978"/>
      <c r="AH212" s="978"/>
      <c r="AI212" s="206"/>
    </row>
    <row r="213" spans="1:35" ht="21" customHeight="1" outlineLevel="2" x14ac:dyDescent="0.35">
      <c r="A213" s="1012"/>
      <c r="B213" s="1013"/>
      <c r="C213" s="1014"/>
      <c r="D213" s="43"/>
      <c r="E213" s="43"/>
      <c r="F213" s="43"/>
      <c r="G213" s="43"/>
      <c r="H213" s="43"/>
      <c r="I213" s="43"/>
      <c r="J213" s="43"/>
      <c r="K213" s="43"/>
      <c r="L213" s="43"/>
      <c r="M213" s="43"/>
      <c r="N213" s="43"/>
      <c r="O213" s="43"/>
      <c r="P213" s="43"/>
      <c r="Q213" s="43"/>
      <c r="R213" s="43"/>
      <c r="S213" s="37"/>
      <c r="T213" s="37"/>
      <c r="U213" s="229" t="s">
        <v>189</v>
      </c>
      <c r="V213" s="272" t="s">
        <v>188</v>
      </c>
      <c r="W213" s="225"/>
      <c r="X213" s="977">
        <f>SUMIFS(COMPRAS!BG:BG,COMPRAS!BF:BF,V213,COMPRAS!CS:CS,"=01-REGIMEN GENERAL",COMPRAS!CX:CX,"&lt;&gt;SI",COMPRAS!DD:DD,"=SI")+SUMIFS(COMPRAS!BP:BP,COMPRAS!BO:BO,V213,COMPRAS!CS:CS,"=01-REGIMEN GENERAL",COMPRAS!CX:CX,"&lt;&gt;SI",COMPRAS!DD:DD,"=SI")+SUMIFS(COMPRAS!BY:BY,COMPRAS!BX:BX,V213,COMPRAS!CS:CS,"=01-REGIMEN GENERAL",COMPRAS!CX:CX,"&lt;&gt;SI",COMPRAS!DD:DD,"=SI")</f>
        <v>0</v>
      </c>
      <c r="Y213" s="978"/>
      <c r="Z213" s="978"/>
      <c r="AA213" s="978"/>
      <c r="AB213" s="224"/>
      <c r="AC213" s="52"/>
      <c r="AD213" s="227"/>
      <c r="AE213" s="977">
        <f>SUMIFS(COMPRAS!BI:BI,COMPRAS!BF:BF,V213,COMPRAS!CS:CS,"=01-REGIMEN GENERAL",COMPRAS!CX:CX,"&lt;&gt;SI",COMPRAS!DD:DD,"=SI")+SUMIFS(COMPRAS!BR:BR,COMPRAS!BO:BO,V213,COMPRAS!CS:CS,"=01-REGIMEN GENERAL",COMPRAS!CX:CX,"&lt;&gt;SI",COMPRAS!DD:DD,"=SI")+SUMIFS(COMPRAS!CA:CA,COMPRAS!BX:BX,V213,COMPRAS!CS:CS,"=01-REGIMEN GENERAL",COMPRAS!CX:CX,"&lt;&gt;SI",COMPRAS!DD:DD,"=SI")</f>
        <v>0</v>
      </c>
      <c r="AF213" s="978"/>
      <c r="AG213" s="978"/>
      <c r="AH213" s="978"/>
      <c r="AI213" s="206"/>
    </row>
    <row r="214" spans="1:35" ht="21" customHeight="1" outlineLevel="2" x14ac:dyDescent="0.35">
      <c r="A214" s="1012"/>
      <c r="B214" s="1013"/>
      <c r="C214" s="1014"/>
      <c r="D214" s="43"/>
      <c r="E214" s="43"/>
      <c r="F214" s="43"/>
      <c r="G214" s="43"/>
      <c r="H214" s="43"/>
      <c r="I214" s="43"/>
      <c r="J214" s="43"/>
      <c r="K214" s="43"/>
      <c r="L214" s="43"/>
      <c r="M214" s="15"/>
      <c r="N214" s="15"/>
      <c r="O214" s="15"/>
      <c r="P214" s="15"/>
      <c r="Q214" s="15"/>
      <c r="R214" s="15"/>
      <c r="S214" s="15"/>
      <c r="T214" s="15"/>
      <c r="U214" s="245" t="s">
        <v>191</v>
      </c>
      <c r="V214" s="272" t="s">
        <v>190</v>
      </c>
      <c r="W214" s="225"/>
      <c r="X214" s="977">
        <f>SUMIFS(COMPRAS!BG:BG,COMPRAS!BF:BF,V214,COMPRAS!CS:CS,"=01-REGIMEN GENERAL",COMPRAS!CX:CX,"&lt;&gt;SI",COMPRAS!DD:DD,"=SI")+SUMIFS(COMPRAS!BP:BP,COMPRAS!BO:BO,V214,COMPRAS!CS:CS,"=01-REGIMEN GENERAL",COMPRAS!CX:CX,"&lt;&gt;SI",COMPRAS!DD:DD,"=SI")+SUMIFS(COMPRAS!BY:BY,COMPRAS!BX:BX,V214,COMPRAS!CS:CS,"=01-REGIMEN GENERAL",COMPRAS!CX:CX,"&lt;&gt;SI",COMPRAS!DD:DD,"=SI")</f>
        <v>0</v>
      </c>
      <c r="Y214" s="978"/>
      <c r="Z214" s="978"/>
      <c r="AA214" s="978"/>
      <c r="AB214" s="224"/>
      <c r="AC214" s="52"/>
      <c r="AD214" s="227"/>
      <c r="AE214" s="977">
        <f>SUMIFS(COMPRAS!BI:BI,COMPRAS!BF:BF,V214,COMPRAS!CS:CS,"=01-REGIMEN GENERAL",COMPRAS!CX:CX,"&lt;&gt;SI",COMPRAS!DD:DD,"=SI")+SUMIFS(COMPRAS!BR:BR,COMPRAS!BO:BO,V214,COMPRAS!CS:CS,"=01-REGIMEN GENERAL",COMPRAS!CX:CX,"&lt;&gt;SI",COMPRAS!DD:DD,"=SI")+SUMIFS(COMPRAS!CA:CA,COMPRAS!BX:BX,V214,COMPRAS!CS:CS,"=01-REGIMEN GENERAL",COMPRAS!CX:CX,"&lt;&gt;SI",COMPRAS!DD:DD,"=SI")</f>
        <v>0</v>
      </c>
      <c r="AF214" s="978"/>
      <c r="AG214" s="978"/>
      <c r="AH214" s="978"/>
      <c r="AI214" s="206"/>
    </row>
    <row r="215" spans="1:35" ht="21" customHeight="1" outlineLevel="1" x14ac:dyDescent="0.35">
      <c r="A215" s="1012"/>
      <c r="B215" s="1013"/>
      <c r="C215" s="1014"/>
      <c r="D215" s="43" t="s">
        <v>944</v>
      </c>
      <c r="E215" s="43"/>
      <c r="F215" s="43"/>
      <c r="G215" s="43"/>
      <c r="H215" s="43"/>
      <c r="I215" s="43"/>
      <c r="J215" s="43"/>
      <c r="K215" s="43"/>
      <c r="L215" s="43"/>
      <c r="M215" s="43"/>
      <c r="N215" s="43"/>
      <c r="O215" s="43"/>
      <c r="P215" s="43"/>
      <c r="Q215" s="43"/>
      <c r="R215" s="43"/>
      <c r="S215" s="43"/>
      <c r="T215" s="43"/>
      <c r="U215" s="231"/>
      <c r="V215" s="226">
        <v>415</v>
      </c>
      <c r="W215" s="225" t="s">
        <v>769</v>
      </c>
      <c r="X215" s="977">
        <f>SUM(X216:AA218)</f>
        <v>0</v>
      </c>
      <c r="Y215" s="978"/>
      <c r="Z215" s="978"/>
      <c r="AA215" s="978"/>
      <c r="AB215" s="230"/>
      <c r="AC215" s="111">
        <v>465</v>
      </c>
      <c r="AD215" s="227" t="s">
        <v>769</v>
      </c>
      <c r="AE215" s="977">
        <f>SUM(AE216:AH218)</f>
        <v>0</v>
      </c>
      <c r="AF215" s="978"/>
      <c r="AG215" s="978"/>
      <c r="AH215" s="978"/>
      <c r="AI215" s="206"/>
    </row>
    <row r="216" spans="1:35" ht="21" customHeight="1" outlineLevel="2" x14ac:dyDescent="0.35">
      <c r="A216" s="1012"/>
      <c r="B216" s="1013"/>
      <c r="C216" s="1014"/>
      <c r="D216" s="15"/>
      <c r="E216" s="15"/>
      <c r="F216" s="15"/>
      <c r="G216" s="15"/>
      <c r="H216" s="15"/>
      <c r="I216" s="15"/>
      <c r="J216" s="15"/>
      <c r="K216" s="15"/>
      <c r="L216" s="15"/>
      <c r="M216" s="15"/>
      <c r="N216" s="15"/>
      <c r="O216" s="15"/>
      <c r="P216" s="15"/>
      <c r="Q216" s="15"/>
      <c r="R216" s="15"/>
      <c r="S216" s="15"/>
      <c r="T216" s="15"/>
      <c r="U216" s="229" t="s">
        <v>1080</v>
      </c>
      <c r="V216" s="272" t="s">
        <v>181</v>
      </c>
      <c r="W216" s="225" t="s">
        <v>769</v>
      </c>
      <c r="X216" s="977">
        <f>SUMIFS(COMPRAS!BG:BG,COMPRAS!BF:BF,V216,COMPRAS!CS:CS,"=01-REGIMEN GENERAL",COMPRAS!CX:CX,"&lt;&gt;SI",COMPRAS!DD:DD,"=SI")+SUMIFS(COMPRAS!BP:BP,COMPRAS!BO:BO,V216,COMPRAS!CS:CS,"=01-REGIMEN GENERAL",COMPRAS!CX:CX,"&lt;&gt;SI",COMPRAS!DD:DD,"=SI")+SUMIFS(COMPRAS!BY:BY,COMPRAS!BX:BX,V216,COMPRAS!CS:CS,"=01-REGIMEN GENERAL",COMPRAS!CX:CX,"&lt;&gt;SI",COMPRAS!DD:DD,"=SI")</f>
        <v>0</v>
      </c>
      <c r="Y216" s="978"/>
      <c r="Z216" s="978"/>
      <c r="AA216" s="978"/>
      <c r="AB216" s="224"/>
      <c r="AC216" s="54"/>
      <c r="AD216" s="227" t="s">
        <v>769</v>
      </c>
      <c r="AE216" s="977">
        <f>SUMIFS(COMPRAS!BI:BI,COMPRAS!BF:BF,V216,COMPRAS!CS:CS,"=01-REGIMEN GENERAL",COMPRAS!CX:CX,"&lt;&gt;SI",COMPRAS!DD:DD,"=SI")+SUMIFS(COMPRAS!BR:BR,COMPRAS!BO:BO,V216,COMPRAS!CS:CS,"=01-REGIMEN GENERAL",COMPRAS!CX:CX,"&lt;&gt;SI",COMPRAS!DD:DD,"=SI")+SUMIFS(COMPRAS!CA:CA,COMPRAS!BX:BX,V216,COMPRAS!CS:CS,"=01-REGIMEN GENERAL",COMPRAS!CX:CX,"&lt;&gt;SI",COMPRAS!DD:DD,"=SI")</f>
        <v>0</v>
      </c>
      <c r="AF216" s="978"/>
      <c r="AG216" s="978"/>
      <c r="AH216" s="978"/>
      <c r="AI216" s="206"/>
    </row>
    <row r="217" spans="1:35" ht="21" customHeight="1" outlineLevel="2" x14ac:dyDescent="0.35">
      <c r="A217" s="1012"/>
      <c r="B217" s="1013"/>
      <c r="C217" s="1014"/>
      <c r="D217" s="15"/>
      <c r="E217" s="15"/>
      <c r="F217" s="15"/>
      <c r="G217" s="15"/>
      <c r="H217" s="15"/>
      <c r="I217" s="15"/>
      <c r="J217" s="15"/>
      <c r="K217" s="15"/>
      <c r="L217" s="15"/>
      <c r="M217" s="15"/>
      <c r="N217" s="15"/>
      <c r="O217" s="15"/>
      <c r="P217" s="15"/>
      <c r="Q217" s="15"/>
      <c r="R217" s="15"/>
      <c r="S217" s="15"/>
      <c r="T217" s="15"/>
      <c r="U217" s="229" t="s">
        <v>1082</v>
      </c>
      <c r="V217" s="272" t="s">
        <v>183</v>
      </c>
      <c r="W217" s="225" t="s">
        <v>769</v>
      </c>
      <c r="X217" s="977">
        <f>SUMIFS(COMPRAS!BG:BG,COMPRAS!BF:BF,V217,COMPRAS!CS:CS,"=01-REGIMEN GENERAL",COMPRAS!CX:CX,"&lt;&gt;SI",COMPRAS!DD:DD,"=SI")+SUMIFS(COMPRAS!BP:BP,COMPRAS!BO:BO,V217,COMPRAS!CS:CS,"=01-REGIMEN GENERAL",COMPRAS!CX:CX,"&lt;&gt;SI",COMPRAS!DD:DD,"=SI")+SUMIFS(COMPRAS!BY:BY,COMPRAS!BX:BX,V217,COMPRAS!CS:CS,"=01-REGIMEN GENERAL",COMPRAS!CX:CX,"&lt;&gt;SI",COMPRAS!DD:DD,"=SI")</f>
        <v>0</v>
      </c>
      <c r="Y217" s="978"/>
      <c r="Z217" s="978"/>
      <c r="AA217" s="978"/>
      <c r="AB217" s="224"/>
      <c r="AC217" s="54"/>
      <c r="AD217" s="227" t="s">
        <v>769</v>
      </c>
      <c r="AE217" s="977">
        <f>SUMIFS(COMPRAS!BI:BI,COMPRAS!BF:BF,V217,COMPRAS!CS:CS,"=01-REGIMEN GENERAL",COMPRAS!CX:CX,"&lt;&gt;SI",COMPRAS!DD:DD,"=SI")+SUMIFS(COMPRAS!BR:BR,COMPRAS!BO:BO,V217,COMPRAS!CS:CS,"=01-REGIMEN GENERAL",COMPRAS!CX:CX,"&lt;&gt;SI",COMPRAS!DD:DD,"=SI")+SUMIFS(COMPRAS!CA:CA,COMPRAS!BX:BX,V217,COMPRAS!CS:CS,"=01-REGIMEN GENERAL",COMPRAS!CX:CX,"&lt;&gt;SI",COMPRAS!DD:DD,"=SI")</f>
        <v>0</v>
      </c>
      <c r="AF217" s="978"/>
      <c r="AG217" s="978"/>
      <c r="AH217" s="978"/>
      <c r="AI217" s="206"/>
    </row>
    <row r="218" spans="1:35" ht="21" customHeight="1" outlineLevel="2" x14ac:dyDescent="0.35">
      <c r="A218" s="1012"/>
      <c r="B218" s="1013"/>
      <c r="C218" s="1014"/>
      <c r="D218" s="15"/>
      <c r="E218" s="15"/>
      <c r="F218" s="15"/>
      <c r="G218" s="15"/>
      <c r="H218" s="15"/>
      <c r="I218" s="15"/>
      <c r="J218" s="15"/>
      <c r="K218" s="15"/>
      <c r="L218" s="15"/>
      <c r="M218" s="15"/>
      <c r="N218" s="15"/>
      <c r="O218" s="15"/>
      <c r="P218" s="15"/>
      <c r="Q218" s="15"/>
      <c r="R218" s="15"/>
      <c r="S218" s="15"/>
      <c r="T218" s="15"/>
      <c r="U218" s="229" t="s">
        <v>1065</v>
      </c>
      <c r="V218" s="272" t="s">
        <v>1064</v>
      </c>
      <c r="W218" s="225" t="s">
        <v>769</v>
      </c>
      <c r="X218" s="977">
        <f>SUMIFS(COMPRAS!BG:BG,COMPRAS!BF:BF,V218,COMPRAS!CS:CS,"=01-REGIMEN GENERAL",COMPRAS!CX:CX,"&lt;&gt;SI",COMPRAS!DD:DD,"=SI")+SUMIFS(COMPRAS!BP:BP,COMPRAS!BO:BO,V218,COMPRAS!CS:CS,"=01-REGIMEN GENERAL",COMPRAS!CX:CX,"&lt;&gt;SI",COMPRAS!DD:DD,"=SI")+SUMIFS(COMPRAS!BY:BY,COMPRAS!BX:BX,V218,COMPRAS!CS:CS,"=01-REGIMEN GENERAL",COMPRAS!CX:CX,"&lt;&gt;SI",COMPRAS!DD:DD,"=SI")</f>
        <v>0</v>
      </c>
      <c r="Y218" s="978"/>
      <c r="Z218" s="978"/>
      <c r="AA218" s="978"/>
      <c r="AB218" s="224"/>
      <c r="AC218" s="54"/>
      <c r="AD218" s="227" t="s">
        <v>769</v>
      </c>
      <c r="AE218" s="977">
        <f>SUMIFS(COMPRAS!BI:BI,COMPRAS!BF:BF,V218,COMPRAS!CS:CS,"=01-REGIMEN GENERAL",COMPRAS!CX:CX,"&lt;&gt;SI",COMPRAS!DD:DD,"=SI")+SUMIFS(COMPRAS!BR:BR,COMPRAS!BO:BO,V218,COMPRAS!CS:CS,"=01-REGIMEN GENERAL",COMPRAS!CX:CX,"&lt;&gt;SI",COMPRAS!DD:DD,"=SI")+SUMIFS(COMPRAS!CA:CA,COMPRAS!BX:BX,V218,COMPRAS!CS:CS,"=01-REGIMEN GENERAL",COMPRAS!CX:CX,"&lt;&gt;SI",COMPRAS!DD:DD,"=SI")</f>
        <v>0</v>
      </c>
      <c r="AF218" s="978"/>
      <c r="AG218" s="978"/>
      <c r="AH218" s="978"/>
      <c r="AI218" s="206"/>
    </row>
    <row r="219" spans="1:35" ht="21" customHeight="1" outlineLevel="1" x14ac:dyDescent="0.35">
      <c r="A219" s="1012"/>
      <c r="B219" s="1013"/>
      <c r="C219" s="1014"/>
      <c r="D219" s="15" t="s">
        <v>943</v>
      </c>
      <c r="E219" s="15"/>
      <c r="F219" s="15"/>
      <c r="G219" s="15"/>
      <c r="H219" s="15"/>
      <c r="I219" s="15"/>
      <c r="J219" s="15"/>
      <c r="K219" s="15"/>
      <c r="L219" s="15"/>
      <c r="M219" s="15"/>
      <c r="N219" s="15"/>
      <c r="O219" s="15"/>
      <c r="P219" s="15"/>
      <c r="Q219" s="15"/>
      <c r="R219" s="15"/>
      <c r="S219" s="15"/>
      <c r="T219" s="15"/>
      <c r="U219" s="130"/>
      <c r="V219" s="226">
        <v>416</v>
      </c>
      <c r="W219" s="225" t="s">
        <v>769</v>
      </c>
      <c r="X219" s="977">
        <f>SUM(X220)</f>
        <v>0</v>
      </c>
      <c r="Y219" s="978"/>
      <c r="Z219" s="978"/>
      <c r="AA219" s="978"/>
      <c r="AB219" s="224"/>
      <c r="AC219" s="1006"/>
      <c r="AD219" s="1007"/>
      <c r="AE219" s="1007"/>
      <c r="AF219" s="1007"/>
      <c r="AG219" s="1007"/>
      <c r="AH219" s="1007"/>
      <c r="AI219" s="1008"/>
    </row>
    <row r="220" spans="1:35" ht="21" customHeight="1" outlineLevel="2" thickBot="1" x14ac:dyDescent="0.4">
      <c r="A220" s="1012"/>
      <c r="B220" s="1013"/>
      <c r="C220" s="1014"/>
      <c r="D220" s="15"/>
      <c r="E220" s="15"/>
      <c r="F220" s="15"/>
      <c r="G220" s="15"/>
      <c r="H220" s="15"/>
      <c r="I220" s="15"/>
      <c r="J220" s="15"/>
      <c r="K220" s="15"/>
      <c r="L220" s="15"/>
      <c r="M220" s="15"/>
      <c r="N220" s="15"/>
      <c r="O220" s="15"/>
      <c r="P220" s="15"/>
      <c r="Q220" s="15"/>
      <c r="R220" s="15"/>
      <c r="S220" s="15"/>
      <c r="T220" s="15"/>
      <c r="U220" s="229" t="s">
        <v>175</v>
      </c>
      <c r="V220" s="228">
        <v>504</v>
      </c>
      <c r="W220" s="225"/>
      <c r="X220" s="977">
        <f>SUMIFS(COMPRAS!BG:BG,COMPRAS!BF:BF,V220,COMPRAS!CS:CS,"=01-REGIMEN GENERAL",COMPRAS!CX:CX,"&lt;&gt;SI",COMPRAS!DD:DD,"=SI")+SUMIFS(COMPRAS!BP:BP,COMPRAS!BO:BO,V220,COMPRAS!CS:CS,"=01-REGIMEN GENERAL",COMPRAS!CX:CX,"&lt;&gt;SI",COMPRAS!DD:DD,"=SI")+SUMIFS(COMPRAS!BY:BY,COMPRAS!BX:BX,V220,COMPRAS!CS:CS,"=01-REGIMEN GENERAL",COMPRAS!CX:CX,"&lt;&gt;SI",COMPRAS!DD:DD,"=SI")</f>
        <v>0</v>
      </c>
      <c r="Y220" s="978"/>
      <c r="Z220" s="978"/>
      <c r="AA220" s="978"/>
      <c r="AB220" s="224"/>
      <c r="AC220" s="1000"/>
      <c r="AD220" s="1001"/>
      <c r="AE220" s="1001"/>
      <c r="AF220" s="1001"/>
      <c r="AG220" s="1001"/>
      <c r="AH220" s="1001"/>
      <c r="AI220" s="1002"/>
    </row>
    <row r="221" spans="1:35" ht="21" customHeight="1" outlineLevel="1" x14ac:dyDescent="0.35">
      <c r="A221" s="1012"/>
      <c r="B221" s="1013"/>
      <c r="C221" s="1014"/>
      <c r="D221" s="15" t="s">
        <v>942</v>
      </c>
      <c r="E221" s="15"/>
      <c r="F221" s="15"/>
      <c r="G221" s="15"/>
      <c r="H221" s="15"/>
      <c r="I221" s="15"/>
      <c r="J221" s="15"/>
      <c r="K221" s="15"/>
      <c r="L221" s="15"/>
      <c r="M221" s="15"/>
      <c r="N221" s="15"/>
      <c r="O221" s="15"/>
      <c r="P221" s="15"/>
      <c r="Q221" s="15"/>
      <c r="R221" s="15"/>
      <c r="S221" s="15"/>
      <c r="T221" s="15"/>
      <c r="U221" s="130"/>
      <c r="V221" s="226">
        <v>417</v>
      </c>
      <c r="W221" s="225" t="s">
        <v>769</v>
      </c>
      <c r="X221" s="977">
        <f>SUM(X222:AA222)</f>
        <v>0</v>
      </c>
      <c r="Y221" s="978"/>
      <c r="Z221" s="978"/>
      <c r="AA221" s="978"/>
      <c r="AB221" s="224"/>
      <c r="AC221" s="54">
        <v>467</v>
      </c>
      <c r="AD221" s="227" t="s">
        <v>769</v>
      </c>
      <c r="AE221" s="977">
        <f>SUM(AE222:AH222)</f>
        <v>0</v>
      </c>
      <c r="AF221" s="978"/>
      <c r="AG221" s="978"/>
      <c r="AH221" s="978"/>
      <c r="AI221" s="206"/>
    </row>
    <row r="222" spans="1:35" ht="21" customHeight="1" outlineLevel="2" x14ac:dyDescent="0.35">
      <c r="A222" s="1012"/>
      <c r="B222" s="1013"/>
      <c r="C222" s="1014"/>
      <c r="D222" s="15"/>
      <c r="E222" s="15"/>
      <c r="F222" s="15"/>
      <c r="G222" s="15"/>
      <c r="H222" s="15"/>
      <c r="I222" s="15"/>
      <c r="J222" s="15"/>
      <c r="K222" s="15"/>
      <c r="L222" s="15"/>
      <c r="M222" s="15"/>
      <c r="N222" s="15"/>
      <c r="O222" s="15"/>
      <c r="P222" s="15"/>
      <c r="Q222" s="15"/>
      <c r="R222" s="15"/>
      <c r="S222" s="15"/>
      <c r="T222" s="15"/>
      <c r="U222" s="229" t="s">
        <v>177</v>
      </c>
      <c r="V222" s="228" t="s">
        <v>176</v>
      </c>
      <c r="W222" s="225"/>
      <c r="X222" s="977">
        <f>SUMIFS(COMPRAS!BG:BG,COMPRAS!BF:BF,V222,COMPRAS!CS:CS,"=01-REGIMEN GENERAL",COMPRAS!CX:CX,"&lt;&gt;SI",COMPRAS!DD:DD,"=SI")+SUMIFS(COMPRAS!BP:BP,COMPRAS!BO:BO,V222,COMPRAS!CS:CS,"=01-REGIMEN GENERAL",COMPRAS!CX:CX,"&lt;&gt;SI",COMPRAS!DD:DD,"=SI")+SUMIFS(COMPRAS!BY:BY,COMPRAS!BX:BX,V222,COMPRAS!CS:CS,"=01-REGIMEN GENERAL",COMPRAS!CX:CX,"&lt;&gt;SI",COMPRAS!DD:DD,"=SI")</f>
        <v>0</v>
      </c>
      <c r="Y222" s="978"/>
      <c r="Z222" s="978"/>
      <c r="AA222" s="978"/>
      <c r="AB222" s="224"/>
      <c r="AC222" s="52"/>
      <c r="AD222" s="227"/>
      <c r="AE222" s="977">
        <f>SUMIFS(COMPRAS!BI:BI,COMPRAS!BF:BF,V222,COMPRAS!CS:CS,"=01-REGIMEN GENERAL",COMPRAS!CX:CX,"&lt;&gt;SI",COMPRAS!DD:DD,"=SI")+SUMIFS(COMPRAS!BR:BR,COMPRAS!BO:BO,V222,COMPRAS!CS:CS,"=01-REGIMEN GENERAL",COMPRAS!CX:CX,"&lt;&gt;SI",COMPRAS!DD:DD,"=SI")+SUMIFS(COMPRAS!CA:CA,COMPRAS!BX:BX,V222,COMPRAS!CS:CS,"=01-REGIMEN GENERAL",COMPRAS!CX:CX,"&lt;&gt;SI",COMPRAS!DD:DD,"=SI")</f>
        <v>0</v>
      </c>
      <c r="AF222" s="978"/>
      <c r="AG222" s="978"/>
      <c r="AH222" s="978"/>
      <c r="AI222" s="206"/>
    </row>
    <row r="223" spans="1:35" ht="21" customHeight="1" outlineLevel="1" x14ac:dyDescent="0.35">
      <c r="A223" s="1012"/>
      <c r="B223" s="1013"/>
      <c r="C223" s="1014"/>
      <c r="D223" s="15" t="s">
        <v>941</v>
      </c>
      <c r="E223" s="15"/>
      <c r="F223" s="15"/>
      <c r="G223" s="15"/>
      <c r="H223" s="15"/>
      <c r="I223" s="15"/>
      <c r="J223" s="15"/>
      <c r="K223" s="15"/>
      <c r="L223" s="15"/>
      <c r="M223" s="15"/>
      <c r="N223" s="15"/>
      <c r="O223" s="15"/>
      <c r="P223" s="15"/>
      <c r="Q223" s="15"/>
      <c r="R223" s="15"/>
      <c r="S223" s="15"/>
      <c r="T223" s="15"/>
      <c r="U223" s="130"/>
      <c r="V223" s="226">
        <v>418</v>
      </c>
      <c r="W223" s="225" t="s">
        <v>769</v>
      </c>
      <c r="X223" s="977">
        <f>SUM(X224:AA224)</f>
        <v>0</v>
      </c>
      <c r="Y223" s="978"/>
      <c r="Z223" s="978"/>
      <c r="AA223" s="978"/>
      <c r="AB223" s="224"/>
      <c r="AC223" s="54">
        <v>468</v>
      </c>
      <c r="AD223" s="227" t="s">
        <v>769</v>
      </c>
      <c r="AE223" s="977">
        <f>SUM(AE224:AH224)</f>
        <v>0</v>
      </c>
      <c r="AF223" s="978"/>
      <c r="AG223" s="978"/>
      <c r="AH223" s="978"/>
      <c r="AI223" s="206"/>
    </row>
    <row r="224" spans="1:35" ht="21" customHeight="1" outlineLevel="2" x14ac:dyDescent="0.35">
      <c r="A224" s="1012"/>
      <c r="B224" s="1013"/>
      <c r="C224" s="1014"/>
      <c r="D224" s="15"/>
      <c r="E224" s="15"/>
      <c r="F224" s="15"/>
      <c r="G224" s="15"/>
      <c r="H224" s="15"/>
      <c r="I224" s="15"/>
      <c r="J224" s="15"/>
      <c r="K224" s="15"/>
      <c r="L224" s="15"/>
      <c r="M224" s="15"/>
      <c r="N224" s="15"/>
      <c r="O224" s="15"/>
      <c r="P224" s="15"/>
      <c r="Q224" s="15"/>
      <c r="R224" s="15"/>
      <c r="S224" s="15"/>
      <c r="T224" s="15"/>
      <c r="U224" s="229" t="s">
        <v>1077</v>
      </c>
      <c r="V224" s="228" t="s">
        <v>178</v>
      </c>
      <c r="W224" s="225"/>
      <c r="X224" s="977">
        <f>SUMIFS(COMPRAS!BG:BG,COMPRAS!BF:BF,V224,COMPRAS!CS:CS,"=01-REGIMEN GENERAL",COMPRAS!CX:CX,"&lt;&gt;SI",COMPRAS!DD:DD,"=SI")+SUMIFS(COMPRAS!BP:BP,COMPRAS!BO:BO,V224,COMPRAS!CS:CS,"=01-REGIMEN GENERAL",COMPRAS!CX:CX,"&lt;&gt;SI",COMPRAS!DD:DD,"=SI")+SUMIFS(COMPRAS!BY:BY,COMPRAS!BX:BX,V224,COMPRAS!CS:CS,"=01-REGIMEN GENERAL",COMPRAS!CX:CX,"&lt;&gt;SI",COMPRAS!DD:DD,"=SI")</f>
        <v>0</v>
      </c>
      <c r="Y224" s="978"/>
      <c r="Z224" s="978"/>
      <c r="AA224" s="978"/>
      <c r="AB224" s="224"/>
      <c r="AC224" s="52"/>
      <c r="AD224" s="227"/>
      <c r="AE224" s="977">
        <f>SUMIFS(COMPRAS!BI:BI,COMPRAS!BF:BF,V224,COMPRAS!CS:CS,"=01-REGIMEN GENERAL",COMPRAS!CX:CX,"&lt;&gt;SI",COMPRAS!DD:DD,"=SI")+SUMIFS(COMPRAS!BR:BR,COMPRAS!BO:BO,V224,COMPRAS!CS:CS,"=01-REGIMEN GENERAL",COMPRAS!CX:CX,"&lt;&gt;SI",COMPRAS!DD:DD,"=SI")+SUMIFS(COMPRAS!CA:CA,COMPRAS!BX:BX,V224,COMPRAS!CS:CS,"=01-REGIMEN GENERAL",COMPRAS!CX:CX,"&lt;&gt;SI",COMPRAS!DD:DD,"=SI")</f>
        <v>0</v>
      </c>
      <c r="AF224" s="978"/>
      <c r="AG224" s="978"/>
      <c r="AH224" s="978"/>
      <c r="AI224" s="206"/>
    </row>
    <row r="225" spans="1:35" ht="21" customHeight="1" outlineLevel="1" x14ac:dyDescent="0.35">
      <c r="A225" s="1012"/>
      <c r="B225" s="1013"/>
      <c r="C225" s="1014"/>
      <c r="D225" s="15" t="s">
        <v>1164</v>
      </c>
      <c r="E225" s="15"/>
      <c r="F225" s="15"/>
      <c r="G225" s="15"/>
      <c r="H225" s="15"/>
      <c r="I225" s="15"/>
      <c r="J225" s="15"/>
      <c r="K225" s="15"/>
      <c r="L225" s="15"/>
      <c r="M225" s="15"/>
      <c r="N225" s="15"/>
      <c r="O225" s="15"/>
      <c r="P225" s="15"/>
      <c r="Q225" s="15"/>
      <c r="R225" s="15"/>
      <c r="S225" s="15"/>
      <c r="T225" s="15"/>
      <c r="U225" s="130"/>
      <c r="V225" s="226">
        <v>4160</v>
      </c>
      <c r="W225" s="225" t="s">
        <v>769</v>
      </c>
      <c r="X225" s="977">
        <f>SUM(X226)</f>
        <v>0</v>
      </c>
      <c r="Y225" s="978"/>
      <c r="Z225" s="978"/>
      <c r="AA225" s="978"/>
      <c r="AB225" s="224"/>
      <c r="AC225" s="54">
        <v>4660</v>
      </c>
      <c r="AD225" s="227" t="s">
        <v>769</v>
      </c>
      <c r="AE225" s="977">
        <f>SUM(AE226:AH226)</f>
        <v>0</v>
      </c>
      <c r="AF225" s="978"/>
      <c r="AG225" s="978"/>
      <c r="AH225" s="978"/>
      <c r="AI225" s="206"/>
    </row>
    <row r="226" spans="1:35" ht="21" customHeight="1" outlineLevel="2" x14ac:dyDescent="0.35">
      <c r="A226" s="1012"/>
      <c r="B226" s="1013"/>
      <c r="C226" s="1014"/>
      <c r="D226" s="15"/>
      <c r="E226" s="15"/>
      <c r="F226" s="15"/>
      <c r="G226" s="15"/>
      <c r="H226" s="15"/>
      <c r="I226" s="15"/>
      <c r="J226" s="15"/>
      <c r="K226" s="15"/>
      <c r="L226" s="15"/>
      <c r="M226" s="15"/>
      <c r="N226" s="15"/>
      <c r="O226" s="15"/>
      <c r="P226" s="15"/>
      <c r="Q226" s="15"/>
      <c r="R226" s="15"/>
      <c r="S226" s="15"/>
      <c r="T226" s="15"/>
      <c r="U226" s="229" t="s">
        <v>1076</v>
      </c>
      <c r="V226" s="228">
        <v>504</v>
      </c>
      <c r="W226" s="225"/>
      <c r="X226" s="977">
        <f>SUMIFS(COMPRAS!BG:BG,COMPRAS!BF:BF,V226,COMPRAS!CS:CS,"=01-REGIMEN GENERAL",COMPRAS!CX:CX,"&lt;&gt;SI",COMPRAS!DD:DD,"=SI")+SUMIFS(COMPRAS!BP:BP,COMPRAS!BO:BO,V226,COMPRAS!CS:CS,"=01-REGIMEN GENERAL",COMPRAS!CX:CX,"&lt;&gt;SI",COMPRAS!DD:DD,"=SI")+SUMIFS(COMPRAS!BY:BY,COMPRAS!BX:BX,V226,COMPRAS!CS:CS,"=01-REGIMEN GENERAL",COMPRAS!CX:CX,"&lt;&gt;SI",COMPRAS!DD:DD,"=SI")</f>
        <v>0</v>
      </c>
      <c r="Y226" s="978"/>
      <c r="Z226" s="978"/>
      <c r="AA226" s="978"/>
      <c r="AB226" s="224"/>
      <c r="AC226" s="52"/>
      <c r="AD226" s="227"/>
      <c r="AE226" s="977">
        <f>SUMIFS(COMPRAS!BI:BI,COMPRAS!BF:BF,V226,COMPRAS!CS:CS,"=01-REGIMEN GENERAL",COMPRAS!CX:CX,"&lt;&gt;SI",COMPRAS!DD:DD,"=SI")+SUMIFS(COMPRAS!BR:BR,COMPRAS!BO:BO,V226,COMPRAS!CS:CS,"=01-REGIMEN GENERAL",COMPRAS!CX:CX,"&lt;&gt;SI",COMPRAS!DD:DD,"=SI")+SUMIFS(COMPRAS!CA:CA,COMPRAS!BX:BX,V226,COMPRAS!CS:CS,"=01-REGIMEN GENERAL",COMPRAS!CX:CX,"&lt;&gt;SI",COMPRAS!DD:DD,"=SI")</f>
        <v>0</v>
      </c>
      <c r="AF226" s="978"/>
      <c r="AG226" s="978"/>
      <c r="AH226" s="978"/>
      <c r="AI226" s="206"/>
    </row>
    <row r="227" spans="1:35" ht="21" customHeight="1" outlineLevel="1" x14ac:dyDescent="0.35">
      <c r="A227" s="1012"/>
      <c r="B227" s="1013"/>
      <c r="C227" s="1014"/>
      <c r="D227" s="15" t="s">
        <v>1165</v>
      </c>
      <c r="E227" s="15"/>
      <c r="F227" s="15"/>
      <c r="G227" s="15"/>
      <c r="H227" s="15"/>
      <c r="I227" s="15"/>
      <c r="J227" s="15"/>
      <c r="K227" s="15"/>
      <c r="L227" s="15"/>
      <c r="M227" s="15"/>
      <c r="N227" s="15"/>
      <c r="O227" s="15"/>
      <c r="P227" s="15"/>
      <c r="Q227" s="15"/>
      <c r="R227" s="15"/>
      <c r="S227" s="15"/>
      <c r="T227" s="15"/>
      <c r="U227" s="130"/>
      <c r="V227" s="226">
        <v>4170</v>
      </c>
      <c r="W227" s="225" t="s">
        <v>769</v>
      </c>
      <c r="X227" s="977">
        <f>SUM(X228)</f>
        <v>0</v>
      </c>
      <c r="Y227" s="978"/>
      <c r="Z227" s="978"/>
      <c r="AA227" s="978"/>
      <c r="AB227" s="224"/>
      <c r="AC227" s="54">
        <v>4670</v>
      </c>
      <c r="AD227" s="227" t="s">
        <v>769</v>
      </c>
      <c r="AE227" s="977">
        <f>SUM(AE228:AH228)</f>
        <v>0</v>
      </c>
      <c r="AF227" s="978"/>
      <c r="AG227" s="978"/>
      <c r="AH227" s="978"/>
      <c r="AI227" s="206"/>
    </row>
    <row r="228" spans="1:35" ht="21" customHeight="1" outlineLevel="2" x14ac:dyDescent="0.35">
      <c r="A228" s="1012"/>
      <c r="B228" s="1013"/>
      <c r="C228" s="1014"/>
      <c r="D228" s="15"/>
      <c r="E228" s="15"/>
      <c r="F228" s="15"/>
      <c r="G228" s="15"/>
      <c r="H228" s="15"/>
      <c r="I228" s="15"/>
      <c r="J228" s="15"/>
      <c r="K228" s="15"/>
      <c r="L228" s="15"/>
      <c r="M228" s="15"/>
      <c r="N228" s="15"/>
      <c r="O228" s="15"/>
      <c r="P228" s="15"/>
      <c r="Q228" s="15"/>
      <c r="R228" s="15"/>
      <c r="S228" s="15"/>
      <c r="T228" s="15"/>
      <c r="U228" s="229" t="s">
        <v>1169</v>
      </c>
      <c r="V228" s="228" t="s">
        <v>176</v>
      </c>
      <c r="W228" s="225"/>
      <c r="X228" s="977">
        <f>SUMIFS(COMPRAS!BG:BG,COMPRAS!BF:BF,V228,COMPRAS!CS:CS,"=01-REGIMEN GENERAL",COMPRAS!CX:CX,"&lt;&gt;SI",COMPRAS!DD:DD,"=SI")+SUMIFS(COMPRAS!BP:BP,COMPRAS!BO:BO,V228,COMPRAS!CS:CS,"=01-REGIMEN GENERAL",COMPRAS!CX:CX,"&lt;&gt;SI",COMPRAS!DD:DD,"=SI")+SUMIFS(COMPRAS!BY:BY,COMPRAS!BX:BX,V228,COMPRAS!CS:CS,"=01-REGIMEN GENERAL",COMPRAS!CX:CX,"&lt;&gt;SI",COMPRAS!DD:DD,"=SI")</f>
        <v>0</v>
      </c>
      <c r="Y228" s="978"/>
      <c r="Z228" s="978"/>
      <c r="AA228" s="978"/>
      <c r="AB228" s="224"/>
      <c r="AC228" s="52"/>
      <c r="AD228" s="227"/>
      <c r="AE228" s="977">
        <f>SUMIFS(COMPRAS!BI:BI,COMPRAS!BF:BF,V228,COMPRAS!CS:CS,"=01-REGIMEN GENERAL",COMPRAS!CX:CX,"&lt;&gt;SI",COMPRAS!DD:DD,"=SI")+SUMIFS(COMPRAS!BR:BR,COMPRAS!BO:BO,V228,COMPRAS!CS:CS,"=01-REGIMEN GENERAL",COMPRAS!CX:CX,"&lt;&gt;SI",COMPRAS!DD:DD,"=SI")+SUMIFS(COMPRAS!CA:CA,COMPRAS!BX:BX,V228,COMPRAS!CS:CS,"=01-REGIMEN GENERAL",COMPRAS!CX:CX,"&lt;&gt;SI",COMPRAS!DD:DD,"=SI")</f>
        <v>0</v>
      </c>
      <c r="AF228" s="978"/>
      <c r="AG228" s="978"/>
      <c r="AH228" s="978"/>
      <c r="AI228" s="206"/>
    </row>
    <row r="229" spans="1:35" ht="21" customHeight="1" outlineLevel="1" x14ac:dyDescent="0.35">
      <c r="A229" s="1012"/>
      <c r="B229" s="1013"/>
      <c r="C229" s="1014"/>
      <c r="D229" s="15" t="s">
        <v>1166</v>
      </c>
      <c r="E229" s="15"/>
      <c r="F229" s="15"/>
      <c r="G229" s="15"/>
      <c r="H229" s="15"/>
      <c r="I229" s="15"/>
      <c r="J229" s="15"/>
      <c r="K229" s="15"/>
      <c r="L229" s="15"/>
      <c r="M229" s="15"/>
      <c r="N229" s="15"/>
      <c r="O229" s="15"/>
      <c r="P229" s="15"/>
      <c r="Q229" s="15"/>
      <c r="R229" s="15"/>
      <c r="S229" s="15"/>
      <c r="T229" s="15"/>
      <c r="U229" s="130"/>
      <c r="V229" s="226">
        <v>4180</v>
      </c>
      <c r="W229" s="225" t="s">
        <v>769</v>
      </c>
      <c r="X229" s="977">
        <f>SUM(X230)</f>
        <v>0</v>
      </c>
      <c r="Y229" s="978"/>
      <c r="Z229" s="978"/>
      <c r="AA229" s="978"/>
      <c r="AB229" s="224"/>
      <c r="AC229" s="54">
        <v>4680</v>
      </c>
      <c r="AD229" s="227" t="s">
        <v>769</v>
      </c>
      <c r="AE229" s="977">
        <f>SUM(AE230:AH230)</f>
        <v>0</v>
      </c>
      <c r="AF229" s="978"/>
      <c r="AG229" s="978"/>
      <c r="AH229" s="978"/>
      <c r="AI229" s="206"/>
    </row>
    <row r="230" spans="1:35" ht="21" customHeight="1" outlineLevel="2" x14ac:dyDescent="0.35">
      <c r="A230" s="1012"/>
      <c r="B230" s="1013"/>
      <c r="C230" s="1014"/>
      <c r="D230" s="15"/>
      <c r="E230" s="15"/>
      <c r="F230" s="15"/>
      <c r="G230" s="15"/>
      <c r="H230" s="15"/>
      <c r="I230" s="15"/>
      <c r="J230" s="15"/>
      <c r="K230" s="15"/>
      <c r="L230" s="15"/>
      <c r="M230" s="15"/>
      <c r="N230" s="15"/>
      <c r="O230" s="15"/>
      <c r="P230" s="15"/>
      <c r="Q230" s="15"/>
      <c r="R230" s="15"/>
      <c r="S230" s="15"/>
      <c r="T230" s="15"/>
      <c r="U230" s="229" t="s">
        <v>1168</v>
      </c>
      <c r="V230" s="228" t="s">
        <v>178</v>
      </c>
      <c r="W230" s="225"/>
      <c r="X230" s="977">
        <f>SUMIFS(COMPRAS!BG:BG,COMPRAS!BF:BF,V230,COMPRAS!CS:CS,"=01-REGIMEN GENERAL",COMPRAS!CX:CX,"&lt;&gt;SI",COMPRAS!DD:DD,"=SI")+SUMIFS(COMPRAS!BP:BP,COMPRAS!BO:BO,V230,COMPRAS!CS:CS,"=01-REGIMEN GENERAL",COMPRAS!CX:CX,"&lt;&gt;SI",COMPRAS!DD:DD,"=SI")+SUMIFS(COMPRAS!BY:BY,COMPRAS!BX:BX,V230,COMPRAS!CS:CS,"=01-REGIMEN GENERAL",COMPRAS!CX:CX,"&lt;&gt;SI",COMPRAS!DD:DD,"=SI")</f>
        <v>0</v>
      </c>
      <c r="Y230" s="978"/>
      <c r="Z230" s="978"/>
      <c r="AA230" s="978"/>
      <c r="AB230" s="224"/>
      <c r="AC230" s="52"/>
      <c r="AD230" s="227"/>
      <c r="AE230" s="977">
        <f>SUMIFS(COMPRAS!BI:BI,COMPRAS!BF:BF,V230,COMPRAS!CS:CS,"=01-REGIMEN GENERAL",COMPRAS!CX:CX,"&lt;&gt;SI",COMPRAS!DD:DD,"=SI")+SUMIFS(COMPRAS!BR:BR,COMPRAS!BO:BO,V230,COMPRAS!CS:CS,"=01-REGIMEN GENERAL",COMPRAS!CX:CX,"&lt;&gt;SI",COMPRAS!DD:DD,"=SI")+SUMIFS(COMPRAS!CA:CA,COMPRAS!BX:BX,V230,COMPRAS!CS:CS,"=01-REGIMEN GENERAL",COMPRAS!CX:CX,"&lt;&gt;SI",COMPRAS!DD:DD,"=SI")</f>
        <v>0</v>
      </c>
      <c r="AF230" s="978"/>
      <c r="AG230" s="978"/>
      <c r="AH230" s="978"/>
      <c r="AI230" s="206"/>
    </row>
    <row r="231" spans="1:35" ht="21" customHeight="1" outlineLevel="1" x14ac:dyDescent="0.35">
      <c r="A231" s="1012"/>
      <c r="B231" s="1013"/>
      <c r="C231" s="1014"/>
      <c r="D231" s="15" t="s">
        <v>940</v>
      </c>
      <c r="E231" s="15"/>
      <c r="F231" s="15"/>
      <c r="G231" s="15"/>
      <c r="H231" s="15"/>
      <c r="I231" s="15"/>
      <c r="J231" s="15"/>
      <c r="K231" s="15"/>
      <c r="L231" s="15"/>
      <c r="M231" s="15"/>
      <c r="N231" s="15"/>
      <c r="O231" s="15"/>
      <c r="P231" s="15"/>
      <c r="Q231" s="15"/>
      <c r="R231" s="15"/>
      <c r="S231" s="15"/>
      <c r="T231" s="15"/>
      <c r="U231" s="130"/>
      <c r="V231" s="226">
        <v>419</v>
      </c>
      <c r="W231" s="225" t="s">
        <v>769</v>
      </c>
      <c r="X231" s="977">
        <f>SUM(X232:AA232)</f>
        <v>0</v>
      </c>
      <c r="Y231" s="978"/>
      <c r="Z231" s="978"/>
      <c r="AA231" s="978"/>
      <c r="AB231" s="224"/>
      <c r="AC231" s="54">
        <v>469</v>
      </c>
      <c r="AD231" s="227" t="s">
        <v>769</v>
      </c>
      <c r="AE231" s="977">
        <f>SUM(AE232:AH232)</f>
        <v>0</v>
      </c>
      <c r="AF231" s="978"/>
      <c r="AG231" s="978"/>
      <c r="AH231" s="978"/>
      <c r="AI231" s="206"/>
    </row>
    <row r="232" spans="1:35" ht="21" customHeight="1" outlineLevel="2" x14ac:dyDescent="0.35">
      <c r="A232" s="1012"/>
      <c r="B232" s="1013"/>
      <c r="C232" s="1014"/>
      <c r="D232" s="15"/>
      <c r="E232" s="15"/>
      <c r="F232" s="15"/>
      <c r="G232" s="15"/>
      <c r="H232" s="15"/>
      <c r="I232" s="15"/>
      <c r="J232" s="15"/>
      <c r="K232" s="15"/>
      <c r="L232" s="15"/>
      <c r="M232" s="15"/>
      <c r="N232" s="15"/>
      <c r="O232" s="15"/>
      <c r="P232" s="15"/>
      <c r="Q232" s="15"/>
      <c r="R232" s="15"/>
      <c r="S232" s="15"/>
      <c r="T232" s="15"/>
      <c r="U232" s="229" t="s">
        <v>225</v>
      </c>
      <c r="V232" s="272">
        <v>521</v>
      </c>
      <c r="W232" s="225"/>
      <c r="X232" s="977">
        <f>SUMIFS(COMPRAS!BG:BG,COMPRAS!BF:BF,V232,COMPRAS!CS:CS,"=01-REGIMEN GENERAL",COMPRAS!CX:CX,"&lt;&gt;SI",COMPRAS!DD:DD,"=SI")+SUMIFS(COMPRAS!BP:BP,COMPRAS!BO:BO,V232,COMPRAS!CS:CS,"=01-REGIMEN GENERAL",COMPRAS!CX:CX,"&lt;&gt;SI",COMPRAS!DD:DD,"=SI")+SUMIFS(COMPRAS!BY:BY,COMPRAS!BX:BX,V232,COMPRAS!CS:CS,"=01-REGIMEN GENERAL",COMPRAS!CX:CX,"&lt;&gt;SI",COMPRAS!DD:DD,"=SI")</f>
        <v>0</v>
      </c>
      <c r="Y232" s="978"/>
      <c r="Z232" s="978"/>
      <c r="AA232" s="978"/>
      <c r="AB232" s="224"/>
      <c r="AC232" s="52"/>
      <c r="AD232" s="227"/>
      <c r="AE232" s="977">
        <f>SUMIFS(COMPRAS!BI:BI,COMPRAS!BF:BF,V232,COMPRAS!CS:CS,"=01-REGIMEN GENERAL",COMPRAS!CX:CX,"&lt;&gt;SI",COMPRAS!DD:DD,"=SI")+SUMIFS(COMPRAS!BR:BR,COMPRAS!BO:BO,V232,COMPRAS!CS:CS,"=01-REGIMEN GENERAL",COMPRAS!CX:CX,"&lt;&gt;SI",COMPRAS!DD:DD,"=SI")+SUMIFS(COMPRAS!CA:CA,COMPRAS!BX:BX,V232,COMPRAS!CS:CS,"=01-REGIMEN GENERAL",COMPRAS!CX:CX,"&lt;&gt;SI",COMPRAS!DD:DD,"=SI")</f>
        <v>0</v>
      </c>
      <c r="AF232" s="978"/>
      <c r="AG232" s="978"/>
      <c r="AH232" s="978"/>
      <c r="AI232" s="206"/>
    </row>
    <row r="233" spans="1:35" ht="21" customHeight="1" outlineLevel="1" x14ac:dyDescent="0.35">
      <c r="A233" s="1012"/>
      <c r="B233" s="1013"/>
      <c r="C233" s="1014"/>
      <c r="D233" s="15" t="s">
        <v>939</v>
      </c>
      <c r="E233" s="15"/>
      <c r="F233" s="15"/>
      <c r="G233" s="15"/>
      <c r="H233" s="15"/>
      <c r="I233" s="15"/>
      <c r="J233" s="15"/>
      <c r="K233" s="15"/>
      <c r="L233" s="15"/>
      <c r="M233" s="15"/>
      <c r="N233" s="15"/>
      <c r="O233" s="15"/>
      <c r="P233" s="15"/>
      <c r="Q233" s="15"/>
      <c r="R233" s="15"/>
      <c r="S233" s="15"/>
      <c r="T233" s="15"/>
      <c r="U233" s="130"/>
      <c r="V233" s="226">
        <v>420</v>
      </c>
      <c r="W233" s="225" t="s">
        <v>769</v>
      </c>
      <c r="X233" s="977">
        <f>SUM(X234:AA234)</f>
        <v>0</v>
      </c>
      <c r="Y233" s="978"/>
      <c r="Z233" s="978"/>
      <c r="AA233" s="978"/>
      <c r="AB233" s="224"/>
      <c r="AC233" s="54">
        <v>470</v>
      </c>
      <c r="AD233" s="227" t="s">
        <v>769</v>
      </c>
      <c r="AE233" s="977">
        <f>SUM(AE234:AH234)</f>
        <v>0</v>
      </c>
      <c r="AF233" s="978"/>
      <c r="AG233" s="978"/>
      <c r="AH233" s="978"/>
      <c r="AI233" s="206"/>
    </row>
    <row r="234" spans="1:35" ht="21" customHeight="1" outlineLevel="2" x14ac:dyDescent="0.35">
      <c r="A234" s="1012"/>
      <c r="B234" s="1013"/>
      <c r="C234" s="1014"/>
      <c r="D234" s="15"/>
      <c r="E234" s="15"/>
      <c r="F234" s="15"/>
      <c r="G234" s="15"/>
      <c r="H234" s="15"/>
      <c r="I234" s="15"/>
      <c r="J234" s="15"/>
      <c r="K234" s="15"/>
      <c r="L234" s="15"/>
      <c r="M234" s="15"/>
      <c r="N234" s="15"/>
      <c r="O234" s="15"/>
      <c r="P234" s="15"/>
      <c r="Q234" s="15"/>
      <c r="R234" s="15"/>
      <c r="S234" s="15"/>
      <c r="T234" s="15"/>
      <c r="U234" s="229" t="s">
        <v>1084</v>
      </c>
      <c r="V234" s="272" t="s">
        <v>226</v>
      </c>
      <c r="W234" s="225"/>
      <c r="X234" s="977">
        <f>SUMIFS(COMPRAS!BG:BG,COMPRAS!BF:BF,V234,COMPRAS!CS:CS,"=01-REGIMEN GENERAL",COMPRAS!CX:CX,"&lt;&gt;SI",COMPRAS!DD:DD,"=SI")+SUMIFS(COMPRAS!BP:BP,COMPRAS!BO:BO,V234,COMPRAS!CS:CS,"=01-REGIMEN GENERAL",COMPRAS!CX:CX,"&lt;&gt;SI",COMPRAS!DD:DD,"=SI")+SUMIFS(COMPRAS!BY:BY,COMPRAS!BX:BX,V234,COMPRAS!CS:CS,"=01-REGIMEN GENERAL",COMPRAS!CX:CX,"&lt;&gt;SI",COMPRAS!DD:DD,"=SI")</f>
        <v>0</v>
      </c>
      <c r="Y234" s="978"/>
      <c r="Z234" s="978"/>
      <c r="AA234" s="978"/>
      <c r="AB234" s="224"/>
      <c r="AC234" s="52"/>
      <c r="AD234" s="227"/>
      <c r="AE234" s="977">
        <f>SUMIFS(COMPRAS!BI:BI,COMPRAS!BF:BF,V234,COMPRAS!CS:CS,"=01-REGIMEN GENERAL",COMPRAS!CX:CX,"&lt;&gt;SI",COMPRAS!DD:DD,"=SI")+SUMIFS(COMPRAS!BR:BR,COMPRAS!BO:BO,V234,COMPRAS!CS:CS,"=01-REGIMEN GENERAL",COMPRAS!CX:CX,"&lt;&gt;SI",COMPRAS!DD:DD,"=SI")+SUMIFS(COMPRAS!CA:CA,COMPRAS!BX:BX,V234,COMPRAS!CS:CS,"=01-REGIMEN GENERAL",COMPRAS!CX:CX,"&lt;&gt;SI",COMPRAS!DD:DD,"=SI")</f>
        <v>0</v>
      </c>
      <c r="AF234" s="978"/>
      <c r="AG234" s="978"/>
      <c r="AH234" s="978"/>
      <c r="AI234" s="206"/>
    </row>
    <row r="235" spans="1:35" ht="21" customHeight="1" outlineLevel="1" x14ac:dyDescent="0.35">
      <c r="A235" s="1012"/>
      <c r="B235" s="1013"/>
      <c r="C235" s="1014"/>
      <c r="D235" s="15" t="s">
        <v>938</v>
      </c>
      <c r="E235" s="15"/>
      <c r="F235" s="15"/>
      <c r="G235" s="15"/>
      <c r="H235" s="15"/>
      <c r="I235" s="15"/>
      <c r="J235" s="15"/>
      <c r="K235" s="15"/>
      <c r="L235" s="15"/>
      <c r="M235" s="15"/>
      <c r="N235" s="15"/>
      <c r="O235" s="15"/>
      <c r="P235" s="15"/>
      <c r="Q235" s="15"/>
      <c r="R235" s="15"/>
      <c r="S235" s="15"/>
      <c r="T235" s="15"/>
      <c r="U235" s="130"/>
      <c r="V235" s="226">
        <v>421</v>
      </c>
      <c r="W235" s="225" t="s">
        <v>769</v>
      </c>
      <c r="X235" s="977">
        <f>SUM(X236:AA236)</f>
        <v>0</v>
      </c>
      <c r="Y235" s="978"/>
      <c r="Z235" s="978"/>
      <c r="AA235" s="978"/>
      <c r="AB235" s="224"/>
      <c r="AC235" s="54">
        <v>471</v>
      </c>
      <c r="AD235" s="227" t="s">
        <v>769</v>
      </c>
      <c r="AE235" s="977">
        <f>SUM(AE236:AH236)</f>
        <v>0</v>
      </c>
      <c r="AF235" s="978"/>
      <c r="AG235" s="978"/>
      <c r="AH235" s="978"/>
      <c r="AI235" s="206"/>
    </row>
    <row r="236" spans="1:35" ht="21" customHeight="1" outlineLevel="2" x14ac:dyDescent="0.35">
      <c r="A236" s="1012"/>
      <c r="B236" s="1013"/>
      <c r="C236" s="1014"/>
      <c r="D236" s="15"/>
      <c r="E236" s="15"/>
      <c r="F236" s="15"/>
      <c r="G236" s="15"/>
      <c r="H236" s="15"/>
      <c r="I236" s="15"/>
      <c r="J236" s="15"/>
      <c r="K236" s="15"/>
      <c r="L236" s="15"/>
      <c r="M236" s="15"/>
      <c r="N236" s="15"/>
      <c r="O236" s="15"/>
      <c r="P236" s="15"/>
      <c r="Q236" s="15"/>
      <c r="R236" s="15"/>
      <c r="S236" s="15"/>
      <c r="T236" s="15"/>
      <c r="U236" s="229" t="s">
        <v>1063</v>
      </c>
      <c r="V236" s="272" t="s">
        <v>1062</v>
      </c>
      <c r="W236" s="225"/>
      <c r="X236" s="977">
        <f>SUMIFS(COMPRAS!BG:BG,COMPRAS!BF:BF,V236,COMPRAS!CS:CS,"=01-REGIMEN GENERAL",COMPRAS!CX:CX,"&lt;&gt;SI",COMPRAS!DD:DD,"=SI")+SUMIFS(COMPRAS!BP:BP,COMPRAS!BO:BO,V236,COMPRAS!CS:CS,"=01-REGIMEN GENERAL",COMPRAS!CX:CX,"&lt;&gt;SI",COMPRAS!DD:DD,"=SI")+SUMIFS(COMPRAS!BY:BY,COMPRAS!BX:BX,V236,COMPRAS!CS:CS,"=01-REGIMEN GENERAL",COMPRAS!CX:CX,"&lt;&gt;SI",COMPRAS!DD:DD,"=SI")</f>
        <v>0</v>
      </c>
      <c r="Y236" s="978"/>
      <c r="Z236" s="978"/>
      <c r="AA236" s="978"/>
      <c r="AB236" s="224"/>
      <c r="AC236" s="52"/>
      <c r="AD236" s="227"/>
      <c r="AE236" s="977">
        <f>SUMIFS(COMPRAS!BI:BI,COMPRAS!BF:BF,V236,COMPRAS!CS:CS,"=01-REGIMEN GENERAL",COMPRAS!CX:CX,"&lt;&gt;SI",COMPRAS!DD:DD,"=SI")+SUMIFS(COMPRAS!BR:BR,COMPRAS!BO:BO,V236,COMPRAS!CS:CS,"=01-REGIMEN GENERAL",COMPRAS!CX:CX,"&lt;&gt;SI",COMPRAS!DD:DD,"=SI")+SUMIFS(COMPRAS!CA:CA,COMPRAS!BX:BX,V236,COMPRAS!CS:CS,"=01-REGIMEN GENERAL",COMPRAS!CX:CX,"&lt;&gt;SI",COMPRAS!DD:DD,"=SI")</f>
        <v>0</v>
      </c>
      <c r="AF236" s="978"/>
      <c r="AG236" s="978"/>
      <c r="AH236" s="978"/>
      <c r="AI236" s="206"/>
    </row>
    <row r="237" spans="1:35" ht="21" customHeight="1" outlineLevel="1" x14ac:dyDescent="0.35">
      <c r="A237" s="1012"/>
      <c r="B237" s="1013"/>
      <c r="C237" s="1014"/>
      <c r="D237" s="15" t="s">
        <v>937</v>
      </c>
      <c r="E237" s="15"/>
      <c r="F237" s="15"/>
      <c r="G237" s="15"/>
      <c r="H237" s="15"/>
      <c r="I237" s="15"/>
      <c r="J237" s="15"/>
      <c r="K237" s="15"/>
      <c r="L237" s="15"/>
      <c r="M237" s="15"/>
      <c r="N237" s="15"/>
      <c r="O237" s="15"/>
      <c r="P237" s="15"/>
      <c r="Q237" s="15"/>
      <c r="R237" s="15"/>
      <c r="S237" s="15"/>
      <c r="T237" s="15"/>
      <c r="U237" s="130"/>
      <c r="V237" s="226">
        <v>422</v>
      </c>
      <c r="W237" s="225" t="s">
        <v>769</v>
      </c>
      <c r="X237" s="977">
        <f>SUM(X238:AA263)</f>
        <v>0</v>
      </c>
      <c r="Y237" s="978"/>
      <c r="Z237" s="978"/>
      <c r="AA237" s="978"/>
      <c r="AB237" s="224"/>
      <c r="AC237" s="54">
        <v>472</v>
      </c>
      <c r="AD237" s="227" t="s">
        <v>769</v>
      </c>
      <c r="AE237" s="977">
        <f>SUM(AE238:AH263)</f>
        <v>0</v>
      </c>
      <c r="AF237" s="978"/>
      <c r="AG237" s="978"/>
      <c r="AH237" s="978"/>
      <c r="AI237" s="206"/>
    </row>
    <row r="238" spans="1:35" ht="21" customHeight="1" outlineLevel="2" x14ac:dyDescent="0.35">
      <c r="A238" s="1012"/>
      <c r="B238" s="1013"/>
      <c r="C238" s="1014"/>
      <c r="D238" s="15"/>
      <c r="E238" s="15"/>
      <c r="F238" s="15"/>
      <c r="G238" s="15"/>
      <c r="H238" s="15"/>
      <c r="I238" s="15"/>
      <c r="J238" s="15"/>
      <c r="K238" s="15"/>
      <c r="L238" s="15"/>
      <c r="M238" s="15"/>
      <c r="N238" s="15"/>
      <c r="O238" s="15"/>
      <c r="P238" s="15"/>
      <c r="Q238" s="15"/>
      <c r="R238" s="15"/>
      <c r="S238" s="15"/>
      <c r="T238" s="15"/>
      <c r="U238" s="229" t="s">
        <v>172</v>
      </c>
      <c r="V238" s="272">
        <v>500</v>
      </c>
      <c r="W238" s="225"/>
      <c r="X238" s="977">
        <f>SUMIFS(COMPRAS!BG:BG,COMPRAS!BF:BF,V238,COMPRAS!CS:CS,"=01-REGIMEN GENERAL",COMPRAS!CX:CX,"&lt;&gt;SI",COMPRAS!DD:DD,"=SI")+SUMIFS(COMPRAS!BP:BP,COMPRAS!BO:BO,V238,COMPRAS!CS:CS,"=01-REGIMEN GENERAL",COMPRAS!CX:CX,"&lt;&gt;SI",COMPRAS!DD:DD,"=SI")+SUMIFS(COMPRAS!BY:BY,COMPRAS!BX:BX,V238,COMPRAS!CS:CS,"=01-REGIMEN GENERAL",COMPRAS!CX:CX,"&lt;&gt;SI",COMPRAS!DD:DD,"=SI")</f>
        <v>0</v>
      </c>
      <c r="Y238" s="978"/>
      <c r="Z238" s="978"/>
      <c r="AA238" s="978"/>
      <c r="AB238" s="224"/>
      <c r="AC238" s="52"/>
      <c r="AD238" s="227"/>
      <c r="AE238" s="977">
        <f>SUMIFS(COMPRAS!BI:BI,COMPRAS!BF:BF,V238,COMPRAS!CS:CS,"=01-REGIMEN GENERAL",COMPRAS!CX:CX,"&lt;&gt;SI",COMPRAS!DD:DD,"=SI")+SUMIFS(COMPRAS!BR:BR,COMPRAS!BO:BO,V238,COMPRAS!CS:CS,"=01-REGIMEN GENERAL",COMPRAS!CX:CX,"&lt;&gt;SI",COMPRAS!DD:DD,"=SI")+SUMIFS(COMPRAS!CA:CA,COMPRAS!BX:BX,V238,COMPRAS!CS:CS,"=01-REGIMEN GENERAL",COMPRAS!CX:CX,"&lt;&gt;SI",COMPRAS!DD:DD,"=SI")</f>
        <v>0</v>
      </c>
      <c r="AF238" s="978"/>
      <c r="AG238" s="978"/>
      <c r="AH238" s="978"/>
      <c r="AI238" s="206"/>
    </row>
    <row r="239" spans="1:35" ht="21" customHeight="1" outlineLevel="2" x14ac:dyDescent="0.35">
      <c r="A239" s="1012"/>
      <c r="B239" s="1013"/>
      <c r="C239" s="1014"/>
      <c r="D239" s="15"/>
      <c r="E239" s="15"/>
      <c r="F239" s="15"/>
      <c r="G239" s="15"/>
      <c r="H239" s="15"/>
      <c r="I239" s="15"/>
      <c r="J239" s="15"/>
      <c r="K239" s="15"/>
      <c r="L239" s="15"/>
      <c r="M239" s="15"/>
      <c r="N239" s="15"/>
      <c r="O239" s="15"/>
      <c r="P239" s="15"/>
      <c r="Q239" s="15"/>
      <c r="R239" s="15"/>
      <c r="S239" s="15"/>
      <c r="T239" s="15"/>
      <c r="U239" s="229" t="s">
        <v>173</v>
      </c>
      <c r="V239" s="272">
        <v>501</v>
      </c>
      <c r="W239" s="225"/>
      <c r="X239" s="977">
        <f>SUMIFS(COMPRAS!BG:BG,COMPRAS!BF:BF,V239,COMPRAS!CS:CS,"=01-REGIMEN GENERAL",COMPRAS!CX:CX,"&lt;&gt;SI",COMPRAS!DD:DD,"=SI")+SUMIFS(COMPRAS!BP:BP,COMPRAS!BO:BO,V239,COMPRAS!CS:CS,"=01-REGIMEN GENERAL",COMPRAS!CX:CX,"&lt;&gt;SI",COMPRAS!DD:DD,"=SI")+SUMIFS(COMPRAS!BY:BY,COMPRAS!BX:BX,V239,COMPRAS!CS:CS,"=01-REGIMEN GENERAL",COMPRAS!CX:CX,"&lt;&gt;SI",COMPRAS!DD:DD,"=SI")</f>
        <v>0</v>
      </c>
      <c r="Y239" s="978"/>
      <c r="Z239" s="978"/>
      <c r="AA239" s="978"/>
      <c r="AB239" s="224"/>
      <c r="AC239" s="52"/>
      <c r="AD239" s="227"/>
      <c r="AE239" s="977">
        <f>SUMIFS(COMPRAS!BI:BI,COMPRAS!BF:BF,V239,COMPRAS!CS:CS,"=01-REGIMEN GENERAL",COMPRAS!CX:CX,"&lt;&gt;SI",COMPRAS!DD:DD,"=SI")+SUMIFS(COMPRAS!BR:BR,COMPRAS!BO:BO,V239,COMPRAS!CS:CS,"=01-REGIMEN GENERAL",COMPRAS!CX:CX,"&lt;&gt;SI",COMPRAS!DD:DD,"=SI")+SUMIFS(COMPRAS!CA:CA,COMPRAS!BX:BX,V239,COMPRAS!CS:CS,"=01-REGIMEN GENERAL",COMPRAS!CX:CX,"&lt;&gt;SI",COMPRAS!DD:DD,"=SI")</f>
        <v>0</v>
      </c>
      <c r="AF239" s="978"/>
      <c r="AG239" s="978"/>
      <c r="AH239" s="978"/>
      <c r="AI239" s="206"/>
    </row>
    <row r="240" spans="1:35" ht="21" customHeight="1" outlineLevel="2" x14ac:dyDescent="0.35">
      <c r="A240" s="1012"/>
      <c r="B240" s="1013"/>
      <c r="C240" s="1014"/>
      <c r="D240" s="15"/>
      <c r="E240" s="15"/>
      <c r="F240" s="15"/>
      <c r="G240" s="15"/>
      <c r="H240" s="15"/>
      <c r="I240" s="15"/>
      <c r="J240" s="15"/>
      <c r="K240" s="15"/>
      <c r="L240" s="15"/>
      <c r="M240" s="15"/>
      <c r="N240" s="15"/>
      <c r="O240" s="15"/>
      <c r="P240" s="15"/>
      <c r="Q240" s="15"/>
      <c r="R240" s="15"/>
      <c r="S240" s="15"/>
      <c r="T240" s="15"/>
      <c r="U240" s="229" t="s">
        <v>174</v>
      </c>
      <c r="V240" s="272">
        <v>503</v>
      </c>
      <c r="W240" s="225"/>
      <c r="X240" s="977">
        <f>SUMIFS(COMPRAS!BG:BG,COMPRAS!BF:BF,V240,COMPRAS!CS:CS,"=01-REGIMEN GENERAL",COMPRAS!CX:CX,"&lt;&gt;SI",COMPRAS!DD:DD,"=SI")+SUMIFS(COMPRAS!BP:BP,COMPRAS!BO:BO,V240,COMPRAS!CS:CS,"=01-REGIMEN GENERAL",COMPRAS!CX:CX,"&lt;&gt;SI",COMPRAS!DD:DD,"=SI")+SUMIFS(COMPRAS!BY:BY,COMPRAS!BX:BX,V240,COMPRAS!CS:CS,"=01-REGIMEN GENERAL",COMPRAS!CX:CX,"&lt;&gt;SI",COMPRAS!DD:DD,"=SI")</f>
        <v>0</v>
      </c>
      <c r="Y240" s="978"/>
      <c r="Z240" s="978"/>
      <c r="AA240" s="978"/>
      <c r="AB240" s="224"/>
      <c r="AC240" s="52"/>
      <c r="AD240" s="227"/>
      <c r="AE240" s="977">
        <f>SUMIFS(COMPRAS!BI:BI,COMPRAS!BF:BF,V240,COMPRAS!CS:CS,"=01-REGIMEN GENERAL",COMPRAS!CX:CX,"&lt;&gt;SI",COMPRAS!DD:DD,"=SI")+SUMIFS(COMPRAS!BR:BR,COMPRAS!BO:BO,V240,COMPRAS!CS:CS,"=01-REGIMEN GENERAL",COMPRAS!CX:CX,"&lt;&gt;SI",COMPRAS!DD:DD,"=SI")+SUMIFS(COMPRAS!CA:CA,COMPRAS!BX:BX,V240,COMPRAS!CS:CS,"=01-REGIMEN GENERAL",COMPRAS!CX:CX,"&lt;&gt;SI",COMPRAS!DD:DD,"=SI")</f>
        <v>0</v>
      </c>
      <c r="AF240" s="978"/>
      <c r="AG240" s="978"/>
      <c r="AH240" s="978"/>
      <c r="AI240" s="206"/>
    </row>
    <row r="241" spans="1:35" ht="21" customHeight="1" outlineLevel="2" x14ac:dyDescent="0.35">
      <c r="A241" s="1012"/>
      <c r="B241" s="1013"/>
      <c r="C241" s="1014"/>
      <c r="D241" s="15"/>
      <c r="E241" s="15"/>
      <c r="F241" s="15"/>
      <c r="G241" s="15"/>
      <c r="H241" s="15"/>
      <c r="I241" s="15"/>
      <c r="J241" s="15"/>
      <c r="K241" s="15"/>
      <c r="L241" s="15"/>
      <c r="M241" s="15"/>
      <c r="N241" s="15"/>
      <c r="O241" s="15"/>
      <c r="P241" s="15"/>
      <c r="Q241" s="15"/>
      <c r="R241" s="15"/>
      <c r="S241" s="15"/>
      <c r="T241" s="15"/>
      <c r="U241" s="229" t="s">
        <v>185</v>
      </c>
      <c r="V241" s="272">
        <v>505</v>
      </c>
      <c r="W241" s="225"/>
      <c r="X241" s="977">
        <f>SUMIFS(COMPRAS!BG:BG,COMPRAS!BF:BF,V241,COMPRAS!CS:CS,"=01-REGIMEN GENERAL",COMPRAS!CX:CX,"&lt;&gt;SI",COMPRAS!DD:DD,"=SI")+SUMIFS(COMPRAS!BP:BP,COMPRAS!BO:BO,V241,COMPRAS!CS:CS,"=01-REGIMEN GENERAL",COMPRAS!CX:CX,"&lt;&gt;SI",COMPRAS!DD:DD,"=SI")+SUMIFS(COMPRAS!BY:BY,COMPRAS!BX:BX,V241,COMPRAS!CS:CS,"=01-REGIMEN GENERAL",COMPRAS!CX:CX,"&lt;&gt;SI",COMPRAS!DD:DD,"=SI")</f>
        <v>0</v>
      </c>
      <c r="Y241" s="978"/>
      <c r="Z241" s="978"/>
      <c r="AA241" s="978"/>
      <c r="AB241" s="224"/>
      <c r="AC241" s="52"/>
      <c r="AD241" s="227"/>
      <c r="AE241" s="977">
        <f>SUMIFS(COMPRAS!BI:BI,COMPRAS!BF:BF,V241,COMPRAS!CS:CS,"=01-REGIMEN GENERAL",COMPRAS!CX:CX,"&lt;&gt;SI",COMPRAS!DD:DD,"=SI")+SUMIFS(COMPRAS!BR:BR,COMPRAS!BO:BO,V241,COMPRAS!CS:CS,"=01-REGIMEN GENERAL",COMPRAS!CX:CX,"&lt;&gt;SI",COMPRAS!DD:DD,"=SI")+SUMIFS(COMPRAS!CA:CA,COMPRAS!BX:BX,V241,COMPRAS!CS:CS,"=01-REGIMEN GENERAL",COMPRAS!CX:CX,"&lt;&gt;SI",COMPRAS!DD:DD,"=SI")</f>
        <v>0</v>
      </c>
      <c r="AF241" s="978"/>
      <c r="AG241" s="978"/>
      <c r="AH241" s="978"/>
      <c r="AI241" s="206"/>
    </row>
    <row r="242" spans="1:35" ht="21" customHeight="1" outlineLevel="2" x14ac:dyDescent="0.35">
      <c r="A242" s="1012"/>
      <c r="B242" s="1013"/>
      <c r="C242" s="1014"/>
      <c r="D242" s="15"/>
      <c r="E242" s="15"/>
      <c r="F242" s="15"/>
      <c r="G242" s="15"/>
      <c r="H242" s="15"/>
      <c r="I242" s="15"/>
      <c r="J242" s="15"/>
      <c r="K242" s="15"/>
      <c r="L242" s="15"/>
      <c r="M242" s="15"/>
      <c r="N242" s="15"/>
      <c r="O242" s="15"/>
      <c r="P242" s="15"/>
      <c r="Q242" s="15"/>
      <c r="R242" s="15"/>
      <c r="S242" s="15"/>
      <c r="T242" s="15"/>
      <c r="U242" s="229" t="s">
        <v>198</v>
      </c>
      <c r="V242" s="272">
        <v>509</v>
      </c>
      <c r="W242" s="225"/>
      <c r="X242" s="977">
        <f>SUMIFS(COMPRAS!BG:BG,COMPRAS!BF:BF,V242,COMPRAS!CS:CS,"=01-REGIMEN GENERAL",COMPRAS!CX:CX,"&lt;&gt;SI",COMPRAS!DD:DD,"=SI")+SUMIFS(COMPRAS!BP:BP,COMPRAS!BO:BO,V242,COMPRAS!CS:CS,"=01-REGIMEN GENERAL",COMPRAS!CX:CX,"&lt;&gt;SI",COMPRAS!DD:DD,"=SI")+SUMIFS(COMPRAS!BY:BY,COMPRAS!BX:BX,V242,COMPRAS!CS:CS,"=01-REGIMEN GENERAL",COMPRAS!CX:CX,"&lt;&gt;SI",COMPRAS!DD:DD,"=SI")</f>
        <v>0</v>
      </c>
      <c r="Y242" s="978"/>
      <c r="Z242" s="978"/>
      <c r="AA242" s="978"/>
      <c r="AB242" s="224"/>
      <c r="AC242" s="52"/>
      <c r="AD242" s="227"/>
      <c r="AE242" s="977">
        <f>SUMIFS(COMPRAS!BI:BI,COMPRAS!BF:BF,V242,COMPRAS!CS:CS,"=01-REGIMEN GENERAL",COMPRAS!CX:CX,"&lt;&gt;SI",COMPRAS!DD:DD,"=SI")+SUMIFS(COMPRAS!BR:BR,COMPRAS!BO:BO,V242,COMPRAS!CS:CS,"=01-REGIMEN GENERAL",COMPRAS!CX:CX,"&lt;&gt;SI",COMPRAS!DD:DD,"=SI")+SUMIFS(COMPRAS!CA:CA,COMPRAS!BX:BX,V242,COMPRAS!CS:CS,"=01-REGIMEN GENERAL",COMPRAS!CX:CX,"&lt;&gt;SI",COMPRAS!DD:DD,"=SI")</f>
        <v>0</v>
      </c>
      <c r="AF242" s="978"/>
      <c r="AG242" s="978"/>
      <c r="AH242" s="978"/>
      <c r="AI242" s="206"/>
    </row>
    <row r="243" spans="1:35" ht="21" customHeight="1" outlineLevel="2" x14ac:dyDescent="0.35">
      <c r="A243" s="1012"/>
      <c r="B243" s="1013"/>
      <c r="C243" s="1014"/>
      <c r="D243" s="15"/>
      <c r="E243" s="15"/>
      <c r="F243" s="15"/>
      <c r="G243" s="15"/>
      <c r="H243" s="15"/>
      <c r="I243" s="15"/>
      <c r="J243" s="15"/>
      <c r="K243" s="15"/>
      <c r="L243" s="15"/>
      <c r="M243" s="15"/>
      <c r="N243" s="15"/>
      <c r="O243" s="15"/>
      <c r="P243" s="15"/>
      <c r="Q243" s="15"/>
      <c r="R243" s="15"/>
      <c r="S243" s="15"/>
      <c r="T243" s="15"/>
      <c r="U243" s="229" t="s">
        <v>201</v>
      </c>
      <c r="V243" s="272">
        <v>510</v>
      </c>
      <c r="W243" s="225"/>
      <c r="X243" s="977">
        <f>SUMIFS(COMPRAS!BG:BG,COMPRAS!BF:BF,V243,COMPRAS!CS:CS,"=01-REGIMEN GENERAL",COMPRAS!CX:CX,"&lt;&gt;SI",COMPRAS!DD:DD,"=SI")+SUMIFS(COMPRAS!BP:BP,COMPRAS!BO:BO,V243,COMPRAS!CS:CS,"=01-REGIMEN GENERAL",COMPRAS!CX:CX,"&lt;&gt;SI",COMPRAS!DD:DD,"=SI")+SUMIFS(COMPRAS!BY:BY,COMPRAS!BX:BX,V243,COMPRAS!CS:CS,"=01-REGIMEN GENERAL",COMPRAS!CX:CX,"&lt;&gt;SI",COMPRAS!DD:DD,"=SI")</f>
        <v>0</v>
      </c>
      <c r="Y243" s="978"/>
      <c r="Z243" s="978"/>
      <c r="AA243" s="978"/>
      <c r="AB243" s="224"/>
      <c r="AC243" s="52"/>
      <c r="AD243" s="227"/>
      <c r="AE243" s="977">
        <f>SUMIFS(COMPRAS!BI:BI,COMPRAS!BF:BF,V243,COMPRAS!CS:CS,"=01-REGIMEN GENERAL",COMPRAS!CX:CX,"&lt;&gt;SI",COMPRAS!DD:DD,"=SI")+SUMIFS(COMPRAS!BR:BR,COMPRAS!BO:BO,V243,COMPRAS!CS:CS,"=01-REGIMEN GENERAL",COMPRAS!CX:CX,"&lt;&gt;SI",COMPRAS!DD:DD,"=SI")+SUMIFS(COMPRAS!CA:CA,COMPRAS!BX:BX,V243,COMPRAS!CS:CS,"=01-REGIMEN GENERAL",COMPRAS!CX:CX,"&lt;&gt;SI",COMPRAS!DD:DD,"=SI")</f>
        <v>0</v>
      </c>
      <c r="AF243" s="978"/>
      <c r="AG243" s="978"/>
      <c r="AH243" s="978"/>
      <c r="AI243" s="206"/>
    </row>
    <row r="244" spans="1:35" ht="21" customHeight="1" outlineLevel="2" x14ac:dyDescent="0.35">
      <c r="A244" s="1012"/>
      <c r="B244" s="1013"/>
      <c r="C244" s="1014"/>
      <c r="D244" s="15"/>
      <c r="E244" s="15"/>
      <c r="F244" s="15"/>
      <c r="G244" s="15"/>
      <c r="H244" s="15"/>
      <c r="I244" s="15"/>
      <c r="J244" s="15"/>
      <c r="K244" s="15"/>
      <c r="L244" s="15"/>
      <c r="M244" s="15"/>
      <c r="N244" s="15"/>
      <c r="O244" s="15"/>
      <c r="P244" s="15"/>
      <c r="Q244" s="15"/>
      <c r="R244" s="15"/>
      <c r="S244" s="15"/>
      <c r="T244" s="15"/>
      <c r="U244" s="229" t="s">
        <v>202</v>
      </c>
      <c r="V244" s="272">
        <v>511</v>
      </c>
      <c r="W244" s="225"/>
      <c r="X244" s="977">
        <f>SUMIFS(COMPRAS!BG:BG,COMPRAS!BF:BF,V244,COMPRAS!CS:CS,"=01-REGIMEN GENERAL",COMPRAS!CX:CX,"&lt;&gt;SI",COMPRAS!DD:DD,"=SI")+SUMIFS(COMPRAS!BP:BP,COMPRAS!BO:BO,V244,COMPRAS!CS:CS,"=01-REGIMEN GENERAL",COMPRAS!CX:CX,"&lt;&gt;SI",COMPRAS!DD:DD,"=SI")+SUMIFS(COMPRAS!BY:BY,COMPRAS!BX:BX,V244,COMPRAS!CS:CS,"=01-REGIMEN GENERAL",COMPRAS!CX:CX,"&lt;&gt;SI",COMPRAS!DD:DD,"=SI")</f>
        <v>0</v>
      </c>
      <c r="Y244" s="978"/>
      <c r="Z244" s="978"/>
      <c r="AA244" s="978"/>
      <c r="AB244" s="224"/>
      <c r="AC244" s="52"/>
      <c r="AD244" s="227"/>
      <c r="AE244" s="977">
        <f>SUMIFS(COMPRAS!BI:BI,COMPRAS!BF:BF,V244,COMPRAS!CS:CS,"=01-REGIMEN GENERAL",COMPRAS!CX:CX,"&lt;&gt;SI",COMPRAS!DD:DD,"=SI")+SUMIFS(COMPRAS!BR:BR,COMPRAS!BO:BO,V244,COMPRAS!CS:CS,"=01-REGIMEN GENERAL",COMPRAS!CX:CX,"&lt;&gt;SI",COMPRAS!DD:DD,"=SI")+SUMIFS(COMPRAS!CA:CA,COMPRAS!BX:BX,V244,COMPRAS!CS:CS,"=01-REGIMEN GENERAL",COMPRAS!CX:CX,"&lt;&gt;SI",COMPRAS!DD:DD,"=SI")</f>
        <v>0</v>
      </c>
      <c r="AF244" s="978"/>
      <c r="AG244" s="978"/>
      <c r="AH244" s="978"/>
      <c r="AI244" s="206"/>
    </row>
    <row r="245" spans="1:35" ht="21" customHeight="1" outlineLevel="2" x14ac:dyDescent="0.35">
      <c r="A245" s="1012"/>
      <c r="B245" s="1013"/>
      <c r="C245" s="1014"/>
      <c r="D245" s="15"/>
      <c r="E245" s="15"/>
      <c r="F245" s="15"/>
      <c r="G245" s="15"/>
      <c r="H245" s="15"/>
      <c r="I245" s="15"/>
      <c r="J245" s="15"/>
      <c r="K245" s="15"/>
      <c r="L245" s="15"/>
      <c r="M245" s="15"/>
      <c r="N245" s="15"/>
      <c r="O245" s="15"/>
      <c r="P245" s="15"/>
      <c r="Q245" s="15"/>
      <c r="R245" s="15"/>
      <c r="S245" s="15"/>
      <c r="T245" s="15"/>
      <c r="U245" s="229" t="s">
        <v>203</v>
      </c>
      <c r="V245" s="272">
        <v>512</v>
      </c>
      <c r="W245" s="225"/>
      <c r="X245" s="977">
        <f>SUMIFS(COMPRAS!BG:BG,COMPRAS!BF:BF,V245,COMPRAS!CS:CS,"=01-REGIMEN GENERAL",COMPRAS!CX:CX,"&lt;&gt;SI",COMPRAS!DD:DD,"=SI")+SUMIFS(COMPRAS!BP:BP,COMPRAS!BO:BO,V245,COMPRAS!CS:CS,"=01-REGIMEN GENERAL",COMPRAS!CX:CX,"&lt;&gt;SI",COMPRAS!DD:DD,"=SI")+SUMIFS(COMPRAS!BY:BY,COMPRAS!BX:BX,V245,COMPRAS!CS:CS,"=01-REGIMEN GENERAL",COMPRAS!CX:CX,"&lt;&gt;SI",COMPRAS!DD:DD,"=SI")</f>
        <v>0</v>
      </c>
      <c r="Y245" s="978"/>
      <c r="Z245" s="978"/>
      <c r="AA245" s="978"/>
      <c r="AB245" s="224"/>
      <c r="AC245" s="52"/>
      <c r="AD245" s="227"/>
      <c r="AE245" s="977">
        <f>SUMIFS(COMPRAS!BI:BI,COMPRAS!BF:BF,V245,COMPRAS!CS:CS,"=01-REGIMEN GENERAL",COMPRAS!CX:CX,"&lt;&gt;SI",COMPRAS!DD:DD,"=SI")+SUMIFS(COMPRAS!BR:BR,COMPRAS!BO:BO,V245,COMPRAS!CS:CS,"=01-REGIMEN GENERAL",COMPRAS!CX:CX,"&lt;&gt;SI",COMPRAS!DD:DD,"=SI")+SUMIFS(COMPRAS!CA:CA,COMPRAS!BX:BX,V245,COMPRAS!CS:CS,"=01-REGIMEN GENERAL",COMPRAS!CX:CX,"&lt;&gt;SI",COMPRAS!DD:DD,"=SI")</f>
        <v>0</v>
      </c>
      <c r="AF245" s="978"/>
      <c r="AG245" s="978"/>
      <c r="AH245" s="978"/>
      <c r="AI245" s="206"/>
    </row>
    <row r="246" spans="1:35" ht="21" customHeight="1" outlineLevel="2" x14ac:dyDescent="0.35">
      <c r="A246" s="1012"/>
      <c r="B246" s="1013"/>
      <c r="C246" s="1014"/>
      <c r="D246" s="15"/>
      <c r="E246" s="15"/>
      <c r="F246" s="15"/>
      <c r="G246" s="15"/>
      <c r="H246" s="15"/>
      <c r="I246" s="15"/>
      <c r="J246" s="15"/>
      <c r="K246" s="15"/>
      <c r="L246" s="15"/>
      <c r="M246" s="15"/>
      <c r="N246" s="15"/>
      <c r="O246" s="15"/>
      <c r="P246" s="15"/>
      <c r="Q246" s="15"/>
      <c r="R246" s="15"/>
      <c r="S246" s="15"/>
      <c r="T246" s="15"/>
      <c r="U246" s="229" t="s">
        <v>204</v>
      </c>
      <c r="V246" s="272">
        <v>513</v>
      </c>
      <c r="W246" s="225"/>
      <c r="X246" s="977">
        <f>SUMIFS(COMPRAS!BG:BG,COMPRAS!BF:BF,V246,COMPRAS!CS:CS,"=01-REGIMEN GENERAL",COMPRAS!CX:CX,"&lt;&gt;SI",COMPRAS!DD:DD,"=SI")+SUMIFS(COMPRAS!BP:BP,COMPRAS!BO:BO,V246,COMPRAS!CS:CS,"=01-REGIMEN GENERAL",COMPRAS!CX:CX,"&lt;&gt;SI",COMPRAS!DD:DD,"=SI")+SUMIFS(COMPRAS!BY:BY,COMPRAS!BX:BX,V246,COMPRAS!CS:CS,"=01-REGIMEN GENERAL",COMPRAS!CX:CX,"&lt;&gt;SI",COMPRAS!DD:DD,"=SI")</f>
        <v>0</v>
      </c>
      <c r="Y246" s="978"/>
      <c r="Z246" s="978"/>
      <c r="AA246" s="978"/>
      <c r="AB246" s="224"/>
      <c r="AC246" s="52"/>
      <c r="AD246" s="227"/>
      <c r="AE246" s="977">
        <f>SUMIFS(COMPRAS!BI:BI,COMPRAS!BF:BF,V246,COMPRAS!CS:CS,"=01-REGIMEN GENERAL",COMPRAS!CX:CX,"&lt;&gt;SI",COMPRAS!DD:DD,"=SI")+SUMIFS(COMPRAS!BR:BR,COMPRAS!BO:BO,V246,COMPRAS!CS:CS,"=01-REGIMEN GENERAL",COMPRAS!CX:CX,"&lt;&gt;SI",COMPRAS!DD:DD,"=SI")+SUMIFS(COMPRAS!CA:CA,COMPRAS!BX:BX,V246,COMPRAS!CS:CS,"=01-REGIMEN GENERAL",COMPRAS!CX:CX,"&lt;&gt;SI",COMPRAS!DD:DD,"=SI")</f>
        <v>0</v>
      </c>
      <c r="AF246" s="978"/>
      <c r="AG246" s="978"/>
      <c r="AH246" s="978"/>
      <c r="AI246" s="206"/>
    </row>
    <row r="247" spans="1:35" ht="21" customHeight="1" outlineLevel="2" x14ac:dyDescent="0.35">
      <c r="A247" s="1012"/>
      <c r="B247" s="1013"/>
      <c r="C247" s="1014"/>
      <c r="D247" s="15"/>
      <c r="E247" s="15"/>
      <c r="F247" s="15"/>
      <c r="G247" s="15"/>
      <c r="H247" s="15"/>
      <c r="I247" s="15"/>
      <c r="J247" s="15"/>
      <c r="K247" s="15"/>
      <c r="L247" s="15"/>
      <c r="M247" s="15"/>
      <c r="N247" s="15"/>
      <c r="O247" s="15"/>
      <c r="P247" s="15"/>
      <c r="Q247" s="15"/>
      <c r="R247" s="15"/>
      <c r="S247" s="15"/>
      <c r="T247" s="15"/>
      <c r="U247" s="229" t="s">
        <v>207</v>
      </c>
      <c r="V247" s="272">
        <v>514</v>
      </c>
      <c r="W247" s="225"/>
      <c r="X247" s="977">
        <f>SUMIFS(COMPRAS!BG:BG,COMPRAS!BF:BF,V247,COMPRAS!CS:CS,"=01-REGIMEN GENERAL",COMPRAS!CX:CX,"&lt;&gt;SI",COMPRAS!DD:DD,"=SI")+SUMIFS(COMPRAS!BP:BP,COMPRAS!BO:BO,V247,COMPRAS!CS:CS,"=01-REGIMEN GENERAL",COMPRAS!CX:CX,"&lt;&gt;SI",COMPRAS!DD:DD,"=SI")+SUMIFS(COMPRAS!BY:BY,COMPRAS!BX:BX,V247,COMPRAS!CS:CS,"=01-REGIMEN GENERAL",COMPRAS!CX:CX,"&lt;&gt;SI",COMPRAS!DD:DD,"=SI")</f>
        <v>0</v>
      </c>
      <c r="Y247" s="978"/>
      <c r="Z247" s="978"/>
      <c r="AA247" s="978"/>
      <c r="AB247" s="224"/>
      <c r="AC247" s="52"/>
      <c r="AD247" s="227"/>
      <c r="AE247" s="977">
        <f>SUMIFS(COMPRAS!BI:BI,COMPRAS!BF:BF,V247,COMPRAS!CS:CS,"=01-REGIMEN GENERAL",COMPRAS!CX:CX,"&lt;&gt;SI",COMPRAS!DD:DD,"=SI")+SUMIFS(COMPRAS!BR:BR,COMPRAS!BO:BO,V247,COMPRAS!CS:CS,"=01-REGIMEN GENERAL",COMPRAS!CX:CX,"&lt;&gt;SI",COMPRAS!DD:DD,"=SI")+SUMIFS(COMPRAS!CA:CA,COMPRAS!BX:BX,V247,COMPRAS!CS:CS,"=01-REGIMEN GENERAL",COMPRAS!CX:CX,"&lt;&gt;SI",COMPRAS!DD:DD,"=SI")</f>
        <v>0</v>
      </c>
      <c r="AF247" s="978"/>
      <c r="AG247" s="978"/>
      <c r="AH247" s="978"/>
      <c r="AI247" s="206"/>
    </row>
    <row r="248" spans="1:35" ht="21" customHeight="1" outlineLevel="2" x14ac:dyDescent="0.35">
      <c r="A248" s="1012"/>
      <c r="B248" s="1013"/>
      <c r="C248" s="1014"/>
      <c r="D248" s="15"/>
      <c r="E248" s="15"/>
      <c r="F248" s="15"/>
      <c r="G248" s="15"/>
      <c r="H248" s="15"/>
      <c r="I248" s="15"/>
      <c r="J248" s="15"/>
      <c r="K248" s="15"/>
      <c r="L248" s="15"/>
      <c r="M248" s="15"/>
      <c r="N248" s="15"/>
      <c r="O248" s="15"/>
      <c r="P248" s="15"/>
      <c r="Q248" s="15"/>
      <c r="R248" s="15"/>
      <c r="S248" s="15"/>
      <c r="T248" s="15"/>
      <c r="U248" s="229" t="s">
        <v>208</v>
      </c>
      <c r="V248" s="272">
        <v>515</v>
      </c>
      <c r="W248" s="225"/>
      <c r="X248" s="977">
        <f>SUMIFS(COMPRAS!BG:BG,COMPRAS!BF:BF,V248,COMPRAS!CS:CS,"=01-REGIMEN GENERAL",COMPRAS!CX:CX,"&lt;&gt;SI",COMPRAS!DD:DD,"=SI")+SUMIFS(COMPRAS!BP:BP,COMPRAS!BO:BO,V248,COMPRAS!CS:CS,"=01-REGIMEN GENERAL",COMPRAS!CX:CX,"&lt;&gt;SI",COMPRAS!DD:DD,"=SI")+SUMIFS(COMPRAS!BY:BY,COMPRAS!BX:BX,V248,COMPRAS!CS:CS,"=01-REGIMEN GENERAL",COMPRAS!CX:CX,"&lt;&gt;SI",COMPRAS!DD:DD,"=SI")</f>
        <v>0</v>
      </c>
      <c r="Y248" s="978"/>
      <c r="Z248" s="978"/>
      <c r="AA248" s="978"/>
      <c r="AB248" s="224"/>
      <c r="AC248" s="52"/>
      <c r="AD248" s="227"/>
      <c r="AE248" s="977">
        <f>SUMIFS(COMPRAS!BI:BI,COMPRAS!BF:BF,V248,COMPRAS!CS:CS,"=01-REGIMEN GENERAL",COMPRAS!CX:CX,"&lt;&gt;SI",COMPRAS!DD:DD,"=SI")+SUMIFS(COMPRAS!BR:BR,COMPRAS!BO:BO,V248,COMPRAS!CS:CS,"=01-REGIMEN GENERAL",COMPRAS!CX:CX,"&lt;&gt;SI",COMPRAS!DD:DD,"=SI")+SUMIFS(COMPRAS!CA:CA,COMPRAS!BX:BX,V248,COMPRAS!CS:CS,"=01-REGIMEN GENERAL",COMPRAS!CX:CX,"&lt;&gt;SI",COMPRAS!DD:DD,"=SI")</f>
        <v>0</v>
      </c>
      <c r="AF248" s="978"/>
      <c r="AG248" s="978"/>
      <c r="AH248" s="978"/>
      <c r="AI248" s="206"/>
    </row>
    <row r="249" spans="1:35" ht="21" customHeight="1" outlineLevel="2" x14ac:dyDescent="0.35">
      <c r="A249" s="1012"/>
      <c r="B249" s="1013"/>
      <c r="C249" s="1014"/>
      <c r="D249" s="15"/>
      <c r="E249" s="15"/>
      <c r="F249" s="15"/>
      <c r="G249" s="15"/>
      <c r="H249" s="15"/>
      <c r="I249" s="15"/>
      <c r="J249" s="15"/>
      <c r="K249" s="15"/>
      <c r="L249" s="15"/>
      <c r="M249" s="15"/>
      <c r="N249" s="15"/>
      <c r="O249" s="15"/>
      <c r="P249" s="15"/>
      <c r="Q249" s="15"/>
      <c r="R249" s="15"/>
      <c r="S249" s="15"/>
      <c r="T249" s="15"/>
      <c r="U249" s="229" t="s">
        <v>209</v>
      </c>
      <c r="V249" s="272">
        <v>516</v>
      </c>
      <c r="W249" s="225"/>
      <c r="X249" s="977">
        <f>SUMIFS(COMPRAS!BG:BG,COMPRAS!BF:BF,V249,COMPRAS!CS:CS,"=01-REGIMEN GENERAL",COMPRAS!CX:CX,"&lt;&gt;SI",COMPRAS!DD:DD,"=SI")+SUMIFS(COMPRAS!BP:BP,COMPRAS!BO:BO,V249,COMPRAS!CS:CS,"=01-REGIMEN GENERAL",COMPRAS!CX:CX,"&lt;&gt;SI",COMPRAS!DD:DD,"=SI")+SUMIFS(COMPRAS!BY:BY,COMPRAS!BX:BX,V249,COMPRAS!CS:CS,"=01-REGIMEN GENERAL",COMPRAS!CX:CX,"&lt;&gt;SI",COMPRAS!DD:DD,"=SI")</f>
        <v>0</v>
      </c>
      <c r="Y249" s="978"/>
      <c r="Z249" s="978"/>
      <c r="AA249" s="978"/>
      <c r="AB249" s="224"/>
      <c r="AC249" s="52"/>
      <c r="AD249" s="227"/>
      <c r="AE249" s="977">
        <f>SUMIFS(COMPRAS!BI:BI,COMPRAS!BF:BF,V249,COMPRAS!CS:CS,"=01-REGIMEN GENERAL",COMPRAS!CX:CX,"&lt;&gt;SI",COMPRAS!DD:DD,"=SI")+SUMIFS(COMPRAS!BR:BR,COMPRAS!BO:BO,V249,COMPRAS!CS:CS,"=01-REGIMEN GENERAL",COMPRAS!CX:CX,"&lt;&gt;SI",COMPRAS!DD:DD,"=SI")+SUMIFS(COMPRAS!CA:CA,COMPRAS!BX:BX,V249,COMPRAS!CS:CS,"=01-REGIMEN GENERAL",COMPRAS!CX:CX,"&lt;&gt;SI",COMPRAS!DD:DD,"=SI")</f>
        <v>0</v>
      </c>
      <c r="AF249" s="978"/>
      <c r="AG249" s="978"/>
      <c r="AH249" s="978"/>
      <c r="AI249" s="206"/>
    </row>
    <row r="250" spans="1:35" ht="21" customHeight="1" outlineLevel="2" x14ac:dyDescent="0.35">
      <c r="A250" s="1012"/>
      <c r="B250" s="1013"/>
      <c r="C250" s="1014"/>
      <c r="D250" s="15"/>
      <c r="E250" s="15"/>
      <c r="F250" s="15"/>
      <c r="G250" s="15"/>
      <c r="H250" s="15"/>
      <c r="I250" s="15"/>
      <c r="J250" s="15"/>
      <c r="K250" s="15"/>
      <c r="L250" s="15"/>
      <c r="M250" s="15"/>
      <c r="N250" s="15"/>
      <c r="O250" s="15"/>
      <c r="P250" s="15"/>
      <c r="Q250" s="15"/>
      <c r="R250" s="15"/>
      <c r="S250" s="15"/>
      <c r="T250" s="15"/>
      <c r="U250" s="229" t="s">
        <v>210</v>
      </c>
      <c r="V250" s="272">
        <v>517</v>
      </c>
      <c r="W250" s="225"/>
      <c r="X250" s="977">
        <f>SUMIFS(COMPRAS!BG:BG,COMPRAS!BF:BF,V250,COMPRAS!CS:CS,"=01-REGIMEN GENERAL",COMPRAS!CX:CX,"&lt;&gt;SI",COMPRAS!DD:DD,"=SI")+SUMIFS(COMPRAS!BP:BP,COMPRAS!BO:BO,V250,COMPRAS!CS:CS,"=01-REGIMEN GENERAL",COMPRAS!CX:CX,"&lt;&gt;SI",COMPRAS!DD:DD,"=SI")+SUMIFS(COMPRAS!BY:BY,COMPRAS!BX:BX,V250,COMPRAS!CS:CS,"=01-REGIMEN GENERAL",COMPRAS!CX:CX,"&lt;&gt;SI",COMPRAS!DD:DD,"=SI")</f>
        <v>0</v>
      </c>
      <c r="Y250" s="978"/>
      <c r="Z250" s="978"/>
      <c r="AA250" s="978"/>
      <c r="AB250" s="224"/>
      <c r="AC250" s="52"/>
      <c r="AD250" s="227"/>
      <c r="AE250" s="977">
        <f>SUMIFS(COMPRAS!BI:BI,COMPRAS!BF:BF,V250,COMPRAS!CS:CS,"=01-REGIMEN GENERAL",COMPRAS!CX:CX,"&lt;&gt;SI",COMPRAS!DD:DD,"=SI")+SUMIFS(COMPRAS!BR:BR,COMPRAS!BO:BO,V250,COMPRAS!CS:CS,"=01-REGIMEN GENERAL",COMPRAS!CX:CX,"&lt;&gt;SI",COMPRAS!DD:DD,"=SI")+SUMIFS(COMPRAS!CA:CA,COMPRAS!BX:BX,V250,COMPRAS!CS:CS,"=01-REGIMEN GENERAL",COMPRAS!CX:CX,"&lt;&gt;SI",COMPRAS!DD:DD,"=SI")</f>
        <v>0</v>
      </c>
      <c r="AF250" s="978"/>
      <c r="AG250" s="978"/>
      <c r="AH250" s="978"/>
      <c r="AI250" s="206"/>
    </row>
    <row r="251" spans="1:35" ht="21" customHeight="1" outlineLevel="2" x14ac:dyDescent="0.35">
      <c r="A251" s="1012"/>
      <c r="B251" s="1013"/>
      <c r="C251" s="1014"/>
      <c r="D251" s="15"/>
      <c r="E251" s="15"/>
      <c r="F251" s="15"/>
      <c r="G251" s="15"/>
      <c r="H251" s="15"/>
      <c r="I251" s="15"/>
      <c r="J251" s="15"/>
      <c r="K251" s="15"/>
      <c r="L251" s="15"/>
      <c r="M251" s="15"/>
      <c r="N251" s="15"/>
      <c r="O251" s="15"/>
      <c r="P251" s="15"/>
      <c r="Q251" s="15"/>
      <c r="R251" s="15"/>
      <c r="S251" s="15"/>
      <c r="T251" s="15"/>
      <c r="U251" s="229" t="s">
        <v>211</v>
      </c>
      <c r="V251" s="272">
        <v>518</v>
      </c>
      <c r="W251" s="225"/>
      <c r="X251" s="977">
        <f>SUMIFS(COMPRAS!BG:BG,COMPRAS!BF:BF,V251,COMPRAS!CS:CS,"=01-REGIMEN GENERAL",COMPRAS!CX:CX,"&lt;&gt;SI",COMPRAS!DD:DD,"=SI")+SUMIFS(COMPRAS!BP:BP,COMPRAS!BO:BO,V251,COMPRAS!CS:CS,"=01-REGIMEN GENERAL",COMPRAS!CX:CX,"&lt;&gt;SI",COMPRAS!DD:DD,"=SI")+SUMIFS(COMPRAS!BY:BY,COMPRAS!BX:BX,V251,COMPRAS!CS:CS,"=01-REGIMEN GENERAL",COMPRAS!CX:CX,"&lt;&gt;SI",COMPRAS!DD:DD,"=SI")</f>
        <v>0</v>
      </c>
      <c r="Y251" s="978"/>
      <c r="Z251" s="978"/>
      <c r="AA251" s="978"/>
      <c r="AB251" s="224"/>
      <c r="AC251" s="52"/>
      <c r="AD251" s="227"/>
      <c r="AE251" s="977">
        <f>SUMIFS(COMPRAS!BI:BI,COMPRAS!BF:BF,V251,COMPRAS!CS:CS,"=01-REGIMEN GENERAL",COMPRAS!CX:CX,"&lt;&gt;SI",COMPRAS!DD:DD,"=SI")+SUMIFS(COMPRAS!BR:BR,COMPRAS!BO:BO,V251,COMPRAS!CS:CS,"=01-REGIMEN GENERAL",COMPRAS!CX:CX,"&lt;&gt;SI",COMPRAS!DD:DD,"=SI")+SUMIFS(COMPRAS!CA:CA,COMPRAS!BX:BX,V251,COMPRAS!CS:CS,"=01-REGIMEN GENERAL",COMPRAS!CX:CX,"&lt;&gt;SI",COMPRAS!DD:DD,"=SI")</f>
        <v>0</v>
      </c>
      <c r="AF251" s="978"/>
      <c r="AG251" s="978"/>
      <c r="AH251" s="978"/>
      <c r="AI251" s="206"/>
    </row>
    <row r="252" spans="1:35" ht="21" customHeight="1" outlineLevel="2" x14ac:dyDescent="0.35">
      <c r="A252" s="1012"/>
      <c r="B252" s="1013"/>
      <c r="C252" s="1014"/>
      <c r="D252" s="15"/>
      <c r="E252" s="15"/>
      <c r="F252" s="15"/>
      <c r="G252" s="15"/>
      <c r="H252" s="15"/>
      <c r="I252" s="15"/>
      <c r="J252" s="15"/>
      <c r="K252" s="15"/>
      <c r="L252" s="15"/>
      <c r="M252" s="15"/>
      <c r="N252" s="15"/>
      <c r="O252" s="15"/>
      <c r="P252" s="15"/>
      <c r="Q252" s="15"/>
      <c r="R252" s="15"/>
      <c r="S252" s="15"/>
      <c r="T252" s="15"/>
      <c r="U252" s="229" t="s">
        <v>212</v>
      </c>
      <c r="V252" s="272">
        <v>519</v>
      </c>
      <c r="W252" s="225"/>
      <c r="X252" s="977">
        <f>SUMIFS(COMPRAS!BG:BG,COMPRAS!BF:BF,V252,COMPRAS!CS:CS,"=01-REGIMEN GENERAL",COMPRAS!CX:CX,"&lt;&gt;SI",COMPRAS!DD:DD,"=SI")+SUMIFS(COMPRAS!BP:BP,COMPRAS!BO:BO,V252,COMPRAS!CS:CS,"=01-REGIMEN GENERAL",COMPRAS!CX:CX,"&lt;&gt;SI",COMPRAS!DD:DD,"=SI")+SUMIFS(COMPRAS!BY:BY,COMPRAS!BX:BX,V252,COMPRAS!CS:CS,"=01-REGIMEN GENERAL",COMPRAS!CX:CX,"&lt;&gt;SI",COMPRAS!DD:DD,"=SI")</f>
        <v>0</v>
      </c>
      <c r="Y252" s="978"/>
      <c r="Z252" s="978"/>
      <c r="AA252" s="978"/>
      <c r="AB252" s="224"/>
      <c r="AC252" s="52"/>
      <c r="AD252" s="227"/>
      <c r="AE252" s="977">
        <f>SUMIFS(COMPRAS!BI:BI,COMPRAS!BF:BF,V252,COMPRAS!CS:CS,"=01-REGIMEN GENERAL",COMPRAS!CX:CX,"&lt;&gt;SI",COMPRAS!DD:DD,"=SI")+SUMIFS(COMPRAS!BR:BR,COMPRAS!BO:BO,V252,COMPRAS!CS:CS,"=01-REGIMEN GENERAL",COMPRAS!CX:CX,"&lt;&gt;SI",COMPRAS!DD:DD,"=SI")+SUMIFS(COMPRAS!CA:CA,COMPRAS!BX:BX,V252,COMPRAS!CS:CS,"=01-REGIMEN GENERAL",COMPRAS!CX:CX,"&lt;&gt;SI",COMPRAS!DD:DD,"=SI")</f>
        <v>0</v>
      </c>
      <c r="AF252" s="978"/>
      <c r="AG252" s="978"/>
      <c r="AH252" s="978"/>
      <c r="AI252" s="206"/>
    </row>
    <row r="253" spans="1:35" ht="21" customHeight="1" outlineLevel="2" x14ac:dyDescent="0.35">
      <c r="A253" s="1012"/>
      <c r="B253" s="1013"/>
      <c r="C253" s="1014"/>
      <c r="D253" s="15"/>
      <c r="E253" s="15"/>
      <c r="F253" s="15"/>
      <c r="G253" s="15"/>
      <c r="H253" s="15"/>
      <c r="I253" s="15"/>
      <c r="J253" s="15"/>
      <c r="K253" s="15"/>
      <c r="L253" s="15"/>
      <c r="M253" s="15"/>
      <c r="N253" s="15"/>
      <c r="O253" s="15"/>
      <c r="P253" s="15"/>
      <c r="Q253" s="15"/>
      <c r="R253" s="15"/>
      <c r="S253" s="15"/>
      <c r="T253" s="15"/>
      <c r="U253" s="229" t="s">
        <v>1068</v>
      </c>
      <c r="V253" s="272">
        <v>525</v>
      </c>
      <c r="W253" s="225"/>
      <c r="X253" s="977">
        <f>SUMIFS(COMPRAS!BG:BG,COMPRAS!BF:BF,V253,COMPRAS!CS:CS,"=01-REGIMEN GENERAL",COMPRAS!CX:CX,"&lt;&gt;SI",COMPRAS!DD:DD,"=SI")+SUMIFS(COMPRAS!BP:BP,COMPRAS!BO:BO,V253,COMPRAS!CS:CS,"=01-REGIMEN GENERAL",COMPRAS!CX:CX,"&lt;&gt;SI",COMPRAS!DD:DD,"=SI")+SUMIFS(COMPRAS!BY:BY,COMPRAS!BX:BX,V253,COMPRAS!CS:CS,"=01-REGIMEN GENERAL",COMPRAS!CX:CX,"&lt;&gt;SI",COMPRAS!DD:DD,"=SI")</f>
        <v>0</v>
      </c>
      <c r="Y253" s="978"/>
      <c r="Z253" s="978"/>
      <c r="AA253" s="978"/>
      <c r="AB253" s="224"/>
      <c r="AC253" s="52"/>
      <c r="AD253" s="227"/>
      <c r="AE253" s="977">
        <f>SUMIFS(COMPRAS!BI:BI,COMPRAS!BF:BF,V253,COMPRAS!CS:CS,"=01-REGIMEN GENERAL",COMPRAS!CX:CX,"&lt;&gt;SI",COMPRAS!DD:DD,"=SI")+SUMIFS(COMPRAS!BR:BR,COMPRAS!BO:BO,V253,COMPRAS!CS:CS,"=01-REGIMEN GENERAL",COMPRAS!CX:CX,"&lt;&gt;SI",COMPRAS!DD:DD,"=SI")+SUMIFS(COMPRAS!CA:CA,COMPRAS!BX:BX,V253,COMPRAS!CS:CS,"=01-REGIMEN GENERAL",COMPRAS!CX:CX,"&lt;&gt;SI",COMPRAS!DD:DD,"=SI")</f>
        <v>0</v>
      </c>
      <c r="AF253" s="978"/>
      <c r="AG253" s="978"/>
      <c r="AH253" s="978"/>
      <c r="AI253" s="206"/>
    </row>
    <row r="254" spans="1:35" ht="21" customHeight="1" outlineLevel="2" x14ac:dyDescent="0.35">
      <c r="A254" s="1012"/>
      <c r="B254" s="1013"/>
      <c r="C254" s="1014"/>
      <c r="D254" s="15"/>
      <c r="E254" s="15"/>
      <c r="F254" s="15"/>
      <c r="G254" s="15"/>
      <c r="H254" s="15"/>
      <c r="I254" s="15"/>
      <c r="J254" s="15"/>
      <c r="K254" s="15"/>
      <c r="L254" s="15"/>
      <c r="M254" s="15"/>
      <c r="N254" s="15"/>
      <c r="O254" s="15"/>
      <c r="P254" s="15"/>
      <c r="Q254" s="15"/>
      <c r="R254" s="15"/>
      <c r="S254" s="15"/>
      <c r="T254" s="15"/>
      <c r="U254" s="229" t="s">
        <v>195</v>
      </c>
      <c r="V254" s="272" t="s">
        <v>194</v>
      </c>
      <c r="W254" s="225"/>
      <c r="X254" s="977">
        <f>SUMIFS(COMPRAS!BG:BG,COMPRAS!BF:BF,V254,COMPRAS!CS:CS,"=01-REGIMEN GENERAL",COMPRAS!CX:CX,"&lt;&gt;SI",COMPRAS!DD:DD,"=SI")+SUMIFS(COMPRAS!BP:BP,COMPRAS!BO:BO,V254,COMPRAS!CS:CS,"=01-REGIMEN GENERAL",COMPRAS!CX:CX,"&lt;&gt;SI",COMPRAS!DD:DD,"=SI")+SUMIFS(COMPRAS!BY:BY,COMPRAS!BX:BX,V254,COMPRAS!CS:CS,"=01-REGIMEN GENERAL",COMPRAS!CX:CX,"&lt;&gt;SI",COMPRAS!DD:DD,"=SI")</f>
        <v>0</v>
      </c>
      <c r="Y254" s="978"/>
      <c r="Z254" s="978"/>
      <c r="AA254" s="978"/>
      <c r="AB254" s="224"/>
      <c r="AC254" s="52"/>
      <c r="AD254" s="227"/>
      <c r="AE254" s="977">
        <f>SUMIFS(COMPRAS!BI:BI,COMPRAS!BF:BF,V254,COMPRAS!CS:CS,"=01-REGIMEN GENERAL",COMPRAS!CX:CX,"&lt;&gt;SI",COMPRAS!DD:DD,"=SI")+SUMIFS(COMPRAS!BR:BR,COMPRAS!BO:BO,V254,COMPRAS!CS:CS,"=01-REGIMEN GENERAL",COMPRAS!CX:CX,"&lt;&gt;SI",COMPRAS!DD:DD,"=SI")+SUMIFS(COMPRAS!CA:CA,COMPRAS!BX:BX,V254,COMPRAS!CS:CS,"=01-REGIMEN GENERAL",COMPRAS!CX:CX,"&lt;&gt;SI",COMPRAS!DD:DD,"=SI")</f>
        <v>0</v>
      </c>
      <c r="AF254" s="978"/>
      <c r="AG254" s="978"/>
      <c r="AH254" s="978"/>
      <c r="AI254" s="206"/>
    </row>
    <row r="255" spans="1:35" ht="21" customHeight="1" outlineLevel="2" x14ac:dyDescent="0.35">
      <c r="A255" s="1012"/>
      <c r="B255" s="1013"/>
      <c r="C255" s="1014"/>
      <c r="D255" s="15"/>
      <c r="E255" s="15"/>
      <c r="F255" s="15"/>
      <c r="G255" s="15"/>
      <c r="H255" s="15"/>
      <c r="I255" s="15"/>
      <c r="J255" s="15"/>
      <c r="K255" s="15"/>
      <c r="L255" s="15"/>
      <c r="M255" s="15"/>
      <c r="N255" s="15"/>
      <c r="O255" s="15"/>
      <c r="P255" s="15"/>
      <c r="Q255" s="15"/>
      <c r="R255" s="15"/>
      <c r="S255" s="15"/>
      <c r="T255" s="15"/>
      <c r="U255" s="229" t="s">
        <v>197</v>
      </c>
      <c r="V255" s="272" t="s">
        <v>196</v>
      </c>
      <c r="W255" s="225"/>
      <c r="X255" s="977">
        <f>SUMIFS(COMPRAS!BG:BG,COMPRAS!BF:BF,V255,COMPRAS!CS:CS,"=01-REGIMEN GENERAL",COMPRAS!CX:CX,"&lt;&gt;SI",COMPRAS!DD:DD,"=SI")+SUMIFS(COMPRAS!BP:BP,COMPRAS!BO:BO,V255,COMPRAS!CS:CS,"=01-REGIMEN GENERAL",COMPRAS!CX:CX,"&lt;&gt;SI",COMPRAS!DD:DD,"=SI")+SUMIFS(COMPRAS!BY:BY,COMPRAS!BX:BX,V255,COMPRAS!CS:CS,"=01-REGIMEN GENERAL",COMPRAS!CX:CX,"&lt;&gt;SI",COMPRAS!DD:DD,"=SI")</f>
        <v>0</v>
      </c>
      <c r="Y255" s="978"/>
      <c r="Z255" s="978"/>
      <c r="AA255" s="978"/>
      <c r="AB255" s="224"/>
      <c r="AC255" s="52"/>
      <c r="AD255" s="227"/>
      <c r="AE255" s="977">
        <f>SUMIFS(COMPRAS!BI:BI,COMPRAS!BF:BF,V255,COMPRAS!CS:CS,"=01-REGIMEN GENERAL",COMPRAS!CX:CX,"&lt;&gt;SI",COMPRAS!DD:DD,"=SI")+SUMIFS(COMPRAS!BR:BR,COMPRAS!BO:BO,V255,COMPRAS!CS:CS,"=01-REGIMEN GENERAL",COMPRAS!CX:CX,"&lt;&gt;SI",COMPRAS!DD:DD,"=SI")+SUMIFS(COMPRAS!CA:CA,COMPRAS!BX:BX,V255,COMPRAS!CS:CS,"=01-REGIMEN GENERAL",COMPRAS!CX:CX,"&lt;&gt;SI",COMPRAS!DD:DD,"=SI")</f>
        <v>0</v>
      </c>
      <c r="AF255" s="978"/>
      <c r="AG255" s="978"/>
      <c r="AH255" s="978"/>
      <c r="AI255" s="206"/>
    </row>
    <row r="256" spans="1:35" ht="21" customHeight="1" outlineLevel="2" x14ac:dyDescent="0.35">
      <c r="A256" s="1012"/>
      <c r="B256" s="1013"/>
      <c r="C256" s="1014"/>
      <c r="D256" s="15"/>
      <c r="E256" s="15"/>
      <c r="F256" s="15"/>
      <c r="G256" s="15"/>
      <c r="H256" s="15"/>
      <c r="I256" s="15"/>
      <c r="J256" s="15"/>
      <c r="K256" s="15"/>
      <c r="L256" s="15"/>
      <c r="M256" s="15"/>
      <c r="N256" s="15"/>
      <c r="O256" s="15"/>
      <c r="P256" s="15"/>
      <c r="Q256" s="15"/>
      <c r="R256" s="15"/>
      <c r="S256" s="15"/>
      <c r="T256" s="15"/>
      <c r="U256" s="229" t="s">
        <v>200</v>
      </c>
      <c r="V256" s="272" t="s">
        <v>199</v>
      </c>
      <c r="W256" s="225"/>
      <c r="X256" s="977">
        <f>SUMIFS(COMPRAS!BG:BG,COMPRAS!BF:BF,V256,COMPRAS!CS:CS,"=01-REGIMEN GENERAL",COMPRAS!CX:CX,"&lt;&gt;SI",COMPRAS!DD:DD,"=SI")+SUMIFS(COMPRAS!BP:BP,COMPRAS!BO:BO,V256,COMPRAS!CS:CS,"=01-REGIMEN GENERAL",COMPRAS!CX:CX,"&lt;&gt;SI",COMPRAS!DD:DD,"=SI")+SUMIFS(COMPRAS!BY:BY,COMPRAS!BX:BX,V256,COMPRAS!CS:CS,"=01-REGIMEN GENERAL",COMPRAS!CX:CX,"&lt;&gt;SI",COMPRAS!DD:DD,"=SI")</f>
        <v>0</v>
      </c>
      <c r="Y256" s="978"/>
      <c r="Z256" s="978"/>
      <c r="AA256" s="978"/>
      <c r="AB256" s="224"/>
      <c r="AC256" s="52"/>
      <c r="AD256" s="227"/>
      <c r="AE256" s="977">
        <f>SUMIFS(COMPRAS!BI:BI,COMPRAS!BF:BF,V256,COMPRAS!CS:CS,"=01-REGIMEN GENERAL",COMPRAS!CX:CX,"&lt;&gt;SI",COMPRAS!DD:DD,"=SI")+SUMIFS(COMPRAS!BR:BR,COMPRAS!BO:BO,V256,COMPRAS!CS:CS,"=01-REGIMEN GENERAL",COMPRAS!CX:CX,"&lt;&gt;SI",COMPRAS!DD:DD,"=SI")+SUMIFS(COMPRAS!CA:CA,COMPRAS!BX:BX,V256,COMPRAS!CS:CS,"=01-REGIMEN GENERAL",COMPRAS!CX:CX,"&lt;&gt;SI",COMPRAS!DD:DD,"=SI")</f>
        <v>0</v>
      </c>
      <c r="AF256" s="978"/>
      <c r="AG256" s="978"/>
      <c r="AH256" s="978"/>
      <c r="AI256" s="206"/>
    </row>
    <row r="257" spans="1:37" ht="21" customHeight="1" outlineLevel="2" x14ac:dyDescent="0.35">
      <c r="A257" s="1012"/>
      <c r="B257" s="1013"/>
      <c r="C257" s="1014"/>
      <c r="D257" s="15"/>
      <c r="E257" s="15"/>
      <c r="F257" s="15"/>
      <c r="G257" s="15"/>
      <c r="H257" s="15"/>
      <c r="I257" s="15"/>
      <c r="J257" s="15"/>
      <c r="K257" s="15"/>
      <c r="L257" s="15"/>
      <c r="M257" s="15"/>
      <c r="N257" s="15"/>
      <c r="O257" s="15"/>
      <c r="P257" s="15"/>
      <c r="Q257" s="15"/>
      <c r="R257" s="15"/>
      <c r="S257" s="15"/>
      <c r="T257" s="15"/>
      <c r="U257" s="229" t="s">
        <v>206</v>
      </c>
      <c r="V257" s="272" t="s">
        <v>205</v>
      </c>
      <c r="W257" s="225"/>
      <c r="X257" s="977">
        <f>SUMIFS(COMPRAS!BG:BG,COMPRAS!BF:BF,V257,COMPRAS!CS:CS,"=01-REGIMEN GENERAL",COMPRAS!CX:CX,"&lt;&gt;SI",COMPRAS!DD:DD,"=SI")+SUMIFS(COMPRAS!BP:BP,COMPRAS!BO:BO,V257,COMPRAS!CS:CS,"=01-REGIMEN GENERAL",COMPRAS!CX:CX,"&lt;&gt;SI",COMPRAS!DD:DD,"=SI")+SUMIFS(COMPRAS!BY:BY,COMPRAS!BX:BX,V257,COMPRAS!CS:CS,"=01-REGIMEN GENERAL",COMPRAS!CX:CX,"&lt;&gt;SI",COMPRAS!DD:DD,"=SI")</f>
        <v>0</v>
      </c>
      <c r="Y257" s="978"/>
      <c r="Z257" s="978"/>
      <c r="AA257" s="978"/>
      <c r="AB257" s="224"/>
      <c r="AC257" s="52"/>
      <c r="AD257" s="227"/>
      <c r="AE257" s="977">
        <f>SUMIFS(COMPRAS!BI:BI,COMPRAS!BF:BF,V257,COMPRAS!CS:CS,"=01-REGIMEN GENERAL",COMPRAS!CX:CX,"&lt;&gt;SI",COMPRAS!DD:DD,"=SI")+SUMIFS(COMPRAS!BR:BR,COMPRAS!BO:BO,V257,COMPRAS!CS:CS,"=01-REGIMEN GENERAL",COMPRAS!CX:CX,"&lt;&gt;SI",COMPRAS!DD:DD,"=SI")+SUMIFS(COMPRAS!CA:CA,COMPRAS!BX:BX,V257,COMPRAS!CS:CS,"=01-REGIMEN GENERAL",COMPRAS!CX:CX,"&lt;&gt;SI",COMPRAS!DD:DD,"=SI")</f>
        <v>0</v>
      </c>
      <c r="AF257" s="978"/>
      <c r="AG257" s="978"/>
      <c r="AH257" s="978"/>
      <c r="AI257" s="206"/>
    </row>
    <row r="258" spans="1:37" ht="21" customHeight="1" outlineLevel="2" x14ac:dyDescent="0.35">
      <c r="A258" s="1012"/>
      <c r="B258" s="1013"/>
      <c r="C258" s="1014"/>
      <c r="D258" s="15"/>
      <c r="E258" s="15"/>
      <c r="F258" s="15"/>
      <c r="G258" s="15"/>
      <c r="H258" s="15"/>
      <c r="I258" s="15"/>
      <c r="J258" s="15"/>
      <c r="K258" s="15"/>
      <c r="L258" s="15"/>
      <c r="M258" s="15"/>
      <c r="N258" s="15"/>
      <c r="O258" s="15"/>
      <c r="P258" s="15"/>
      <c r="Q258" s="15"/>
      <c r="R258" s="15"/>
      <c r="S258" s="15"/>
      <c r="T258" s="15"/>
      <c r="U258" s="229" t="s">
        <v>214</v>
      </c>
      <c r="V258" s="272" t="s">
        <v>213</v>
      </c>
      <c r="W258" s="225"/>
      <c r="X258" s="977">
        <f>SUMIFS(COMPRAS!BG:BG,COMPRAS!BF:BF,V258,COMPRAS!CS:CS,"=01-REGIMEN GENERAL",COMPRAS!CX:CX,"&lt;&gt;SI",COMPRAS!DD:DD,"=SI")+SUMIFS(COMPRAS!BP:BP,COMPRAS!BO:BO,V258,COMPRAS!CS:CS,"=01-REGIMEN GENERAL",COMPRAS!CX:CX,"&lt;&gt;SI",COMPRAS!DD:DD,"=SI")+SUMIFS(COMPRAS!BY:BY,COMPRAS!BX:BX,V258,COMPRAS!CS:CS,"=01-REGIMEN GENERAL",COMPRAS!CX:CX,"&lt;&gt;SI",COMPRAS!DD:DD,"=SI")</f>
        <v>0</v>
      </c>
      <c r="Y258" s="978"/>
      <c r="Z258" s="978"/>
      <c r="AA258" s="978"/>
      <c r="AB258" s="224"/>
      <c r="AC258" s="52"/>
      <c r="AD258" s="227"/>
      <c r="AE258" s="977">
        <f>SUMIFS(COMPRAS!BI:BI,COMPRAS!BF:BF,V258,COMPRAS!CS:CS,"=01-REGIMEN GENERAL",COMPRAS!CX:CX,"&lt;&gt;SI",COMPRAS!DD:DD,"=SI")+SUMIFS(COMPRAS!BR:BR,COMPRAS!BO:BO,V258,COMPRAS!CS:CS,"=01-REGIMEN GENERAL",COMPRAS!CX:CX,"&lt;&gt;SI",COMPRAS!DD:DD,"=SI")+SUMIFS(COMPRAS!CA:CA,COMPRAS!BX:BX,V258,COMPRAS!CS:CS,"=01-REGIMEN GENERAL",COMPRAS!CX:CX,"&lt;&gt;SI",COMPRAS!DD:DD,"=SI")</f>
        <v>0</v>
      </c>
      <c r="AF258" s="978"/>
      <c r="AG258" s="978"/>
      <c r="AH258" s="978"/>
      <c r="AI258" s="206"/>
    </row>
    <row r="259" spans="1:37" ht="21" customHeight="1" outlineLevel="2" x14ac:dyDescent="0.35">
      <c r="A259" s="1012"/>
      <c r="B259" s="1013"/>
      <c r="C259" s="1014"/>
      <c r="D259" s="15"/>
      <c r="E259" s="15"/>
      <c r="F259" s="15"/>
      <c r="G259" s="15"/>
      <c r="H259" s="15"/>
      <c r="I259" s="15"/>
      <c r="J259" s="15"/>
      <c r="K259" s="15"/>
      <c r="L259" s="15"/>
      <c r="M259" s="15"/>
      <c r="N259" s="15"/>
      <c r="O259" s="15"/>
      <c r="P259" s="15"/>
      <c r="Q259" s="15"/>
      <c r="R259" s="15"/>
      <c r="S259" s="15"/>
      <c r="T259" s="15"/>
      <c r="U259" s="229" t="s">
        <v>216</v>
      </c>
      <c r="V259" s="272" t="s">
        <v>215</v>
      </c>
      <c r="W259" s="225"/>
      <c r="X259" s="977">
        <f>SUMIFS(COMPRAS!BG:BG,COMPRAS!BF:BF,V259,COMPRAS!CS:CS,"=01-REGIMEN GENERAL",COMPRAS!CX:CX,"&lt;&gt;SI",COMPRAS!DD:DD,"=SI")+SUMIFS(COMPRAS!BP:BP,COMPRAS!BO:BO,V259,COMPRAS!CS:CS,"=01-REGIMEN GENERAL",COMPRAS!CX:CX,"&lt;&gt;SI",COMPRAS!DD:DD,"=SI")+SUMIFS(COMPRAS!BY:BY,COMPRAS!BX:BX,V259,COMPRAS!CS:CS,"=01-REGIMEN GENERAL",COMPRAS!CX:CX,"&lt;&gt;SI",COMPRAS!DD:DD,"=SI")</f>
        <v>0</v>
      </c>
      <c r="Y259" s="978"/>
      <c r="Z259" s="978"/>
      <c r="AA259" s="978"/>
      <c r="AB259" s="224"/>
      <c r="AC259" s="52"/>
      <c r="AD259" s="227"/>
      <c r="AE259" s="977">
        <f>SUMIFS(COMPRAS!BI:BI,COMPRAS!BF:BF,V259,COMPRAS!CS:CS,"=01-REGIMEN GENERAL",COMPRAS!CX:CX,"&lt;&gt;SI",COMPRAS!DD:DD,"=SI")+SUMIFS(COMPRAS!BR:BR,COMPRAS!BO:BO,V259,COMPRAS!CS:CS,"=01-REGIMEN GENERAL",COMPRAS!CX:CX,"&lt;&gt;SI",COMPRAS!DD:DD,"=SI")+SUMIFS(COMPRAS!CA:CA,COMPRAS!BX:BX,V259,COMPRAS!CS:CS,"=01-REGIMEN GENERAL",COMPRAS!CX:CX,"&lt;&gt;SI",COMPRAS!DD:DD,"=SI")</f>
        <v>0</v>
      </c>
      <c r="AF259" s="978"/>
      <c r="AG259" s="978"/>
      <c r="AH259" s="978"/>
      <c r="AI259" s="206"/>
    </row>
    <row r="260" spans="1:37" ht="21" customHeight="1" outlineLevel="2" x14ac:dyDescent="0.35">
      <c r="A260" s="1012"/>
      <c r="B260" s="1013"/>
      <c r="C260" s="1014"/>
      <c r="D260" s="15"/>
      <c r="E260" s="15"/>
      <c r="F260" s="15"/>
      <c r="G260" s="15"/>
      <c r="H260" s="15"/>
      <c r="I260" s="15"/>
      <c r="J260" s="15"/>
      <c r="K260" s="15"/>
      <c r="L260" s="15"/>
      <c r="M260" s="15"/>
      <c r="N260" s="15"/>
      <c r="O260" s="15"/>
      <c r="P260" s="15"/>
      <c r="Q260" s="15"/>
      <c r="R260" s="15"/>
      <c r="S260" s="15"/>
      <c r="T260" s="15"/>
      <c r="U260" s="229" t="s">
        <v>218</v>
      </c>
      <c r="V260" s="272" t="s">
        <v>217</v>
      </c>
      <c r="W260" s="225"/>
      <c r="X260" s="977">
        <f>SUMIFS(COMPRAS!BG:BG,COMPRAS!BF:BF,V260,COMPRAS!CS:CS,"=01-REGIMEN GENERAL",COMPRAS!CX:CX,"&lt;&gt;SI",COMPRAS!DD:DD,"=SI")+SUMIFS(COMPRAS!BP:BP,COMPRAS!BO:BO,V260,COMPRAS!CS:CS,"=01-REGIMEN GENERAL",COMPRAS!CX:CX,"&lt;&gt;SI",COMPRAS!DD:DD,"=SI")+SUMIFS(COMPRAS!BY:BY,COMPRAS!BX:BX,V260,COMPRAS!CS:CS,"=01-REGIMEN GENERAL",COMPRAS!CX:CX,"&lt;&gt;SI",COMPRAS!DD:DD,"=SI")</f>
        <v>0</v>
      </c>
      <c r="Y260" s="978"/>
      <c r="Z260" s="978"/>
      <c r="AA260" s="978"/>
      <c r="AB260" s="224"/>
      <c r="AC260" s="52"/>
      <c r="AD260" s="227"/>
      <c r="AE260" s="977">
        <f>SUMIFS(COMPRAS!BI:BI,COMPRAS!BF:BF,V260,COMPRAS!CS:CS,"=01-REGIMEN GENERAL",COMPRAS!CX:CX,"&lt;&gt;SI",COMPRAS!DD:DD,"=SI")+SUMIFS(COMPRAS!BR:BR,COMPRAS!BO:BO,V260,COMPRAS!CS:CS,"=01-REGIMEN GENERAL",COMPRAS!CX:CX,"&lt;&gt;SI",COMPRAS!DD:DD,"=SI")+SUMIFS(COMPRAS!CA:CA,COMPRAS!BX:BX,V260,COMPRAS!CS:CS,"=01-REGIMEN GENERAL",COMPRAS!CX:CX,"&lt;&gt;SI",COMPRAS!DD:DD,"=SI")</f>
        <v>0</v>
      </c>
      <c r="AF260" s="978"/>
      <c r="AG260" s="978"/>
      <c r="AH260" s="978"/>
      <c r="AI260" s="206"/>
    </row>
    <row r="261" spans="1:37" ht="21" customHeight="1" outlineLevel="2" x14ac:dyDescent="0.35">
      <c r="A261" s="1012"/>
      <c r="B261" s="1013"/>
      <c r="C261" s="1014"/>
      <c r="D261" s="15"/>
      <c r="E261" s="15"/>
      <c r="F261" s="15"/>
      <c r="G261" s="15"/>
      <c r="H261" s="15"/>
      <c r="I261" s="15"/>
      <c r="J261" s="15"/>
      <c r="K261" s="15"/>
      <c r="L261" s="15"/>
      <c r="M261" s="15"/>
      <c r="N261" s="15"/>
      <c r="O261" s="15"/>
      <c r="P261" s="15"/>
      <c r="Q261" s="15"/>
      <c r="R261" s="15"/>
      <c r="S261" s="15"/>
      <c r="T261" s="15"/>
      <c r="U261" s="229" t="s">
        <v>220</v>
      </c>
      <c r="V261" s="272" t="s">
        <v>219</v>
      </c>
      <c r="W261" s="225"/>
      <c r="X261" s="977">
        <f>SUMIFS(COMPRAS!BG:BG,COMPRAS!BF:BF,V261,COMPRAS!CS:CS,"=01-REGIMEN GENERAL",COMPRAS!CX:CX,"&lt;&gt;SI",COMPRAS!DD:DD,"=SI")+SUMIFS(COMPRAS!BP:BP,COMPRAS!BO:BO,V261,COMPRAS!CS:CS,"=01-REGIMEN GENERAL",COMPRAS!CX:CX,"&lt;&gt;SI",COMPRAS!DD:DD,"=SI")+SUMIFS(COMPRAS!BY:BY,COMPRAS!BX:BX,V261,COMPRAS!CS:CS,"=01-REGIMEN GENERAL",COMPRAS!CX:CX,"&lt;&gt;SI",COMPRAS!DD:DD,"=SI")</f>
        <v>0</v>
      </c>
      <c r="Y261" s="978"/>
      <c r="Z261" s="978"/>
      <c r="AA261" s="978"/>
      <c r="AB261" s="224"/>
      <c r="AC261" s="52"/>
      <c r="AD261" s="227"/>
      <c r="AE261" s="977">
        <f>SUMIFS(COMPRAS!BI:BI,COMPRAS!BF:BF,V261,COMPRAS!CS:CS,"=01-REGIMEN GENERAL",COMPRAS!CX:CX,"&lt;&gt;SI",COMPRAS!DD:DD,"=SI")+SUMIFS(COMPRAS!BR:BR,COMPRAS!BO:BO,V261,COMPRAS!CS:CS,"=01-REGIMEN GENERAL",COMPRAS!CX:CX,"&lt;&gt;SI",COMPRAS!DD:DD,"=SI")+SUMIFS(COMPRAS!CA:CA,COMPRAS!BX:BX,V261,COMPRAS!CS:CS,"=01-REGIMEN GENERAL",COMPRAS!CX:CX,"&lt;&gt;SI",COMPRAS!DD:DD,"=SI")</f>
        <v>0</v>
      </c>
      <c r="AF261" s="978"/>
      <c r="AG261" s="978"/>
      <c r="AH261" s="978"/>
      <c r="AI261" s="206"/>
    </row>
    <row r="262" spans="1:37" ht="21" customHeight="1" outlineLevel="2" x14ac:dyDescent="0.35">
      <c r="A262" s="1012"/>
      <c r="B262" s="1013"/>
      <c r="C262" s="1014"/>
      <c r="D262" s="15"/>
      <c r="E262" s="15"/>
      <c r="F262" s="15"/>
      <c r="G262" s="15"/>
      <c r="H262" s="15"/>
      <c r="I262" s="15"/>
      <c r="J262" s="15"/>
      <c r="K262" s="15"/>
      <c r="L262" s="15"/>
      <c r="M262" s="15"/>
      <c r="N262" s="15"/>
      <c r="O262" s="15"/>
      <c r="P262" s="15"/>
      <c r="Q262" s="15"/>
      <c r="R262" s="15"/>
      <c r="S262" s="15"/>
      <c r="T262" s="15"/>
      <c r="U262" s="229" t="s">
        <v>222</v>
      </c>
      <c r="V262" s="272" t="s">
        <v>221</v>
      </c>
      <c r="W262" s="225"/>
      <c r="X262" s="977">
        <f>SUMIFS(COMPRAS!BG:BG,COMPRAS!BF:BF,V262,COMPRAS!CS:CS,"=01-REGIMEN GENERAL",COMPRAS!CX:CX,"&lt;&gt;SI",COMPRAS!DD:DD,"=SI")+SUMIFS(COMPRAS!BP:BP,COMPRAS!BO:BO,V262,COMPRAS!CS:CS,"=01-REGIMEN GENERAL",COMPRAS!CX:CX,"&lt;&gt;SI",COMPRAS!DD:DD,"=SI")+SUMIFS(COMPRAS!BY:BY,COMPRAS!BX:BX,V262,COMPRAS!CS:CS,"=01-REGIMEN GENERAL",COMPRAS!CX:CX,"&lt;&gt;SI",COMPRAS!DD:DD,"=SI")</f>
        <v>0</v>
      </c>
      <c r="Y262" s="978"/>
      <c r="Z262" s="978"/>
      <c r="AA262" s="978"/>
      <c r="AB262" s="224"/>
      <c r="AC262" s="52"/>
      <c r="AD262" s="227"/>
      <c r="AE262" s="977">
        <f>SUMIFS(COMPRAS!BI:BI,COMPRAS!BF:BF,V262,COMPRAS!CS:CS,"=01-REGIMEN GENERAL",COMPRAS!CX:CX,"&lt;&gt;SI",COMPRAS!DD:DD,"=SI")+SUMIFS(COMPRAS!BR:BR,COMPRAS!BO:BO,V262,COMPRAS!CS:CS,"=01-REGIMEN GENERAL",COMPRAS!CX:CX,"&lt;&gt;SI",COMPRAS!DD:DD,"=SI")+SUMIFS(COMPRAS!CA:CA,COMPRAS!BX:BX,V262,COMPRAS!CS:CS,"=01-REGIMEN GENERAL",COMPRAS!CX:CX,"&lt;&gt;SI",COMPRAS!DD:DD,"=SI")</f>
        <v>0</v>
      </c>
      <c r="AF262" s="978"/>
      <c r="AG262" s="978"/>
      <c r="AH262" s="978"/>
      <c r="AI262" s="206"/>
    </row>
    <row r="263" spans="1:37" ht="21" customHeight="1" outlineLevel="2" x14ac:dyDescent="0.35">
      <c r="A263" s="1012"/>
      <c r="B263" s="1013"/>
      <c r="C263" s="1014"/>
      <c r="D263" s="15"/>
      <c r="E263" s="15"/>
      <c r="F263" s="15"/>
      <c r="G263" s="15"/>
      <c r="H263" s="15"/>
      <c r="I263" s="15"/>
      <c r="J263" s="15"/>
      <c r="K263" s="15"/>
      <c r="L263" s="15"/>
      <c r="M263" s="15"/>
      <c r="N263" s="15"/>
      <c r="O263" s="15"/>
      <c r="P263" s="15"/>
      <c r="Q263" s="15"/>
      <c r="R263" s="15"/>
      <c r="S263" s="15"/>
      <c r="T263" s="15"/>
      <c r="U263" s="229" t="s">
        <v>224</v>
      </c>
      <c r="V263" s="272" t="s">
        <v>223</v>
      </c>
      <c r="W263" s="225"/>
      <c r="X263" s="977">
        <f>SUMIFS(COMPRAS!BG:BG,COMPRAS!BF:BF,V263,COMPRAS!CS:CS,"=01-REGIMEN GENERAL",COMPRAS!CX:CX,"&lt;&gt;SI",COMPRAS!DD:DD,"=SI")+SUMIFS(COMPRAS!BP:BP,COMPRAS!BO:BO,V263,COMPRAS!CS:CS,"=01-REGIMEN GENERAL",COMPRAS!CX:CX,"&lt;&gt;SI",COMPRAS!DD:DD,"=SI")+SUMIFS(COMPRAS!BY:BY,COMPRAS!BX:BX,V263,COMPRAS!CS:CS,"=01-REGIMEN GENERAL",COMPRAS!CX:CX,"&lt;&gt;SI",COMPRAS!DD:DD,"=SI")</f>
        <v>0</v>
      </c>
      <c r="Y263" s="978"/>
      <c r="Z263" s="978"/>
      <c r="AA263" s="978"/>
      <c r="AB263" s="224"/>
      <c r="AC263" s="52"/>
      <c r="AD263" s="227"/>
      <c r="AE263" s="977">
        <f>SUMIFS(COMPRAS!BI:BI,COMPRAS!BF:BF,V263,COMPRAS!CS:CS,"=01-REGIMEN GENERAL",COMPRAS!CX:CX,"&lt;&gt;SI",COMPRAS!DD:DD,"=SI")+SUMIFS(COMPRAS!BR:BR,COMPRAS!BO:BO,V263,COMPRAS!CS:CS,"=01-REGIMEN GENERAL",COMPRAS!CX:CX,"&lt;&gt;SI",COMPRAS!DD:DD,"=SI")+SUMIFS(COMPRAS!CA:CA,COMPRAS!BX:BX,V263,COMPRAS!CS:CS,"=01-REGIMEN GENERAL",COMPRAS!CX:CX,"&lt;&gt;SI",COMPRAS!DD:DD,"=SI")</f>
        <v>0</v>
      </c>
      <c r="AF263" s="978"/>
      <c r="AG263" s="978"/>
      <c r="AH263" s="978"/>
      <c r="AI263" s="206"/>
    </row>
    <row r="264" spans="1:37" ht="21" customHeight="1" outlineLevel="1" thickBot="1" x14ac:dyDescent="0.4">
      <c r="A264" s="1012"/>
      <c r="B264" s="1013"/>
      <c r="C264" s="1014"/>
      <c r="D264" s="15" t="s">
        <v>936</v>
      </c>
      <c r="E264" s="15"/>
      <c r="F264" s="15"/>
      <c r="G264" s="15"/>
      <c r="H264" s="15"/>
      <c r="I264" s="15"/>
      <c r="J264" s="15"/>
      <c r="K264" s="15"/>
      <c r="L264" s="15"/>
      <c r="M264" s="15"/>
      <c r="N264" s="15"/>
      <c r="O264" s="15"/>
      <c r="P264" s="15"/>
      <c r="Q264" s="15"/>
      <c r="R264" s="15"/>
      <c r="S264" s="15"/>
      <c r="T264" s="15"/>
      <c r="U264" s="130"/>
      <c r="V264" s="226">
        <v>423</v>
      </c>
      <c r="W264" s="225" t="s">
        <v>769</v>
      </c>
      <c r="X264" s="1025">
        <f>SUM(X265:AA265)</f>
        <v>0</v>
      </c>
      <c r="Y264" s="1026"/>
      <c r="Z264" s="1026"/>
      <c r="AA264" s="1026"/>
      <c r="AB264" s="220"/>
      <c r="AC264" s="1003"/>
      <c r="AD264" s="1004"/>
      <c r="AE264" s="1004"/>
      <c r="AF264" s="1004"/>
      <c r="AG264" s="1004"/>
      <c r="AH264" s="1004"/>
      <c r="AI264" s="1005"/>
    </row>
    <row r="265" spans="1:37" ht="21" customHeight="1" outlineLevel="2" thickBot="1" x14ac:dyDescent="0.4">
      <c r="A265" s="1015"/>
      <c r="B265" s="1016"/>
      <c r="C265" s="1017"/>
      <c r="D265" s="5"/>
      <c r="E265" s="5"/>
      <c r="F265" s="5"/>
      <c r="G265" s="5"/>
      <c r="H265" s="5"/>
      <c r="I265" s="5"/>
      <c r="J265" s="5"/>
      <c r="K265" s="5"/>
      <c r="L265" s="5"/>
      <c r="M265" s="5"/>
      <c r="N265" s="5"/>
      <c r="O265" s="5"/>
      <c r="P265" s="5"/>
      <c r="Q265" s="5"/>
      <c r="R265" s="5"/>
      <c r="S265" s="5"/>
      <c r="T265" s="5"/>
      <c r="U265" s="223" t="s">
        <v>228</v>
      </c>
      <c r="V265" s="222">
        <v>524</v>
      </c>
      <c r="W265" s="221"/>
      <c r="X265" s="1018">
        <f>SUMIFS(COMPRAS!BG:BG,COMPRAS!BF:BF,V265,COMPRAS!CS:CS,"=01-REGIMEN GENERAL",COMPRAS!CX:CX,"&lt;&gt;SI",COMPRAS!DD:DD,"=SI")+SUMIFS(COMPRAS!BP:BP,COMPRAS!BO:BO,V265,COMPRAS!CS:CS,"=01-REGIMEN GENERAL",COMPRAS!CX:CX,"&lt;&gt;SI",COMPRAS!DD:DD,"=SI")+SUMIFS(COMPRAS!BY:BY,COMPRAS!BX:BX,V265,COMPRAS!CS:CS,"=01-REGIMEN GENERAL",COMPRAS!CX:CX,"&lt;&gt;SI",COMPRAS!DD:DD,"=SI")</f>
        <v>0</v>
      </c>
      <c r="Y265" s="1019"/>
      <c r="Z265" s="1019"/>
      <c r="AA265" s="1019"/>
      <c r="AB265" s="268"/>
      <c r="AC265" s="1000"/>
      <c r="AD265" s="1001"/>
      <c r="AE265" s="1001"/>
      <c r="AF265" s="1001"/>
      <c r="AG265" s="1001"/>
      <c r="AH265" s="1001"/>
      <c r="AI265" s="1002"/>
    </row>
    <row r="266" spans="1:37" ht="21" customHeight="1" outlineLevel="1" x14ac:dyDescent="0.35">
      <c r="A266" s="1009" t="s">
        <v>946</v>
      </c>
      <c r="B266" s="1010"/>
      <c r="C266" s="1020"/>
      <c r="D266" s="118" t="s">
        <v>945</v>
      </c>
      <c r="E266" s="118"/>
      <c r="F266" s="118"/>
      <c r="G266" s="118"/>
      <c r="H266" s="118"/>
      <c r="I266" s="118"/>
      <c r="J266" s="118"/>
      <c r="K266" s="118"/>
      <c r="L266" s="118"/>
      <c r="M266" s="118"/>
      <c r="N266" s="118"/>
      <c r="O266" s="118"/>
      <c r="P266" s="118"/>
      <c r="Q266" s="118"/>
      <c r="R266" s="118"/>
      <c r="S266" s="118"/>
      <c r="T266" s="118"/>
      <c r="U266" s="238"/>
      <c r="V266" s="237">
        <v>424</v>
      </c>
      <c r="W266" s="236" t="s">
        <v>769</v>
      </c>
      <c r="X266" s="979">
        <f>SUM(X267:AA270)</f>
        <v>0</v>
      </c>
      <c r="Y266" s="980"/>
      <c r="Z266" s="980"/>
      <c r="AA266" s="980"/>
      <c r="AB266" s="235"/>
      <c r="AC266" s="234">
        <v>474</v>
      </c>
      <c r="AD266" s="233" t="s">
        <v>769</v>
      </c>
      <c r="AE266" s="1027">
        <f>SUM(AE267:AH270)</f>
        <v>0</v>
      </c>
      <c r="AF266" s="1028"/>
      <c r="AG266" s="1028"/>
      <c r="AH266" s="1028"/>
      <c r="AI266" s="232"/>
    </row>
    <row r="267" spans="1:37" ht="21" customHeight="1" outlineLevel="2" x14ac:dyDescent="0.35">
      <c r="A267" s="1012"/>
      <c r="B267" s="1013"/>
      <c r="C267" s="1021"/>
      <c r="D267" s="15"/>
      <c r="E267" s="15"/>
      <c r="F267" s="15"/>
      <c r="G267" s="15"/>
      <c r="H267" s="15"/>
      <c r="I267" s="15"/>
      <c r="J267" s="15"/>
      <c r="K267" s="15"/>
      <c r="L267" s="15"/>
      <c r="M267" s="15"/>
      <c r="N267" s="15"/>
      <c r="O267" s="15"/>
      <c r="P267" s="15"/>
      <c r="Q267" s="15"/>
      <c r="R267" s="15"/>
      <c r="S267" s="15"/>
      <c r="T267" s="15"/>
      <c r="U267" s="229" t="s">
        <v>187</v>
      </c>
      <c r="V267" s="272" t="s">
        <v>186</v>
      </c>
      <c r="W267" s="225"/>
      <c r="X267" s="977">
        <f>SUMIFS(COMPRAS!BG:BG,COMPRAS!BF:BF,V267,COMPRAS!CS:CS,"&lt;&gt;01-REGIMEN GENERAL",COMPRAS!DD:DD,"=SI")+SUMIFS(COMPRAS!BP:BP,COMPRAS!BO:BO,V267,COMPRAS!CS:CS,"&lt;&gt;01-REGIMEN GENERAL",COMPRAS!DD:DD,"=SI")+SUMIFS(COMPRAS!BY:BY,COMPRAS!BX:BX,V267,COMPRAS!CS:CS,"&lt;&gt;01-REGIMEN GENERAL",COMPRAS!DD:DD,"=SI")</f>
        <v>0</v>
      </c>
      <c r="Y267" s="978"/>
      <c r="Z267" s="978"/>
      <c r="AA267" s="978"/>
      <c r="AB267" s="224"/>
      <c r="AC267" s="52"/>
      <c r="AD267" s="227"/>
      <c r="AE267" s="977">
        <f>SUMIFS(COMPRAS!BI:BI,COMPRAS!BF:BF,V267,COMPRAS!CS:CS,"&lt;&gt;01-REGIMEN GENERAL",COMPRAS!DD:DD,"=SI")+SUMIFS(COMPRAS!BR:BR,COMPRAS!BO:BO,V267,COMPRAS!CS:CS,"&lt;&gt;01-REGIMEN GENERAL",COMPRAS!DD:DD,"=SI")+SUMIFS(COMPRAS!CA:CA,COMPRAS!BX:BX,V267,COMPRAS!CS:CS,"&lt;&gt;01-REGIMEN GENERAL",COMPRAS!DD:DD,"=SI")</f>
        <v>0</v>
      </c>
      <c r="AF267" s="978"/>
      <c r="AG267" s="978"/>
      <c r="AH267" s="978"/>
      <c r="AI267" s="206"/>
      <c r="AK267" s="95"/>
    </row>
    <row r="268" spans="1:37" ht="21" customHeight="1" outlineLevel="2" x14ac:dyDescent="0.35">
      <c r="A268" s="1012"/>
      <c r="B268" s="1013"/>
      <c r="C268" s="1021"/>
      <c r="D268" s="15"/>
      <c r="E268" s="15"/>
      <c r="F268" s="15"/>
      <c r="G268" s="15"/>
      <c r="H268" s="15"/>
      <c r="I268" s="15"/>
      <c r="J268" s="15"/>
      <c r="K268" s="15"/>
      <c r="L268" s="15"/>
      <c r="M268" s="15"/>
      <c r="N268" s="15"/>
      <c r="O268" s="15"/>
      <c r="P268" s="15"/>
      <c r="Q268" s="15"/>
      <c r="R268" s="15"/>
      <c r="S268" s="15"/>
      <c r="T268" s="15"/>
      <c r="U268" s="229" t="s">
        <v>189</v>
      </c>
      <c r="V268" s="272" t="s">
        <v>188</v>
      </c>
      <c r="W268" s="225"/>
      <c r="X268" s="977">
        <f>SUMIFS(COMPRAS!BG:BG,COMPRAS!BF:BF,V268,COMPRAS!CS:CS,"&lt;&gt;01-REGIMEN GENERAL",COMPRAS!DD:DD,"=SI")+SUMIFS(COMPRAS!BP:BP,COMPRAS!BO:BO,V268,COMPRAS!CS:CS,"&lt;&gt;01-REGIMEN GENERAL",COMPRAS!DD:DD,"=SI")+SUMIFS(COMPRAS!BY:BY,COMPRAS!BX:BX,V268,COMPRAS!CS:CS,"&lt;&gt;01-REGIMEN GENERAL",COMPRAS!DD:DD,"=SI")</f>
        <v>0</v>
      </c>
      <c r="Y268" s="978"/>
      <c r="Z268" s="978"/>
      <c r="AA268" s="978"/>
      <c r="AB268" s="224"/>
      <c r="AC268" s="52"/>
      <c r="AD268" s="227"/>
      <c r="AE268" s="977">
        <f>SUMIFS(COMPRAS!BI:BI,COMPRAS!BF:BF,V268,COMPRAS!CS:CS,"&lt;&gt;01-REGIMEN GENERAL",COMPRAS!DD:DD,"=SI")+SUMIFS(COMPRAS!BR:BR,COMPRAS!BO:BO,V268,COMPRAS!CS:CS,"&lt;&gt;01-REGIMEN GENERAL",COMPRAS!DD:DD,"=SI")+SUMIFS(COMPRAS!CA:CA,COMPRAS!BX:BX,V268,COMPRAS!CS:CS,"&lt;&gt;01-REGIMEN GENERAL",COMPRAS!DD:DD,"=SI")</f>
        <v>0</v>
      </c>
      <c r="AF268" s="978"/>
      <c r="AG268" s="978"/>
      <c r="AH268" s="978"/>
      <c r="AI268" s="206"/>
    </row>
    <row r="269" spans="1:37" ht="21" customHeight="1" outlineLevel="2" x14ac:dyDescent="0.35">
      <c r="A269" s="1012"/>
      <c r="B269" s="1013"/>
      <c r="C269" s="1021"/>
      <c r="D269" s="15"/>
      <c r="E269" s="15"/>
      <c r="F269" s="15"/>
      <c r="G269" s="15"/>
      <c r="H269" s="15"/>
      <c r="I269" s="15"/>
      <c r="J269" s="15"/>
      <c r="K269" s="15"/>
      <c r="L269" s="15"/>
      <c r="M269" s="15"/>
      <c r="N269" s="15"/>
      <c r="O269" s="15"/>
      <c r="P269" s="15"/>
      <c r="Q269" s="15"/>
      <c r="R269" s="15"/>
      <c r="S269" s="15"/>
      <c r="T269" s="15"/>
      <c r="U269" s="229" t="s">
        <v>191</v>
      </c>
      <c r="V269" s="272" t="s">
        <v>190</v>
      </c>
      <c r="W269" s="225"/>
      <c r="X269" s="977">
        <f>SUMIFS(COMPRAS!BG:BG,COMPRAS!BF:BF,V269,COMPRAS!CS:CS,"&lt;&gt;01-REGIMEN GENERAL",COMPRAS!DD:DD,"=SI")+SUMIFS(COMPRAS!BP:BP,COMPRAS!BO:BO,V269,COMPRAS!CS:CS,"&lt;&gt;01-REGIMEN GENERAL",COMPRAS!DD:DD,"=SI")+SUMIFS(COMPRAS!BY:BY,COMPRAS!BX:BX,V269,COMPRAS!CS:CS,"&lt;&gt;01-REGIMEN GENERAL",COMPRAS!DD:DD,"=SI")</f>
        <v>0</v>
      </c>
      <c r="Y269" s="978"/>
      <c r="Z269" s="978"/>
      <c r="AA269" s="978"/>
      <c r="AB269" s="224"/>
      <c r="AC269" s="52"/>
      <c r="AD269" s="227"/>
      <c r="AE269" s="977">
        <f>SUMIFS(COMPRAS!BI:BI,COMPRAS!BF:BF,V269,COMPRAS!CS:CS,"&lt;&gt;01-REGIMEN GENERAL",COMPRAS!DD:DD,"=SI")+SUMIFS(COMPRAS!BR:BR,COMPRAS!BO:BO,V269,COMPRAS!CS:CS,"&lt;&gt;01-REGIMEN GENERAL",COMPRAS!DD:DD,"=SI")+SUMIFS(COMPRAS!CA:CA,COMPRAS!BX:BX,V269,COMPRAS!CS:CS,"&lt;&gt;01-REGIMEN GENERAL",COMPRAS!DD:DD,"=SI")</f>
        <v>0</v>
      </c>
      <c r="AF269" s="978"/>
      <c r="AG269" s="978"/>
      <c r="AH269" s="978"/>
      <c r="AI269" s="206"/>
    </row>
    <row r="270" spans="1:37" ht="21" customHeight="1" outlineLevel="2" x14ac:dyDescent="0.35">
      <c r="A270" s="1012"/>
      <c r="B270" s="1013"/>
      <c r="C270" s="1021"/>
      <c r="D270" s="15"/>
      <c r="E270" s="15"/>
      <c r="F270" s="15"/>
      <c r="G270" s="15"/>
      <c r="H270" s="15"/>
      <c r="I270" s="15"/>
      <c r="J270" s="15"/>
      <c r="K270" s="15"/>
      <c r="L270" s="15"/>
      <c r="M270" s="15"/>
      <c r="N270" s="15"/>
      <c r="O270" s="15"/>
      <c r="P270" s="15"/>
      <c r="Q270" s="15"/>
      <c r="R270" s="15"/>
      <c r="S270" s="15"/>
      <c r="T270" s="15"/>
      <c r="U270" s="245" t="s">
        <v>193</v>
      </c>
      <c r="V270" s="272" t="s">
        <v>192</v>
      </c>
      <c r="W270" s="225"/>
      <c r="X270" s="977">
        <f>SUMIFS(COMPRAS!BG:BG,COMPRAS!BF:BF,V270,COMPRAS!CS:CS,"&lt;&gt;01-REGIMEN GENERAL",COMPRAS!DD:DD,"=SI")+SUMIFS(COMPRAS!BP:BP,COMPRAS!BO:BO,V270,COMPRAS!CS:CS,"&lt;&gt;01-REGIMEN GENERAL",COMPRAS!DD:DD,"=SI")+SUMIFS(COMPRAS!BY:BY,COMPRAS!BX:BX,V270,COMPRAS!CS:CS,"&lt;&gt;01-REGIMEN GENERAL",COMPRAS!DD:DD,"=SI")</f>
        <v>0</v>
      </c>
      <c r="Y270" s="978"/>
      <c r="Z270" s="978"/>
      <c r="AA270" s="978"/>
      <c r="AB270" s="224"/>
      <c r="AC270" s="52"/>
      <c r="AD270" s="227"/>
      <c r="AE270" s="977">
        <f>SUMIFS(COMPRAS!BI:BI,COMPRAS!BF:BF,V270,COMPRAS!CS:CS,"&lt;&gt;01-REGIMEN GENERAL",COMPRAS!DD:DD,"=SI")+SUMIFS(COMPRAS!BR:BR,COMPRAS!BO:BO,V270,COMPRAS!CS:CS,"&lt;&gt;01-REGIMEN GENERAL",COMPRAS!DD:DD,"=SI")+SUMIFS(COMPRAS!CA:CA,COMPRAS!BX:BX,V270,COMPRAS!CS:CS,"&lt;&gt;01-REGIMEN GENERAL",COMPRAS!DD:DD,"=SI")</f>
        <v>0</v>
      </c>
      <c r="AF270" s="978"/>
      <c r="AG270" s="978"/>
      <c r="AH270" s="978"/>
      <c r="AI270" s="206"/>
    </row>
    <row r="271" spans="1:37" ht="21" customHeight="1" outlineLevel="1" x14ac:dyDescent="0.35">
      <c r="A271" s="1012"/>
      <c r="B271" s="1013"/>
      <c r="C271" s="1021"/>
      <c r="D271" s="43" t="s">
        <v>944</v>
      </c>
      <c r="E271" s="43"/>
      <c r="F271" s="43"/>
      <c r="G271" s="43"/>
      <c r="H271" s="43"/>
      <c r="I271" s="43"/>
      <c r="J271" s="43"/>
      <c r="K271" s="43"/>
      <c r="L271" s="43"/>
      <c r="M271" s="43"/>
      <c r="N271" s="43"/>
      <c r="O271" s="43"/>
      <c r="P271" s="43"/>
      <c r="Q271" s="43"/>
      <c r="R271" s="43"/>
      <c r="S271" s="43"/>
      <c r="T271" s="43"/>
      <c r="U271" s="43"/>
      <c r="V271" s="54">
        <v>425</v>
      </c>
      <c r="W271" s="225" t="s">
        <v>769</v>
      </c>
      <c r="X271" s="977">
        <f>SUM(X272:AA274)</f>
        <v>0</v>
      </c>
      <c r="Y271" s="978"/>
      <c r="Z271" s="978"/>
      <c r="AA271" s="978"/>
      <c r="AB271" s="230"/>
      <c r="AC271" s="54">
        <v>475</v>
      </c>
      <c r="AD271" s="227" t="s">
        <v>769</v>
      </c>
      <c r="AE271" s="977">
        <f>SUM(AE272:AH274)</f>
        <v>0</v>
      </c>
      <c r="AF271" s="978"/>
      <c r="AG271" s="978"/>
      <c r="AH271" s="978"/>
      <c r="AI271" s="206"/>
    </row>
    <row r="272" spans="1:37" ht="21" customHeight="1" outlineLevel="2" x14ac:dyDescent="0.35">
      <c r="A272" s="1012"/>
      <c r="B272" s="1013"/>
      <c r="C272" s="1021"/>
      <c r="D272" s="15"/>
      <c r="E272" s="15"/>
      <c r="F272" s="15"/>
      <c r="G272" s="15"/>
      <c r="H272" s="15"/>
      <c r="I272" s="15"/>
      <c r="J272" s="15"/>
      <c r="K272" s="15"/>
      <c r="L272" s="15"/>
      <c r="M272" s="15"/>
      <c r="N272" s="15"/>
      <c r="O272" s="15"/>
      <c r="P272" s="15"/>
      <c r="Q272" s="15"/>
      <c r="R272" s="15"/>
      <c r="S272" s="15"/>
      <c r="T272" s="15"/>
      <c r="U272" s="229" t="s">
        <v>1081</v>
      </c>
      <c r="V272" s="272" t="s">
        <v>182</v>
      </c>
      <c r="W272" s="225" t="s">
        <v>769</v>
      </c>
      <c r="X272" s="977">
        <f>SUMIFS(COMPRAS!BG:BG,COMPRAS!BF:BF,V272,COMPRAS!CS:CS,"&lt;&gt;01-REGIMEN GENERAL",COMPRAS!DD:DD,"=SI")+SUMIFS(COMPRAS!BP:BP,COMPRAS!BO:BO,V272,COMPRAS!CS:CS,"&lt;&gt;01-REGIMEN GENERAL",COMPRAS!DD:DD,"=SI")+SUMIFS(COMPRAS!BY:BY,COMPRAS!BX:BX,V272,COMPRAS!CS:CS,"&lt;&gt;01-REGIMEN GENERAL",COMPRAS!DD:DD,"=SI")</f>
        <v>0</v>
      </c>
      <c r="Y272" s="978"/>
      <c r="Z272" s="978"/>
      <c r="AA272" s="978"/>
      <c r="AB272" s="224"/>
      <c r="AC272" s="54"/>
      <c r="AD272" s="227" t="s">
        <v>769</v>
      </c>
      <c r="AE272" s="977">
        <f>SUMIFS(COMPRAS!BI:BI,COMPRAS!BF:BF,V272,COMPRAS!CS:CS,"&lt;&gt;01-REGIMEN GENERAL",COMPRAS!DD:DD,"=SI")+SUMIFS(COMPRAS!BR:BR,COMPRAS!BO:BO,V272,COMPRAS!CS:CS,"&lt;&gt;01-REGIMEN GENERAL",COMPRAS!DD:DD,"=SI")+SUMIFS(COMPRAS!CA:CA,COMPRAS!BX:BX,V272,COMPRAS!CS:CS,"&lt;&gt;01-REGIMEN GENERAL",COMPRAS!DD:DD,"=SI")</f>
        <v>0</v>
      </c>
      <c r="AF272" s="978"/>
      <c r="AG272" s="978"/>
      <c r="AH272" s="978"/>
      <c r="AI272" s="206"/>
    </row>
    <row r="273" spans="1:35" ht="21" customHeight="1" outlineLevel="2" x14ac:dyDescent="0.35">
      <c r="A273" s="1012"/>
      <c r="B273" s="1013"/>
      <c r="C273" s="1021"/>
      <c r="D273" s="15"/>
      <c r="E273" s="15"/>
      <c r="F273" s="15"/>
      <c r="G273" s="15"/>
      <c r="H273" s="15"/>
      <c r="I273" s="15"/>
      <c r="J273" s="15"/>
      <c r="K273" s="15"/>
      <c r="L273" s="15"/>
      <c r="M273" s="15"/>
      <c r="N273" s="15"/>
      <c r="O273" s="15"/>
      <c r="P273" s="15"/>
      <c r="Q273" s="15"/>
      <c r="R273" s="15"/>
      <c r="S273" s="15"/>
      <c r="T273" s="15"/>
      <c r="U273" s="229" t="s">
        <v>1083</v>
      </c>
      <c r="V273" s="272" t="s">
        <v>184</v>
      </c>
      <c r="W273" s="225" t="s">
        <v>769</v>
      </c>
      <c r="X273" s="977">
        <f>SUMIFS(COMPRAS!BG:BG,COMPRAS!BF:BF,V273,COMPRAS!CS:CS,"&lt;&gt;01-REGIMEN GENERAL",COMPRAS!DD:DD,"=SI")+SUMIFS(COMPRAS!BP:BP,COMPRAS!BO:BO,V273,COMPRAS!CS:CS,"&lt;&gt;01-REGIMEN GENERAL",COMPRAS!DD:DD,"=SI")+SUMIFS(COMPRAS!BY:BY,COMPRAS!BX:BX,V273,COMPRAS!CS:CS,"&lt;&gt;01-REGIMEN GENERAL",COMPRAS!DD:DD,"=SI")</f>
        <v>0</v>
      </c>
      <c r="Y273" s="978"/>
      <c r="Z273" s="978"/>
      <c r="AA273" s="978"/>
      <c r="AB273" s="224"/>
      <c r="AC273" s="54"/>
      <c r="AD273" s="227" t="s">
        <v>769</v>
      </c>
      <c r="AE273" s="977">
        <f>SUMIFS(COMPRAS!BI:BI,COMPRAS!BF:BF,V273,COMPRAS!CS:CS,"&lt;&gt;01-REGIMEN GENERAL",COMPRAS!DD:DD,"=SI")+SUMIFS(COMPRAS!BR:BR,COMPRAS!BO:BO,V273,COMPRAS!CS:CS,"&lt;&gt;01-REGIMEN GENERAL",COMPRAS!DD:DD,"=SI")+SUMIFS(COMPRAS!CA:CA,COMPRAS!BX:BX,V273,COMPRAS!CS:CS,"&lt;&gt;01-REGIMEN GENERAL",COMPRAS!DD:DD,"=SI")</f>
        <v>0</v>
      </c>
      <c r="AF273" s="978"/>
      <c r="AG273" s="978"/>
      <c r="AH273" s="978"/>
      <c r="AI273" s="206"/>
    </row>
    <row r="274" spans="1:35" ht="21" customHeight="1" outlineLevel="2" x14ac:dyDescent="0.35">
      <c r="A274" s="1012"/>
      <c r="B274" s="1013"/>
      <c r="C274" s="1021"/>
      <c r="D274" s="15"/>
      <c r="E274" s="15"/>
      <c r="F274" s="15"/>
      <c r="G274" s="15"/>
      <c r="H274" s="15"/>
      <c r="I274" s="15"/>
      <c r="J274" s="15"/>
      <c r="K274" s="15"/>
      <c r="L274" s="15"/>
      <c r="M274" s="15"/>
      <c r="N274" s="15"/>
      <c r="O274" s="15"/>
      <c r="P274" s="15"/>
      <c r="Q274" s="15"/>
      <c r="R274" s="15"/>
      <c r="S274" s="15"/>
      <c r="T274" s="15"/>
      <c r="U274" s="229" t="s">
        <v>1067</v>
      </c>
      <c r="V274" s="272" t="s">
        <v>1066</v>
      </c>
      <c r="W274" s="225" t="s">
        <v>769</v>
      </c>
      <c r="X274" s="977">
        <f>SUMIFS(COMPRAS!BG:BG,COMPRAS!BF:BF,V274,COMPRAS!CS:CS,"&lt;&gt;01-REGIMEN GENERAL",COMPRAS!DD:DD,"=SI")+SUMIFS(COMPRAS!BP:BP,COMPRAS!BO:BO,V274,COMPRAS!CS:CS,"&lt;&gt;01-REGIMEN GENERAL",COMPRAS!DD:DD,"=SI")+SUMIFS(COMPRAS!BY:BY,COMPRAS!BX:BX,V274,COMPRAS!CS:CS,"&lt;&gt;01-REGIMEN GENERAL",COMPRAS!DD:DD,"=SI")</f>
        <v>0</v>
      </c>
      <c r="Y274" s="978"/>
      <c r="Z274" s="978"/>
      <c r="AA274" s="978"/>
      <c r="AB274" s="224"/>
      <c r="AC274" s="54"/>
      <c r="AD274" s="227" t="s">
        <v>769</v>
      </c>
      <c r="AE274" s="977">
        <f>SUMIFS(COMPRAS!BI:BI,COMPRAS!BF:BF,V274,COMPRAS!CS:CS,"&lt;&gt;01-REGIMEN GENERAL",COMPRAS!DD:DD,"=SI")+SUMIFS(COMPRAS!BR:BR,COMPRAS!BO:BO,V274,COMPRAS!CS:CS,"&lt;&gt;01-REGIMEN GENERAL",COMPRAS!DD:DD,"=SI")+SUMIFS(COMPRAS!CA:CA,COMPRAS!BX:BX,V274,COMPRAS!CS:CS,"&lt;&gt;01-REGIMEN GENERAL",COMPRAS!DD:DD,"=SI")</f>
        <v>0</v>
      </c>
      <c r="AF274" s="978"/>
      <c r="AG274" s="978"/>
      <c r="AH274" s="978"/>
      <c r="AI274" s="206"/>
    </row>
    <row r="275" spans="1:35" ht="21" customHeight="1" outlineLevel="1" x14ac:dyDescent="0.35">
      <c r="A275" s="1012"/>
      <c r="B275" s="1013"/>
      <c r="C275" s="1021"/>
      <c r="D275" s="15" t="s">
        <v>943</v>
      </c>
      <c r="E275" s="15"/>
      <c r="F275" s="15"/>
      <c r="G275" s="15"/>
      <c r="H275" s="15"/>
      <c r="I275" s="15"/>
      <c r="J275" s="15"/>
      <c r="K275" s="15"/>
      <c r="L275" s="15"/>
      <c r="M275" s="15"/>
      <c r="N275" s="15"/>
      <c r="O275" s="15"/>
      <c r="P275" s="15"/>
      <c r="Q275" s="15"/>
      <c r="R275" s="15"/>
      <c r="S275" s="15"/>
      <c r="T275" s="15"/>
      <c r="U275" s="130"/>
      <c r="V275" s="226">
        <v>426</v>
      </c>
      <c r="W275" s="225" t="s">
        <v>769</v>
      </c>
      <c r="X275" s="977">
        <f>SUM(X276)</f>
        <v>0</v>
      </c>
      <c r="Y275" s="978"/>
      <c r="Z275" s="978"/>
      <c r="AA275" s="978"/>
      <c r="AB275" s="224"/>
      <c r="AC275" s="54">
        <v>476</v>
      </c>
      <c r="AD275" s="227" t="s">
        <v>769</v>
      </c>
      <c r="AE275" s="977">
        <f>SUM(AE276)</f>
        <v>0</v>
      </c>
      <c r="AF275" s="978"/>
      <c r="AG275" s="978"/>
      <c r="AH275" s="978"/>
      <c r="AI275" s="206"/>
    </row>
    <row r="276" spans="1:35" ht="21" customHeight="1" outlineLevel="2" x14ac:dyDescent="0.35">
      <c r="A276" s="1012"/>
      <c r="B276" s="1013"/>
      <c r="C276" s="1021"/>
      <c r="D276" s="15"/>
      <c r="E276" s="15"/>
      <c r="F276" s="15"/>
      <c r="G276" s="15"/>
      <c r="H276" s="15"/>
      <c r="I276" s="15"/>
      <c r="J276" s="15"/>
      <c r="K276" s="15"/>
      <c r="L276" s="15"/>
      <c r="M276" s="15"/>
      <c r="N276" s="15"/>
      <c r="O276" s="15"/>
      <c r="P276" s="15"/>
      <c r="Q276" s="15"/>
      <c r="R276" s="15"/>
      <c r="S276" s="15"/>
      <c r="T276" s="15"/>
      <c r="U276" s="229" t="s">
        <v>1076</v>
      </c>
      <c r="V276" s="228">
        <v>504</v>
      </c>
      <c r="W276" s="225"/>
      <c r="X276" s="977">
        <f>SUMIFS(COMPRAS!BG:BG,COMPRAS!BF:BF,V276,COMPRAS!CS:CS,"&lt;&gt;01-REGIMEN GENERAL",COMPRAS!DD:DD,"=SI")+SUMIFS(COMPRAS!BP:BP,COMPRAS!BO:BO,V276,COMPRAS!CS:CS,"&lt;&gt;01-REGIMEN GENERAL",COMPRAS!DD:DD,"=SI")+SUMIFS(COMPRAS!BY:BY,COMPRAS!BX:BX,V276,COMPRAS!CS:CS,"&lt;&gt;01-REGIMEN GENERAL",COMPRAS!DD:DD,"=SI")</f>
        <v>0</v>
      </c>
      <c r="Y276" s="978"/>
      <c r="Z276" s="978"/>
      <c r="AA276" s="978"/>
      <c r="AB276" s="224"/>
      <c r="AC276" s="54"/>
      <c r="AD276" s="227"/>
      <c r="AE276" s="977">
        <f>SUMIFS(COMPRAS!BI:BI,COMPRAS!BF:BF,V276,COMPRAS!CS:CS,"&lt;&gt;01-REGIMEN GENERAL",COMPRAS!DD:DD,"=SI")+SUMIFS(COMPRAS!BR:BR,COMPRAS!BO:BO,V276,COMPRAS!CS:CS,"&lt;&gt;01-REGIMEN GENERAL",COMPRAS!DD:DD,"=SI")+SUMIFS(COMPRAS!CA:CA,COMPRAS!BX:BX,V276,COMPRAS!CS:CS,"&lt;&gt;01-REGIMEN GENERAL",COMPRAS!DD:DD,"=SI")</f>
        <v>0</v>
      </c>
      <c r="AF276" s="978"/>
      <c r="AG276" s="978"/>
      <c r="AH276" s="978"/>
      <c r="AI276" s="206"/>
    </row>
    <row r="277" spans="1:35" ht="21" customHeight="1" outlineLevel="1" x14ac:dyDescent="0.35">
      <c r="A277" s="1012"/>
      <c r="B277" s="1013"/>
      <c r="C277" s="1021"/>
      <c r="D277" s="15" t="s">
        <v>942</v>
      </c>
      <c r="E277" s="15"/>
      <c r="F277" s="15"/>
      <c r="G277" s="15"/>
      <c r="H277" s="15"/>
      <c r="I277" s="15"/>
      <c r="J277" s="15"/>
      <c r="K277" s="15"/>
      <c r="L277" s="15"/>
      <c r="M277" s="15"/>
      <c r="N277" s="15"/>
      <c r="O277" s="15"/>
      <c r="P277" s="15"/>
      <c r="Q277" s="15"/>
      <c r="R277" s="15"/>
      <c r="S277" s="15"/>
      <c r="T277" s="15"/>
      <c r="U277" s="130"/>
      <c r="V277" s="226">
        <v>427</v>
      </c>
      <c r="W277" s="225" t="s">
        <v>769</v>
      </c>
      <c r="X277" s="977">
        <f>SUM(X278:AA278)</f>
        <v>0</v>
      </c>
      <c r="Y277" s="978"/>
      <c r="Z277" s="978"/>
      <c r="AA277" s="978"/>
      <c r="AB277" s="224"/>
      <c r="AC277" s="54">
        <v>477</v>
      </c>
      <c r="AD277" s="227" t="s">
        <v>769</v>
      </c>
      <c r="AE277" s="977">
        <f>SUM(AE278:AH278)</f>
        <v>0</v>
      </c>
      <c r="AF277" s="978"/>
      <c r="AG277" s="978"/>
      <c r="AH277" s="978"/>
      <c r="AI277" s="206"/>
    </row>
    <row r="278" spans="1:35" ht="21" customHeight="1" outlineLevel="2" x14ac:dyDescent="0.35">
      <c r="A278" s="1012"/>
      <c r="B278" s="1013"/>
      <c r="C278" s="1021"/>
      <c r="D278" s="15"/>
      <c r="E278" s="15"/>
      <c r="F278" s="15"/>
      <c r="G278" s="15"/>
      <c r="H278" s="15"/>
      <c r="I278" s="15"/>
      <c r="J278" s="15"/>
      <c r="K278" s="15"/>
      <c r="L278" s="15"/>
      <c r="M278" s="15"/>
      <c r="N278" s="15"/>
      <c r="O278" s="15"/>
      <c r="P278" s="15"/>
      <c r="Q278" s="15"/>
      <c r="R278" s="15"/>
      <c r="S278" s="15"/>
      <c r="T278" s="15"/>
      <c r="U278" s="229" t="s">
        <v>1078</v>
      </c>
      <c r="V278" s="228" t="s">
        <v>179</v>
      </c>
      <c r="W278" s="225"/>
      <c r="X278" s="977">
        <f>SUMIFS(COMPRAS!BG:BG,COMPRAS!BF:BF,V278,COMPRAS!CS:CS,"&lt;&gt;01-REGIMEN GENERAL",COMPRAS!DD:DD,"=SI")+SUMIFS(COMPRAS!BP:BP,COMPRAS!BO:BO,V278,COMPRAS!CS:CS,"&lt;&gt;01-REGIMEN GENERAL",COMPRAS!DD:DD,"=SI")+SUMIFS(COMPRAS!BY:BY,COMPRAS!BX:BX,V278,COMPRAS!CS:CS,"&lt;&gt;01-REGIMEN GENERAL",COMPRAS!DD:DD,"=SI")</f>
        <v>0</v>
      </c>
      <c r="Y278" s="978"/>
      <c r="Z278" s="978"/>
      <c r="AA278" s="978"/>
      <c r="AB278" s="224"/>
      <c r="AC278" s="52"/>
      <c r="AD278" s="227"/>
      <c r="AE278" s="977">
        <f>SUMIFS(COMPRAS!BI:BI,COMPRAS!BF:BF,V278,COMPRAS!CS:CS,"&lt;&gt;01-REGIMEN GENERAL",COMPRAS!DD:DD,"=SI")+SUMIFS(COMPRAS!BR:BR,COMPRAS!BO:BO,V278,COMPRAS!CS:CS,"&lt;&gt;01-REGIMEN GENERAL",COMPRAS!DD:DD,"=SI")+SUMIFS(COMPRAS!CA:CA,COMPRAS!BX:BX,V278,COMPRAS!CS:CS,"&lt;&gt;01-REGIMEN GENERAL",COMPRAS!DD:DD,"=SI")</f>
        <v>0</v>
      </c>
      <c r="AF278" s="978"/>
      <c r="AG278" s="978"/>
      <c r="AH278" s="978"/>
      <c r="AI278" s="206"/>
    </row>
    <row r="279" spans="1:35" ht="21" customHeight="1" outlineLevel="1" x14ac:dyDescent="0.35">
      <c r="A279" s="1012"/>
      <c r="B279" s="1013"/>
      <c r="C279" s="1021"/>
      <c r="D279" s="15" t="s">
        <v>941</v>
      </c>
      <c r="E279" s="15"/>
      <c r="F279" s="15"/>
      <c r="G279" s="15"/>
      <c r="H279" s="15"/>
      <c r="I279" s="15"/>
      <c r="J279" s="15"/>
      <c r="K279" s="15"/>
      <c r="L279" s="15"/>
      <c r="M279" s="15"/>
      <c r="N279" s="15"/>
      <c r="O279" s="15"/>
      <c r="P279" s="15"/>
      <c r="Q279" s="15"/>
      <c r="R279" s="15"/>
      <c r="S279" s="15"/>
      <c r="T279" s="15"/>
      <c r="U279" s="130"/>
      <c r="V279" s="226">
        <v>428</v>
      </c>
      <c r="W279" s="225" t="s">
        <v>769</v>
      </c>
      <c r="X279" s="977">
        <f>SUM(X280:AA280)</f>
        <v>0</v>
      </c>
      <c r="Y279" s="978"/>
      <c r="Z279" s="978"/>
      <c r="AA279" s="978"/>
      <c r="AB279" s="224"/>
      <c r="AC279" s="54">
        <v>478</v>
      </c>
      <c r="AD279" s="227" t="s">
        <v>769</v>
      </c>
      <c r="AE279" s="977">
        <f>SUM(AE280:AH280)</f>
        <v>0</v>
      </c>
      <c r="AF279" s="978"/>
      <c r="AG279" s="978"/>
      <c r="AH279" s="978"/>
      <c r="AI279" s="206"/>
    </row>
    <row r="280" spans="1:35" ht="21" customHeight="1" outlineLevel="2" x14ac:dyDescent="0.35">
      <c r="A280" s="1012"/>
      <c r="B280" s="1013"/>
      <c r="C280" s="1021"/>
      <c r="D280" s="15"/>
      <c r="E280" s="15"/>
      <c r="F280" s="15"/>
      <c r="G280" s="15"/>
      <c r="H280" s="15"/>
      <c r="I280" s="15"/>
      <c r="J280" s="15"/>
      <c r="K280" s="15"/>
      <c r="L280" s="15"/>
      <c r="M280" s="15"/>
      <c r="N280" s="15"/>
      <c r="O280" s="15"/>
      <c r="P280" s="15"/>
      <c r="Q280" s="15"/>
      <c r="R280" s="15"/>
      <c r="S280" s="15"/>
      <c r="T280" s="15"/>
      <c r="U280" s="229" t="s">
        <v>1079</v>
      </c>
      <c r="V280" s="228" t="s">
        <v>180</v>
      </c>
      <c r="W280" s="225"/>
      <c r="X280" s="977">
        <f>SUMIFS(COMPRAS!BG:BG,COMPRAS!BF:BF,V280,COMPRAS!CS:CS,"&lt;&gt;01-REGIMEN GENERAL",COMPRAS!DD:DD,"=SI")+SUMIFS(COMPRAS!BP:BP,COMPRAS!BO:BO,V280,COMPRAS!CS:CS,"&lt;&gt;01-REGIMEN GENERAL",COMPRAS!DD:DD,"=SI")+SUMIFS(COMPRAS!BY:BY,COMPRAS!BX:BX,V280,COMPRAS!CS:CS,"&lt;&gt;01-REGIMEN GENERAL",COMPRAS!DD:DD,"=SI")</f>
        <v>0</v>
      </c>
      <c r="Y280" s="978"/>
      <c r="Z280" s="978"/>
      <c r="AA280" s="978"/>
      <c r="AB280" s="224"/>
      <c r="AC280" s="52"/>
      <c r="AD280" s="227"/>
      <c r="AE280" s="977">
        <f>SUMIFS(COMPRAS!BI:BI,COMPRAS!BF:BF,V280,COMPRAS!CS:CS,"&lt;&gt;01-REGIMEN GENERAL",COMPRAS!DD:DD,"=SI")+SUMIFS(COMPRAS!BR:BR,COMPRAS!BO:BO,V280,COMPRAS!CS:CS,"&lt;&gt;01-REGIMEN GENERAL",COMPRAS!DD:DD,"=SI")+SUMIFS(COMPRAS!CA:CA,COMPRAS!BX:BX,V280,COMPRAS!CS:CS,"&lt;&gt;01-REGIMEN GENERAL",COMPRAS!DD:DD,"=SI")</f>
        <v>0</v>
      </c>
      <c r="AF280" s="978"/>
      <c r="AG280" s="978"/>
      <c r="AH280" s="978"/>
      <c r="AI280" s="206"/>
    </row>
    <row r="281" spans="1:35" ht="21" customHeight="1" outlineLevel="1" x14ac:dyDescent="0.35">
      <c r="A281" s="1012"/>
      <c r="B281" s="1013"/>
      <c r="C281" s="1021"/>
      <c r="D281" s="15" t="s">
        <v>1164</v>
      </c>
      <c r="E281" s="15"/>
      <c r="F281" s="15"/>
      <c r="G281" s="15"/>
      <c r="H281" s="15"/>
      <c r="I281" s="15"/>
      <c r="J281" s="15"/>
      <c r="K281" s="15"/>
      <c r="L281" s="15"/>
      <c r="M281" s="15"/>
      <c r="N281" s="15"/>
      <c r="O281" s="15"/>
      <c r="P281" s="15"/>
      <c r="Q281" s="15"/>
      <c r="R281" s="15"/>
      <c r="S281" s="15"/>
      <c r="T281" s="15"/>
      <c r="U281" s="130"/>
      <c r="V281" s="226">
        <v>4260</v>
      </c>
      <c r="W281" s="225" t="s">
        <v>769</v>
      </c>
      <c r="X281" s="977">
        <f>SUM(X282)</f>
        <v>0</v>
      </c>
      <c r="Y281" s="978"/>
      <c r="Z281" s="978"/>
      <c r="AA281" s="978"/>
      <c r="AB281" s="224"/>
      <c r="AC281" s="54">
        <v>4760</v>
      </c>
      <c r="AD281" s="227" t="s">
        <v>769</v>
      </c>
      <c r="AE281" s="977">
        <f>SUM(AE282:AH282)</f>
        <v>0</v>
      </c>
      <c r="AF281" s="978"/>
      <c r="AG281" s="978"/>
      <c r="AH281" s="978"/>
      <c r="AI281" s="206"/>
    </row>
    <row r="282" spans="1:35" ht="21" customHeight="1" outlineLevel="2" x14ac:dyDescent="0.35">
      <c r="A282" s="1012"/>
      <c r="B282" s="1013"/>
      <c r="C282" s="1021"/>
      <c r="D282" s="15"/>
      <c r="E282" s="15"/>
      <c r="F282" s="15"/>
      <c r="G282" s="15"/>
      <c r="H282" s="15"/>
      <c r="I282" s="15"/>
      <c r="J282" s="15"/>
      <c r="K282" s="15"/>
      <c r="L282" s="15"/>
      <c r="M282" s="15"/>
      <c r="N282" s="15"/>
      <c r="O282" s="15"/>
      <c r="P282" s="15"/>
      <c r="Q282" s="15"/>
      <c r="R282" s="15"/>
      <c r="S282" s="15"/>
      <c r="T282" s="15"/>
      <c r="U282" s="229" t="s">
        <v>1147</v>
      </c>
      <c r="V282" s="228">
        <v>504</v>
      </c>
      <c r="W282" s="225"/>
      <c r="X282" s="977">
        <f>SUMIFS(COMPRAS!BG:BG,COMPRAS!BF:BF,V282,COMPRAS!CS:CS,"&lt;&gt;01-REGIMEN GENERAL",COMPRAS!DD:DD,"=SI")+SUMIFS(COMPRAS!BP:BP,COMPRAS!BO:BO,V282,COMPRAS!CS:CS,"&lt;&gt;01-REGIMEN GENERAL",COMPRAS!DD:DD,"=SI")+SUMIFS(COMPRAS!BY:BY,COMPRAS!BX:BX,V282,COMPRAS!CS:CS,"&lt;&gt;01-REGIMEN GENERAL",COMPRAS!DD:DD,"=SI")</f>
        <v>0</v>
      </c>
      <c r="Y282" s="978"/>
      <c r="Z282" s="978"/>
      <c r="AA282" s="978"/>
      <c r="AB282" s="224"/>
      <c r="AC282" s="54"/>
      <c r="AD282" s="227"/>
      <c r="AE282" s="977">
        <f>SUMIFS(COMPRAS!BI:BI,COMPRAS!BF:BF,V282,COMPRAS!CS:CS,"&lt;&gt;01-REGIMEN GENERAL",COMPRAS!DD:DD,"=SI")+SUMIFS(COMPRAS!BR:BR,COMPRAS!BO:BO,V282,COMPRAS!CS:CS,"&lt;&gt;01-REGIMEN GENERAL",COMPRAS!DD:DD,"=SI")+SUMIFS(COMPRAS!CA:CA,COMPRAS!BX:BX,V282,COMPRAS!CS:CS,"&lt;&gt;01-REGIMEN GENERAL",COMPRAS!DD:DD,"=SI")</f>
        <v>0</v>
      </c>
      <c r="AF282" s="978"/>
      <c r="AG282" s="978"/>
      <c r="AH282" s="978"/>
      <c r="AI282" s="206"/>
    </row>
    <row r="283" spans="1:35" ht="21" customHeight="1" outlineLevel="1" x14ac:dyDescent="0.35">
      <c r="A283" s="1012"/>
      <c r="B283" s="1013"/>
      <c r="C283" s="1021"/>
      <c r="D283" s="15" t="s">
        <v>1165</v>
      </c>
      <c r="E283" s="15"/>
      <c r="F283" s="15"/>
      <c r="G283" s="15"/>
      <c r="H283" s="15"/>
      <c r="I283" s="15"/>
      <c r="J283" s="15"/>
      <c r="K283" s="15"/>
      <c r="L283" s="15"/>
      <c r="M283" s="15"/>
      <c r="N283" s="15"/>
      <c r="O283" s="15"/>
      <c r="P283" s="15"/>
      <c r="Q283" s="15"/>
      <c r="R283" s="15"/>
      <c r="S283" s="15"/>
      <c r="T283" s="15"/>
      <c r="U283" s="130"/>
      <c r="V283" s="226">
        <v>4270</v>
      </c>
      <c r="W283" s="225" t="s">
        <v>769</v>
      </c>
      <c r="X283" s="977">
        <f>SUM(X284:AA285)</f>
        <v>0</v>
      </c>
      <c r="Y283" s="978"/>
      <c r="Z283" s="978"/>
      <c r="AA283" s="978"/>
      <c r="AB283" s="224"/>
      <c r="AC283" s="54">
        <v>4770</v>
      </c>
      <c r="AD283" s="227" t="s">
        <v>769</v>
      </c>
      <c r="AE283" s="977">
        <f>SUM(AE284:AH285)</f>
        <v>0</v>
      </c>
      <c r="AF283" s="978"/>
      <c r="AG283" s="978"/>
      <c r="AH283" s="978"/>
      <c r="AI283" s="206"/>
    </row>
    <row r="284" spans="1:35" ht="21" customHeight="1" outlineLevel="2" x14ac:dyDescent="0.35">
      <c r="A284" s="1012"/>
      <c r="B284" s="1013"/>
      <c r="C284" s="1021"/>
      <c r="D284" s="15"/>
      <c r="E284" s="15"/>
      <c r="F284" s="15"/>
      <c r="G284" s="15"/>
      <c r="H284" s="15"/>
      <c r="I284" s="15"/>
      <c r="J284" s="15"/>
      <c r="K284" s="15"/>
      <c r="L284" s="15"/>
      <c r="M284" s="15"/>
      <c r="N284" s="15"/>
      <c r="O284" s="15"/>
      <c r="P284" s="15"/>
      <c r="Q284" s="15"/>
      <c r="R284" s="15"/>
      <c r="S284" s="15"/>
      <c r="T284" s="15"/>
      <c r="U284" s="229" t="s">
        <v>1167</v>
      </c>
      <c r="V284" s="228" t="s">
        <v>179</v>
      </c>
      <c r="W284" s="225"/>
      <c r="X284" s="977">
        <f>SUMIFS(COMPRAS!BG:BG,COMPRAS!BF:BF,V284,COMPRAS!CS:CS,"&lt;&gt;01-REGIMEN GENERAL",COMPRAS!DD:DD,"=SI")+SUMIFS(COMPRAS!BP:BP,COMPRAS!BO:BO,V284,COMPRAS!CS:CS,"&lt;&gt;01-REGIMEN GENERAL",COMPRAS!DD:DD,"=SI")+SUMIFS(COMPRAS!BY:BY,COMPRAS!BX:BX,V284,COMPRAS!CS:CS,"&lt;&gt;01-REGIMEN GENERAL",COMPRAS!DD:DD,"=SI")</f>
        <v>0</v>
      </c>
      <c r="Y284" s="978"/>
      <c r="Z284" s="978"/>
      <c r="AA284" s="978"/>
      <c r="AB284" s="224"/>
      <c r="AC284" s="54"/>
      <c r="AD284" s="227"/>
      <c r="AE284" s="977">
        <f>SUMIFS(COMPRAS!BI:BI,COMPRAS!BF:BF,V284,COMPRAS!CS:CS,"&lt;&gt;01-REGIMEN GENERAL",COMPRAS!DD:DD,"=SI")+SUMIFS(COMPRAS!BR:BR,COMPRAS!BO:BO,V284,COMPRAS!CS:CS,"&lt;&gt;01-REGIMEN GENERAL",COMPRAS!DD:DD,"=SI")+SUMIFS(COMPRAS!CA:CA,COMPRAS!BX:BX,V284,COMPRAS!CS:CS,"&lt;&gt;01-REGIMEN GENERAL",COMPRAS!DD:DD,"=SI")</f>
        <v>0</v>
      </c>
      <c r="AF284" s="978"/>
      <c r="AG284" s="978"/>
      <c r="AH284" s="978"/>
      <c r="AI284" s="206"/>
    </row>
    <row r="285" spans="1:35" ht="21" customHeight="1" outlineLevel="2" x14ac:dyDescent="0.35">
      <c r="A285" s="1012"/>
      <c r="B285" s="1013"/>
      <c r="C285" s="1021"/>
      <c r="D285" s="15"/>
      <c r="E285" s="15"/>
      <c r="F285" s="15"/>
      <c r="G285" s="15"/>
      <c r="H285" s="15"/>
      <c r="I285" s="15"/>
      <c r="J285" s="15"/>
      <c r="K285" s="15"/>
      <c r="L285" s="15"/>
      <c r="M285" s="15"/>
      <c r="N285" s="15"/>
      <c r="O285" s="15"/>
      <c r="P285" s="15"/>
      <c r="Q285" s="15"/>
      <c r="R285" s="15"/>
      <c r="S285" s="15"/>
      <c r="T285" s="15"/>
      <c r="U285" s="229" t="s">
        <v>1148</v>
      </c>
      <c r="V285" s="228" t="s">
        <v>180</v>
      </c>
      <c r="W285" s="225"/>
      <c r="X285" s="977">
        <f>SUMIFS(COMPRAS!BG:BG,COMPRAS!BF:BF,V285,COMPRAS!CS:CS,"&lt;&gt;01-REGIMEN GENERAL",COMPRAS!DD:DD,"=SI")+SUMIFS(COMPRAS!BP:BP,COMPRAS!BO:BO,V285,COMPRAS!CS:CS,"&lt;&gt;01-REGIMEN GENERAL",COMPRAS!DD:DD,"=SI")+SUMIFS(COMPRAS!BY:BY,COMPRAS!BX:BX,V285,COMPRAS!CS:CS,"&lt;&gt;01-REGIMEN GENERAL",COMPRAS!DD:DD,"=SI")</f>
        <v>0</v>
      </c>
      <c r="Y285" s="978"/>
      <c r="Z285" s="978"/>
      <c r="AA285" s="978"/>
      <c r="AB285" s="224"/>
      <c r="AC285" s="54"/>
      <c r="AD285" s="227"/>
      <c r="AE285" s="977">
        <f>SUMIFS(COMPRAS!BI:BI,COMPRAS!BF:BF,V285,COMPRAS!CS:CS,"&lt;&gt;01-REGIMEN GENERAL",COMPRAS!DD:DD,"=SI")+SUMIFS(COMPRAS!BR:BR,COMPRAS!BO:BO,V285,COMPRAS!CS:CS,"&lt;&gt;01-REGIMEN GENERAL",COMPRAS!DD:DD,"=SI")+SUMIFS(COMPRAS!CA:CA,COMPRAS!BX:BX,V285,COMPRAS!CS:CS,"&lt;&gt;01-REGIMEN GENERAL",COMPRAS!DD:DD,"=SI")</f>
        <v>0</v>
      </c>
      <c r="AF285" s="978"/>
      <c r="AG285" s="978"/>
      <c r="AH285" s="978"/>
      <c r="AI285" s="206"/>
    </row>
    <row r="286" spans="1:35" ht="21" customHeight="1" outlineLevel="1" x14ac:dyDescent="0.35">
      <c r="A286" s="1012"/>
      <c r="B286" s="1013"/>
      <c r="C286" s="1021"/>
      <c r="D286" s="15" t="s">
        <v>1166</v>
      </c>
      <c r="E286" s="15"/>
      <c r="F286" s="15"/>
      <c r="G286" s="15"/>
      <c r="H286" s="15"/>
      <c r="I286" s="15"/>
      <c r="J286" s="15"/>
      <c r="K286" s="15"/>
      <c r="L286" s="15"/>
      <c r="M286" s="15"/>
      <c r="N286" s="15"/>
      <c r="O286" s="15"/>
      <c r="P286" s="15"/>
      <c r="Q286" s="15"/>
      <c r="R286" s="15"/>
      <c r="S286" s="15"/>
      <c r="T286" s="15"/>
      <c r="U286" s="130"/>
      <c r="V286" s="226">
        <v>4280</v>
      </c>
      <c r="W286" s="225" t="s">
        <v>769</v>
      </c>
      <c r="X286" s="977">
        <f>SUM(X287)</f>
        <v>0</v>
      </c>
      <c r="Y286" s="978"/>
      <c r="Z286" s="978"/>
      <c r="AA286" s="978"/>
      <c r="AB286" s="224"/>
      <c r="AC286" s="54">
        <v>4780</v>
      </c>
      <c r="AD286" s="227" t="s">
        <v>769</v>
      </c>
      <c r="AE286" s="977">
        <f>SUM(AE287:AH287)</f>
        <v>0</v>
      </c>
      <c r="AF286" s="978"/>
      <c r="AG286" s="978"/>
      <c r="AH286" s="978"/>
      <c r="AI286" s="206"/>
    </row>
    <row r="287" spans="1:35" ht="21" customHeight="1" outlineLevel="2" x14ac:dyDescent="0.35">
      <c r="A287" s="1012"/>
      <c r="B287" s="1013"/>
      <c r="C287" s="1021"/>
      <c r="D287" s="15"/>
      <c r="E287" s="15"/>
      <c r="F287" s="15"/>
      <c r="G287" s="15"/>
      <c r="H287" s="15"/>
      <c r="I287" s="15"/>
      <c r="J287" s="15"/>
      <c r="K287" s="15"/>
      <c r="L287" s="15"/>
      <c r="M287" s="15"/>
      <c r="N287" s="15"/>
      <c r="O287" s="15"/>
      <c r="P287" s="15"/>
      <c r="Q287" s="15"/>
      <c r="R287" s="15"/>
      <c r="S287" s="15"/>
      <c r="T287" s="15"/>
      <c r="U287" s="229" t="s">
        <v>1168</v>
      </c>
      <c r="V287" s="228" t="s">
        <v>178</v>
      </c>
      <c r="W287" s="225"/>
      <c r="X287" s="977">
        <f>SUMIFS(COMPRAS!BG:BG,COMPRAS!BF:BF,V287,COMPRAS!CS:CS,"&lt;&gt;01-REGIMEN GENERAL",COMPRAS!DD:DD,"=SI")+SUMIFS(COMPRAS!BP:BP,COMPRAS!BO:BO,V287,COMPRAS!CS:CS,"&lt;&gt;01-REGIMEN GENERAL",COMPRAS!DD:DD,"=SI")+SUMIFS(COMPRAS!BY:BY,COMPRAS!BX:BX,V287,COMPRAS!CS:CS,"&lt;&gt;01-REGIMEN GENERAL",COMPRAS!DD:DD,"=SI")</f>
        <v>0</v>
      </c>
      <c r="Y287" s="978"/>
      <c r="Z287" s="978"/>
      <c r="AA287" s="978"/>
      <c r="AB287" s="224"/>
      <c r="AC287" s="54"/>
      <c r="AD287" s="227"/>
      <c r="AE287" s="977">
        <f>SUMIFS(COMPRAS!BI:BI,COMPRAS!BF:BF,V287,COMPRAS!CS:CS,"&lt;&gt;01-REGIMEN GENERAL",COMPRAS!DD:DD,"=SI")+SUMIFS(COMPRAS!BR:BR,COMPRAS!BO:BO,V287,COMPRAS!CS:CS,"&lt;&gt;01-REGIMEN GENERAL",COMPRAS!DD:DD,"=SI")+SUMIFS(COMPRAS!CA:CA,COMPRAS!BX:BX,V287,COMPRAS!CS:CS,"&lt;&gt;01-REGIMEN GENERAL",COMPRAS!DD:DD,"=SI")</f>
        <v>0</v>
      </c>
      <c r="AF287" s="978"/>
      <c r="AG287" s="978"/>
      <c r="AH287" s="978"/>
      <c r="AI287" s="206"/>
    </row>
    <row r="288" spans="1:35" ht="21" customHeight="1" outlineLevel="1" x14ac:dyDescent="0.35">
      <c r="A288" s="1012"/>
      <c r="B288" s="1013"/>
      <c r="C288" s="1021"/>
      <c r="D288" s="15" t="s">
        <v>940</v>
      </c>
      <c r="E288" s="15"/>
      <c r="F288" s="15"/>
      <c r="G288" s="15"/>
      <c r="H288" s="15"/>
      <c r="I288" s="15"/>
      <c r="J288" s="15"/>
      <c r="K288" s="15"/>
      <c r="L288" s="15"/>
      <c r="M288" s="15"/>
      <c r="N288" s="15"/>
      <c r="O288" s="15"/>
      <c r="P288" s="15"/>
      <c r="Q288" s="15"/>
      <c r="R288" s="15"/>
      <c r="S288" s="15"/>
      <c r="T288" s="15"/>
      <c r="U288" s="130"/>
      <c r="V288" s="226">
        <v>429</v>
      </c>
      <c r="W288" s="225" t="s">
        <v>769</v>
      </c>
      <c r="X288" s="977">
        <f>SUM(X289:AA289)</f>
        <v>0</v>
      </c>
      <c r="Y288" s="978"/>
      <c r="Z288" s="978"/>
      <c r="AA288" s="978"/>
      <c r="AB288" s="224"/>
      <c r="AC288" s="54">
        <v>479</v>
      </c>
      <c r="AD288" s="227" t="s">
        <v>769</v>
      </c>
      <c r="AE288" s="977">
        <f>SUM(AE289:AH289)</f>
        <v>0</v>
      </c>
      <c r="AF288" s="978"/>
      <c r="AG288" s="978"/>
      <c r="AH288" s="978"/>
      <c r="AI288" s="206"/>
    </row>
    <row r="289" spans="1:35" ht="21" customHeight="1" outlineLevel="2" x14ac:dyDescent="0.35">
      <c r="A289" s="1012"/>
      <c r="B289" s="1013"/>
      <c r="C289" s="1021"/>
      <c r="D289" s="15"/>
      <c r="E289" s="15"/>
      <c r="F289" s="15"/>
      <c r="G289" s="15"/>
      <c r="H289" s="15"/>
      <c r="I289" s="15"/>
      <c r="J289" s="15"/>
      <c r="K289" s="15"/>
      <c r="L289" s="15"/>
      <c r="M289" s="15"/>
      <c r="N289" s="15"/>
      <c r="O289" s="15"/>
      <c r="P289" s="15"/>
      <c r="Q289" s="15"/>
      <c r="R289" s="15"/>
      <c r="S289" s="15"/>
      <c r="T289" s="15"/>
      <c r="U289" s="229" t="s">
        <v>225</v>
      </c>
      <c r="V289" s="272">
        <v>521</v>
      </c>
      <c r="W289" s="225"/>
      <c r="X289" s="977">
        <f>SUMIFS(COMPRAS!BG:BG,COMPRAS!BF:BF,V289,COMPRAS!CS:CS,"&lt;&gt;01-REGIMEN GENERAL",COMPRAS!DD:DD,"=SI")+SUMIFS(COMPRAS!BP:BP,COMPRAS!BO:BO,V289,COMPRAS!CS:CS,"&lt;&gt;01-REGIMEN GENERAL",COMPRAS!DD:DD,"=SI")+SUMIFS(COMPRAS!BY:BY,COMPRAS!BX:BX,V289,COMPRAS!CS:CS,"&lt;&gt;01-REGIMEN GENERAL",COMPRAS!DD:DD,"=SI")</f>
        <v>0</v>
      </c>
      <c r="Y289" s="978"/>
      <c r="Z289" s="978"/>
      <c r="AA289" s="978"/>
      <c r="AB289" s="224"/>
      <c r="AC289" s="52"/>
      <c r="AD289" s="227"/>
      <c r="AE289" s="977">
        <f>SUMIFS(COMPRAS!BI:BI,COMPRAS!BF:BF,V289,COMPRAS!CS:CS,"&lt;&gt;01-REGIMEN GENERAL",COMPRAS!DD:DD,"=SI")+SUMIFS(COMPRAS!BR:BR,COMPRAS!BO:BO,V289,COMPRAS!CS:CS,"&lt;&gt;01-REGIMEN GENERAL",COMPRAS!DD:DD,"=SI")+SUMIFS(COMPRAS!CA:CA,COMPRAS!BX:BX,V289,COMPRAS!CS:CS,"&lt;&gt;01-REGIMEN GENERAL",COMPRAS!DD:DD,"=SI")</f>
        <v>0</v>
      </c>
      <c r="AF289" s="978"/>
      <c r="AG289" s="978"/>
      <c r="AH289" s="978"/>
      <c r="AI289" s="206"/>
    </row>
    <row r="290" spans="1:35" ht="21" customHeight="1" outlineLevel="1" x14ac:dyDescent="0.35">
      <c r="A290" s="1012"/>
      <c r="B290" s="1013"/>
      <c r="C290" s="1021"/>
      <c r="D290" s="15" t="s">
        <v>939</v>
      </c>
      <c r="E290" s="15"/>
      <c r="F290" s="15"/>
      <c r="G290" s="15"/>
      <c r="H290" s="15"/>
      <c r="I290" s="15"/>
      <c r="J290" s="15"/>
      <c r="K290" s="15"/>
      <c r="L290" s="15"/>
      <c r="M290" s="15"/>
      <c r="N290" s="15"/>
      <c r="O290" s="15"/>
      <c r="P290" s="15"/>
      <c r="Q290" s="15"/>
      <c r="R290" s="15"/>
      <c r="S290" s="15"/>
      <c r="T290" s="15"/>
      <c r="U290" s="130"/>
      <c r="V290" s="226">
        <v>430</v>
      </c>
      <c r="W290" s="225" t="s">
        <v>769</v>
      </c>
      <c r="X290" s="977">
        <f>SUM(X291:AA291)</f>
        <v>0</v>
      </c>
      <c r="Y290" s="978"/>
      <c r="Z290" s="978"/>
      <c r="AA290" s="978"/>
      <c r="AB290" s="224"/>
      <c r="AC290" s="54">
        <v>480</v>
      </c>
      <c r="AD290" s="227" t="s">
        <v>769</v>
      </c>
      <c r="AE290" s="977">
        <f>SUM(AE291:AH291)</f>
        <v>0</v>
      </c>
      <c r="AF290" s="978"/>
      <c r="AG290" s="978"/>
      <c r="AH290" s="978"/>
      <c r="AI290" s="206"/>
    </row>
    <row r="291" spans="1:35" ht="21" customHeight="1" outlineLevel="2" x14ac:dyDescent="0.35">
      <c r="A291" s="1012"/>
      <c r="B291" s="1013"/>
      <c r="C291" s="1021"/>
      <c r="D291" s="15"/>
      <c r="E291" s="15"/>
      <c r="F291" s="15"/>
      <c r="G291" s="15"/>
      <c r="H291" s="15"/>
      <c r="I291" s="15"/>
      <c r="J291" s="15"/>
      <c r="K291" s="15"/>
      <c r="L291" s="15"/>
      <c r="M291" s="15"/>
      <c r="N291" s="15"/>
      <c r="O291" s="15"/>
      <c r="P291" s="15"/>
      <c r="Q291" s="15"/>
      <c r="R291" s="15"/>
      <c r="S291" s="15"/>
      <c r="T291" s="15"/>
      <c r="U291" s="229" t="s">
        <v>1084</v>
      </c>
      <c r="V291" s="272" t="s">
        <v>226</v>
      </c>
      <c r="W291" s="225"/>
      <c r="X291" s="977">
        <f>SUMIFS(COMPRAS!BG:BG,COMPRAS!BF:BF,V291,COMPRAS!CS:CS,"&lt;&gt;01-REGIMEN GENERAL",COMPRAS!DD:DD,"=SI")+SUMIFS(COMPRAS!BP:BP,COMPRAS!BO:BO,V291,COMPRAS!CS:CS,"&lt;&gt;01-REGIMEN GENERAL",COMPRAS!DD:DD,"=SI")+SUMIFS(COMPRAS!BY:BY,COMPRAS!BX:BX,V291,COMPRAS!CS:CS,"&lt;&gt;01-REGIMEN GENERAL",COMPRAS!DD:DD,"=SI")</f>
        <v>0</v>
      </c>
      <c r="Y291" s="978"/>
      <c r="Z291" s="978"/>
      <c r="AA291" s="978"/>
      <c r="AB291" s="224"/>
      <c r="AC291" s="52"/>
      <c r="AD291" s="227"/>
      <c r="AE291" s="977">
        <f>SUMIFS(COMPRAS!BI:BI,COMPRAS!BF:BF,V291,COMPRAS!CS:CS,"&lt;&gt;01-REGIMEN GENERAL",COMPRAS!DD:DD,"=SI")+SUMIFS(COMPRAS!BR:BR,COMPRAS!BO:BO,V291,COMPRAS!CS:CS,"&lt;&gt;01-REGIMEN GENERAL",COMPRAS!DD:DD,"=SI")+SUMIFS(COMPRAS!CA:CA,COMPRAS!BX:BX,V291,COMPRAS!CS:CS,"&lt;&gt;01-REGIMEN GENERAL",COMPRAS!DD:DD,"=SI")</f>
        <v>0</v>
      </c>
      <c r="AF291" s="978"/>
      <c r="AG291" s="978"/>
      <c r="AH291" s="978"/>
      <c r="AI291" s="206"/>
    </row>
    <row r="292" spans="1:35" ht="21" customHeight="1" outlineLevel="1" x14ac:dyDescent="0.35">
      <c r="A292" s="1012"/>
      <c r="B292" s="1013"/>
      <c r="C292" s="1021"/>
      <c r="D292" s="15" t="s">
        <v>938</v>
      </c>
      <c r="E292" s="15"/>
      <c r="F292" s="15"/>
      <c r="G292" s="15"/>
      <c r="H292" s="15"/>
      <c r="I292" s="15"/>
      <c r="J292" s="15"/>
      <c r="K292" s="15"/>
      <c r="L292" s="15"/>
      <c r="M292" s="15"/>
      <c r="N292" s="15"/>
      <c r="O292" s="15"/>
      <c r="P292" s="15"/>
      <c r="Q292" s="15"/>
      <c r="R292" s="15"/>
      <c r="S292" s="15"/>
      <c r="T292" s="15"/>
      <c r="U292" s="130"/>
      <c r="V292" s="226">
        <v>431</v>
      </c>
      <c r="W292" s="225" t="s">
        <v>769</v>
      </c>
      <c r="X292" s="977">
        <f>SUM(X293:AA293)</f>
        <v>0</v>
      </c>
      <c r="Y292" s="978"/>
      <c r="Z292" s="978"/>
      <c r="AA292" s="978"/>
      <c r="AB292" s="224"/>
      <c r="AC292" s="54">
        <v>481</v>
      </c>
      <c r="AD292" s="227" t="s">
        <v>769</v>
      </c>
      <c r="AE292" s="977">
        <f>SUM(AE293:AH293)</f>
        <v>0</v>
      </c>
      <c r="AF292" s="978"/>
      <c r="AG292" s="978"/>
      <c r="AH292" s="978"/>
      <c r="AI292" s="206"/>
    </row>
    <row r="293" spans="1:35" ht="21" customHeight="1" outlineLevel="2" x14ac:dyDescent="0.35">
      <c r="A293" s="1012"/>
      <c r="B293" s="1013"/>
      <c r="C293" s="1021"/>
      <c r="D293" s="15"/>
      <c r="E293" s="15"/>
      <c r="F293" s="15"/>
      <c r="G293" s="15"/>
      <c r="H293" s="15"/>
      <c r="I293" s="15"/>
      <c r="J293" s="15"/>
      <c r="K293" s="15"/>
      <c r="L293" s="15"/>
      <c r="M293" s="15"/>
      <c r="N293" s="15"/>
      <c r="O293" s="15"/>
      <c r="P293" s="15"/>
      <c r="Q293" s="15"/>
      <c r="R293" s="15"/>
      <c r="S293" s="15"/>
      <c r="T293" s="15"/>
      <c r="U293" s="229" t="s">
        <v>1063</v>
      </c>
      <c r="V293" s="272" t="s">
        <v>1062</v>
      </c>
      <c r="W293" s="225"/>
      <c r="X293" s="977">
        <f>SUMIFS(COMPRAS!BG:BG,COMPRAS!BF:BF,V293,COMPRAS!CS:CS,"&lt;&gt;01-REGIMEN GENERAL",COMPRAS!DD:DD,"=SI")+SUMIFS(COMPRAS!BP:BP,COMPRAS!BO:BO,V293,COMPRAS!CS:CS,"&lt;&gt;01-REGIMEN GENERAL",COMPRAS!DD:DD,"=SI")+SUMIFS(COMPRAS!BY:BY,COMPRAS!BX:BX,V293,COMPRAS!CS:CS,"&lt;&gt;01-REGIMEN GENERAL",COMPRAS!DD:DD,"=SI")</f>
        <v>0</v>
      </c>
      <c r="Y293" s="978"/>
      <c r="Z293" s="978"/>
      <c r="AA293" s="978"/>
      <c r="AB293" s="224"/>
      <c r="AC293" s="52"/>
      <c r="AD293" s="227"/>
      <c r="AE293" s="977">
        <f>SUMIFS(COMPRAS!BI:BI,COMPRAS!BF:BF,V293,COMPRAS!CS:CS,"&lt;&gt;01-REGIMEN GENERAL",COMPRAS!DD:DD,"=SI")+SUMIFS(COMPRAS!BR:BR,COMPRAS!BO:BO,V293,COMPRAS!CS:CS,"&lt;&gt;01-REGIMEN GENERAL",COMPRAS!DD:DD,"=SI")+SUMIFS(COMPRAS!CA:CA,COMPRAS!BX:BX,V293,COMPRAS!CS:CS,"&lt;&gt;01-REGIMEN GENERAL",COMPRAS!DD:DD,"=SI")</f>
        <v>0</v>
      </c>
      <c r="AF293" s="978"/>
      <c r="AG293" s="978"/>
      <c r="AH293" s="978"/>
      <c r="AI293" s="206"/>
    </row>
    <row r="294" spans="1:35" ht="21" customHeight="1" outlineLevel="1" x14ac:dyDescent="0.35">
      <c r="A294" s="1012"/>
      <c r="B294" s="1013"/>
      <c r="C294" s="1021"/>
      <c r="D294" s="15" t="s">
        <v>937</v>
      </c>
      <c r="E294" s="15"/>
      <c r="F294" s="15"/>
      <c r="G294" s="15"/>
      <c r="H294" s="15"/>
      <c r="I294" s="15"/>
      <c r="J294" s="15"/>
      <c r="K294" s="15"/>
      <c r="L294" s="15"/>
      <c r="M294" s="15"/>
      <c r="N294" s="15"/>
      <c r="O294" s="15"/>
      <c r="P294" s="15"/>
      <c r="Q294" s="15"/>
      <c r="R294" s="15"/>
      <c r="S294" s="15"/>
      <c r="T294" s="15"/>
      <c r="U294" s="130"/>
      <c r="V294" s="226">
        <v>432</v>
      </c>
      <c r="W294" s="225" t="s">
        <v>769</v>
      </c>
      <c r="X294" s="977">
        <f>SUM(X295:AA320)</f>
        <v>0</v>
      </c>
      <c r="Y294" s="978"/>
      <c r="Z294" s="978"/>
      <c r="AA294" s="978"/>
      <c r="AB294" s="224"/>
      <c r="AC294" s="54">
        <v>482</v>
      </c>
      <c r="AD294" s="227" t="s">
        <v>769</v>
      </c>
      <c r="AE294" s="977">
        <f>SUM(AE295:AH320)</f>
        <v>0</v>
      </c>
      <c r="AF294" s="978"/>
      <c r="AG294" s="978"/>
      <c r="AH294" s="978"/>
      <c r="AI294" s="206"/>
    </row>
    <row r="295" spans="1:35" ht="21" customHeight="1" outlineLevel="2" x14ac:dyDescent="0.35">
      <c r="A295" s="1012"/>
      <c r="B295" s="1013"/>
      <c r="C295" s="1021"/>
      <c r="D295" s="15"/>
      <c r="E295" s="15"/>
      <c r="F295" s="15"/>
      <c r="G295" s="15"/>
      <c r="H295" s="15"/>
      <c r="I295" s="15"/>
      <c r="J295" s="15"/>
      <c r="K295" s="15"/>
      <c r="L295" s="15"/>
      <c r="M295" s="15"/>
      <c r="N295" s="15"/>
      <c r="O295" s="15"/>
      <c r="P295" s="15"/>
      <c r="Q295" s="15"/>
      <c r="R295" s="15"/>
      <c r="S295" s="15"/>
      <c r="T295" s="15"/>
      <c r="U295" s="229" t="s">
        <v>172</v>
      </c>
      <c r="V295" s="272">
        <v>500</v>
      </c>
      <c r="W295" s="225"/>
      <c r="X295" s="977">
        <f>SUMIFS(COMPRAS!BG:BG,COMPRAS!BF:BF,V295,COMPRAS!CS:CS,"&lt;&gt;01-REGIMEN GENERAL",COMPRAS!DD:DD,"=SI")+SUMIFS(COMPRAS!BP:BP,COMPRAS!BO:BO,V295,COMPRAS!CS:CS,"&lt;&gt;01-REGIMEN GENERAL",COMPRAS!DD:DD,"=SI")+SUMIFS(COMPRAS!BY:BY,COMPRAS!BX:BX,V295,COMPRAS!CS:CS,"&lt;&gt;01-REGIMEN GENERAL",COMPRAS!DD:DD,"=SI")</f>
        <v>0</v>
      </c>
      <c r="Y295" s="978"/>
      <c r="Z295" s="978"/>
      <c r="AA295" s="978"/>
      <c r="AB295" s="224"/>
      <c r="AC295" s="52"/>
      <c r="AD295" s="227"/>
      <c r="AE295" s="977">
        <f>SUMIFS(COMPRAS!BI:BI,COMPRAS!BF:BF,V295,COMPRAS!CS:CS,"&lt;&gt;01-REGIMEN GENERAL",COMPRAS!DD:DD,"=SI")+SUMIFS(COMPRAS!BR:BR,COMPRAS!BO:BO,V295,COMPRAS!CS:CS,"&lt;&gt;01-REGIMEN GENERAL",COMPRAS!DD:DD,"=SI")+SUMIFS(COMPRAS!CA:CA,COMPRAS!BX:BX,V295,COMPRAS!CS:CS,"&lt;&gt;01-REGIMEN GENERAL",COMPRAS!DD:DD,"=SI")</f>
        <v>0</v>
      </c>
      <c r="AF295" s="978"/>
      <c r="AG295" s="978"/>
      <c r="AH295" s="978"/>
      <c r="AI295" s="206"/>
    </row>
    <row r="296" spans="1:35" ht="21" customHeight="1" outlineLevel="2" x14ac:dyDescent="0.35">
      <c r="A296" s="1012"/>
      <c r="B296" s="1013"/>
      <c r="C296" s="1021"/>
      <c r="D296" s="15"/>
      <c r="E296" s="15"/>
      <c r="F296" s="15"/>
      <c r="G296" s="15"/>
      <c r="H296" s="15"/>
      <c r="I296" s="15"/>
      <c r="J296" s="15"/>
      <c r="K296" s="15"/>
      <c r="L296" s="15"/>
      <c r="M296" s="15"/>
      <c r="N296" s="15"/>
      <c r="O296" s="15"/>
      <c r="P296" s="15"/>
      <c r="Q296" s="15"/>
      <c r="R296" s="15"/>
      <c r="S296" s="15"/>
      <c r="T296" s="15"/>
      <c r="U296" s="229" t="s">
        <v>173</v>
      </c>
      <c r="V296" s="272">
        <v>501</v>
      </c>
      <c r="W296" s="225"/>
      <c r="X296" s="977">
        <f>SUMIFS(COMPRAS!BG:BG,COMPRAS!BF:BF,V296,COMPRAS!CS:CS,"&lt;&gt;01-REGIMEN GENERAL",COMPRAS!DD:DD,"=SI")+SUMIFS(COMPRAS!BP:BP,COMPRAS!BO:BO,V296,COMPRAS!CS:CS,"&lt;&gt;01-REGIMEN GENERAL",COMPRAS!DD:DD,"=SI")+SUMIFS(COMPRAS!BY:BY,COMPRAS!BX:BX,V296,COMPRAS!CS:CS,"&lt;&gt;01-REGIMEN GENERAL",COMPRAS!DD:DD,"=SI")</f>
        <v>0</v>
      </c>
      <c r="Y296" s="978"/>
      <c r="Z296" s="978"/>
      <c r="AA296" s="978"/>
      <c r="AB296" s="224"/>
      <c r="AC296" s="52"/>
      <c r="AD296" s="227"/>
      <c r="AE296" s="977">
        <f>SUMIFS(COMPRAS!BI:BI,COMPRAS!BF:BF,V296,COMPRAS!CS:CS,"&lt;&gt;01-REGIMEN GENERAL",COMPRAS!DD:DD,"=SI")+SUMIFS(COMPRAS!BR:BR,COMPRAS!BO:BO,V296,COMPRAS!CS:CS,"&lt;&gt;01-REGIMEN GENERAL",COMPRAS!DD:DD,"=SI")+SUMIFS(COMPRAS!CA:CA,COMPRAS!BX:BX,V296,COMPRAS!CS:CS,"&lt;&gt;01-REGIMEN GENERAL",COMPRAS!DD:DD,"=SI")</f>
        <v>0</v>
      </c>
      <c r="AF296" s="978"/>
      <c r="AG296" s="978"/>
      <c r="AH296" s="978"/>
      <c r="AI296" s="206"/>
    </row>
    <row r="297" spans="1:35" ht="21" customHeight="1" outlineLevel="2" x14ac:dyDescent="0.35">
      <c r="A297" s="1012"/>
      <c r="B297" s="1013"/>
      <c r="C297" s="1021"/>
      <c r="D297" s="15"/>
      <c r="E297" s="15"/>
      <c r="F297" s="15"/>
      <c r="G297" s="15"/>
      <c r="H297" s="15"/>
      <c r="I297" s="15"/>
      <c r="J297" s="15"/>
      <c r="K297" s="15"/>
      <c r="L297" s="15"/>
      <c r="M297" s="15"/>
      <c r="N297" s="15"/>
      <c r="O297" s="15"/>
      <c r="P297" s="15"/>
      <c r="Q297" s="15"/>
      <c r="R297" s="15"/>
      <c r="S297" s="15"/>
      <c r="T297" s="15"/>
      <c r="U297" s="229" t="s">
        <v>174</v>
      </c>
      <c r="V297" s="272">
        <v>503</v>
      </c>
      <c r="W297" s="225"/>
      <c r="X297" s="977">
        <f>SUMIFS(COMPRAS!BG:BG,COMPRAS!BF:BF,V297,COMPRAS!CS:CS,"&lt;&gt;01-REGIMEN GENERAL",COMPRAS!DD:DD,"=SI")+SUMIFS(COMPRAS!BP:BP,COMPRAS!BO:BO,V297,COMPRAS!CS:CS,"&lt;&gt;01-REGIMEN GENERAL",COMPRAS!DD:DD,"=SI")+SUMIFS(COMPRAS!BY:BY,COMPRAS!BX:BX,V297,COMPRAS!CS:CS,"&lt;&gt;01-REGIMEN GENERAL",COMPRAS!DD:DD,"=SI")</f>
        <v>0</v>
      </c>
      <c r="Y297" s="978"/>
      <c r="Z297" s="978"/>
      <c r="AA297" s="978"/>
      <c r="AB297" s="224"/>
      <c r="AC297" s="52"/>
      <c r="AD297" s="227"/>
      <c r="AE297" s="977">
        <f>SUMIFS(COMPRAS!BI:BI,COMPRAS!BF:BF,V297,COMPRAS!CS:CS,"&lt;&gt;01-REGIMEN GENERAL",COMPRAS!DD:DD,"=SI")+SUMIFS(COMPRAS!BR:BR,COMPRAS!BO:BO,V297,COMPRAS!CS:CS,"&lt;&gt;01-REGIMEN GENERAL",COMPRAS!DD:DD,"=SI")+SUMIFS(COMPRAS!CA:CA,COMPRAS!BX:BX,V297,COMPRAS!CS:CS,"&lt;&gt;01-REGIMEN GENERAL",COMPRAS!DD:DD,"=SI")</f>
        <v>0</v>
      </c>
      <c r="AF297" s="978"/>
      <c r="AG297" s="978"/>
      <c r="AH297" s="978"/>
      <c r="AI297" s="206"/>
    </row>
    <row r="298" spans="1:35" ht="21" customHeight="1" outlineLevel="2" x14ac:dyDescent="0.35">
      <c r="A298" s="1012"/>
      <c r="B298" s="1013"/>
      <c r="C298" s="1021"/>
      <c r="D298" s="15"/>
      <c r="E298" s="15"/>
      <c r="F298" s="15"/>
      <c r="G298" s="15"/>
      <c r="H298" s="15"/>
      <c r="I298" s="15"/>
      <c r="J298" s="15"/>
      <c r="K298" s="15"/>
      <c r="L298" s="15"/>
      <c r="M298" s="15"/>
      <c r="N298" s="15"/>
      <c r="O298" s="15"/>
      <c r="P298" s="15"/>
      <c r="Q298" s="15"/>
      <c r="R298" s="15"/>
      <c r="S298" s="15"/>
      <c r="T298" s="15"/>
      <c r="U298" s="229" t="s">
        <v>185</v>
      </c>
      <c r="V298" s="272">
        <v>505</v>
      </c>
      <c r="W298" s="225"/>
      <c r="X298" s="977">
        <f>SUMIFS(COMPRAS!BG:BG,COMPRAS!BF:BF,V298,COMPRAS!CS:CS,"&lt;&gt;01-REGIMEN GENERAL",COMPRAS!DD:DD,"=SI")+SUMIFS(COMPRAS!BP:BP,COMPRAS!BO:BO,V298,COMPRAS!CS:CS,"&lt;&gt;01-REGIMEN GENERAL",COMPRAS!DD:DD,"=SI")+SUMIFS(COMPRAS!BY:BY,COMPRAS!BX:BX,V298,COMPRAS!CS:CS,"&lt;&gt;01-REGIMEN GENERAL",COMPRAS!DD:DD,"=SI")</f>
        <v>0</v>
      </c>
      <c r="Y298" s="978"/>
      <c r="Z298" s="978"/>
      <c r="AA298" s="978"/>
      <c r="AB298" s="224"/>
      <c r="AC298" s="52"/>
      <c r="AD298" s="227"/>
      <c r="AE298" s="977">
        <f>SUMIFS(COMPRAS!BI:BI,COMPRAS!BF:BF,V298,COMPRAS!CS:CS,"&lt;&gt;01-REGIMEN GENERAL",COMPRAS!DD:DD,"=SI")+SUMIFS(COMPRAS!BR:BR,COMPRAS!BO:BO,V298,COMPRAS!CS:CS,"&lt;&gt;01-REGIMEN GENERAL",COMPRAS!DD:DD,"=SI")+SUMIFS(COMPRAS!CA:CA,COMPRAS!BX:BX,V298,COMPRAS!CS:CS,"&lt;&gt;01-REGIMEN GENERAL",COMPRAS!DD:DD,"=SI")</f>
        <v>0</v>
      </c>
      <c r="AF298" s="978"/>
      <c r="AG298" s="978"/>
      <c r="AH298" s="978"/>
      <c r="AI298" s="206"/>
    </row>
    <row r="299" spans="1:35" ht="21" customHeight="1" outlineLevel="2" x14ac:dyDescent="0.35">
      <c r="A299" s="1012"/>
      <c r="B299" s="1013"/>
      <c r="C299" s="1021"/>
      <c r="D299" s="15"/>
      <c r="E299" s="15"/>
      <c r="F299" s="15"/>
      <c r="G299" s="15"/>
      <c r="H299" s="15"/>
      <c r="I299" s="15"/>
      <c r="J299" s="15"/>
      <c r="K299" s="15"/>
      <c r="L299" s="15"/>
      <c r="M299" s="15"/>
      <c r="N299" s="15"/>
      <c r="O299" s="15"/>
      <c r="P299" s="15"/>
      <c r="Q299" s="15"/>
      <c r="R299" s="15"/>
      <c r="S299" s="15"/>
      <c r="T299" s="15"/>
      <c r="U299" s="229" t="s">
        <v>198</v>
      </c>
      <c r="V299" s="272">
        <v>509</v>
      </c>
      <c r="W299" s="225"/>
      <c r="X299" s="977">
        <f>SUMIFS(COMPRAS!BG:BG,COMPRAS!BF:BF,V299,COMPRAS!CS:CS,"&lt;&gt;01-REGIMEN GENERAL",COMPRAS!DD:DD,"=SI")+SUMIFS(COMPRAS!BP:BP,COMPRAS!BO:BO,V299,COMPRAS!CS:CS,"&lt;&gt;01-REGIMEN GENERAL",COMPRAS!DD:DD,"=SI")+SUMIFS(COMPRAS!BY:BY,COMPRAS!BX:BX,V299,COMPRAS!CS:CS,"&lt;&gt;01-REGIMEN GENERAL",COMPRAS!DD:DD,"=SI")</f>
        <v>0</v>
      </c>
      <c r="Y299" s="978"/>
      <c r="Z299" s="978"/>
      <c r="AA299" s="978"/>
      <c r="AB299" s="224"/>
      <c r="AC299" s="52"/>
      <c r="AD299" s="227"/>
      <c r="AE299" s="977">
        <f>SUMIFS(COMPRAS!BI:BI,COMPRAS!BF:BF,V299,COMPRAS!CS:CS,"&lt;&gt;01-REGIMEN GENERAL",COMPRAS!DD:DD,"=SI")+SUMIFS(COMPRAS!BR:BR,COMPRAS!BO:BO,V299,COMPRAS!CS:CS,"&lt;&gt;01-REGIMEN GENERAL",COMPRAS!DD:DD,"=SI")+SUMIFS(COMPRAS!CA:CA,COMPRAS!BX:BX,V299,COMPRAS!CS:CS,"&lt;&gt;01-REGIMEN GENERAL",COMPRAS!DD:DD,"=SI")</f>
        <v>0</v>
      </c>
      <c r="AF299" s="978"/>
      <c r="AG299" s="978"/>
      <c r="AH299" s="978"/>
      <c r="AI299" s="206"/>
    </row>
    <row r="300" spans="1:35" ht="21" customHeight="1" outlineLevel="2" x14ac:dyDescent="0.35">
      <c r="A300" s="1012"/>
      <c r="B300" s="1013"/>
      <c r="C300" s="1021"/>
      <c r="D300" s="15"/>
      <c r="E300" s="15"/>
      <c r="F300" s="15"/>
      <c r="G300" s="15"/>
      <c r="H300" s="15"/>
      <c r="I300" s="15"/>
      <c r="J300" s="15"/>
      <c r="K300" s="15"/>
      <c r="L300" s="15"/>
      <c r="M300" s="15"/>
      <c r="N300" s="15"/>
      <c r="O300" s="15"/>
      <c r="P300" s="15"/>
      <c r="Q300" s="15"/>
      <c r="R300" s="15"/>
      <c r="S300" s="15"/>
      <c r="T300" s="15"/>
      <c r="U300" s="229" t="s">
        <v>201</v>
      </c>
      <c r="V300" s="272">
        <v>510</v>
      </c>
      <c r="W300" s="225"/>
      <c r="X300" s="977">
        <f>SUMIFS(COMPRAS!BG:BG,COMPRAS!BF:BF,V300,COMPRAS!CS:CS,"&lt;&gt;01-REGIMEN GENERAL",COMPRAS!DD:DD,"=SI")+SUMIFS(COMPRAS!BP:BP,COMPRAS!BO:BO,V300,COMPRAS!CS:CS,"&lt;&gt;01-REGIMEN GENERAL",COMPRAS!DD:DD,"=SI")+SUMIFS(COMPRAS!BY:BY,COMPRAS!BX:BX,V300,COMPRAS!CS:CS,"&lt;&gt;01-REGIMEN GENERAL",COMPRAS!DD:DD,"=SI")</f>
        <v>0</v>
      </c>
      <c r="Y300" s="978"/>
      <c r="Z300" s="978"/>
      <c r="AA300" s="978"/>
      <c r="AB300" s="224"/>
      <c r="AC300" s="52"/>
      <c r="AD300" s="227"/>
      <c r="AE300" s="977">
        <f>SUMIFS(COMPRAS!BI:BI,COMPRAS!BF:BF,V300,COMPRAS!CS:CS,"&lt;&gt;01-REGIMEN GENERAL",COMPRAS!DD:DD,"=SI")+SUMIFS(COMPRAS!BR:BR,COMPRAS!BO:BO,V300,COMPRAS!CS:CS,"&lt;&gt;01-REGIMEN GENERAL",COMPRAS!DD:DD,"=SI")+SUMIFS(COMPRAS!CA:CA,COMPRAS!BX:BX,V300,COMPRAS!CS:CS,"&lt;&gt;01-REGIMEN GENERAL",COMPRAS!DD:DD,"=SI")</f>
        <v>0</v>
      </c>
      <c r="AF300" s="978"/>
      <c r="AG300" s="978"/>
      <c r="AH300" s="978"/>
      <c r="AI300" s="206"/>
    </row>
    <row r="301" spans="1:35" ht="21" customHeight="1" outlineLevel="2" x14ac:dyDescent="0.35">
      <c r="A301" s="1012"/>
      <c r="B301" s="1013"/>
      <c r="C301" s="1021"/>
      <c r="D301" s="15"/>
      <c r="E301" s="15"/>
      <c r="F301" s="15"/>
      <c r="G301" s="15"/>
      <c r="H301" s="15"/>
      <c r="I301" s="15"/>
      <c r="J301" s="15"/>
      <c r="K301" s="15"/>
      <c r="L301" s="15"/>
      <c r="M301" s="15"/>
      <c r="N301" s="15"/>
      <c r="O301" s="15"/>
      <c r="P301" s="15"/>
      <c r="Q301" s="15"/>
      <c r="R301" s="15"/>
      <c r="S301" s="15"/>
      <c r="T301" s="15"/>
      <c r="U301" s="229" t="s">
        <v>202</v>
      </c>
      <c r="V301" s="272">
        <v>511</v>
      </c>
      <c r="W301" s="225"/>
      <c r="X301" s="977">
        <f>SUMIFS(COMPRAS!BG:BG,COMPRAS!BF:BF,V301,COMPRAS!CS:CS,"&lt;&gt;01-REGIMEN GENERAL",COMPRAS!DD:DD,"=SI")+SUMIFS(COMPRAS!BP:BP,COMPRAS!BO:BO,V301,COMPRAS!CS:CS,"&lt;&gt;01-REGIMEN GENERAL",COMPRAS!DD:DD,"=SI")+SUMIFS(COMPRAS!BY:BY,COMPRAS!BX:BX,V301,COMPRAS!CS:CS,"&lt;&gt;01-REGIMEN GENERAL",COMPRAS!DD:DD,"=SI")</f>
        <v>0</v>
      </c>
      <c r="Y301" s="978"/>
      <c r="Z301" s="978"/>
      <c r="AA301" s="978"/>
      <c r="AB301" s="224"/>
      <c r="AC301" s="52"/>
      <c r="AD301" s="227"/>
      <c r="AE301" s="977">
        <f>SUMIFS(COMPRAS!BI:BI,COMPRAS!BF:BF,V301,COMPRAS!CS:CS,"&lt;&gt;01-REGIMEN GENERAL",COMPRAS!DD:DD,"=SI")+SUMIFS(COMPRAS!BR:BR,COMPRAS!BO:BO,V301,COMPRAS!CS:CS,"&lt;&gt;01-REGIMEN GENERAL",COMPRAS!DD:DD,"=SI")+SUMIFS(COMPRAS!CA:CA,COMPRAS!BX:BX,V301,COMPRAS!CS:CS,"&lt;&gt;01-REGIMEN GENERAL",COMPRAS!DD:DD,"=SI")</f>
        <v>0</v>
      </c>
      <c r="AF301" s="978"/>
      <c r="AG301" s="978"/>
      <c r="AH301" s="978"/>
      <c r="AI301" s="206"/>
    </row>
    <row r="302" spans="1:35" ht="21" customHeight="1" outlineLevel="2" x14ac:dyDescent="0.35">
      <c r="A302" s="1012"/>
      <c r="B302" s="1013"/>
      <c r="C302" s="1021"/>
      <c r="D302" s="15"/>
      <c r="E302" s="15"/>
      <c r="F302" s="15"/>
      <c r="G302" s="15"/>
      <c r="H302" s="15"/>
      <c r="I302" s="15"/>
      <c r="J302" s="15"/>
      <c r="K302" s="15"/>
      <c r="L302" s="15"/>
      <c r="M302" s="15"/>
      <c r="N302" s="15"/>
      <c r="O302" s="15"/>
      <c r="P302" s="15"/>
      <c r="Q302" s="15"/>
      <c r="R302" s="15"/>
      <c r="S302" s="15"/>
      <c r="T302" s="15"/>
      <c r="U302" s="229" t="s">
        <v>203</v>
      </c>
      <c r="V302" s="272">
        <v>512</v>
      </c>
      <c r="W302" s="225"/>
      <c r="X302" s="977">
        <f>SUMIFS(COMPRAS!BG:BG,COMPRAS!BF:BF,V302,COMPRAS!CS:CS,"&lt;&gt;01-REGIMEN GENERAL",COMPRAS!DD:DD,"=SI")+SUMIFS(COMPRAS!BP:BP,COMPRAS!BO:BO,V302,COMPRAS!CS:CS,"&lt;&gt;01-REGIMEN GENERAL",COMPRAS!DD:DD,"=SI")+SUMIFS(COMPRAS!BY:BY,COMPRAS!BX:BX,V302,COMPRAS!CS:CS,"&lt;&gt;01-REGIMEN GENERAL",COMPRAS!DD:DD,"=SI")</f>
        <v>0</v>
      </c>
      <c r="Y302" s="978"/>
      <c r="Z302" s="978"/>
      <c r="AA302" s="978"/>
      <c r="AB302" s="224"/>
      <c r="AC302" s="52"/>
      <c r="AD302" s="227"/>
      <c r="AE302" s="977">
        <f>SUMIFS(COMPRAS!BI:BI,COMPRAS!BF:BF,V302,COMPRAS!CS:CS,"&lt;&gt;01-REGIMEN GENERAL",COMPRAS!DD:DD,"=SI")+SUMIFS(COMPRAS!BR:BR,COMPRAS!BO:BO,V302,COMPRAS!CS:CS,"&lt;&gt;01-REGIMEN GENERAL",COMPRAS!DD:DD,"=SI")+SUMIFS(COMPRAS!CA:CA,COMPRAS!BX:BX,V302,COMPRAS!CS:CS,"&lt;&gt;01-REGIMEN GENERAL",COMPRAS!DD:DD,"=SI")</f>
        <v>0</v>
      </c>
      <c r="AF302" s="978"/>
      <c r="AG302" s="978"/>
      <c r="AH302" s="978"/>
      <c r="AI302" s="206"/>
    </row>
    <row r="303" spans="1:35" ht="21" customHeight="1" outlineLevel="2" x14ac:dyDescent="0.35">
      <c r="A303" s="1012"/>
      <c r="B303" s="1013"/>
      <c r="C303" s="1021"/>
      <c r="D303" s="15"/>
      <c r="E303" s="15"/>
      <c r="F303" s="15"/>
      <c r="G303" s="15"/>
      <c r="H303" s="15"/>
      <c r="I303" s="15"/>
      <c r="J303" s="15"/>
      <c r="K303" s="15"/>
      <c r="L303" s="15"/>
      <c r="M303" s="15"/>
      <c r="N303" s="15"/>
      <c r="O303" s="15"/>
      <c r="P303" s="15"/>
      <c r="Q303" s="15"/>
      <c r="R303" s="15"/>
      <c r="S303" s="15"/>
      <c r="T303" s="15"/>
      <c r="U303" s="229" t="s">
        <v>204</v>
      </c>
      <c r="V303" s="272">
        <v>513</v>
      </c>
      <c r="W303" s="225"/>
      <c r="X303" s="977">
        <f>SUMIFS(COMPRAS!BG:BG,COMPRAS!BF:BF,V303,COMPRAS!CS:CS,"&lt;&gt;01-REGIMEN GENERAL",COMPRAS!DD:DD,"=SI")+SUMIFS(COMPRAS!BP:BP,COMPRAS!BO:BO,V303,COMPRAS!CS:CS,"&lt;&gt;01-REGIMEN GENERAL",COMPRAS!DD:DD,"=SI")+SUMIFS(COMPRAS!BY:BY,COMPRAS!BX:BX,V303,COMPRAS!CS:CS,"&lt;&gt;01-REGIMEN GENERAL",COMPRAS!DD:DD,"=SI")</f>
        <v>0</v>
      </c>
      <c r="Y303" s="978"/>
      <c r="Z303" s="978"/>
      <c r="AA303" s="978"/>
      <c r="AB303" s="224"/>
      <c r="AC303" s="52"/>
      <c r="AD303" s="227"/>
      <c r="AE303" s="977">
        <f>SUMIFS(COMPRAS!BI:BI,COMPRAS!BF:BF,V303,COMPRAS!CS:CS,"&lt;&gt;01-REGIMEN GENERAL",COMPRAS!DD:DD,"=SI")+SUMIFS(COMPRAS!BR:BR,COMPRAS!BO:BO,V303,COMPRAS!CS:CS,"&lt;&gt;01-REGIMEN GENERAL",COMPRAS!DD:DD,"=SI")+SUMIFS(COMPRAS!CA:CA,COMPRAS!BX:BX,V303,COMPRAS!CS:CS,"&lt;&gt;01-REGIMEN GENERAL",COMPRAS!DD:DD,"=SI")</f>
        <v>0</v>
      </c>
      <c r="AF303" s="978"/>
      <c r="AG303" s="978"/>
      <c r="AH303" s="978"/>
      <c r="AI303" s="206"/>
    </row>
    <row r="304" spans="1:35" ht="21" customHeight="1" outlineLevel="2" x14ac:dyDescent="0.35">
      <c r="A304" s="1012"/>
      <c r="B304" s="1013"/>
      <c r="C304" s="1021"/>
      <c r="D304" s="15"/>
      <c r="E304" s="15"/>
      <c r="F304" s="15"/>
      <c r="G304" s="15"/>
      <c r="H304" s="15"/>
      <c r="I304" s="15"/>
      <c r="J304" s="15"/>
      <c r="K304" s="15"/>
      <c r="L304" s="15"/>
      <c r="M304" s="15"/>
      <c r="N304" s="15"/>
      <c r="O304" s="15"/>
      <c r="P304" s="15"/>
      <c r="Q304" s="15"/>
      <c r="R304" s="15"/>
      <c r="S304" s="15"/>
      <c r="T304" s="15"/>
      <c r="U304" s="229" t="s">
        <v>207</v>
      </c>
      <c r="V304" s="272">
        <v>514</v>
      </c>
      <c r="W304" s="225"/>
      <c r="X304" s="977">
        <f>SUMIFS(COMPRAS!BG:BG,COMPRAS!BF:BF,V304,COMPRAS!CS:CS,"&lt;&gt;01-REGIMEN GENERAL",COMPRAS!DD:DD,"=SI")+SUMIFS(COMPRAS!BP:BP,COMPRAS!BO:BO,V304,COMPRAS!CS:CS,"&lt;&gt;01-REGIMEN GENERAL",COMPRAS!DD:DD,"=SI")+SUMIFS(COMPRAS!BY:BY,COMPRAS!BX:BX,V304,COMPRAS!CS:CS,"&lt;&gt;01-REGIMEN GENERAL",COMPRAS!DD:DD,"=SI")</f>
        <v>0</v>
      </c>
      <c r="Y304" s="978"/>
      <c r="Z304" s="978"/>
      <c r="AA304" s="978"/>
      <c r="AB304" s="224"/>
      <c r="AC304" s="52"/>
      <c r="AD304" s="227"/>
      <c r="AE304" s="977">
        <f>SUMIFS(COMPRAS!BI:BI,COMPRAS!BF:BF,V304,COMPRAS!CS:CS,"&lt;&gt;01-REGIMEN GENERAL",COMPRAS!DD:DD,"=SI")+SUMIFS(COMPRAS!BR:BR,COMPRAS!BO:BO,V304,COMPRAS!CS:CS,"&lt;&gt;01-REGIMEN GENERAL",COMPRAS!DD:DD,"=SI")+SUMIFS(COMPRAS!CA:CA,COMPRAS!BX:BX,V304,COMPRAS!CS:CS,"&lt;&gt;01-REGIMEN GENERAL",COMPRAS!DD:DD,"=SI")</f>
        <v>0</v>
      </c>
      <c r="AF304" s="978"/>
      <c r="AG304" s="978"/>
      <c r="AH304" s="978"/>
      <c r="AI304" s="206"/>
    </row>
    <row r="305" spans="1:35" ht="21" customHeight="1" outlineLevel="2" x14ac:dyDescent="0.35">
      <c r="A305" s="1012"/>
      <c r="B305" s="1013"/>
      <c r="C305" s="1021"/>
      <c r="D305" s="15"/>
      <c r="E305" s="15"/>
      <c r="F305" s="15"/>
      <c r="G305" s="15"/>
      <c r="H305" s="15"/>
      <c r="I305" s="15"/>
      <c r="J305" s="15"/>
      <c r="K305" s="15"/>
      <c r="L305" s="15"/>
      <c r="M305" s="15"/>
      <c r="N305" s="15"/>
      <c r="O305" s="15"/>
      <c r="P305" s="15"/>
      <c r="Q305" s="15"/>
      <c r="R305" s="15"/>
      <c r="S305" s="15"/>
      <c r="T305" s="15"/>
      <c r="U305" s="229" t="s">
        <v>208</v>
      </c>
      <c r="V305" s="272">
        <v>515</v>
      </c>
      <c r="W305" s="225"/>
      <c r="X305" s="977">
        <f>SUMIFS(COMPRAS!BG:BG,COMPRAS!BF:BF,V305,COMPRAS!CS:CS,"&lt;&gt;01-REGIMEN GENERAL",COMPRAS!DD:DD,"=SI")+SUMIFS(COMPRAS!BP:BP,COMPRAS!BO:BO,V305,COMPRAS!CS:CS,"&lt;&gt;01-REGIMEN GENERAL",COMPRAS!DD:DD,"=SI")+SUMIFS(COMPRAS!BY:BY,COMPRAS!BX:BX,V305,COMPRAS!CS:CS,"&lt;&gt;01-REGIMEN GENERAL",COMPRAS!DD:DD,"=SI")</f>
        <v>0</v>
      </c>
      <c r="Y305" s="978"/>
      <c r="Z305" s="978"/>
      <c r="AA305" s="978"/>
      <c r="AB305" s="224"/>
      <c r="AC305" s="52"/>
      <c r="AD305" s="227"/>
      <c r="AE305" s="977">
        <f>SUMIFS(COMPRAS!BI:BI,COMPRAS!BF:BF,V305,COMPRAS!CS:CS,"&lt;&gt;01-REGIMEN GENERAL",COMPRAS!DD:DD,"=SI")+SUMIFS(COMPRAS!BR:BR,COMPRAS!BO:BO,V305,COMPRAS!CS:CS,"&lt;&gt;01-REGIMEN GENERAL",COMPRAS!DD:DD,"=SI")+SUMIFS(COMPRAS!CA:CA,COMPRAS!BX:BX,V305,COMPRAS!CS:CS,"&lt;&gt;01-REGIMEN GENERAL",COMPRAS!DD:DD,"=SI")</f>
        <v>0</v>
      </c>
      <c r="AF305" s="978"/>
      <c r="AG305" s="978"/>
      <c r="AH305" s="978"/>
      <c r="AI305" s="206"/>
    </row>
    <row r="306" spans="1:35" ht="21" customHeight="1" outlineLevel="2" x14ac:dyDescent="0.35">
      <c r="A306" s="1012"/>
      <c r="B306" s="1013"/>
      <c r="C306" s="1021"/>
      <c r="D306" s="15"/>
      <c r="E306" s="15"/>
      <c r="F306" s="15"/>
      <c r="G306" s="15"/>
      <c r="H306" s="15"/>
      <c r="I306" s="15"/>
      <c r="J306" s="15"/>
      <c r="K306" s="15"/>
      <c r="L306" s="15"/>
      <c r="M306" s="15"/>
      <c r="N306" s="15"/>
      <c r="O306" s="15"/>
      <c r="P306" s="15"/>
      <c r="Q306" s="15"/>
      <c r="R306" s="15"/>
      <c r="S306" s="15"/>
      <c r="T306" s="15"/>
      <c r="U306" s="229" t="s">
        <v>209</v>
      </c>
      <c r="V306" s="272">
        <v>516</v>
      </c>
      <c r="W306" s="225"/>
      <c r="X306" s="977">
        <f>SUMIFS(COMPRAS!BG:BG,COMPRAS!BF:BF,V306,COMPRAS!CS:CS,"&lt;&gt;01-REGIMEN GENERAL",COMPRAS!DD:DD,"=SI")+SUMIFS(COMPRAS!BP:BP,COMPRAS!BO:BO,V306,COMPRAS!CS:CS,"&lt;&gt;01-REGIMEN GENERAL",COMPRAS!DD:DD,"=SI")+SUMIFS(COMPRAS!BY:BY,COMPRAS!BX:BX,V306,COMPRAS!CS:CS,"&lt;&gt;01-REGIMEN GENERAL",COMPRAS!DD:DD,"=SI")</f>
        <v>0</v>
      </c>
      <c r="Y306" s="978"/>
      <c r="Z306" s="978"/>
      <c r="AA306" s="978"/>
      <c r="AB306" s="224"/>
      <c r="AC306" s="52"/>
      <c r="AD306" s="227"/>
      <c r="AE306" s="977">
        <f>SUMIFS(COMPRAS!BI:BI,COMPRAS!BF:BF,V306,COMPRAS!CS:CS,"&lt;&gt;01-REGIMEN GENERAL",COMPRAS!DD:DD,"=SI")+SUMIFS(COMPRAS!BR:BR,COMPRAS!BO:BO,V306,COMPRAS!CS:CS,"&lt;&gt;01-REGIMEN GENERAL",COMPRAS!DD:DD,"=SI")+SUMIFS(COMPRAS!CA:CA,COMPRAS!BX:BX,V306,COMPRAS!CS:CS,"&lt;&gt;01-REGIMEN GENERAL",COMPRAS!DD:DD,"=SI")</f>
        <v>0</v>
      </c>
      <c r="AF306" s="978"/>
      <c r="AG306" s="978"/>
      <c r="AH306" s="978"/>
      <c r="AI306" s="206"/>
    </row>
    <row r="307" spans="1:35" ht="21" customHeight="1" outlineLevel="2" x14ac:dyDescent="0.35">
      <c r="A307" s="1012"/>
      <c r="B307" s="1013"/>
      <c r="C307" s="1021"/>
      <c r="D307" s="15"/>
      <c r="E307" s="15"/>
      <c r="F307" s="15"/>
      <c r="G307" s="15"/>
      <c r="H307" s="15"/>
      <c r="I307" s="15"/>
      <c r="J307" s="15"/>
      <c r="K307" s="15"/>
      <c r="L307" s="15"/>
      <c r="M307" s="15"/>
      <c r="N307" s="15"/>
      <c r="O307" s="15"/>
      <c r="P307" s="15"/>
      <c r="Q307" s="15"/>
      <c r="R307" s="15"/>
      <c r="S307" s="15"/>
      <c r="T307" s="15"/>
      <c r="U307" s="229" t="s">
        <v>210</v>
      </c>
      <c r="V307" s="272">
        <v>517</v>
      </c>
      <c r="W307" s="225"/>
      <c r="X307" s="977">
        <f>SUMIFS(COMPRAS!BG:BG,COMPRAS!BF:BF,V307,COMPRAS!CS:CS,"&lt;&gt;01-REGIMEN GENERAL",COMPRAS!DD:DD,"=SI")+SUMIFS(COMPRAS!BP:BP,COMPRAS!BO:BO,V307,COMPRAS!CS:CS,"&lt;&gt;01-REGIMEN GENERAL",COMPRAS!DD:DD,"=SI")+SUMIFS(COMPRAS!BY:BY,COMPRAS!BX:BX,V307,COMPRAS!CS:CS,"&lt;&gt;01-REGIMEN GENERAL",COMPRAS!DD:DD,"=SI")</f>
        <v>0</v>
      </c>
      <c r="Y307" s="978"/>
      <c r="Z307" s="978"/>
      <c r="AA307" s="978"/>
      <c r="AB307" s="224"/>
      <c r="AC307" s="52"/>
      <c r="AD307" s="227"/>
      <c r="AE307" s="977">
        <f>SUMIFS(COMPRAS!BI:BI,COMPRAS!BF:BF,V307,COMPRAS!CS:CS,"&lt;&gt;01-REGIMEN GENERAL",COMPRAS!DD:DD,"=SI")+SUMIFS(COMPRAS!BR:BR,COMPRAS!BO:BO,V307,COMPRAS!CS:CS,"&lt;&gt;01-REGIMEN GENERAL",COMPRAS!DD:DD,"=SI")+SUMIFS(COMPRAS!CA:CA,COMPRAS!BX:BX,V307,COMPRAS!CS:CS,"&lt;&gt;01-REGIMEN GENERAL",COMPRAS!DD:DD,"=SI")</f>
        <v>0</v>
      </c>
      <c r="AF307" s="978"/>
      <c r="AG307" s="978"/>
      <c r="AH307" s="978"/>
      <c r="AI307" s="206"/>
    </row>
    <row r="308" spans="1:35" ht="21" customHeight="1" outlineLevel="2" x14ac:dyDescent="0.35">
      <c r="A308" s="1012"/>
      <c r="B308" s="1013"/>
      <c r="C308" s="1021"/>
      <c r="D308" s="15"/>
      <c r="E308" s="15"/>
      <c r="F308" s="15"/>
      <c r="G308" s="15"/>
      <c r="H308" s="15"/>
      <c r="I308" s="15"/>
      <c r="J308" s="15"/>
      <c r="K308" s="15"/>
      <c r="L308" s="15"/>
      <c r="M308" s="15"/>
      <c r="N308" s="15"/>
      <c r="O308" s="15"/>
      <c r="P308" s="15"/>
      <c r="Q308" s="15"/>
      <c r="R308" s="15"/>
      <c r="S308" s="15"/>
      <c r="T308" s="15"/>
      <c r="U308" s="229" t="s">
        <v>211</v>
      </c>
      <c r="V308" s="272">
        <v>518</v>
      </c>
      <c r="W308" s="225"/>
      <c r="X308" s="977">
        <f>SUMIFS(COMPRAS!BG:BG,COMPRAS!BF:BF,V308,COMPRAS!CS:CS,"&lt;&gt;01-REGIMEN GENERAL",COMPRAS!DD:DD,"=SI")+SUMIFS(COMPRAS!BP:BP,COMPRAS!BO:BO,V308,COMPRAS!CS:CS,"&lt;&gt;01-REGIMEN GENERAL",COMPRAS!DD:DD,"=SI")+SUMIFS(COMPRAS!BY:BY,COMPRAS!BX:BX,V308,COMPRAS!CS:CS,"&lt;&gt;01-REGIMEN GENERAL",COMPRAS!DD:DD,"=SI")</f>
        <v>0</v>
      </c>
      <c r="Y308" s="978"/>
      <c r="Z308" s="978"/>
      <c r="AA308" s="978"/>
      <c r="AB308" s="224"/>
      <c r="AC308" s="52"/>
      <c r="AD308" s="227"/>
      <c r="AE308" s="977">
        <f>SUMIFS(COMPRAS!BI:BI,COMPRAS!BF:BF,V308,COMPRAS!CS:CS,"&lt;&gt;01-REGIMEN GENERAL",COMPRAS!DD:DD,"=SI")+SUMIFS(COMPRAS!BR:BR,COMPRAS!BO:BO,V308,COMPRAS!CS:CS,"&lt;&gt;01-REGIMEN GENERAL",COMPRAS!DD:DD,"=SI")+SUMIFS(COMPRAS!CA:CA,COMPRAS!BX:BX,V308,COMPRAS!CS:CS,"&lt;&gt;01-REGIMEN GENERAL",COMPRAS!DD:DD,"=SI")</f>
        <v>0</v>
      </c>
      <c r="AF308" s="978"/>
      <c r="AG308" s="978"/>
      <c r="AH308" s="978"/>
      <c r="AI308" s="206"/>
    </row>
    <row r="309" spans="1:35" ht="21" customHeight="1" outlineLevel="2" x14ac:dyDescent="0.35">
      <c r="A309" s="1012"/>
      <c r="B309" s="1013"/>
      <c r="C309" s="1021"/>
      <c r="D309" s="15"/>
      <c r="E309" s="15"/>
      <c r="F309" s="15"/>
      <c r="G309" s="15"/>
      <c r="H309" s="15"/>
      <c r="I309" s="15"/>
      <c r="J309" s="15"/>
      <c r="K309" s="15"/>
      <c r="L309" s="15"/>
      <c r="M309" s="15"/>
      <c r="N309" s="15"/>
      <c r="O309" s="15"/>
      <c r="P309" s="15"/>
      <c r="Q309" s="15"/>
      <c r="R309" s="15"/>
      <c r="S309" s="15"/>
      <c r="T309" s="15"/>
      <c r="U309" s="229" t="s">
        <v>212</v>
      </c>
      <c r="V309" s="272">
        <v>519</v>
      </c>
      <c r="W309" s="225"/>
      <c r="X309" s="977">
        <f>SUMIFS(COMPRAS!BG:BG,COMPRAS!BF:BF,V309,COMPRAS!CS:CS,"&lt;&gt;01-REGIMEN GENERAL",COMPRAS!DD:DD,"=SI")+SUMIFS(COMPRAS!BP:BP,COMPRAS!BO:BO,V309,COMPRAS!CS:CS,"&lt;&gt;01-REGIMEN GENERAL",COMPRAS!DD:DD,"=SI")+SUMIFS(COMPRAS!BY:BY,COMPRAS!BX:BX,V309,COMPRAS!CS:CS,"&lt;&gt;01-REGIMEN GENERAL",COMPRAS!DD:DD,"=SI")</f>
        <v>0</v>
      </c>
      <c r="Y309" s="978"/>
      <c r="Z309" s="978"/>
      <c r="AA309" s="978"/>
      <c r="AB309" s="224"/>
      <c r="AC309" s="52"/>
      <c r="AD309" s="227"/>
      <c r="AE309" s="977">
        <f>SUMIFS(COMPRAS!BI:BI,COMPRAS!BF:BF,V309,COMPRAS!CS:CS,"&lt;&gt;01-REGIMEN GENERAL",COMPRAS!DD:DD,"=SI")+SUMIFS(COMPRAS!BR:BR,COMPRAS!BO:BO,V309,COMPRAS!CS:CS,"&lt;&gt;01-REGIMEN GENERAL",COMPRAS!DD:DD,"=SI")+SUMIFS(COMPRAS!CA:CA,COMPRAS!BX:BX,V309,COMPRAS!CS:CS,"&lt;&gt;01-REGIMEN GENERAL",COMPRAS!DD:DD,"=SI")</f>
        <v>0</v>
      </c>
      <c r="AF309" s="978"/>
      <c r="AG309" s="978"/>
      <c r="AH309" s="978"/>
      <c r="AI309" s="206"/>
    </row>
    <row r="310" spans="1:35" ht="21" customHeight="1" outlineLevel="2" x14ac:dyDescent="0.35">
      <c r="A310" s="1012"/>
      <c r="B310" s="1013"/>
      <c r="C310" s="1021"/>
      <c r="D310" s="15"/>
      <c r="E310" s="15"/>
      <c r="F310" s="15"/>
      <c r="G310" s="15"/>
      <c r="H310" s="15"/>
      <c r="I310" s="15"/>
      <c r="J310" s="15"/>
      <c r="K310" s="15"/>
      <c r="L310" s="15"/>
      <c r="M310" s="15"/>
      <c r="N310" s="15"/>
      <c r="O310" s="15"/>
      <c r="P310" s="15"/>
      <c r="Q310" s="15"/>
      <c r="R310" s="15"/>
      <c r="S310" s="15"/>
      <c r="T310" s="15"/>
      <c r="U310" s="229" t="s">
        <v>1068</v>
      </c>
      <c r="V310" s="272">
        <v>525</v>
      </c>
      <c r="W310" s="225"/>
      <c r="X310" s="977">
        <f>SUMIFS(COMPRAS!BG:BG,COMPRAS!BF:BF,V310,COMPRAS!CS:CS,"&lt;&gt;01-REGIMEN GENERAL",COMPRAS!DD:DD,"=SI")+SUMIFS(COMPRAS!BP:BP,COMPRAS!BO:BO,V310,COMPRAS!CS:CS,"&lt;&gt;01-REGIMEN GENERAL",COMPRAS!DD:DD,"=SI")+SUMIFS(COMPRAS!BY:BY,COMPRAS!BX:BX,V310,COMPRAS!CS:CS,"&lt;&gt;01-REGIMEN GENERAL",COMPRAS!DD:DD,"=SI")</f>
        <v>0</v>
      </c>
      <c r="Y310" s="978"/>
      <c r="Z310" s="978"/>
      <c r="AA310" s="978"/>
      <c r="AB310" s="224"/>
      <c r="AC310" s="52"/>
      <c r="AD310" s="227"/>
      <c r="AE310" s="977">
        <f>SUMIFS(COMPRAS!BI:BI,COMPRAS!BF:BF,V310,COMPRAS!CS:CS,"&lt;&gt;01-REGIMEN GENERAL",COMPRAS!DD:DD,"=SI")+SUMIFS(COMPRAS!BR:BR,COMPRAS!BO:BO,V310,COMPRAS!CS:CS,"&lt;&gt;01-REGIMEN GENERAL",COMPRAS!DD:DD,"=SI")+SUMIFS(COMPRAS!CA:CA,COMPRAS!BX:BX,V310,COMPRAS!CS:CS,"&lt;&gt;01-REGIMEN GENERAL",COMPRAS!DD:DD,"=SI")</f>
        <v>0</v>
      </c>
      <c r="AF310" s="978"/>
      <c r="AG310" s="978"/>
      <c r="AH310" s="978"/>
      <c r="AI310" s="206"/>
    </row>
    <row r="311" spans="1:35" ht="21" customHeight="1" outlineLevel="2" x14ac:dyDescent="0.35">
      <c r="A311" s="1012"/>
      <c r="B311" s="1013"/>
      <c r="C311" s="1021"/>
      <c r="D311" s="15"/>
      <c r="E311" s="15"/>
      <c r="F311" s="15"/>
      <c r="G311" s="15"/>
      <c r="H311" s="15"/>
      <c r="I311" s="15"/>
      <c r="J311" s="15"/>
      <c r="K311" s="15"/>
      <c r="L311" s="15"/>
      <c r="M311" s="15"/>
      <c r="N311" s="15"/>
      <c r="O311" s="15"/>
      <c r="P311" s="15"/>
      <c r="Q311" s="15"/>
      <c r="R311" s="15"/>
      <c r="S311" s="15"/>
      <c r="T311" s="15"/>
      <c r="U311" s="229" t="s">
        <v>195</v>
      </c>
      <c r="V311" s="272" t="s">
        <v>194</v>
      </c>
      <c r="W311" s="225"/>
      <c r="X311" s="977">
        <f>SUMIFS(COMPRAS!BG:BG,COMPRAS!BF:BF,V311,COMPRAS!CS:CS,"&lt;&gt;01-REGIMEN GENERAL",COMPRAS!DD:DD,"=SI")+SUMIFS(COMPRAS!BP:BP,COMPRAS!BO:BO,V311,COMPRAS!CS:CS,"&lt;&gt;01-REGIMEN GENERAL",COMPRAS!DD:DD,"=SI")+SUMIFS(COMPRAS!BY:BY,COMPRAS!BX:BX,V311,COMPRAS!CS:CS,"&lt;&gt;01-REGIMEN GENERAL",COMPRAS!DD:DD,"=SI")</f>
        <v>0</v>
      </c>
      <c r="Y311" s="978"/>
      <c r="Z311" s="978"/>
      <c r="AA311" s="978"/>
      <c r="AB311" s="224"/>
      <c r="AC311" s="52"/>
      <c r="AD311" s="227"/>
      <c r="AE311" s="977">
        <f>SUMIFS(COMPRAS!BI:BI,COMPRAS!BF:BF,V311,COMPRAS!CS:CS,"&lt;&gt;01-REGIMEN GENERAL",COMPRAS!DD:DD,"=SI")+SUMIFS(COMPRAS!BR:BR,COMPRAS!BO:BO,V311,COMPRAS!CS:CS,"&lt;&gt;01-REGIMEN GENERAL",COMPRAS!DD:DD,"=SI")+SUMIFS(COMPRAS!CA:CA,COMPRAS!BX:BX,V311,COMPRAS!CS:CS,"&lt;&gt;01-REGIMEN GENERAL",COMPRAS!DD:DD,"=SI")</f>
        <v>0</v>
      </c>
      <c r="AF311" s="978"/>
      <c r="AG311" s="978"/>
      <c r="AH311" s="978"/>
      <c r="AI311" s="206"/>
    </row>
    <row r="312" spans="1:35" ht="21" customHeight="1" outlineLevel="2" x14ac:dyDescent="0.35">
      <c r="A312" s="1012"/>
      <c r="B312" s="1013"/>
      <c r="C312" s="1021"/>
      <c r="D312" s="15"/>
      <c r="E312" s="15"/>
      <c r="F312" s="15"/>
      <c r="G312" s="15"/>
      <c r="H312" s="15"/>
      <c r="I312" s="15"/>
      <c r="J312" s="15"/>
      <c r="K312" s="15"/>
      <c r="L312" s="15"/>
      <c r="M312" s="15"/>
      <c r="N312" s="15"/>
      <c r="O312" s="15"/>
      <c r="P312" s="15"/>
      <c r="Q312" s="15"/>
      <c r="R312" s="15"/>
      <c r="S312" s="15"/>
      <c r="T312" s="15"/>
      <c r="U312" s="229" t="s">
        <v>197</v>
      </c>
      <c r="V312" s="272" t="s">
        <v>196</v>
      </c>
      <c r="W312" s="225"/>
      <c r="X312" s="977">
        <f>SUMIFS(COMPRAS!BG:BG,COMPRAS!BF:BF,V312,COMPRAS!CS:CS,"&lt;&gt;01-REGIMEN GENERAL",COMPRAS!DD:DD,"=SI")+SUMIFS(COMPRAS!BP:BP,COMPRAS!BO:BO,V312,COMPRAS!CS:CS,"&lt;&gt;01-REGIMEN GENERAL",COMPRAS!DD:DD,"=SI")+SUMIFS(COMPRAS!BY:BY,COMPRAS!BX:BX,V312,COMPRAS!CS:CS,"&lt;&gt;01-REGIMEN GENERAL",COMPRAS!DD:DD,"=SI")</f>
        <v>0</v>
      </c>
      <c r="Y312" s="978"/>
      <c r="Z312" s="978"/>
      <c r="AA312" s="978"/>
      <c r="AB312" s="224"/>
      <c r="AC312" s="52"/>
      <c r="AD312" s="227"/>
      <c r="AE312" s="977">
        <f>SUMIFS(COMPRAS!BI:BI,COMPRAS!BF:BF,V312,COMPRAS!CS:CS,"&lt;&gt;01-REGIMEN GENERAL",COMPRAS!DD:DD,"=SI")+SUMIFS(COMPRAS!BR:BR,COMPRAS!BO:BO,V312,COMPRAS!CS:CS,"&lt;&gt;01-REGIMEN GENERAL",COMPRAS!DD:DD,"=SI")+SUMIFS(COMPRAS!CA:CA,COMPRAS!BX:BX,V312,COMPRAS!CS:CS,"&lt;&gt;01-REGIMEN GENERAL",COMPRAS!DD:DD,"=SI")</f>
        <v>0</v>
      </c>
      <c r="AF312" s="978"/>
      <c r="AG312" s="978"/>
      <c r="AH312" s="978"/>
      <c r="AI312" s="206"/>
    </row>
    <row r="313" spans="1:35" ht="21" customHeight="1" outlineLevel="2" x14ac:dyDescent="0.35">
      <c r="A313" s="1012"/>
      <c r="B313" s="1013"/>
      <c r="C313" s="1021"/>
      <c r="D313" s="15"/>
      <c r="E313" s="15"/>
      <c r="F313" s="15"/>
      <c r="G313" s="15"/>
      <c r="H313" s="15"/>
      <c r="I313" s="15"/>
      <c r="J313" s="15"/>
      <c r="K313" s="15"/>
      <c r="L313" s="15"/>
      <c r="M313" s="15"/>
      <c r="N313" s="15"/>
      <c r="O313" s="15"/>
      <c r="P313" s="15"/>
      <c r="Q313" s="15"/>
      <c r="R313" s="15"/>
      <c r="S313" s="15"/>
      <c r="T313" s="15"/>
      <c r="U313" s="229" t="s">
        <v>200</v>
      </c>
      <c r="V313" s="272" t="s">
        <v>199</v>
      </c>
      <c r="W313" s="225"/>
      <c r="X313" s="977">
        <f>SUMIFS(COMPRAS!BG:BG,COMPRAS!BF:BF,V313,COMPRAS!CS:CS,"&lt;&gt;01-REGIMEN GENERAL",COMPRAS!DD:DD,"=SI")+SUMIFS(COMPRAS!BP:BP,COMPRAS!BO:BO,V313,COMPRAS!CS:CS,"&lt;&gt;01-REGIMEN GENERAL",COMPRAS!DD:DD,"=SI")+SUMIFS(COMPRAS!BY:BY,COMPRAS!BX:BX,V313,COMPRAS!CS:CS,"&lt;&gt;01-REGIMEN GENERAL",COMPRAS!DD:DD,"=SI")</f>
        <v>0</v>
      </c>
      <c r="Y313" s="978"/>
      <c r="Z313" s="978"/>
      <c r="AA313" s="978"/>
      <c r="AB313" s="224"/>
      <c r="AC313" s="52"/>
      <c r="AD313" s="227"/>
      <c r="AE313" s="977">
        <f>SUMIFS(COMPRAS!BI:BI,COMPRAS!BF:BF,V313,COMPRAS!CS:CS,"&lt;&gt;01-REGIMEN GENERAL",COMPRAS!DD:DD,"=SI")+SUMIFS(COMPRAS!BR:BR,COMPRAS!BO:BO,V313,COMPRAS!CS:CS,"&lt;&gt;01-REGIMEN GENERAL",COMPRAS!DD:DD,"=SI")+SUMIFS(COMPRAS!CA:CA,COMPRAS!BX:BX,V313,COMPRAS!CS:CS,"&lt;&gt;01-REGIMEN GENERAL",COMPRAS!DD:DD,"=SI")</f>
        <v>0</v>
      </c>
      <c r="AF313" s="978"/>
      <c r="AG313" s="978"/>
      <c r="AH313" s="978"/>
      <c r="AI313" s="206"/>
    </row>
    <row r="314" spans="1:35" ht="21" customHeight="1" outlineLevel="2" x14ac:dyDescent="0.35">
      <c r="A314" s="1012"/>
      <c r="B314" s="1013"/>
      <c r="C314" s="1021"/>
      <c r="D314" s="15"/>
      <c r="E314" s="15"/>
      <c r="F314" s="15"/>
      <c r="G314" s="15"/>
      <c r="H314" s="15"/>
      <c r="I314" s="15"/>
      <c r="J314" s="15"/>
      <c r="K314" s="15"/>
      <c r="L314" s="15"/>
      <c r="M314" s="15"/>
      <c r="N314" s="15"/>
      <c r="O314" s="15"/>
      <c r="P314" s="15"/>
      <c r="Q314" s="15"/>
      <c r="R314" s="15"/>
      <c r="S314" s="15"/>
      <c r="T314" s="15"/>
      <c r="U314" s="229" t="s">
        <v>206</v>
      </c>
      <c r="V314" s="272" t="s">
        <v>205</v>
      </c>
      <c r="W314" s="225"/>
      <c r="X314" s="977">
        <f>SUMIFS(COMPRAS!BG:BG,COMPRAS!BF:BF,V314,COMPRAS!CS:CS,"&lt;&gt;01-REGIMEN GENERAL",COMPRAS!DD:DD,"=SI")+SUMIFS(COMPRAS!BP:BP,COMPRAS!BO:BO,V314,COMPRAS!CS:CS,"&lt;&gt;01-REGIMEN GENERAL",COMPRAS!DD:DD,"=SI")+SUMIFS(COMPRAS!BY:BY,COMPRAS!BX:BX,V314,COMPRAS!CS:CS,"&lt;&gt;01-REGIMEN GENERAL",COMPRAS!DD:DD,"=SI")</f>
        <v>0</v>
      </c>
      <c r="Y314" s="978"/>
      <c r="Z314" s="978"/>
      <c r="AA314" s="978"/>
      <c r="AB314" s="224"/>
      <c r="AC314" s="52"/>
      <c r="AD314" s="227"/>
      <c r="AE314" s="977">
        <f>SUMIFS(COMPRAS!BI:BI,COMPRAS!BF:BF,V314,COMPRAS!CS:CS,"&lt;&gt;01-REGIMEN GENERAL",COMPRAS!DD:DD,"=SI")+SUMIFS(COMPRAS!BR:BR,COMPRAS!BO:BO,V314,COMPRAS!CS:CS,"&lt;&gt;01-REGIMEN GENERAL",COMPRAS!DD:DD,"=SI")+SUMIFS(COMPRAS!CA:CA,COMPRAS!BX:BX,V314,COMPRAS!CS:CS,"&lt;&gt;01-REGIMEN GENERAL",COMPRAS!DD:DD,"=SI")</f>
        <v>0</v>
      </c>
      <c r="AF314" s="978"/>
      <c r="AG314" s="978"/>
      <c r="AH314" s="978"/>
      <c r="AI314" s="206"/>
    </row>
    <row r="315" spans="1:35" ht="21" customHeight="1" outlineLevel="2" x14ac:dyDescent="0.35">
      <c r="A315" s="1012"/>
      <c r="B315" s="1013"/>
      <c r="C315" s="1021"/>
      <c r="D315" s="15"/>
      <c r="E315" s="15"/>
      <c r="F315" s="15"/>
      <c r="G315" s="15"/>
      <c r="H315" s="15"/>
      <c r="I315" s="15"/>
      <c r="J315" s="15"/>
      <c r="K315" s="15"/>
      <c r="L315" s="15"/>
      <c r="M315" s="15"/>
      <c r="N315" s="15"/>
      <c r="O315" s="15"/>
      <c r="P315" s="15"/>
      <c r="Q315" s="15"/>
      <c r="R315" s="15"/>
      <c r="S315" s="15"/>
      <c r="T315" s="15"/>
      <c r="U315" s="229" t="s">
        <v>214</v>
      </c>
      <c r="V315" s="272" t="s">
        <v>213</v>
      </c>
      <c r="W315" s="225"/>
      <c r="X315" s="977">
        <f>SUMIFS(COMPRAS!BG:BG,COMPRAS!BF:BF,V315,COMPRAS!CS:CS,"&lt;&gt;01-REGIMEN GENERAL",COMPRAS!DD:DD,"=SI")+SUMIFS(COMPRAS!BP:BP,COMPRAS!BO:BO,V315,COMPRAS!CS:CS,"&lt;&gt;01-REGIMEN GENERAL",COMPRAS!DD:DD,"=SI")+SUMIFS(COMPRAS!BY:BY,COMPRAS!BX:BX,V315,COMPRAS!CS:CS,"&lt;&gt;01-REGIMEN GENERAL",COMPRAS!DD:DD,"=SI")</f>
        <v>0</v>
      </c>
      <c r="Y315" s="978"/>
      <c r="Z315" s="978"/>
      <c r="AA315" s="978"/>
      <c r="AB315" s="224"/>
      <c r="AC315" s="52"/>
      <c r="AD315" s="227"/>
      <c r="AE315" s="977">
        <f>SUMIFS(COMPRAS!BI:BI,COMPRAS!BF:BF,V315,COMPRAS!CS:CS,"&lt;&gt;01-REGIMEN GENERAL",COMPRAS!DD:DD,"=SI")+SUMIFS(COMPRAS!BR:BR,COMPRAS!BO:BO,V315,COMPRAS!CS:CS,"&lt;&gt;01-REGIMEN GENERAL",COMPRAS!DD:DD,"=SI")+SUMIFS(COMPRAS!CA:CA,COMPRAS!BX:BX,V315,COMPRAS!CS:CS,"&lt;&gt;01-REGIMEN GENERAL",COMPRAS!DD:DD,"=SI")</f>
        <v>0</v>
      </c>
      <c r="AF315" s="978"/>
      <c r="AG315" s="978"/>
      <c r="AH315" s="978"/>
      <c r="AI315" s="206"/>
    </row>
    <row r="316" spans="1:35" ht="21" customHeight="1" outlineLevel="2" x14ac:dyDescent="0.35">
      <c r="A316" s="1012"/>
      <c r="B316" s="1013"/>
      <c r="C316" s="1021"/>
      <c r="D316" s="15"/>
      <c r="E316" s="15"/>
      <c r="F316" s="15"/>
      <c r="G316" s="15"/>
      <c r="H316" s="15"/>
      <c r="I316" s="15"/>
      <c r="J316" s="15"/>
      <c r="K316" s="15"/>
      <c r="L316" s="15"/>
      <c r="M316" s="15"/>
      <c r="N316" s="15"/>
      <c r="O316" s="15"/>
      <c r="P316" s="15"/>
      <c r="Q316" s="15"/>
      <c r="R316" s="15"/>
      <c r="S316" s="15"/>
      <c r="T316" s="15"/>
      <c r="U316" s="229" t="s">
        <v>216</v>
      </c>
      <c r="V316" s="272" t="s">
        <v>215</v>
      </c>
      <c r="W316" s="225"/>
      <c r="X316" s="977">
        <f>SUMIFS(COMPRAS!BG:BG,COMPRAS!BF:BF,V316,COMPRAS!CS:CS,"&lt;&gt;01-REGIMEN GENERAL",COMPRAS!DD:DD,"=SI")+SUMIFS(COMPRAS!BP:BP,COMPRAS!BO:BO,V316,COMPRAS!CS:CS,"&lt;&gt;01-REGIMEN GENERAL",COMPRAS!DD:DD,"=SI")+SUMIFS(COMPRAS!BY:BY,COMPRAS!BX:BX,V316,COMPRAS!CS:CS,"&lt;&gt;01-REGIMEN GENERAL",COMPRAS!DD:DD,"=SI")</f>
        <v>0</v>
      </c>
      <c r="Y316" s="978"/>
      <c r="Z316" s="978"/>
      <c r="AA316" s="978"/>
      <c r="AB316" s="224"/>
      <c r="AC316" s="52"/>
      <c r="AD316" s="227"/>
      <c r="AE316" s="977">
        <f>SUMIFS(COMPRAS!BI:BI,COMPRAS!BF:BF,V316,COMPRAS!CS:CS,"&lt;&gt;01-REGIMEN GENERAL",COMPRAS!DD:DD,"=SI")+SUMIFS(COMPRAS!BR:BR,COMPRAS!BO:BO,V316,COMPRAS!CS:CS,"&lt;&gt;01-REGIMEN GENERAL",COMPRAS!DD:DD,"=SI")+SUMIFS(COMPRAS!CA:CA,COMPRAS!BX:BX,V316,COMPRAS!CS:CS,"&lt;&gt;01-REGIMEN GENERAL",COMPRAS!DD:DD,"=SI")</f>
        <v>0</v>
      </c>
      <c r="AF316" s="978"/>
      <c r="AG316" s="978"/>
      <c r="AH316" s="978"/>
      <c r="AI316" s="206"/>
    </row>
    <row r="317" spans="1:35" ht="21" customHeight="1" outlineLevel="2" x14ac:dyDescent="0.35">
      <c r="A317" s="1012"/>
      <c r="B317" s="1013"/>
      <c r="C317" s="1021"/>
      <c r="D317" s="15"/>
      <c r="E317" s="15"/>
      <c r="F317" s="15"/>
      <c r="G317" s="15"/>
      <c r="H317" s="15"/>
      <c r="I317" s="15"/>
      <c r="J317" s="15"/>
      <c r="K317" s="15"/>
      <c r="L317" s="15"/>
      <c r="M317" s="15"/>
      <c r="N317" s="15"/>
      <c r="O317" s="15"/>
      <c r="P317" s="15"/>
      <c r="Q317" s="15"/>
      <c r="R317" s="15"/>
      <c r="S317" s="15"/>
      <c r="T317" s="15"/>
      <c r="U317" s="229" t="s">
        <v>218</v>
      </c>
      <c r="V317" s="272" t="s">
        <v>217</v>
      </c>
      <c r="W317" s="225"/>
      <c r="X317" s="977">
        <f>SUMIFS(COMPRAS!BG:BG,COMPRAS!BF:BF,V317,COMPRAS!CS:CS,"&lt;&gt;01-REGIMEN GENERAL",COMPRAS!DD:DD,"=SI")+SUMIFS(COMPRAS!BP:BP,COMPRAS!BO:BO,V317,COMPRAS!CS:CS,"&lt;&gt;01-REGIMEN GENERAL",COMPRAS!DD:DD,"=SI")+SUMIFS(COMPRAS!BY:BY,COMPRAS!BX:BX,V317,COMPRAS!CS:CS,"&lt;&gt;01-REGIMEN GENERAL",COMPRAS!DD:DD,"=SI")</f>
        <v>0</v>
      </c>
      <c r="Y317" s="978"/>
      <c r="Z317" s="978"/>
      <c r="AA317" s="978"/>
      <c r="AB317" s="224"/>
      <c r="AC317" s="52"/>
      <c r="AD317" s="227"/>
      <c r="AE317" s="977">
        <f>SUMIFS(COMPRAS!BI:BI,COMPRAS!BF:BF,V317,COMPRAS!CS:CS,"&lt;&gt;01-REGIMEN GENERAL",COMPRAS!DD:DD,"=SI")+SUMIFS(COMPRAS!BR:BR,COMPRAS!BO:BO,V317,COMPRAS!CS:CS,"&lt;&gt;01-REGIMEN GENERAL",COMPRAS!DD:DD,"=SI")+SUMIFS(COMPRAS!CA:CA,COMPRAS!BX:BX,V317,COMPRAS!CS:CS,"&lt;&gt;01-REGIMEN GENERAL",COMPRAS!DD:DD,"=SI")</f>
        <v>0</v>
      </c>
      <c r="AF317" s="978"/>
      <c r="AG317" s="978"/>
      <c r="AH317" s="978"/>
      <c r="AI317" s="206"/>
    </row>
    <row r="318" spans="1:35" ht="21" customHeight="1" outlineLevel="2" x14ac:dyDescent="0.35">
      <c r="A318" s="1012"/>
      <c r="B318" s="1013"/>
      <c r="C318" s="1021"/>
      <c r="D318" s="15"/>
      <c r="E318" s="15"/>
      <c r="F318" s="15"/>
      <c r="G318" s="15"/>
      <c r="H318" s="15"/>
      <c r="I318" s="15"/>
      <c r="J318" s="15"/>
      <c r="K318" s="15"/>
      <c r="L318" s="15"/>
      <c r="M318" s="15"/>
      <c r="N318" s="15"/>
      <c r="O318" s="15"/>
      <c r="P318" s="15"/>
      <c r="Q318" s="15"/>
      <c r="R318" s="15"/>
      <c r="S318" s="15"/>
      <c r="T318" s="15"/>
      <c r="U318" s="229" t="s">
        <v>220</v>
      </c>
      <c r="V318" s="272" t="s">
        <v>219</v>
      </c>
      <c r="W318" s="225"/>
      <c r="X318" s="977">
        <f>SUMIFS(COMPRAS!BG:BG,COMPRAS!BF:BF,V318,COMPRAS!CS:CS,"&lt;&gt;01-REGIMEN GENERAL",COMPRAS!DD:DD,"=SI")+SUMIFS(COMPRAS!BP:BP,COMPRAS!BO:BO,V318,COMPRAS!CS:CS,"&lt;&gt;01-REGIMEN GENERAL",COMPRAS!DD:DD,"=SI")+SUMIFS(COMPRAS!BY:BY,COMPRAS!BX:BX,V318,COMPRAS!CS:CS,"&lt;&gt;01-REGIMEN GENERAL",COMPRAS!DD:DD,"=SI")</f>
        <v>0</v>
      </c>
      <c r="Y318" s="978"/>
      <c r="Z318" s="978"/>
      <c r="AA318" s="978"/>
      <c r="AB318" s="224"/>
      <c r="AC318" s="52"/>
      <c r="AD318" s="227"/>
      <c r="AE318" s="977">
        <f>SUMIFS(COMPRAS!BI:BI,COMPRAS!BF:BF,V318,COMPRAS!CS:CS,"&lt;&gt;01-REGIMEN GENERAL",COMPRAS!DD:DD,"=SI")+SUMIFS(COMPRAS!BR:BR,COMPRAS!BO:BO,V318,COMPRAS!CS:CS,"&lt;&gt;01-REGIMEN GENERAL",COMPRAS!DD:DD,"=SI")+SUMIFS(COMPRAS!CA:CA,COMPRAS!BX:BX,V318,COMPRAS!CS:CS,"&lt;&gt;01-REGIMEN GENERAL",COMPRAS!DD:DD,"=SI")</f>
        <v>0</v>
      </c>
      <c r="AF318" s="978"/>
      <c r="AG318" s="978"/>
      <c r="AH318" s="978"/>
      <c r="AI318" s="206"/>
    </row>
    <row r="319" spans="1:35" ht="21" customHeight="1" outlineLevel="2" x14ac:dyDescent="0.35">
      <c r="A319" s="1012"/>
      <c r="B319" s="1013"/>
      <c r="C319" s="1021"/>
      <c r="D319" s="15"/>
      <c r="E319" s="15"/>
      <c r="F319" s="15"/>
      <c r="G319" s="15"/>
      <c r="H319" s="15"/>
      <c r="I319" s="15"/>
      <c r="J319" s="15"/>
      <c r="K319" s="15"/>
      <c r="L319" s="15"/>
      <c r="M319" s="15"/>
      <c r="N319" s="15"/>
      <c r="O319" s="15"/>
      <c r="P319" s="15"/>
      <c r="Q319" s="15"/>
      <c r="R319" s="15"/>
      <c r="S319" s="15"/>
      <c r="T319" s="15"/>
      <c r="U319" s="229" t="s">
        <v>222</v>
      </c>
      <c r="V319" s="272" t="s">
        <v>221</v>
      </c>
      <c r="W319" s="225"/>
      <c r="X319" s="977">
        <f>SUMIFS(COMPRAS!BG:BG,COMPRAS!BF:BF,V319,COMPRAS!CS:CS,"&lt;&gt;01-REGIMEN GENERAL",COMPRAS!DD:DD,"=SI")+SUMIFS(COMPRAS!BP:BP,COMPRAS!BO:BO,V319,COMPRAS!CS:CS,"&lt;&gt;01-REGIMEN GENERAL",COMPRAS!DD:DD,"=SI")+SUMIFS(COMPRAS!BY:BY,COMPRAS!BX:BX,V319,COMPRAS!CS:CS,"&lt;&gt;01-REGIMEN GENERAL",COMPRAS!DD:DD,"=SI")</f>
        <v>0</v>
      </c>
      <c r="Y319" s="978"/>
      <c r="Z319" s="978"/>
      <c r="AA319" s="978"/>
      <c r="AB319" s="224"/>
      <c r="AC319" s="52"/>
      <c r="AD319" s="227"/>
      <c r="AE319" s="977">
        <f>SUMIFS(COMPRAS!BI:BI,COMPRAS!BF:BF,V319,COMPRAS!CS:CS,"&lt;&gt;01-REGIMEN GENERAL",COMPRAS!DD:DD,"=SI")+SUMIFS(COMPRAS!BR:BR,COMPRAS!BO:BO,V319,COMPRAS!CS:CS,"&lt;&gt;01-REGIMEN GENERAL",COMPRAS!DD:DD,"=SI")+SUMIFS(COMPRAS!CA:CA,COMPRAS!BX:BX,V319,COMPRAS!CS:CS,"&lt;&gt;01-REGIMEN GENERAL",COMPRAS!DD:DD,"=SI")</f>
        <v>0</v>
      </c>
      <c r="AF319" s="978"/>
      <c r="AG319" s="978"/>
      <c r="AH319" s="978"/>
      <c r="AI319" s="206"/>
    </row>
    <row r="320" spans="1:35" ht="21" customHeight="1" outlineLevel="2" x14ac:dyDescent="0.35">
      <c r="A320" s="1012"/>
      <c r="B320" s="1013"/>
      <c r="C320" s="1021"/>
      <c r="D320" s="15"/>
      <c r="E320" s="15"/>
      <c r="F320" s="15"/>
      <c r="G320" s="15"/>
      <c r="H320" s="15"/>
      <c r="I320" s="15"/>
      <c r="J320" s="15"/>
      <c r="K320" s="15"/>
      <c r="L320" s="15"/>
      <c r="M320" s="15"/>
      <c r="N320" s="15"/>
      <c r="O320" s="15"/>
      <c r="P320" s="15"/>
      <c r="Q320" s="15"/>
      <c r="R320" s="15"/>
      <c r="S320" s="15"/>
      <c r="T320" s="15"/>
      <c r="U320" s="229" t="s">
        <v>224</v>
      </c>
      <c r="V320" s="272" t="s">
        <v>223</v>
      </c>
      <c r="W320" s="225"/>
      <c r="X320" s="977">
        <f>SUMIFS(COMPRAS!BG:BG,COMPRAS!BF:BF,V320,COMPRAS!CS:CS,"&lt;&gt;01-REGIMEN GENERAL",COMPRAS!DD:DD,"=SI")+SUMIFS(COMPRAS!BP:BP,COMPRAS!BO:BO,V320,COMPRAS!CS:CS,"&lt;&gt;01-REGIMEN GENERAL",COMPRAS!DD:DD,"=SI")+SUMIFS(COMPRAS!BY:BY,COMPRAS!BX:BX,V320,COMPRAS!CS:CS,"&lt;&gt;01-REGIMEN GENERAL",COMPRAS!DD:DD,"=SI")</f>
        <v>0</v>
      </c>
      <c r="Y320" s="978"/>
      <c r="Z320" s="978"/>
      <c r="AA320" s="978"/>
      <c r="AB320" s="224"/>
      <c r="AC320" s="52"/>
      <c r="AD320" s="227"/>
      <c r="AE320" s="977">
        <f>SUMIFS(COMPRAS!BI:BI,COMPRAS!BF:BF,V320,COMPRAS!CS:CS,"&lt;&gt;01-REGIMEN GENERAL",COMPRAS!DD:DD,"=SI")+SUMIFS(COMPRAS!BR:BR,COMPRAS!BO:BO,V320,COMPRAS!CS:CS,"&lt;&gt;01-REGIMEN GENERAL",COMPRAS!DD:DD,"=SI")+SUMIFS(COMPRAS!CA:CA,COMPRAS!BX:BX,V320,COMPRAS!CS:CS,"&lt;&gt;01-REGIMEN GENERAL",COMPRAS!DD:DD,"=SI")</f>
        <v>0</v>
      </c>
      <c r="AF320" s="978"/>
      <c r="AG320" s="978"/>
      <c r="AH320" s="978"/>
      <c r="AI320" s="206"/>
    </row>
    <row r="321" spans="1:35" ht="21" customHeight="1" outlineLevel="1" x14ac:dyDescent="0.35">
      <c r="A321" s="1012"/>
      <c r="B321" s="1013"/>
      <c r="C321" s="1021"/>
      <c r="D321" s="15" t="s">
        <v>936</v>
      </c>
      <c r="E321" s="15"/>
      <c r="F321" s="15"/>
      <c r="G321" s="15"/>
      <c r="H321" s="15"/>
      <c r="I321" s="15"/>
      <c r="J321" s="15"/>
      <c r="K321" s="15"/>
      <c r="L321" s="15"/>
      <c r="M321" s="15"/>
      <c r="N321" s="15"/>
      <c r="O321" s="15"/>
      <c r="P321" s="15"/>
      <c r="Q321" s="15"/>
      <c r="R321" s="15"/>
      <c r="S321" s="15"/>
      <c r="T321" s="15"/>
      <c r="U321" s="130"/>
      <c r="V321" s="226">
        <v>433</v>
      </c>
      <c r="W321" s="225" t="s">
        <v>769</v>
      </c>
      <c r="X321" s="977">
        <f>SUM(X322:AA322)</f>
        <v>0</v>
      </c>
      <c r="Y321" s="978"/>
      <c r="Z321" s="978"/>
      <c r="AA321" s="978"/>
      <c r="AB321" s="224"/>
      <c r="AC321" s="1006"/>
      <c r="AD321" s="1007"/>
      <c r="AE321" s="1007"/>
      <c r="AF321" s="1007"/>
      <c r="AG321" s="1007"/>
      <c r="AH321" s="1007"/>
      <c r="AI321" s="1008"/>
    </row>
    <row r="322" spans="1:35" ht="21" customHeight="1" outlineLevel="2" thickBot="1" x14ac:dyDescent="0.4">
      <c r="A322" s="1015"/>
      <c r="B322" s="1016"/>
      <c r="C322" s="1022"/>
      <c r="D322" s="5"/>
      <c r="E322" s="5"/>
      <c r="F322" s="5"/>
      <c r="G322" s="5"/>
      <c r="H322" s="5"/>
      <c r="I322" s="5"/>
      <c r="J322" s="5"/>
      <c r="K322" s="5"/>
      <c r="L322" s="5"/>
      <c r="M322" s="5"/>
      <c r="N322" s="5"/>
      <c r="O322" s="5"/>
      <c r="P322" s="5"/>
      <c r="Q322" s="5"/>
      <c r="R322" s="5"/>
      <c r="S322" s="5"/>
      <c r="T322" s="5"/>
      <c r="U322" s="223" t="s">
        <v>228</v>
      </c>
      <c r="V322" s="222">
        <v>524</v>
      </c>
      <c r="W322" s="221"/>
      <c r="X322" s="1025">
        <f>SUMIFS(COMPRAS!BG:BG,COMPRAS!BF:BF,V322,COMPRAS!CS:CS,"&lt;&gt;01-REGIMEN GENERAL",COMPRAS!DD:DD,"=SI")+SUMIFS(COMPRAS!BP:BP,COMPRAS!BO:BO,V322,COMPRAS!CS:CS,"&lt;&gt;01-REGIMEN GENERAL",COMPRAS!DD:DD,"=SI")+SUMIFS(COMPRAS!BY:BY,COMPRAS!BX:BX,V322,COMPRAS!CS:CS,"&lt;&gt;01-REGIMEN GENERAL",COMPRAS!DD:DD,"=SI")</f>
        <v>0</v>
      </c>
      <c r="Y322" s="1026"/>
      <c r="Z322" s="1026"/>
      <c r="AA322" s="1026"/>
      <c r="AB322" s="220"/>
      <c r="AC322" s="1000"/>
      <c r="AD322" s="1001"/>
      <c r="AE322" s="1001"/>
      <c r="AF322" s="1001"/>
      <c r="AG322" s="1001"/>
      <c r="AH322" s="1001"/>
      <c r="AI322" s="1002"/>
    </row>
    <row r="323" spans="1:35" ht="21" customHeight="1" outlineLevel="1" thickBot="1" x14ac:dyDescent="0.4">
      <c r="A323" s="41"/>
      <c r="B323" s="15"/>
      <c r="C323" s="15"/>
      <c r="D323" s="15"/>
      <c r="E323" s="15"/>
      <c r="F323" s="15"/>
      <c r="G323" s="15"/>
      <c r="H323" s="15"/>
      <c r="I323" s="15"/>
      <c r="J323" s="15"/>
      <c r="K323" s="15"/>
      <c r="L323" s="15"/>
      <c r="M323" s="15"/>
      <c r="N323" s="15"/>
      <c r="O323" s="15"/>
      <c r="P323" s="15"/>
      <c r="Q323" s="15"/>
      <c r="R323" s="15"/>
      <c r="S323" s="15"/>
      <c r="T323" s="15"/>
      <c r="U323" s="245"/>
      <c r="V323" s="246"/>
      <c r="W323" s="225"/>
      <c r="X323" s="1025"/>
      <c r="Y323" s="1026"/>
      <c r="Z323" s="1026"/>
      <c r="AA323" s="1026"/>
      <c r="AB323" s="130"/>
      <c r="AC323" s="226"/>
      <c r="AD323" s="74"/>
      <c r="AE323" s="1025"/>
      <c r="AF323" s="1026"/>
      <c r="AG323" s="1026"/>
      <c r="AH323" s="1026"/>
      <c r="AI323" s="14"/>
    </row>
    <row r="324" spans="1:35" ht="21" customHeight="1" thickBot="1" x14ac:dyDescent="0.4">
      <c r="A324" s="218" t="s">
        <v>935</v>
      </c>
      <c r="B324" s="137"/>
      <c r="C324" s="137"/>
      <c r="D324" s="137"/>
      <c r="E324" s="137"/>
      <c r="F324" s="137"/>
      <c r="G324" s="137"/>
      <c r="H324" s="137"/>
      <c r="I324" s="137"/>
      <c r="J324" s="137"/>
      <c r="K324" s="137"/>
      <c r="L324" s="137"/>
      <c r="M324" s="137"/>
      <c r="N324" s="137"/>
      <c r="O324" s="137"/>
      <c r="P324" s="137"/>
      <c r="Q324" s="137"/>
      <c r="R324" s="137"/>
      <c r="S324" s="137"/>
      <c r="T324" s="137"/>
      <c r="U324" s="137"/>
      <c r="V324" s="216">
        <v>497</v>
      </c>
      <c r="W324" s="216" t="s">
        <v>767</v>
      </c>
      <c r="X324" s="1023">
        <f>X152+X154+X158+X162+X164+X166+X168+X170+X172+X174+X176+X178+X180+X207+X209+X211+X215+X219+X221+X223+X225+X227+X229+X231+X233+X235+X237+X264+X266+X271+X275+X277+X279+X281+X283+X286+X288+X290+X292+X294+X321</f>
        <v>0</v>
      </c>
      <c r="Y324" s="1024"/>
      <c r="Z324" s="1024"/>
      <c r="AA324" s="1024"/>
      <c r="AB324" s="219"/>
      <c r="AC324" s="216">
        <v>498</v>
      </c>
      <c r="AD324" s="216" t="s">
        <v>767</v>
      </c>
      <c r="AE324" s="1023">
        <f>AE152+AE154+AE158+AE162+AE164+AE166+AE168+AE170+AE172+AE174+AE176+AE178+AE180+AE207+AE209+AE211+AE215+AE219+AE221+AE223+AE225+AE227+AE229+AE231+AE233+AE235+AE237+AE264+AE266+AE271+AE275+AE277+AE279+AE281+AE283+AE286+AE288+AE290+AE292+AE294+AE321</f>
        <v>0</v>
      </c>
      <c r="AF324" s="1024"/>
      <c r="AG324" s="1024"/>
      <c r="AH324" s="1024"/>
      <c r="AI324" s="208"/>
    </row>
    <row r="325" spans="1:35" ht="11.15" customHeight="1" thickBot="1" x14ac:dyDescent="0.4">
      <c r="A325" s="64"/>
      <c r="B325" s="33"/>
      <c r="C325" s="33"/>
      <c r="D325" s="33"/>
      <c r="E325" s="33"/>
      <c r="F325" s="33"/>
      <c r="G325" s="33"/>
      <c r="H325" s="33"/>
      <c r="I325" s="33"/>
      <c r="J325" s="33"/>
      <c r="K325" s="33"/>
      <c r="L325" s="33"/>
      <c r="M325" s="33"/>
      <c r="N325" s="33"/>
      <c r="O325" s="33"/>
      <c r="P325" s="33"/>
      <c r="Q325" s="33"/>
      <c r="R325" s="33"/>
      <c r="S325" s="33"/>
      <c r="T325" s="33"/>
      <c r="U325" s="33"/>
      <c r="V325" s="214"/>
      <c r="W325" s="213"/>
      <c r="X325" s="57"/>
      <c r="Y325" s="57"/>
      <c r="Z325" s="57"/>
      <c r="AA325" s="33"/>
      <c r="AB325" s="214"/>
      <c r="AC325" s="214"/>
      <c r="AD325" s="213"/>
      <c r="AE325" s="57"/>
      <c r="AF325" s="57"/>
      <c r="AG325" s="33"/>
      <c r="AH325" s="57"/>
      <c r="AI325" s="56"/>
    </row>
    <row r="326" spans="1:35" ht="21" customHeight="1" thickBot="1" x14ac:dyDescent="0.4">
      <c r="A326" s="218" t="s">
        <v>934</v>
      </c>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c r="AA326" s="137"/>
      <c r="AB326" s="217" t="s">
        <v>933</v>
      </c>
      <c r="AC326" s="216">
        <v>499</v>
      </c>
      <c r="AD326" s="216" t="s">
        <v>767</v>
      </c>
      <c r="AE326" s="1023">
        <f>AE150+AE324</f>
        <v>353.91999999999996</v>
      </c>
      <c r="AF326" s="1024"/>
      <c r="AG326" s="1024"/>
      <c r="AH326" s="1024"/>
      <c r="AI326" s="208"/>
    </row>
    <row r="327" spans="1:35" ht="9" customHeight="1" thickBot="1" x14ac:dyDescent="0.4">
      <c r="A327" s="64"/>
      <c r="B327" s="33"/>
      <c r="C327" s="33"/>
      <c r="D327" s="33"/>
      <c r="E327" s="33"/>
      <c r="F327" s="33"/>
      <c r="G327" s="33"/>
      <c r="H327" s="33"/>
      <c r="I327" s="33"/>
      <c r="J327" s="33"/>
      <c r="K327" s="33"/>
      <c r="L327" s="33"/>
      <c r="M327" s="33"/>
      <c r="N327" s="33"/>
      <c r="O327" s="33"/>
      <c r="P327" s="33"/>
      <c r="Q327" s="33"/>
      <c r="R327" s="33"/>
      <c r="S327" s="33"/>
      <c r="T327" s="33"/>
      <c r="U327" s="33"/>
      <c r="V327" s="214"/>
      <c r="W327" s="213"/>
      <c r="X327" s="57"/>
      <c r="Y327" s="57"/>
      <c r="Z327" s="57"/>
      <c r="AA327" s="33"/>
      <c r="AB327" s="214"/>
      <c r="AC327" s="214"/>
      <c r="AD327" s="213"/>
      <c r="AE327" s="57"/>
      <c r="AF327" s="57"/>
      <c r="AG327" s="33"/>
      <c r="AH327" s="57"/>
      <c r="AI327" s="56"/>
    </row>
    <row r="328" spans="1:35" ht="24" customHeight="1" thickBot="1" x14ac:dyDescent="0.4">
      <c r="A328" s="60" t="s">
        <v>932</v>
      </c>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46">
        <v>890</v>
      </c>
      <c r="AD328" s="212" t="s">
        <v>752</v>
      </c>
      <c r="AE328" s="1018">
        <f>I330+U330+AE330</f>
        <v>0</v>
      </c>
      <c r="AF328" s="1019"/>
      <c r="AG328" s="1019"/>
      <c r="AH328" s="1019"/>
      <c r="AI328" s="56"/>
    </row>
    <row r="329" spans="1:35" ht="21" customHeight="1" thickBot="1" x14ac:dyDescent="0.4">
      <c r="A329" s="1049" t="s">
        <v>780</v>
      </c>
      <c r="B329" s="1050"/>
      <c r="C329" s="1050"/>
      <c r="D329" s="1050"/>
      <c r="E329" s="1050"/>
      <c r="F329" s="1050"/>
      <c r="G329" s="1050"/>
      <c r="H329" s="1050"/>
      <c r="I329" s="1050"/>
      <c r="J329" s="1050"/>
      <c r="K329" s="1050"/>
      <c r="L329" s="1050"/>
      <c r="M329" s="1050"/>
      <c r="N329" s="1050"/>
      <c r="O329" s="1050"/>
      <c r="P329" s="1050"/>
      <c r="Q329" s="1050"/>
      <c r="R329" s="1050"/>
      <c r="S329" s="1050"/>
      <c r="T329" s="1050"/>
      <c r="U329" s="1050"/>
      <c r="V329" s="1050"/>
      <c r="W329" s="1050"/>
      <c r="X329" s="1050"/>
      <c r="Y329" s="1050"/>
      <c r="Z329" s="1050"/>
      <c r="AA329" s="1050"/>
      <c r="AB329" s="1050"/>
      <c r="AC329" s="1050"/>
      <c r="AD329" s="1050"/>
      <c r="AE329" s="1050"/>
      <c r="AF329" s="1050"/>
      <c r="AG329" s="1050"/>
      <c r="AH329" s="1050"/>
      <c r="AI329" s="1051"/>
    </row>
    <row r="330" spans="1:35" ht="21" customHeight="1" thickBot="1" x14ac:dyDescent="0.4">
      <c r="A330" s="1029" t="s">
        <v>779</v>
      </c>
      <c r="B330" s="1030"/>
      <c r="C330" s="1030"/>
      <c r="D330" s="1030"/>
      <c r="E330" s="1030"/>
      <c r="F330" s="1030"/>
      <c r="G330" s="215">
        <v>897</v>
      </c>
      <c r="H330" s="67" t="s">
        <v>752</v>
      </c>
      <c r="I330" s="1019">
        <v>0</v>
      </c>
      <c r="J330" s="1019"/>
      <c r="K330" s="1019"/>
      <c r="L330" s="33"/>
      <c r="M330" s="1039" t="s">
        <v>778</v>
      </c>
      <c r="N330" s="1040"/>
      <c r="O330" s="1040"/>
      <c r="P330" s="1040"/>
      <c r="Q330" s="1040"/>
      <c r="R330" s="1040"/>
      <c r="S330" s="215">
        <v>898</v>
      </c>
      <c r="T330" s="67" t="s">
        <v>752</v>
      </c>
      <c r="U330" s="1019">
        <v>0</v>
      </c>
      <c r="V330" s="1019"/>
      <c r="W330" s="1019"/>
      <c r="X330" s="57"/>
      <c r="Y330" s="1039" t="s">
        <v>777</v>
      </c>
      <c r="Z330" s="1040"/>
      <c r="AA330" s="1040"/>
      <c r="AB330" s="1040"/>
      <c r="AC330" s="215">
        <v>899</v>
      </c>
      <c r="AD330" s="212" t="s">
        <v>752</v>
      </c>
      <c r="AE330" s="1018">
        <v>0</v>
      </c>
      <c r="AF330" s="1019"/>
      <c r="AG330" s="1019"/>
      <c r="AH330" s="1019"/>
      <c r="AI330" s="56"/>
    </row>
    <row r="331" spans="1:35" ht="9" customHeight="1" thickBot="1" x14ac:dyDescent="0.4">
      <c r="A331" s="64"/>
      <c r="B331" s="33"/>
      <c r="C331" s="33"/>
      <c r="D331" s="33"/>
      <c r="E331" s="33"/>
      <c r="F331" s="33"/>
      <c r="G331" s="33"/>
      <c r="H331" s="33"/>
      <c r="I331" s="33"/>
      <c r="J331" s="33"/>
      <c r="K331" s="33"/>
      <c r="L331" s="33"/>
      <c r="M331" s="33"/>
      <c r="N331" s="33"/>
      <c r="O331" s="33"/>
      <c r="P331" s="33"/>
      <c r="Q331" s="33"/>
      <c r="R331" s="33"/>
      <c r="S331" s="33"/>
      <c r="T331" s="33"/>
      <c r="U331" s="33"/>
      <c r="V331" s="214"/>
      <c r="W331" s="213"/>
      <c r="X331" s="57"/>
      <c r="Y331" s="57"/>
      <c r="Z331" s="57"/>
      <c r="AA331" s="33"/>
      <c r="AB331" s="214"/>
      <c r="AC331" s="214"/>
      <c r="AD331" s="213"/>
      <c r="AE331" s="57"/>
      <c r="AF331" s="57"/>
      <c r="AG331" s="33"/>
      <c r="AH331" s="57"/>
      <c r="AI331" s="56"/>
    </row>
    <row r="332" spans="1:35" ht="24" customHeight="1" thickBot="1" x14ac:dyDescent="0.4">
      <c r="A332" s="60" t="s">
        <v>776</v>
      </c>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46">
        <v>880</v>
      </c>
      <c r="AD332" s="212" t="s">
        <v>752</v>
      </c>
      <c r="AE332" s="1018">
        <v>0</v>
      </c>
      <c r="AF332" s="1019"/>
      <c r="AG332" s="1019"/>
      <c r="AH332" s="1019"/>
      <c r="AI332" s="56"/>
    </row>
    <row r="333" spans="1:35" ht="9" customHeight="1" thickBot="1" x14ac:dyDescent="0.4">
      <c r="A333" s="23"/>
      <c r="AI333" s="19"/>
    </row>
    <row r="334" spans="1:35" ht="24" customHeight="1" thickBot="1" x14ac:dyDescent="0.4">
      <c r="A334" s="211" t="s">
        <v>774</v>
      </c>
      <c r="B334" s="209"/>
      <c r="C334" s="209"/>
      <c r="D334" s="209"/>
      <c r="E334" s="209"/>
      <c r="F334" s="210"/>
      <c r="G334" s="209"/>
      <c r="H334" s="209"/>
      <c r="I334" s="209"/>
      <c r="J334" s="209"/>
      <c r="K334" s="209"/>
      <c r="L334" s="209"/>
      <c r="M334" s="209"/>
      <c r="N334" s="209"/>
      <c r="O334" s="209"/>
      <c r="P334" s="209"/>
      <c r="Q334" s="209"/>
      <c r="R334" s="209"/>
      <c r="S334" s="209"/>
      <c r="T334" s="209"/>
      <c r="U334" s="209"/>
      <c r="V334" s="209"/>
      <c r="W334" s="209"/>
      <c r="X334" s="209"/>
      <c r="Y334" s="209"/>
      <c r="Z334" s="209"/>
      <c r="AA334" s="209"/>
      <c r="AB334" s="209"/>
      <c r="AC334" s="209"/>
      <c r="AD334" s="209"/>
      <c r="AE334" s="209"/>
      <c r="AF334" s="209"/>
      <c r="AG334" s="209"/>
      <c r="AH334" s="209"/>
      <c r="AI334" s="208"/>
    </row>
    <row r="335" spans="1:35" ht="24" customHeight="1" x14ac:dyDescent="0.35">
      <c r="A335" s="42" t="s">
        <v>773</v>
      </c>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207" t="s">
        <v>931</v>
      </c>
      <c r="AC335" s="54">
        <v>902</v>
      </c>
      <c r="AD335" s="53" t="s">
        <v>769</v>
      </c>
      <c r="AE335" s="1027">
        <f>AE326-U330</f>
        <v>353.91999999999996</v>
      </c>
      <c r="AF335" s="1028"/>
      <c r="AG335" s="1028"/>
      <c r="AH335" s="1028"/>
      <c r="AI335" s="14"/>
    </row>
    <row r="336" spans="1:35" ht="24" customHeight="1" x14ac:dyDescent="0.35">
      <c r="A336" s="42" t="s">
        <v>771</v>
      </c>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54">
        <v>903</v>
      </c>
      <c r="AD336" s="53" t="s">
        <v>769</v>
      </c>
      <c r="AE336" s="977">
        <v>0</v>
      </c>
      <c r="AF336" s="978"/>
      <c r="AG336" s="978"/>
      <c r="AH336" s="978"/>
      <c r="AI336" s="14"/>
    </row>
    <row r="337" spans="1:35" ht="24" customHeight="1" thickBot="1" x14ac:dyDescent="0.4">
      <c r="A337" s="38" t="s">
        <v>770</v>
      </c>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52">
        <v>904</v>
      </c>
      <c r="AD337" s="51" t="s">
        <v>769</v>
      </c>
      <c r="AE337" s="1025">
        <v>0</v>
      </c>
      <c r="AF337" s="1026"/>
      <c r="AG337" s="1026"/>
      <c r="AH337" s="1026"/>
      <c r="AI337" s="205"/>
    </row>
    <row r="338" spans="1:35" ht="24" customHeight="1" thickBot="1" x14ac:dyDescent="0.4">
      <c r="A338" s="50" t="s">
        <v>768</v>
      </c>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c r="AB338" s="49"/>
      <c r="AC338" s="47">
        <v>999</v>
      </c>
      <c r="AD338" s="46" t="s">
        <v>767</v>
      </c>
      <c r="AE338" s="1034">
        <f>SUM(AE335:AH337)</f>
        <v>353.91999999999996</v>
      </c>
      <c r="AF338" s="999"/>
      <c r="AG338" s="999"/>
      <c r="AH338" s="999"/>
      <c r="AI338" s="56"/>
    </row>
    <row r="339" spans="1:35" ht="24" customHeight="1" x14ac:dyDescent="0.35">
      <c r="A339" s="45" t="s">
        <v>766</v>
      </c>
      <c r="B339" s="43"/>
      <c r="C339" s="43"/>
      <c r="D339" s="43"/>
      <c r="E339" s="43"/>
      <c r="F339" s="44"/>
      <c r="G339" s="43"/>
      <c r="H339" s="43"/>
      <c r="I339" s="43"/>
      <c r="J339" s="43"/>
      <c r="K339" s="43"/>
      <c r="L339" s="43"/>
      <c r="M339" s="43"/>
      <c r="N339" s="43"/>
      <c r="O339" s="43"/>
      <c r="P339" s="43"/>
      <c r="Q339" s="43"/>
      <c r="R339" s="43"/>
      <c r="S339" s="43"/>
      <c r="T339" s="43"/>
      <c r="U339" s="43"/>
      <c r="V339" s="43"/>
      <c r="W339" s="43"/>
      <c r="X339" s="43"/>
      <c r="Y339" s="43"/>
      <c r="Z339" s="43"/>
      <c r="AA339" s="43"/>
      <c r="AB339" s="43"/>
      <c r="AC339" s="40" t="s">
        <v>765</v>
      </c>
      <c r="AD339" s="39" t="s">
        <v>752</v>
      </c>
      <c r="AE339" s="1028">
        <f>+AE338</f>
        <v>353.91999999999996</v>
      </c>
      <c r="AF339" s="1028"/>
      <c r="AG339" s="1028"/>
      <c r="AH339" s="1028"/>
      <c r="AI339" s="206"/>
    </row>
    <row r="340" spans="1:35" ht="24" customHeight="1" thickBot="1" x14ac:dyDescent="0.4">
      <c r="A340" s="38" t="s">
        <v>762</v>
      </c>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6" t="s">
        <v>761</v>
      </c>
      <c r="AD340" s="35" t="s">
        <v>752</v>
      </c>
      <c r="AE340" s="1026">
        <v>0</v>
      </c>
      <c r="AF340" s="1026"/>
      <c r="AG340" s="1026"/>
      <c r="AH340" s="1026"/>
      <c r="AI340" s="205"/>
    </row>
    <row r="341" spans="1:35" ht="30" customHeight="1" thickBot="1" x14ac:dyDescent="0.4">
      <c r="A341" s="1044" t="s">
        <v>758</v>
      </c>
      <c r="B341" s="1045"/>
      <c r="C341" s="1045"/>
      <c r="D341" s="1045"/>
      <c r="E341" s="1045"/>
      <c r="F341" s="1045"/>
      <c r="G341" s="1045"/>
      <c r="H341" s="1045"/>
      <c r="I341" s="1045"/>
      <c r="J341" s="1045"/>
      <c r="K341" s="1045"/>
      <c r="L341" s="1045"/>
      <c r="M341" s="1045"/>
      <c r="N341" s="1045"/>
      <c r="O341" s="1045"/>
      <c r="P341" s="1045"/>
      <c r="Q341" s="1045"/>
      <c r="R341" s="1045"/>
      <c r="S341" s="1045"/>
      <c r="T341" s="1045"/>
      <c r="U341" s="1045"/>
      <c r="V341" s="1045"/>
      <c r="W341" s="1045"/>
      <c r="X341" s="1045"/>
      <c r="Y341" s="1045"/>
      <c r="Z341" s="1045"/>
      <c r="AA341" s="1045"/>
      <c r="AB341" s="1046" t="s">
        <v>930</v>
      </c>
      <c r="AC341" s="1047"/>
      <c r="AD341" s="1047"/>
      <c r="AE341" s="1047"/>
      <c r="AF341" s="1047"/>
      <c r="AG341" s="1047"/>
      <c r="AH341" s="1047"/>
      <c r="AI341" s="1048"/>
    </row>
    <row r="342" spans="1:35" ht="24" customHeight="1" x14ac:dyDescent="0.35">
      <c r="A342" s="204">
        <v>908</v>
      </c>
      <c r="B342" s="201" t="s">
        <v>754</v>
      </c>
      <c r="C342" s="203"/>
      <c r="D342" s="1028"/>
      <c r="E342" s="1028"/>
      <c r="F342" s="1028"/>
      <c r="G342" s="1028"/>
      <c r="H342" s="1028"/>
      <c r="I342" s="1028"/>
      <c r="J342" s="202">
        <v>910</v>
      </c>
      <c r="K342" s="201" t="s">
        <v>754</v>
      </c>
      <c r="L342" s="200"/>
      <c r="M342" s="1033"/>
      <c r="N342" s="1033"/>
      <c r="O342" s="1033"/>
      <c r="P342" s="1033"/>
      <c r="Q342" s="1033"/>
      <c r="R342" s="1033"/>
      <c r="S342" s="202">
        <v>912</v>
      </c>
      <c r="T342" s="201" t="s">
        <v>754</v>
      </c>
      <c r="U342" s="200"/>
      <c r="V342" s="1033"/>
      <c r="W342" s="1033"/>
      <c r="X342" s="1033"/>
      <c r="Y342" s="1033"/>
      <c r="Z342" s="1033"/>
      <c r="AA342" s="1033"/>
      <c r="AB342" s="1041"/>
      <c r="AC342" s="1042"/>
      <c r="AD342" s="1042"/>
      <c r="AE342" s="1042"/>
      <c r="AF342" s="1042"/>
      <c r="AG342" s="1042"/>
      <c r="AH342" s="1042"/>
      <c r="AI342" s="1043"/>
    </row>
    <row r="343" spans="1:35" ht="24" customHeight="1" thickBot="1" x14ac:dyDescent="0.4">
      <c r="A343" s="28">
        <v>909</v>
      </c>
      <c r="B343" s="26" t="s">
        <v>752</v>
      </c>
      <c r="C343" s="194"/>
      <c r="D343" s="1026">
        <v>0</v>
      </c>
      <c r="E343" s="1026"/>
      <c r="F343" s="1026"/>
      <c r="G343" s="1026"/>
      <c r="H343" s="1026"/>
      <c r="I343" s="1026"/>
      <c r="J343" s="29">
        <v>911</v>
      </c>
      <c r="K343" s="26" t="s">
        <v>752</v>
      </c>
      <c r="L343" s="194"/>
      <c r="M343" s="1026">
        <v>0</v>
      </c>
      <c r="N343" s="1026"/>
      <c r="O343" s="1026"/>
      <c r="P343" s="1026"/>
      <c r="Q343" s="1026"/>
      <c r="R343" s="1035"/>
      <c r="S343" s="27">
        <v>913</v>
      </c>
      <c r="T343" s="26" t="s">
        <v>752</v>
      </c>
      <c r="U343" s="194"/>
      <c r="V343" s="1026">
        <v>0</v>
      </c>
      <c r="W343" s="1026"/>
      <c r="X343" s="1026"/>
      <c r="Y343" s="1026"/>
      <c r="Z343" s="1026"/>
      <c r="AA343" s="1035"/>
      <c r="AB343" s="27">
        <v>915</v>
      </c>
      <c r="AC343" s="26" t="s">
        <v>752</v>
      </c>
      <c r="AD343" s="1031">
        <v>0</v>
      </c>
      <c r="AE343" s="1031"/>
      <c r="AF343" s="1031"/>
      <c r="AG343" s="1031"/>
      <c r="AH343" s="1031"/>
      <c r="AI343" s="1032"/>
    </row>
    <row r="344" spans="1:35" ht="24" customHeight="1" x14ac:dyDescent="0.35">
      <c r="A344" s="1036" t="s">
        <v>751</v>
      </c>
      <c r="B344" s="1037"/>
      <c r="C344" s="1037"/>
      <c r="D344" s="1037"/>
      <c r="E344" s="1037"/>
      <c r="F344" s="1037"/>
      <c r="G344" s="1037"/>
      <c r="H344" s="1037"/>
      <c r="I344" s="1037"/>
      <c r="J344" s="1037"/>
      <c r="K344" s="1037"/>
      <c r="L344" s="1037"/>
      <c r="M344" s="1037"/>
      <c r="N344" s="1037"/>
      <c r="O344" s="1037"/>
      <c r="P344" s="1037"/>
      <c r="Q344" s="1037"/>
      <c r="R344" s="1037"/>
      <c r="S344" s="1037"/>
      <c r="T344" s="1037"/>
      <c r="U344" s="1037"/>
      <c r="V344" s="1037"/>
      <c r="W344" s="1037"/>
      <c r="X344" s="1037"/>
      <c r="Y344" s="1037"/>
      <c r="Z344" s="1037"/>
      <c r="AA344" s="1037"/>
      <c r="AB344" s="1037"/>
      <c r="AC344" s="1037"/>
      <c r="AD344" s="1037"/>
      <c r="AE344" s="1037"/>
      <c r="AF344" s="1037"/>
      <c r="AG344" s="1037"/>
      <c r="AH344" s="1037"/>
      <c r="AI344" s="1038"/>
    </row>
    <row r="345" spans="1:35" ht="24" customHeight="1" x14ac:dyDescent="0.35">
      <c r="A345" s="199"/>
      <c r="B345" s="198"/>
      <c r="C345" s="198"/>
      <c r="D345" s="198"/>
      <c r="E345" s="198"/>
      <c r="F345" s="198"/>
      <c r="G345" s="198"/>
      <c r="H345" s="198"/>
      <c r="I345" s="198"/>
      <c r="J345" s="198"/>
      <c r="K345" s="198"/>
      <c r="L345" s="198"/>
      <c r="M345" s="198"/>
      <c r="N345" s="198"/>
      <c r="O345" s="198"/>
      <c r="P345" s="198"/>
      <c r="Q345" s="198"/>
      <c r="R345" s="198"/>
      <c r="S345" s="198"/>
      <c r="T345" s="198"/>
      <c r="U345" s="198"/>
      <c r="V345" s="198"/>
      <c r="W345" s="198"/>
      <c r="X345" s="198"/>
      <c r="Y345" s="198"/>
      <c r="Z345" s="198"/>
      <c r="AA345" s="198"/>
      <c r="AB345" s="198"/>
      <c r="AC345" s="198"/>
      <c r="AD345" s="198"/>
      <c r="AE345" s="198"/>
      <c r="AF345" s="198"/>
      <c r="AG345" s="198"/>
      <c r="AH345" s="198"/>
      <c r="AI345" s="197"/>
    </row>
    <row r="346" spans="1:35" ht="24" customHeight="1" x14ac:dyDescent="0.35">
      <c r="A346" s="23"/>
      <c r="C346" s="20"/>
      <c r="D346" s="20"/>
      <c r="E346" s="20"/>
      <c r="F346" s="20"/>
      <c r="U346" s="3"/>
      <c r="AI346" s="19"/>
    </row>
    <row r="347" spans="1:35" ht="24" customHeight="1" x14ac:dyDescent="0.35">
      <c r="A347" s="25"/>
      <c r="B347" s="24"/>
      <c r="C347" s="20"/>
      <c r="D347" s="20"/>
      <c r="E347" s="20"/>
      <c r="F347" s="20"/>
      <c r="G347" s="24"/>
      <c r="H347" s="24"/>
      <c r="I347" s="24"/>
      <c r="J347" s="24"/>
      <c r="K347" s="24"/>
      <c r="L347" s="24"/>
      <c r="M347" s="24"/>
      <c r="N347" s="24"/>
      <c r="O347" s="24"/>
      <c r="P347" s="24"/>
      <c r="Q347" s="24"/>
      <c r="R347" s="24"/>
      <c r="S347" s="24"/>
      <c r="T347" s="24"/>
      <c r="U347" s="24"/>
      <c r="AI347" s="19"/>
    </row>
    <row r="348" spans="1:35" ht="15" customHeight="1" x14ac:dyDescent="0.35">
      <c r="A348" s="25"/>
      <c r="B348" s="24"/>
      <c r="C348" s="20"/>
      <c r="D348" s="20"/>
      <c r="E348" s="20"/>
      <c r="F348" s="20"/>
      <c r="G348" s="24"/>
      <c r="H348" s="24"/>
      <c r="I348" s="24"/>
      <c r="J348" s="24"/>
      <c r="K348" s="24"/>
      <c r="L348" s="24"/>
      <c r="M348" s="24"/>
      <c r="N348" s="24"/>
      <c r="O348" s="24"/>
      <c r="P348" s="24"/>
      <c r="Q348" s="24"/>
      <c r="R348" s="24"/>
      <c r="S348" s="24"/>
      <c r="T348" s="24"/>
      <c r="U348" s="24"/>
      <c r="AI348" s="19"/>
    </row>
    <row r="349" spans="1:35" ht="24" customHeight="1" thickBot="1" x14ac:dyDescent="0.4">
      <c r="A349" s="23"/>
      <c r="B349" s="20"/>
      <c r="C349" s="20"/>
      <c r="D349" s="20"/>
      <c r="E349" s="20"/>
      <c r="F349" s="20"/>
      <c r="G349" s="21"/>
      <c r="H349" s="22" t="s">
        <v>750</v>
      </c>
      <c r="J349" s="20"/>
      <c r="K349" s="21"/>
      <c r="L349" s="21"/>
      <c r="Q349" s="20" t="s">
        <v>749</v>
      </c>
      <c r="R349" s="20"/>
      <c r="S349" s="20"/>
      <c r="T349" s="20"/>
      <c r="AA349" s="20" t="s">
        <v>748</v>
      </c>
      <c r="AB349" s="20"/>
      <c r="AI349" s="19"/>
    </row>
    <row r="350" spans="1:35" ht="24" customHeight="1" thickBot="1" x14ac:dyDescent="0.4">
      <c r="A350" s="18" t="s">
        <v>747</v>
      </c>
      <c r="B350" s="17"/>
      <c r="C350" s="196" t="s">
        <v>749</v>
      </c>
      <c r="D350" s="73"/>
      <c r="E350" s="73"/>
      <c r="F350" s="73"/>
      <c r="G350" s="978" t="str">
        <f>Parametros!D6</f>
        <v>GARCIA RODRIGUEZ CHARLES MILTON</v>
      </c>
      <c r="H350" s="978"/>
      <c r="I350" s="978"/>
      <c r="J350" s="978"/>
      <c r="K350" s="978"/>
      <c r="L350" s="978"/>
      <c r="M350" s="978"/>
      <c r="N350" s="978"/>
      <c r="O350" s="978"/>
      <c r="P350" s="978"/>
      <c r="Q350" s="73"/>
      <c r="R350" s="73"/>
      <c r="S350" s="73"/>
      <c r="T350" s="73"/>
      <c r="U350" s="18" t="s">
        <v>747</v>
      </c>
      <c r="V350" s="17"/>
      <c r="W350" s="196" t="s">
        <v>749</v>
      </c>
      <c r="X350" s="978" t="str">
        <f>Parametros!D8</f>
        <v>ESPINOZA TOALOMBO WILMER OLMEDO</v>
      </c>
      <c r="Y350" s="978"/>
      <c r="Z350" s="978"/>
      <c r="AA350" s="978"/>
      <c r="AB350" s="978"/>
      <c r="AC350" s="978"/>
      <c r="AD350" s="978"/>
      <c r="AE350" s="978"/>
      <c r="AF350" s="978"/>
      <c r="AG350" s="73"/>
      <c r="AH350" s="73"/>
      <c r="AI350" s="195"/>
    </row>
    <row r="351" spans="1:35" ht="24" customHeight="1" thickBot="1" x14ac:dyDescent="0.4">
      <c r="A351" s="8">
        <v>198</v>
      </c>
      <c r="B351" s="7" t="s">
        <v>746</v>
      </c>
      <c r="C351" s="13"/>
      <c r="D351" s="13"/>
      <c r="E351" s="11"/>
      <c r="F351" s="12"/>
      <c r="G351" s="11"/>
      <c r="H351" s="5"/>
      <c r="I351" s="1026" t="str">
        <f>Parametros!D7</f>
        <v>0917809451001</v>
      </c>
      <c r="J351" s="1026"/>
      <c r="K351" s="1026"/>
      <c r="L351" s="1026"/>
      <c r="M351" s="1026"/>
      <c r="N351" s="1026"/>
      <c r="O351" s="1026"/>
      <c r="P351" s="194"/>
      <c r="Q351" s="5" t="s">
        <v>749</v>
      </c>
      <c r="R351" s="5"/>
      <c r="S351" s="5"/>
      <c r="T351" s="13"/>
      <c r="U351" s="8">
        <v>199</v>
      </c>
      <c r="V351" s="7" t="s">
        <v>745</v>
      </c>
      <c r="W351" s="5"/>
      <c r="X351" s="1026" t="str">
        <f>Parametros!D9</f>
        <v>0916540586001</v>
      </c>
      <c r="Y351" s="1026"/>
      <c r="Z351" s="1026"/>
      <c r="AA351" s="1026"/>
      <c r="AB351" s="1026"/>
      <c r="AC351" s="1026"/>
      <c r="AD351" s="1026"/>
      <c r="AE351" s="1026"/>
      <c r="AF351" s="1026"/>
      <c r="AG351" s="5"/>
      <c r="AH351" s="5"/>
      <c r="AI351" s="4"/>
    </row>
    <row r="352" spans="1:35" ht="24" customHeight="1" x14ac:dyDescent="0.35">
      <c r="A352" s="24"/>
      <c r="B352" s="24"/>
      <c r="C352" s="20"/>
      <c r="D352" s="20"/>
      <c r="E352" s="20"/>
      <c r="F352" s="20"/>
      <c r="G352" s="24"/>
      <c r="H352" s="24"/>
      <c r="I352" s="24"/>
      <c r="J352" s="24"/>
      <c r="K352" s="24"/>
      <c r="L352" s="24"/>
      <c r="M352" s="24"/>
      <c r="N352" s="24"/>
      <c r="O352" s="24"/>
      <c r="P352" s="24"/>
      <c r="Q352" s="24"/>
      <c r="R352" s="24"/>
      <c r="S352" s="24"/>
      <c r="T352" s="24"/>
      <c r="U352" s="3"/>
    </row>
    <row r="353" spans="1:21" ht="24" customHeight="1" x14ac:dyDescent="0.35">
      <c r="A353" s="24"/>
      <c r="B353" s="24"/>
      <c r="C353" s="20"/>
      <c r="D353" s="20"/>
      <c r="E353" s="20"/>
      <c r="F353" s="20"/>
      <c r="G353" s="24"/>
      <c r="H353" s="24"/>
      <c r="I353" s="24"/>
      <c r="J353" s="24"/>
      <c r="K353" s="24"/>
      <c r="L353" s="24"/>
      <c r="M353" s="24"/>
      <c r="N353" s="24"/>
      <c r="O353" s="24"/>
      <c r="P353" s="24"/>
      <c r="Q353" s="24"/>
      <c r="R353" s="24"/>
      <c r="S353" s="24"/>
      <c r="T353" s="24"/>
      <c r="U353" s="3"/>
    </row>
    <row r="354" spans="1:21" ht="24" customHeight="1" x14ac:dyDescent="0.35">
      <c r="A354" s="24"/>
      <c r="B354" s="24"/>
      <c r="C354" s="20"/>
      <c r="D354" s="20"/>
      <c r="E354" s="20"/>
      <c r="F354" s="20"/>
      <c r="G354" s="24"/>
      <c r="H354" s="24"/>
      <c r="I354" s="24"/>
      <c r="J354" s="24"/>
      <c r="K354" s="24"/>
      <c r="L354" s="24"/>
      <c r="M354" s="24"/>
      <c r="N354" s="24"/>
      <c r="O354" s="24"/>
      <c r="P354" s="24"/>
      <c r="Q354" s="24"/>
      <c r="R354" s="24"/>
      <c r="S354" s="24"/>
      <c r="T354" s="24"/>
      <c r="U354" s="3"/>
    </row>
    <row r="355" spans="1:21" ht="24" customHeight="1" x14ac:dyDescent="0.35">
      <c r="A355" s="24"/>
      <c r="B355" s="24"/>
      <c r="C355" s="20"/>
      <c r="D355" s="20"/>
      <c r="E355" s="20"/>
      <c r="F355" s="20"/>
      <c r="G355" s="24"/>
      <c r="H355" s="24"/>
      <c r="I355" s="24"/>
      <c r="J355" s="24"/>
      <c r="K355" s="24"/>
      <c r="L355" s="24"/>
      <c r="M355" s="24"/>
      <c r="N355" s="24"/>
      <c r="O355" s="24"/>
      <c r="P355" s="24"/>
      <c r="Q355" s="24"/>
      <c r="R355" s="24"/>
      <c r="S355" s="24"/>
      <c r="T355" s="24"/>
      <c r="U355" s="3"/>
    </row>
    <row r="356" spans="1:21" ht="24" customHeight="1" x14ac:dyDescent="0.35">
      <c r="A356" s="24"/>
      <c r="B356" s="24"/>
      <c r="C356" s="20"/>
      <c r="D356" s="20"/>
      <c r="E356" s="20"/>
      <c r="F356" s="20"/>
      <c r="G356" s="24"/>
      <c r="H356" s="24"/>
      <c r="I356" s="24"/>
      <c r="J356" s="24"/>
      <c r="K356" s="24"/>
      <c r="L356" s="24"/>
      <c r="M356" s="24"/>
      <c r="N356" s="24"/>
      <c r="O356" s="24"/>
      <c r="P356" s="24"/>
      <c r="Q356" s="24"/>
      <c r="R356" s="24"/>
      <c r="S356" s="24"/>
      <c r="T356" s="24"/>
      <c r="U356" s="3"/>
    </row>
  </sheetData>
  <mergeCells count="695">
    <mergeCell ref="AC145:AI145"/>
    <mergeCell ref="AC146:AI146"/>
    <mergeCell ref="X323:AA323"/>
    <mergeCell ref="AE323:AH323"/>
    <mergeCell ref="A144:C148"/>
    <mergeCell ref="X144:AA144"/>
    <mergeCell ref="X148:AA148"/>
    <mergeCell ref="AE148:AH148"/>
    <mergeCell ref="X145:AA145"/>
    <mergeCell ref="X146:AA146"/>
    <mergeCell ref="X147:AA147"/>
    <mergeCell ref="AE147:AH147"/>
    <mergeCell ref="AC144:AI144"/>
    <mergeCell ref="X225:AA225"/>
    <mergeCell ref="AE225:AH225"/>
    <mergeCell ref="X226:AA226"/>
    <mergeCell ref="AE226:AH226"/>
    <mergeCell ref="X227:AA227"/>
    <mergeCell ref="AE227:AH227"/>
    <mergeCell ref="AE190:AH190"/>
    <mergeCell ref="X191:AA191"/>
    <mergeCell ref="AE191:AH191"/>
    <mergeCell ref="X184:AA184"/>
    <mergeCell ref="AE184:AH184"/>
    <mergeCell ref="A131:C140"/>
    <mergeCell ref="A122:C129"/>
    <mergeCell ref="A116:C117"/>
    <mergeCell ref="A99:C108"/>
    <mergeCell ref="A72:C73"/>
    <mergeCell ref="A19:C33"/>
    <mergeCell ref="AC98:AI98"/>
    <mergeCell ref="A111:AI111"/>
    <mergeCell ref="A113:AI113"/>
    <mergeCell ref="A115:AI115"/>
    <mergeCell ref="X118:AA118"/>
    <mergeCell ref="AE118:AH118"/>
    <mergeCell ref="X119:AA119"/>
    <mergeCell ref="AE119:AH119"/>
    <mergeCell ref="A74:AI74"/>
    <mergeCell ref="X92:AA92"/>
    <mergeCell ref="AC92:AI92"/>
    <mergeCell ref="X93:AA93"/>
    <mergeCell ref="AC93:AI93"/>
    <mergeCell ref="X94:AA94"/>
    <mergeCell ref="AC94:AI94"/>
    <mergeCell ref="X95:AA95"/>
    <mergeCell ref="AC95:AI95"/>
    <mergeCell ref="O138:P138"/>
    <mergeCell ref="X217:AA217"/>
    <mergeCell ref="AE217:AH217"/>
    <mergeCell ref="X203:AA203"/>
    <mergeCell ref="AE203:AH203"/>
    <mergeCell ref="X204:AA204"/>
    <mergeCell ref="AE204:AH204"/>
    <mergeCell ref="X199:AA199"/>
    <mergeCell ref="AE199:AH199"/>
    <mergeCell ref="X202:AA202"/>
    <mergeCell ref="X206:AA206"/>
    <mergeCell ref="X208:AA208"/>
    <mergeCell ref="X212:AA212"/>
    <mergeCell ref="AE212:AH212"/>
    <mergeCell ref="X213:AA213"/>
    <mergeCell ref="AE213:AH213"/>
    <mergeCell ref="X214:AA214"/>
    <mergeCell ref="X205:AA205"/>
    <mergeCell ref="AE205:AH205"/>
    <mergeCell ref="AE201:AH201"/>
    <mergeCell ref="X176:AA176"/>
    <mergeCell ref="X178:AA178"/>
    <mergeCell ref="AE178:AH178"/>
    <mergeCell ref="X185:AA185"/>
    <mergeCell ref="AE185:AH185"/>
    <mergeCell ref="X186:AA186"/>
    <mergeCell ref="AE186:AH186"/>
    <mergeCell ref="X201:AA201"/>
    <mergeCell ref="AE202:AH202"/>
    <mergeCell ref="AE196:AH196"/>
    <mergeCell ref="X187:AA187"/>
    <mergeCell ref="AE187:AH187"/>
    <mergeCell ref="AE188:AH188"/>
    <mergeCell ref="X192:AA192"/>
    <mergeCell ref="AE192:AH192"/>
    <mergeCell ref="AE183:AH183"/>
    <mergeCell ref="AE176:AH176"/>
    <mergeCell ref="X177:AA177"/>
    <mergeCell ref="AE157:AH157"/>
    <mergeCell ref="X160:AA160"/>
    <mergeCell ref="AE160:AH160"/>
    <mergeCell ref="X163:AA163"/>
    <mergeCell ref="AC163:AI163"/>
    <mergeCell ref="AC162:AI162"/>
    <mergeCell ref="AE165:AH165"/>
    <mergeCell ref="AE181:AH181"/>
    <mergeCell ref="X168:AA168"/>
    <mergeCell ref="X169:AA169"/>
    <mergeCell ref="AE168:AH168"/>
    <mergeCell ref="AE169:AH169"/>
    <mergeCell ref="X170:AA170"/>
    <mergeCell ref="AE170:AH170"/>
    <mergeCell ref="X171:AA171"/>
    <mergeCell ref="AE171:AH171"/>
    <mergeCell ref="X179:AA179"/>
    <mergeCell ref="AE179:AH179"/>
    <mergeCell ref="X172:AA172"/>
    <mergeCell ref="AE172:AH172"/>
    <mergeCell ref="X173:AA173"/>
    <mergeCell ref="AE173:AH173"/>
    <mergeCell ref="AE175:AH175"/>
    <mergeCell ref="X175:AA175"/>
    <mergeCell ref="O131:P131"/>
    <mergeCell ref="S131:U131"/>
    <mergeCell ref="O139:P139"/>
    <mergeCell ref="S135:U135"/>
    <mergeCell ref="S136:U136"/>
    <mergeCell ref="X46:AA46"/>
    <mergeCell ref="X161:AA161"/>
    <mergeCell ref="AE161:AH161"/>
    <mergeCell ref="AE129:AH129"/>
    <mergeCell ref="A151:AI151"/>
    <mergeCell ref="A150:U150"/>
    <mergeCell ref="X120:AA120"/>
    <mergeCell ref="AE120:AH120"/>
    <mergeCell ref="X121:AA121"/>
    <mergeCell ref="AE121:AH121"/>
    <mergeCell ref="AE153:AH153"/>
    <mergeCell ref="X154:AA154"/>
    <mergeCell ref="AE154:AH154"/>
    <mergeCell ref="X158:AA158"/>
    <mergeCell ref="AE158:AH158"/>
    <mergeCell ref="X155:AA155"/>
    <mergeCell ref="AE155:AH155"/>
    <mergeCell ref="X157:AA157"/>
    <mergeCell ref="X156:AA156"/>
    <mergeCell ref="AE156:AH156"/>
    <mergeCell ref="X153:AA153"/>
    <mergeCell ref="AE52:AH52"/>
    <mergeCell ref="X126:AA126"/>
    <mergeCell ref="X127:AA127"/>
    <mergeCell ref="X129:AA129"/>
    <mergeCell ref="AE126:AH126"/>
    <mergeCell ref="AE127:AH127"/>
    <mergeCell ref="AE128:AH128"/>
    <mergeCell ref="X122:AA122"/>
    <mergeCell ref="AE122:AH122"/>
    <mergeCell ref="X149:AA149"/>
    <mergeCell ref="AE149:AH149"/>
    <mergeCell ref="X114:AA114"/>
    <mergeCell ref="AE114:AH114"/>
    <mergeCell ref="X70:AA70"/>
    <mergeCell ref="AE70:AH70"/>
    <mergeCell ref="X96:AA96"/>
    <mergeCell ref="AC96:AI96"/>
    <mergeCell ref="X97:AA97"/>
    <mergeCell ref="AC97:AI97"/>
    <mergeCell ref="X98:AA98"/>
    <mergeCell ref="A130:AI130"/>
    <mergeCell ref="O135:P135"/>
    <mergeCell ref="O136:P136"/>
    <mergeCell ref="O133:P133"/>
    <mergeCell ref="S133:U133"/>
    <mergeCell ref="X133:AA133"/>
    <mergeCell ref="AE133:AH133"/>
    <mergeCell ref="X134:AA134"/>
    <mergeCell ref="AE134:AH134"/>
    <mergeCell ref="O137:P137"/>
    <mergeCell ref="S137:U137"/>
    <mergeCell ref="AE116:AH116"/>
    <mergeCell ref="X137:AA137"/>
    <mergeCell ref="AE137:AH137"/>
    <mergeCell ref="AE135:AH135"/>
    <mergeCell ref="AE136:AH136"/>
    <mergeCell ref="X135:AA135"/>
    <mergeCell ref="X112:AA112"/>
    <mergeCell ref="AE112:AH112"/>
    <mergeCell ref="X136:AA136"/>
    <mergeCell ref="AE117:AH117"/>
    <mergeCell ref="AE125:AH125"/>
    <mergeCell ref="X131:AA131"/>
    <mergeCell ref="AE131:AH131"/>
    <mergeCell ref="X116:AA116"/>
    <mergeCell ref="X128:AA128"/>
    <mergeCell ref="X123:AA123"/>
    <mergeCell ref="AE123:AH123"/>
    <mergeCell ref="X143:AA143"/>
    <mergeCell ref="AE37:AH37"/>
    <mergeCell ref="X44:AA44"/>
    <mergeCell ref="X68:AA68"/>
    <mergeCell ref="X65:AA65"/>
    <mergeCell ref="X39:AA39"/>
    <mergeCell ref="AE39:AH39"/>
    <mergeCell ref="X132:AA132"/>
    <mergeCell ref="AE132:AH132"/>
    <mergeCell ref="X76:AA76"/>
    <mergeCell ref="AE76:AH76"/>
    <mergeCell ref="AC108:AI108"/>
    <mergeCell ref="AE79:AH79"/>
    <mergeCell ref="X69:AA69"/>
    <mergeCell ref="AE38:AH38"/>
    <mergeCell ref="X77:AA77"/>
    <mergeCell ref="AE141:AH141"/>
    <mergeCell ref="X142:AA142"/>
    <mergeCell ref="AE142:AH142"/>
    <mergeCell ref="A64:AI64"/>
    <mergeCell ref="X71:AA71"/>
    <mergeCell ref="AE65:AH65"/>
    <mergeCell ref="X101:AA101"/>
    <mergeCell ref="AE86:AH86"/>
    <mergeCell ref="AD1:AE2"/>
    <mergeCell ref="I1:AC2"/>
    <mergeCell ref="AE143:AH143"/>
    <mergeCell ref="AE107:AH107"/>
    <mergeCell ref="X108:AA108"/>
    <mergeCell ref="X106:AA106"/>
    <mergeCell ref="AE106:AH106"/>
    <mergeCell ref="X56:AA56"/>
    <mergeCell ref="X61:AA61"/>
    <mergeCell ref="X59:AA59"/>
    <mergeCell ref="X57:AA57"/>
    <mergeCell ref="X58:AA58"/>
    <mergeCell ref="A14:AI14"/>
    <mergeCell ref="AC16:AI16"/>
    <mergeCell ref="U7:U8"/>
    <mergeCell ref="R7:R8"/>
    <mergeCell ref="V16:AB16"/>
    <mergeCell ref="J7:J8"/>
    <mergeCell ref="A15:AI15"/>
    <mergeCell ref="X50:AA50"/>
    <mergeCell ref="AE50:AH50"/>
    <mergeCell ref="X48:AA48"/>
    <mergeCell ref="X49:AA49"/>
    <mergeCell ref="AE49:AH49"/>
    <mergeCell ref="X20:AA20"/>
    <mergeCell ref="AE20:AH20"/>
    <mergeCell ref="AE22:AH22"/>
    <mergeCell ref="X22:AA22"/>
    <mergeCell ref="E7:E8"/>
    <mergeCell ref="S7:S8"/>
    <mergeCell ref="T7:T8"/>
    <mergeCell ref="Q7:Q8"/>
    <mergeCell ref="P12:AH12"/>
    <mergeCell ref="K7:K8"/>
    <mergeCell ref="I7:I8"/>
    <mergeCell ref="L7:L8"/>
    <mergeCell ref="M7:M8"/>
    <mergeCell ref="N7:N8"/>
    <mergeCell ref="B12:N12"/>
    <mergeCell ref="X29:AA29"/>
    <mergeCell ref="AE24:AH24"/>
    <mergeCell ref="X40:AA40"/>
    <mergeCell ref="AE40:AH40"/>
    <mergeCell ref="A7:A8"/>
    <mergeCell ref="A11:A12"/>
    <mergeCell ref="V7:V8"/>
    <mergeCell ref="B7:B8"/>
    <mergeCell ref="Y8:AG8"/>
    <mergeCell ref="X33:AA33"/>
    <mergeCell ref="AE36:AH36"/>
    <mergeCell ref="X36:AA36"/>
    <mergeCell ref="X19:AA19"/>
    <mergeCell ref="X25:AA25"/>
    <mergeCell ref="X26:AA26"/>
    <mergeCell ref="AE18:AH18"/>
    <mergeCell ref="X32:AA32"/>
    <mergeCell ref="X34:AA34"/>
    <mergeCell ref="G7:G8"/>
    <mergeCell ref="C7:C8"/>
    <mergeCell ref="F7:F8"/>
    <mergeCell ref="H7:H8"/>
    <mergeCell ref="D7:D8"/>
    <mergeCell ref="X18:AA18"/>
    <mergeCell ref="X24:AA24"/>
    <mergeCell ref="AE19:AH19"/>
    <mergeCell ref="AE32:AH32"/>
    <mergeCell ref="AE26:AH26"/>
    <mergeCell ref="AE27:AH27"/>
    <mergeCell ref="AE28:AH28"/>
    <mergeCell ref="I351:O351"/>
    <mergeCell ref="M342:R342"/>
    <mergeCell ref="AB341:AI341"/>
    <mergeCell ref="X351:AF351"/>
    <mergeCell ref="X125:AA125"/>
    <mergeCell ref="A329:AI329"/>
    <mergeCell ref="AE328:AH328"/>
    <mergeCell ref="AC55:AI55"/>
    <mergeCell ref="AC56:AI56"/>
    <mergeCell ref="AC57:AI57"/>
    <mergeCell ref="AC62:AI62"/>
    <mergeCell ref="AE124:AH124"/>
    <mergeCell ref="X55:AA55"/>
    <mergeCell ref="AC63:AI63"/>
    <mergeCell ref="AC264:AI264"/>
    <mergeCell ref="X264:AA264"/>
    <mergeCell ref="X104:AA104"/>
    <mergeCell ref="AE104:AH104"/>
    <mergeCell ref="A330:F330"/>
    <mergeCell ref="AE330:AH330"/>
    <mergeCell ref="G350:P350"/>
    <mergeCell ref="D343:I343"/>
    <mergeCell ref="AE340:AH340"/>
    <mergeCell ref="AD343:AI343"/>
    <mergeCell ref="X350:AF350"/>
    <mergeCell ref="V342:AA342"/>
    <mergeCell ref="AE338:AH338"/>
    <mergeCell ref="AE335:AH335"/>
    <mergeCell ref="AE332:AH332"/>
    <mergeCell ref="AE339:AH339"/>
    <mergeCell ref="D342:I342"/>
    <mergeCell ref="AE336:AH336"/>
    <mergeCell ref="V343:AA343"/>
    <mergeCell ref="A344:AI344"/>
    <mergeCell ref="Y330:AB330"/>
    <mergeCell ref="AB342:AI342"/>
    <mergeCell ref="M343:R343"/>
    <mergeCell ref="AE337:AH337"/>
    <mergeCell ref="A341:AA341"/>
    <mergeCell ref="U330:W330"/>
    <mergeCell ref="I330:K330"/>
    <mergeCell ref="M330:R330"/>
    <mergeCell ref="X105:AA105"/>
    <mergeCell ref="AE105:AH105"/>
    <mergeCell ref="X107:AA107"/>
    <mergeCell ref="AE101:AH101"/>
    <mergeCell ref="AE100:AH100"/>
    <mergeCell ref="X103:AA103"/>
    <mergeCell ref="AE103:AH103"/>
    <mergeCell ref="X86:AA86"/>
    <mergeCell ref="X89:AA89"/>
    <mergeCell ref="X88:AA88"/>
    <mergeCell ref="X102:AA102"/>
    <mergeCell ref="AC102:AI102"/>
    <mergeCell ref="X233:AA233"/>
    <mergeCell ref="X218:AA218"/>
    <mergeCell ref="AE218:AH218"/>
    <mergeCell ref="AE229:AH229"/>
    <mergeCell ref="X230:AA230"/>
    <mergeCell ref="AE230:AH230"/>
    <mergeCell ref="X262:AA262"/>
    <mergeCell ref="AE262:AH262"/>
    <mergeCell ref="AE222:AH222"/>
    <mergeCell ref="X259:AA259"/>
    <mergeCell ref="AE259:AH259"/>
    <mergeCell ref="X221:AA221"/>
    <mergeCell ref="AE221:AH221"/>
    <mergeCell ref="X219:AA219"/>
    <mergeCell ref="X220:AA220"/>
    <mergeCell ref="AE236:AH236"/>
    <mergeCell ref="X237:AA237"/>
    <mergeCell ref="AE237:AH237"/>
    <mergeCell ref="X238:AA238"/>
    <mergeCell ref="AE238:AH238"/>
    <mergeCell ref="AE250:AH250"/>
    <mergeCell ref="AE257:AH257"/>
    <mergeCell ref="X253:AA253"/>
    <mergeCell ref="AE253:AH253"/>
    <mergeCell ref="AE272:AH272"/>
    <mergeCell ref="X280:AA280"/>
    <mergeCell ref="AE280:AH280"/>
    <mergeCell ref="AE266:AH266"/>
    <mergeCell ref="X274:AA274"/>
    <mergeCell ref="X273:AA273"/>
    <mergeCell ref="AE273:AH273"/>
    <mergeCell ref="X267:AA267"/>
    <mergeCell ref="AE267:AH267"/>
    <mergeCell ref="X275:AA275"/>
    <mergeCell ref="AE275:AH275"/>
    <mergeCell ref="A152:C208"/>
    <mergeCell ref="X152:AA152"/>
    <mergeCell ref="AE152:AH152"/>
    <mergeCell ref="X159:AA159"/>
    <mergeCell ref="AE159:AH159"/>
    <mergeCell ref="X162:AA162"/>
    <mergeCell ref="AE166:AH166"/>
    <mergeCell ref="X174:AA174"/>
    <mergeCell ref="X207:AA207"/>
    <mergeCell ref="X167:AA167"/>
    <mergeCell ref="AE167:AH167"/>
    <mergeCell ref="AE177:AH177"/>
    <mergeCell ref="X166:AA166"/>
    <mergeCell ref="AE174:AH174"/>
    <mergeCell ref="X164:AA164"/>
    <mergeCell ref="AE164:AH164"/>
    <mergeCell ref="X180:AA180"/>
    <mergeCell ref="AE180:AH180"/>
    <mergeCell ref="X181:AA181"/>
    <mergeCell ref="X188:AA188"/>
    <mergeCell ref="X183:AA183"/>
    <mergeCell ref="X189:AA189"/>
    <mergeCell ref="AE189:AH189"/>
    <mergeCell ref="X190:AA190"/>
    <mergeCell ref="AE326:AH326"/>
    <mergeCell ref="X324:AA324"/>
    <mergeCell ref="AE324:AH324"/>
    <mergeCell ref="X266:AA266"/>
    <mergeCell ref="X281:AA281"/>
    <mergeCell ref="AE281:AH281"/>
    <mergeCell ref="X282:AA282"/>
    <mergeCell ref="AE282:AH282"/>
    <mergeCell ref="X277:AA277"/>
    <mergeCell ref="AE277:AH277"/>
    <mergeCell ref="X278:AA278"/>
    <mergeCell ref="X279:AA279"/>
    <mergeCell ref="AE279:AH279"/>
    <mergeCell ref="AE278:AH278"/>
    <mergeCell ref="X272:AA272"/>
    <mergeCell ref="X270:AA270"/>
    <mergeCell ref="AE270:AH270"/>
    <mergeCell ref="X322:AA322"/>
    <mergeCell ref="AC321:AI321"/>
    <mergeCell ref="X304:AA304"/>
    <mergeCell ref="AE304:AH304"/>
    <mergeCell ref="X303:AA303"/>
    <mergeCell ref="AE303:AH303"/>
    <mergeCell ref="X292:AA292"/>
    <mergeCell ref="X263:AA263"/>
    <mergeCell ref="X261:AA261"/>
    <mergeCell ref="AE261:AH261"/>
    <mergeCell ref="AE240:AH240"/>
    <mergeCell ref="X241:AA241"/>
    <mergeCell ref="X246:AA246"/>
    <mergeCell ref="AE246:AH246"/>
    <mergeCell ref="AE260:AH260"/>
    <mergeCell ref="X255:AA255"/>
    <mergeCell ref="AE255:AH255"/>
    <mergeCell ref="X256:AA256"/>
    <mergeCell ref="X251:AA251"/>
    <mergeCell ref="AE251:AH251"/>
    <mergeCell ref="X252:AA252"/>
    <mergeCell ref="AE252:AH252"/>
    <mergeCell ref="AE254:AH254"/>
    <mergeCell ref="AE244:AH244"/>
    <mergeCell ref="X249:AA249"/>
    <mergeCell ref="AE249:AH249"/>
    <mergeCell ref="X245:AA245"/>
    <mergeCell ref="X258:AA258"/>
    <mergeCell ref="AE245:AH245"/>
    <mergeCell ref="X257:AA257"/>
    <mergeCell ref="X250:AA250"/>
    <mergeCell ref="X254:AA254"/>
    <mergeCell ref="X247:AA247"/>
    <mergeCell ref="AE247:AH247"/>
    <mergeCell ref="X248:AA248"/>
    <mergeCell ref="AE248:AH248"/>
    <mergeCell ref="X239:AA239"/>
    <mergeCell ref="AE239:AH239"/>
    <mergeCell ref="A266:C322"/>
    <mergeCell ref="X307:AA307"/>
    <mergeCell ref="AE307:AH307"/>
    <mergeCell ref="X308:AA308"/>
    <mergeCell ref="AE308:AH308"/>
    <mergeCell ref="X309:AA309"/>
    <mergeCell ref="AE309:AH309"/>
    <mergeCell ref="X310:AA310"/>
    <mergeCell ref="X313:AA313"/>
    <mergeCell ref="AE313:AH313"/>
    <mergeCell ref="X314:AA314"/>
    <mergeCell ref="AE314:AH314"/>
    <mergeCell ref="X311:AA311"/>
    <mergeCell ref="AE311:AH311"/>
    <mergeCell ref="X312:AA312"/>
    <mergeCell ref="AE312:AH312"/>
    <mergeCell ref="X305:AA305"/>
    <mergeCell ref="AE292:AH292"/>
    <mergeCell ref="X293:AA293"/>
    <mergeCell ref="AE293:AH293"/>
    <mergeCell ref="X294:AA294"/>
    <mergeCell ref="AE294:AH294"/>
    <mergeCell ref="X295:AA295"/>
    <mergeCell ref="AE295:AH295"/>
    <mergeCell ref="X300:AA300"/>
    <mergeCell ref="AE300:AH300"/>
    <mergeCell ref="X296:AA296"/>
    <mergeCell ref="AE296:AH296"/>
    <mergeCell ref="X320:AA320"/>
    <mergeCell ref="AE320:AH320"/>
    <mergeCell ref="X316:AA316"/>
    <mergeCell ref="AE316:AH316"/>
    <mergeCell ref="X317:AA317"/>
    <mergeCell ref="AE318:AH318"/>
    <mergeCell ref="X298:AA298"/>
    <mergeCell ref="AE298:AH298"/>
    <mergeCell ref="X297:AA297"/>
    <mergeCell ref="AE297:AH297"/>
    <mergeCell ref="X299:AA299"/>
    <mergeCell ref="X315:AA315"/>
    <mergeCell ref="AE315:AH315"/>
    <mergeCell ref="AE305:AH305"/>
    <mergeCell ref="X306:AA306"/>
    <mergeCell ref="AE306:AH306"/>
    <mergeCell ref="X301:AA301"/>
    <mergeCell ref="AE301:AH301"/>
    <mergeCell ref="X302:AA302"/>
    <mergeCell ref="AE302:AH302"/>
    <mergeCell ref="X288:AA288"/>
    <mergeCell ref="AE288:AH288"/>
    <mergeCell ref="X289:AA289"/>
    <mergeCell ref="AE289:AH289"/>
    <mergeCell ref="X290:AA290"/>
    <mergeCell ref="AE290:AH290"/>
    <mergeCell ref="X291:AA291"/>
    <mergeCell ref="AE291:AH291"/>
    <mergeCell ref="AE243:AH243"/>
    <mergeCell ref="X244:AA244"/>
    <mergeCell ref="X283:AA283"/>
    <mergeCell ref="AE283:AH283"/>
    <mergeCell ref="X285:AA285"/>
    <mergeCell ref="AE285:AH285"/>
    <mergeCell ref="X286:AA286"/>
    <mergeCell ref="AE286:AH286"/>
    <mergeCell ref="X287:AA287"/>
    <mergeCell ref="AE287:AH287"/>
    <mergeCell ref="X284:AA284"/>
    <mergeCell ref="AE284:AH284"/>
    <mergeCell ref="X276:AA276"/>
    <mergeCell ref="AE276:AH276"/>
    <mergeCell ref="AC265:AI265"/>
    <mergeCell ref="X265:AA265"/>
    <mergeCell ref="A209:C265"/>
    <mergeCell ref="X209:AA209"/>
    <mergeCell ref="AE209:AH209"/>
    <mergeCell ref="X216:AA216"/>
    <mergeCell ref="AE216:AH216"/>
    <mergeCell ref="X224:AA224"/>
    <mergeCell ref="X231:AA231"/>
    <mergeCell ref="AE231:AH231"/>
    <mergeCell ref="X232:AA232"/>
    <mergeCell ref="AE232:AH232"/>
    <mergeCell ref="X235:AA235"/>
    <mergeCell ref="AE235:AH235"/>
    <mergeCell ref="AE233:AH233"/>
    <mergeCell ref="X234:AA234"/>
    <mergeCell ref="X236:AA236"/>
    <mergeCell ref="X240:AA240"/>
    <mergeCell ref="X260:AA260"/>
    <mergeCell ref="AE256:AH256"/>
    <mergeCell ref="AE241:AH241"/>
    <mergeCell ref="X242:AA242"/>
    <mergeCell ref="AE242:AH242"/>
    <mergeCell ref="X243:AA243"/>
    <mergeCell ref="AE258:AH258"/>
    <mergeCell ref="X215:AA215"/>
    <mergeCell ref="AC322:AI322"/>
    <mergeCell ref="X319:AA319"/>
    <mergeCell ref="X321:AA321"/>
    <mergeCell ref="AE317:AH317"/>
    <mergeCell ref="X318:AA318"/>
    <mergeCell ref="AC207:AI207"/>
    <mergeCell ref="AC208:AI208"/>
    <mergeCell ref="AE319:AH319"/>
    <mergeCell ref="AE310:AH310"/>
    <mergeCell ref="AE299:AH299"/>
    <mergeCell ref="AE263:AH263"/>
    <mergeCell ref="AE234:AH234"/>
    <mergeCell ref="AE274:AH274"/>
    <mergeCell ref="AE224:AH224"/>
    <mergeCell ref="X271:AA271"/>
    <mergeCell ref="AE271:AH271"/>
    <mergeCell ref="AC219:AI219"/>
    <mergeCell ref="AC220:AI220"/>
    <mergeCell ref="X268:AA268"/>
    <mergeCell ref="AE268:AH268"/>
    <mergeCell ref="X269:AA269"/>
    <mergeCell ref="AE269:AH269"/>
    <mergeCell ref="AE228:AH228"/>
    <mergeCell ref="X229:AA229"/>
    <mergeCell ref="AE150:AH150"/>
    <mergeCell ref="X117:AA117"/>
    <mergeCell ref="X138:AA138"/>
    <mergeCell ref="X150:AA150"/>
    <mergeCell ref="AE45:AH45"/>
    <mergeCell ref="AE47:AH47"/>
    <mergeCell ref="X52:AA52"/>
    <mergeCell ref="X53:AA53"/>
    <mergeCell ref="AE53:AH53"/>
    <mergeCell ref="X45:AA45"/>
    <mergeCell ref="X140:AA140"/>
    <mergeCell ref="AE140:AH140"/>
    <mergeCell ref="AE138:AH138"/>
    <mergeCell ref="X47:AA47"/>
    <mergeCell ref="X139:AA139"/>
    <mergeCell ref="AE139:AH139"/>
    <mergeCell ref="X100:AA100"/>
    <mergeCell ref="AE46:AH46"/>
    <mergeCell ref="AE48:AH48"/>
    <mergeCell ref="X124:AA124"/>
    <mergeCell ref="X73:AA73"/>
    <mergeCell ref="X79:AA79"/>
    <mergeCell ref="AE85:AH85"/>
    <mergeCell ref="AE75:AH75"/>
    <mergeCell ref="X228:AA228"/>
    <mergeCell ref="X193:AA193"/>
    <mergeCell ref="AE193:AH193"/>
    <mergeCell ref="X194:AA194"/>
    <mergeCell ref="AE194:AH194"/>
    <mergeCell ref="X195:AA195"/>
    <mergeCell ref="AE195:AH195"/>
    <mergeCell ref="X196:AA196"/>
    <mergeCell ref="X210:AA210"/>
    <mergeCell ref="AE210:AH210"/>
    <mergeCell ref="X211:AA211"/>
    <mergeCell ref="AE211:AH211"/>
    <mergeCell ref="AE215:AH215"/>
    <mergeCell ref="X223:AA223"/>
    <mergeCell ref="AE223:AH223"/>
    <mergeCell ref="AE200:AH200"/>
    <mergeCell ref="X197:AA197"/>
    <mergeCell ref="AE197:AH197"/>
    <mergeCell ref="X198:AA198"/>
    <mergeCell ref="AE198:AH198"/>
    <mergeCell ref="X222:AA222"/>
    <mergeCell ref="X200:AA200"/>
    <mergeCell ref="AE206:AH206"/>
    <mergeCell ref="AE214:AH214"/>
    <mergeCell ref="X37:AA37"/>
    <mergeCell ref="AE71:AH71"/>
    <mergeCell ref="AE82:AH82"/>
    <mergeCell ref="X84:AA84"/>
    <mergeCell ref="AE72:AH72"/>
    <mergeCell ref="AE89:AH89"/>
    <mergeCell ref="X72:AA72"/>
    <mergeCell ref="S138:U138"/>
    <mergeCell ref="S139:U139"/>
    <mergeCell ref="X110:AA110"/>
    <mergeCell ref="AE110:AH110"/>
    <mergeCell ref="X63:AA63"/>
    <mergeCell ref="X62:AA62"/>
    <mergeCell ref="X60:AA60"/>
    <mergeCell ref="AC58:AI58"/>
    <mergeCell ref="AC59:AI59"/>
    <mergeCell ref="AC60:AI60"/>
    <mergeCell ref="AC61:AI61"/>
    <mergeCell ref="X109:AA109"/>
    <mergeCell ref="AE109:AH109"/>
    <mergeCell ref="X87:AA87"/>
    <mergeCell ref="AE87:AH87"/>
    <mergeCell ref="X90:AA90"/>
    <mergeCell ref="AE90:AH90"/>
    <mergeCell ref="X54:AA54"/>
    <mergeCell ref="AE77:AH77"/>
    <mergeCell ref="X78:AA78"/>
    <mergeCell ref="X75:AA75"/>
    <mergeCell ref="X85:AA85"/>
    <mergeCell ref="AE44:AH44"/>
    <mergeCell ref="AE67:AH67"/>
    <mergeCell ref="AE68:AH68"/>
    <mergeCell ref="AE69:AH69"/>
    <mergeCell ref="X51:AA51"/>
    <mergeCell ref="AE51:AH51"/>
    <mergeCell ref="X141:AA141"/>
    <mergeCell ref="X91:AA91"/>
    <mergeCell ref="Q5:T5"/>
    <mergeCell ref="U5:V5"/>
    <mergeCell ref="X182:AA182"/>
    <mergeCell ref="AE182:AH182"/>
    <mergeCell ref="AE83:AH83"/>
    <mergeCell ref="X83:AA83"/>
    <mergeCell ref="AE78:AH78"/>
    <mergeCell ref="AE84:AH84"/>
    <mergeCell ref="AE34:AH34"/>
    <mergeCell ref="X38:AA38"/>
    <mergeCell ref="X67:AA67"/>
    <mergeCell ref="AE29:AH29"/>
    <mergeCell ref="AE33:AH33"/>
    <mergeCell ref="AE30:AH30"/>
    <mergeCell ref="AE23:AH23"/>
    <mergeCell ref="X30:AA30"/>
    <mergeCell ref="X27:AA27"/>
    <mergeCell ref="X28:AA28"/>
    <mergeCell ref="X165:AA165"/>
    <mergeCell ref="X31:AA31"/>
    <mergeCell ref="AE31:AH31"/>
    <mergeCell ref="AE73:AH73"/>
    <mergeCell ref="AE25:AH25"/>
    <mergeCell ref="X23:AA23"/>
    <mergeCell ref="AE91:AH91"/>
    <mergeCell ref="X99:AA99"/>
    <mergeCell ref="AE99:AH99"/>
    <mergeCell ref="A17:AI17"/>
    <mergeCell ref="A35:AI35"/>
    <mergeCell ref="X66:AA66"/>
    <mergeCell ref="AE66:AH66"/>
    <mergeCell ref="X43:AA43"/>
    <mergeCell ref="AE43:AH43"/>
    <mergeCell ref="X21:AA21"/>
    <mergeCell ref="AE21:AH21"/>
    <mergeCell ref="X41:AA41"/>
    <mergeCell ref="AE41:AH41"/>
    <mergeCell ref="X42:AA42"/>
    <mergeCell ref="AE42:AH42"/>
    <mergeCell ref="AC54:AI54"/>
    <mergeCell ref="AE80:AH80"/>
    <mergeCell ref="AE88:AH88"/>
    <mergeCell ref="X80:AA80"/>
    <mergeCell ref="X81:AA81"/>
    <mergeCell ref="AE81:AH81"/>
    <mergeCell ref="X82:AA82"/>
  </mergeCells>
  <conditionalFormatting sqref="C7:N8">
    <cfRule type="expression" dxfId="10" priority="1">
      <formula>C$6</formula>
    </cfRule>
  </conditionalFormatting>
  <dataValidations count="1">
    <dataValidation type="list" allowBlank="1" showInputMessage="1" showErrorMessage="1" sqref="U5:V5" xr:uid="{00000000-0002-0000-0700-000000000000}">
      <formula1>"1,2,3,4,5,6,7,8,9,10,11,12,I-Semestre,II-Semestre"</formula1>
    </dataValidation>
  </dataValidations>
  <printOptions horizontalCentered="1"/>
  <pageMargins left="0.19685039370078741" right="0.19685039370078741" top="0.19685039370078741" bottom="0.19685039370078741" header="0" footer="0"/>
  <pageSetup paperSize="9" scale="54" fitToHeight="2" orientation="portrait" r:id="rId1"/>
  <headerFooter alignWithMargins="0">
    <oddFooter>&amp;R&amp;"Times New Roman,Normal"Pag. &amp;P de &amp;N&amp;"Arial,Normal"&amp;"Cambria,Negrita"www.srianexos.com</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5">
    <pageSetUpPr fitToPage="1"/>
  </sheetPr>
  <dimension ref="A1:AN135"/>
  <sheetViews>
    <sheetView showGridLines="0" topLeftCell="A109" zoomScale="78" zoomScaleNormal="78" workbookViewId="0">
      <selection activeCell="AI63" sqref="AI63"/>
    </sheetView>
  </sheetViews>
  <sheetFormatPr baseColWidth="10" defaultColWidth="4.6328125" defaultRowHeight="22.5" customHeight="1" x14ac:dyDescent="0.35"/>
  <cols>
    <col min="1" max="1" width="5.90625" style="3" customWidth="1"/>
    <col min="2" max="15" width="5.6328125" style="3" customWidth="1"/>
    <col min="16" max="24" width="5.90625" style="3" customWidth="1"/>
    <col min="25" max="25" width="10.90625" style="3" hidden="1" customWidth="1"/>
    <col min="26" max="26" width="5.90625" style="3" customWidth="1"/>
    <col min="27" max="30" width="5.36328125" style="3" customWidth="1"/>
    <col min="31" max="37" width="5.90625" style="3" customWidth="1"/>
    <col min="38" max="38" width="1.08984375" style="3" customWidth="1"/>
    <col min="39" max="39" width="5.453125" style="3" customWidth="1"/>
    <col min="40" max="40" width="9.54296875" style="3" bestFit="1" customWidth="1"/>
    <col min="41" max="16384" width="4.6328125" style="3"/>
  </cols>
  <sheetData>
    <row r="1" spans="1:40" s="264" customFormat="1" ht="15.5" x14ac:dyDescent="0.35">
      <c r="A1" s="193"/>
      <c r="B1" s="192"/>
      <c r="C1" s="192" t="s">
        <v>749</v>
      </c>
      <c r="D1" s="191" t="s">
        <v>929</v>
      </c>
      <c r="E1" s="275"/>
      <c r="F1" s="276"/>
      <c r="G1" s="188"/>
      <c r="H1" s="187"/>
      <c r="I1" s="1071" t="s">
        <v>928</v>
      </c>
      <c r="J1" s="1072"/>
      <c r="K1" s="1072"/>
      <c r="L1" s="1072"/>
      <c r="M1" s="1072"/>
      <c r="N1" s="1072"/>
      <c r="O1" s="1072"/>
      <c r="P1" s="1072"/>
      <c r="Q1" s="1072"/>
      <c r="R1" s="1072"/>
      <c r="S1" s="1072"/>
      <c r="T1" s="1072"/>
      <c r="U1" s="1072"/>
      <c r="V1" s="1072"/>
      <c r="W1" s="1072"/>
      <c r="X1" s="1072"/>
      <c r="Y1" s="1072"/>
      <c r="Z1" s="1072"/>
      <c r="AA1" s="1072"/>
      <c r="AB1" s="1072"/>
      <c r="AC1" s="1072"/>
      <c r="AD1" s="1072"/>
      <c r="AE1" s="1073"/>
      <c r="AF1" s="1067" t="s">
        <v>927</v>
      </c>
      <c r="AG1" s="1251"/>
      <c r="AH1" s="277"/>
      <c r="AI1" s="185"/>
      <c r="AJ1" s="185"/>
      <c r="AK1" s="184"/>
    </row>
    <row r="2" spans="1:40" s="264" customFormat="1" ht="13.5" thickBot="1" x14ac:dyDescent="0.4">
      <c r="A2" s="183"/>
      <c r="B2" s="182"/>
      <c r="C2" s="182" t="s">
        <v>749</v>
      </c>
      <c r="D2" s="182" t="s">
        <v>926</v>
      </c>
      <c r="E2" s="181"/>
      <c r="F2" s="181"/>
      <c r="G2" s="181"/>
      <c r="H2" s="180"/>
      <c r="I2" s="1074"/>
      <c r="J2" s="1075"/>
      <c r="K2" s="1075"/>
      <c r="L2" s="1075"/>
      <c r="M2" s="1075"/>
      <c r="N2" s="1075"/>
      <c r="O2" s="1075"/>
      <c r="P2" s="1075"/>
      <c r="Q2" s="1075"/>
      <c r="R2" s="1075"/>
      <c r="S2" s="1075"/>
      <c r="T2" s="1075"/>
      <c r="U2" s="1075"/>
      <c r="V2" s="1075"/>
      <c r="W2" s="1075"/>
      <c r="X2" s="1075"/>
      <c r="Y2" s="1075"/>
      <c r="Z2" s="1075"/>
      <c r="AA2" s="1075"/>
      <c r="AB2" s="1075"/>
      <c r="AC2" s="1075"/>
      <c r="AD2" s="1075"/>
      <c r="AE2" s="1076"/>
      <c r="AF2" s="1252"/>
      <c r="AG2" s="1253"/>
      <c r="AH2" s="278"/>
      <c r="AI2" s="178"/>
      <c r="AJ2" s="178"/>
      <c r="AK2" s="177"/>
    </row>
    <row r="3" spans="1:40" s="168" customFormat="1" ht="15.65" customHeight="1" x14ac:dyDescent="0.35">
      <c r="A3" s="175" t="s">
        <v>925</v>
      </c>
      <c r="B3" s="174"/>
      <c r="C3" s="174"/>
      <c r="D3" s="174"/>
      <c r="E3" s="174"/>
      <c r="F3" s="174"/>
      <c r="G3" s="173"/>
      <c r="H3" s="172"/>
      <c r="I3" s="172"/>
      <c r="J3" s="172"/>
      <c r="K3" s="172"/>
      <c r="M3" s="170"/>
      <c r="N3" s="170"/>
      <c r="O3" s="171"/>
      <c r="P3" s="170"/>
      <c r="R3" s="170"/>
      <c r="S3" s="170"/>
      <c r="T3" s="170"/>
      <c r="U3" s="170"/>
      <c r="V3" s="170"/>
      <c r="W3" s="170"/>
      <c r="X3" s="170"/>
      <c r="Y3" s="170"/>
      <c r="AJ3" s="170"/>
      <c r="AK3" s="169"/>
      <c r="AM3" s="264"/>
    </row>
    <row r="4" spans="1:40" s="168" customFormat="1" ht="17.149999999999999" customHeight="1" x14ac:dyDescent="0.35">
      <c r="A4" s="260"/>
      <c r="B4" s="174"/>
      <c r="C4" s="279">
        <f>IF(C5,C6,0)</f>
        <v>0</v>
      </c>
      <c r="D4" s="279">
        <f t="shared" ref="D4:N4" si="0">IF(D5,D6,0)</f>
        <v>0</v>
      </c>
      <c r="E4" s="279">
        <f t="shared" si="0"/>
        <v>0</v>
      </c>
      <c r="F4" s="279">
        <f t="shared" si="0"/>
        <v>4</v>
      </c>
      <c r="G4" s="279">
        <f t="shared" si="0"/>
        <v>0</v>
      </c>
      <c r="H4" s="279">
        <f t="shared" si="0"/>
        <v>0</v>
      </c>
      <c r="I4" s="279">
        <f t="shared" si="0"/>
        <v>0</v>
      </c>
      <c r="J4" s="279">
        <f t="shared" si="0"/>
        <v>0</v>
      </c>
      <c r="K4" s="279">
        <f t="shared" si="0"/>
        <v>0</v>
      </c>
      <c r="L4" s="279">
        <f t="shared" si="0"/>
        <v>0</v>
      </c>
      <c r="M4" s="279">
        <f t="shared" si="0"/>
        <v>0</v>
      </c>
      <c r="N4" s="279">
        <f t="shared" si="0"/>
        <v>0</v>
      </c>
      <c r="O4" s="171"/>
      <c r="P4" s="987" t="s">
        <v>1185</v>
      </c>
      <c r="Q4" s="987"/>
      <c r="R4" s="987"/>
      <c r="S4" s="987"/>
      <c r="T4" s="988">
        <v>4</v>
      </c>
      <c r="U4" s="989"/>
      <c r="V4" s="457" t="s">
        <v>1478</v>
      </c>
      <c r="W4" s="458"/>
      <c r="X4" s="458"/>
      <c r="Y4" s="458"/>
      <c r="Z4" s="459"/>
      <c r="AA4" s="459"/>
      <c r="AB4" s="459"/>
      <c r="AC4" s="459"/>
      <c r="AJ4" s="170"/>
      <c r="AK4" s="169"/>
      <c r="AM4" s="264"/>
    </row>
    <row r="5" spans="1:40" s="168" customFormat="1" ht="3.9" customHeight="1" x14ac:dyDescent="0.35">
      <c r="A5" s="260"/>
      <c r="B5" s="174"/>
      <c r="C5" s="279" t="b">
        <f>IF($T$4=LIQ_IMPUESTOS!$C5,TRUE,FALSE)</f>
        <v>0</v>
      </c>
      <c r="D5" s="279" t="b">
        <f>IF($T$4=LIQ_IMPUESTOS!$C6,TRUE,FALSE)</f>
        <v>0</v>
      </c>
      <c r="E5" s="279" t="b">
        <f>IF($T$4=LIQ_IMPUESTOS!$C7,TRUE,FALSE)</f>
        <v>0</v>
      </c>
      <c r="F5" s="279" t="b">
        <f>IF($T$4=LIQ_IMPUESTOS!$C8,TRUE,FALSE)</f>
        <v>1</v>
      </c>
      <c r="G5" s="279" t="b">
        <f>IF($T$4=LIQ_IMPUESTOS!$C9,TRUE,FALSE)</f>
        <v>0</v>
      </c>
      <c r="H5" s="279" t="b">
        <f>IF($T$4=LIQ_IMPUESTOS!$C10,TRUE,FALSE)</f>
        <v>0</v>
      </c>
      <c r="I5" s="279" t="b">
        <f>IF($T$4=LIQ_IMPUESTOS!$C11,TRUE,FALSE)</f>
        <v>0</v>
      </c>
      <c r="J5" s="279" t="b">
        <f>IF($T$4=LIQ_IMPUESTOS!$C12,TRUE,FALSE)</f>
        <v>0</v>
      </c>
      <c r="K5" s="279" t="b">
        <f>IF($T$4=LIQ_IMPUESTOS!$C13,TRUE,FALSE)</f>
        <v>0</v>
      </c>
      <c r="L5" s="279" t="b">
        <f>IF($T$4=LIQ_IMPUESTOS!$C14,TRUE,FALSE)</f>
        <v>0</v>
      </c>
      <c r="M5" s="279" t="b">
        <f>IF($T$4=LIQ_IMPUESTOS!$C15,TRUE,FALSE)</f>
        <v>0</v>
      </c>
      <c r="N5" s="279" t="b">
        <f>IF($T$4=LIQ_IMPUESTOS!$C16,TRUE,FALSE)</f>
        <v>0</v>
      </c>
      <c r="O5" s="171"/>
      <c r="P5" s="170"/>
      <c r="Q5" s="170"/>
      <c r="R5" s="170"/>
      <c r="S5" s="170"/>
      <c r="T5" s="170"/>
      <c r="U5" s="170"/>
      <c r="V5" s="170"/>
      <c r="W5" s="170"/>
      <c r="X5" s="170"/>
      <c r="Y5" s="170"/>
      <c r="AJ5" s="170"/>
      <c r="AK5" s="169"/>
      <c r="AM5" s="264"/>
    </row>
    <row r="6" spans="1:40" s="168" customFormat="1" ht="11.25" customHeight="1" x14ac:dyDescent="0.35">
      <c r="A6" s="1062">
        <v>101</v>
      </c>
      <c r="B6" s="1256" t="s">
        <v>923</v>
      </c>
      <c r="C6" s="1061">
        <v>1</v>
      </c>
      <c r="D6" s="1061">
        <v>2</v>
      </c>
      <c r="E6" s="1061">
        <v>3</v>
      </c>
      <c r="F6" s="1061">
        <v>4</v>
      </c>
      <c r="G6" s="1061">
        <v>5</v>
      </c>
      <c r="H6" s="1061">
        <v>6</v>
      </c>
      <c r="I6" s="1061">
        <v>7</v>
      </c>
      <c r="J6" s="1061">
        <v>8</v>
      </c>
      <c r="K6" s="1061">
        <v>9</v>
      </c>
      <c r="L6" s="1061">
        <v>10</v>
      </c>
      <c r="M6" s="1061">
        <v>11</v>
      </c>
      <c r="N6" s="1061">
        <v>12</v>
      </c>
      <c r="O6" s="170"/>
      <c r="P6" s="1062">
        <v>102</v>
      </c>
      <c r="Q6" s="1057" t="s">
        <v>922</v>
      </c>
      <c r="R6" s="1055" t="str">
        <f>MID(XLSperiodo,1,1)</f>
        <v>2</v>
      </c>
      <c r="S6" s="1055" t="str">
        <f>MID(XLSperiodo,2,1)</f>
        <v>0</v>
      </c>
      <c r="T6" s="1055" t="str">
        <f>MID(XLSperiodo,3,1)</f>
        <v>2</v>
      </c>
      <c r="U6" s="1055" t="str">
        <f>MID(XLSperiodo,4,1)</f>
        <v>6</v>
      </c>
      <c r="W6" s="1150">
        <v>104</v>
      </c>
      <c r="X6" s="1152" t="s">
        <v>921</v>
      </c>
      <c r="Y6" s="1153"/>
      <c r="Z6" s="1153"/>
      <c r="AA6" s="1153"/>
      <c r="AB6" s="1153"/>
      <c r="AC6" s="1153"/>
      <c r="AD6" s="1153"/>
      <c r="AE6" s="1154"/>
      <c r="AG6" s="1150">
        <v>203</v>
      </c>
      <c r="AH6" s="1152" t="s">
        <v>2078</v>
      </c>
      <c r="AI6" s="1153"/>
      <c r="AJ6" s="1154"/>
      <c r="AK6" s="169"/>
      <c r="AM6" s="264"/>
    </row>
    <row r="7" spans="1:40" s="168" customFormat="1" ht="20.25" customHeight="1" x14ac:dyDescent="0.35">
      <c r="A7" s="1062"/>
      <c r="B7" s="1256"/>
      <c r="C7" s="1061"/>
      <c r="D7" s="1061"/>
      <c r="E7" s="1061"/>
      <c r="F7" s="1061"/>
      <c r="G7" s="1061"/>
      <c r="H7" s="1061"/>
      <c r="I7" s="1061"/>
      <c r="J7" s="1061"/>
      <c r="K7" s="1061"/>
      <c r="L7" s="1061"/>
      <c r="M7" s="1061"/>
      <c r="N7" s="1061"/>
      <c r="O7" s="170"/>
      <c r="P7" s="1062"/>
      <c r="Q7" s="1057"/>
      <c r="R7" s="1056"/>
      <c r="S7" s="1056"/>
      <c r="T7" s="1056"/>
      <c r="U7" s="1056"/>
      <c r="V7" s="170"/>
      <c r="W7" s="1151"/>
      <c r="X7" s="1058"/>
      <c r="Y7" s="1059"/>
      <c r="Z7" s="1059"/>
      <c r="AA7" s="1059"/>
      <c r="AB7" s="1059"/>
      <c r="AC7" s="1059"/>
      <c r="AD7" s="1059"/>
      <c r="AE7" s="1060"/>
      <c r="AG7" s="1151"/>
      <c r="AH7" s="1058"/>
      <c r="AI7" s="1059"/>
      <c r="AJ7" s="1060"/>
      <c r="AK7" s="169"/>
      <c r="AM7" s="264"/>
    </row>
    <row r="8" spans="1:40" ht="22.5" customHeight="1" x14ac:dyDescent="0.35">
      <c r="A8" s="167" t="s">
        <v>920</v>
      </c>
      <c r="B8" s="166"/>
      <c r="C8" s="166"/>
      <c r="D8" s="166"/>
      <c r="E8" s="166"/>
      <c r="F8" s="167"/>
      <c r="G8" s="166"/>
      <c r="H8" s="166"/>
      <c r="I8" s="166"/>
      <c r="J8" s="166"/>
      <c r="K8" s="166"/>
      <c r="L8" s="166"/>
      <c r="M8" s="166"/>
      <c r="N8" s="166"/>
      <c r="O8" s="166"/>
      <c r="P8" s="166"/>
      <c r="Q8" s="166"/>
      <c r="R8" s="166"/>
      <c r="S8" s="166"/>
      <c r="T8" s="166"/>
      <c r="U8" s="166"/>
      <c r="V8" s="166"/>
      <c r="W8" s="166"/>
      <c r="X8" s="166"/>
      <c r="Y8" s="166"/>
      <c r="Z8" s="166"/>
      <c r="AA8" s="166"/>
      <c r="AB8" s="166"/>
      <c r="AC8" s="166"/>
      <c r="AD8" s="166"/>
      <c r="AE8" s="166"/>
      <c r="AF8" s="165"/>
      <c r="AG8" s="165"/>
      <c r="AH8" s="165"/>
      <c r="AI8" s="165"/>
      <c r="AJ8" s="165"/>
      <c r="AK8" s="164"/>
      <c r="AM8" s="264"/>
    </row>
    <row r="9" spans="1:40" ht="12.75" customHeight="1" x14ac:dyDescent="0.35">
      <c r="A9" s="1053">
        <v>201</v>
      </c>
      <c r="B9" s="163" t="s">
        <v>919</v>
      </c>
      <c r="C9" s="162"/>
      <c r="D9" s="162"/>
      <c r="E9" s="162"/>
      <c r="F9" s="162"/>
      <c r="G9" s="162"/>
      <c r="H9" s="162"/>
      <c r="I9" s="162"/>
      <c r="J9" s="162"/>
      <c r="K9" s="162"/>
      <c r="L9" s="162"/>
      <c r="M9" s="162"/>
      <c r="N9" s="162"/>
      <c r="O9" s="161">
        <v>202</v>
      </c>
      <c r="P9" s="160" t="s">
        <v>918</v>
      </c>
      <c r="Q9" s="37"/>
      <c r="R9" s="159"/>
      <c r="S9" s="159"/>
      <c r="T9" s="159"/>
      <c r="U9" s="159"/>
      <c r="V9" s="159"/>
      <c r="W9" s="159"/>
      <c r="X9" s="159"/>
      <c r="Y9" s="159"/>
      <c r="Z9" s="159"/>
      <c r="AA9" s="159"/>
      <c r="AB9" s="159"/>
      <c r="AC9" s="159"/>
      <c r="AD9" s="159"/>
      <c r="AE9" s="159"/>
      <c r="AF9" s="159"/>
      <c r="AG9" s="159"/>
      <c r="AH9" s="159"/>
      <c r="AI9" s="159"/>
      <c r="AJ9" s="159"/>
      <c r="AK9" s="158"/>
      <c r="AM9" s="264"/>
    </row>
    <row r="10" spans="1:40" ht="18.75" customHeight="1" x14ac:dyDescent="0.35">
      <c r="A10" s="1054"/>
      <c r="B10" s="1257" t="str">
        <f>Parametros!D4</f>
        <v>0917809451001</v>
      </c>
      <c r="C10" s="1258"/>
      <c r="D10" s="1258"/>
      <c r="E10" s="1258"/>
      <c r="F10" s="1258"/>
      <c r="G10" s="1258"/>
      <c r="H10" s="1258"/>
      <c r="I10" s="1258"/>
      <c r="J10" s="1258"/>
      <c r="K10" s="1258"/>
      <c r="L10" s="1258"/>
      <c r="M10" s="1258"/>
      <c r="N10" s="1259"/>
      <c r="O10" s="157"/>
      <c r="P10" s="1254" t="str">
        <f>+Parametros!D5</f>
        <v>GARCIA RODRIGUEZ CHARLES MILTON</v>
      </c>
      <c r="Q10" s="1254"/>
      <c r="R10" s="1254"/>
      <c r="S10" s="1254"/>
      <c r="T10" s="1254"/>
      <c r="U10" s="1254"/>
      <c r="V10" s="1254"/>
      <c r="W10" s="1254"/>
      <c r="X10" s="1254"/>
      <c r="Y10" s="1254"/>
      <c r="Z10" s="1254"/>
      <c r="AA10" s="1254"/>
      <c r="AB10" s="1254"/>
      <c r="AC10" s="1254"/>
      <c r="AD10" s="1254"/>
      <c r="AE10" s="1254"/>
      <c r="AF10" s="1254"/>
      <c r="AG10" s="1254"/>
      <c r="AH10" s="1254"/>
      <c r="AI10" s="1254"/>
      <c r="AJ10" s="1254"/>
      <c r="AK10" s="1255"/>
      <c r="AM10" s="264"/>
    </row>
    <row r="11" spans="1:40" ht="8.25" customHeight="1" thickBot="1" x14ac:dyDescent="0.4">
      <c r="A11" s="156"/>
      <c r="B11" s="155"/>
      <c r="AK11" s="19"/>
      <c r="AM11" s="264"/>
    </row>
    <row r="12" spans="1:40" s="75" customFormat="1" ht="19.5" customHeight="1" thickBot="1" x14ac:dyDescent="0.4">
      <c r="A12" s="154" t="s">
        <v>917</v>
      </c>
      <c r="B12" s="152"/>
      <c r="C12" s="152"/>
      <c r="D12" s="152"/>
      <c r="E12" s="152"/>
      <c r="F12" s="153"/>
      <c r="G12" s="152"/>
      <c r="H12" s="152"/>
      <c r="I12" s="152"/>
      <c r="J12" s="152"/>
      <c r="K12" s="152"/>
      <c r="L12" s="152"/>
      <c r="M12" s="152"/>
      <c r="N12" s="152"/>
      <c r="O12" s="151"/>
      <c r="P12" s="1196" t="s">
        <v>872</v>
      </c>
      <c r="Q12" s="1197"/>
      <c r="R12" s="1197"/>
      <c r="S12" s="1197"/>
      <c r="T12" s="1197"/>
      <c r="U12" s="1197"/>
      <c r="V12" s="1198"/>
      <c r="W12" s="1090" t="s">
        <v>871</v>
      </c>
      <c r="X12" s="1091"/>
      <c r="Y12" s="1091"/>
      <c r="Z12" s="1091"/>
      <c r="AA12" s="1091"/>
      <c r="AB12" s="1091"/>
      <c r="AC12" s="1091"/>
      <c r="AD12" s="1092"/>
      <c r="AE12" s="1196" t="s">
        <v>870</v>
      </c>
      <c r="AF12" s="1197"/>
      <c r="AG12" s="1197"/>
      <c r="AH12" s="1197"/>
      <c r="AI12" s="1197"/>
      <c r="AJ12" s="1197"/>
      <c r="AK12" s="1198"/>
      <c r="AM12" s="264"/>
      <c r="AN12" s="462"/>
    </row>
    <row r="13" spans="1:40" s="75" customFormat="1" ht="18.75" customHeight="1" x14ac:dyDescent="0.35">
      <c r="A13" s="150" t="s">
        <v>2003</v>
      </c>
      <c r="B13" s="118"/>
      <c r="C13" s="118"/>
      <c r="D13" s="118"/>
      <c r="E13" s="118"/>
      <c r="F13" s="118"/>
      <c r="G13" s="118"/>
      <c r="H13" s="118"/>
      <c r="I13" s="118"/>
      <c r="J13" s="118"/>
      <c r="K13" s="118"/>
      <c r="L13" s="118"/>
      <c r="M13" s="118"/>
      <c r="N13" s="118"/>
      <c r="O13" s="118"/>
      <c r="P13" s="149" t="s">
        <v>916</v>
      </c>
      <c r="Q13" s="148" t="s">
        <v>769</v>
      </c>
      <c r="R13" s="1144">
        <f>SUMIFS(VENTAS!BG:BG,VENTAS!AJ:AJ,W13,VENTAS!BF:BF,"SI")+SUMIFS(VENTAS!BH:BH,VENTAS!AL:AL,W13,VENTAS!BF:BF,"SI")+SUMIFS(VENTAS!BI:BI,VENTAS!AN:AN,W13,VENTAS!BF:BF,"SI")</f>
        <v>23234.98000000001</v>
      </c>
      <c r="S13" s="1145"/>
      <c r="T13" s="1145"/>
      <c r="U13" s="1145"/>
      <c r="V13" s="1146"/>
      <c r="W13" s="40" t="s">
        <v>915</v>
      </c>
      <c r="X13" s="74" t="s">
        <v>769</v>
      </c>
      <c r="Y13" s="135">
        <f>SUMIFS(VENTAS!AK:AK,VENTAS!AJ:AJ,W13,VENTAS!BF:BF,"SI")+SUMIFS(VENTAS!AM:AM,VENTAS!AL:AL,W13,VENTAS!BF:BF,"SI")+SUMIFS(VENTAS!AO:AO,VENTAS!AN:AN,W13,VENTAS!BF:BF,"SI")</f>
        <v>23234.98000000001</v>
      </c>
      <c r="Z13" s="1161">
        <f>IF(Y13&lt;0,0,Y13)</f>
        <v>23234.98000000001</v>
      </c>
      <c r="AA13" s="1162"/>
      <c r="AB13" s="1162"/>
      <c r="AC13" s="1162"/>
      <c r="AD13" s="1163"/>
      <c r="AE13" s="147" t="s">
        <v>914</v>
      </c>
      <c r="AF13" s="146" t="s">
        <v>769</v>
      </c>
      <c r="AG13" s="1147">
        <f>IF(Z13&gt;0,SUMIFS(VENTAS!R:R,VENTAS!AJ:AJ,W13,VENTAS!BF:BF,"SI")+SUMIFS(VENTAS!R:R,VENTAS!AL:AL,W13,VENTAS!BF:BF,"SI")+SUMIFS(VENTAS!R:R,VENTAS!AN:AN,W13,VENTAS!BF:BF,"SI"),0)</f>
        <v>3485.7299999999941</v>
      </c>
      <c r="AH13" s="1148"/>
      <c r="AI13" s="1148"/>
      <c r="AJ13" s="1148"/>
      <c r="AK13" s="1149"/>
      <c r="AL13" s="145"/>
      <c r="AM13" s="264"/>
      <c r="AN13" s="462"/>
    </row>
    <row r="14" spans="1:40" s="75" customFormat="1" ht="18.75" customHeight="1" x14ac:dyDescent="0.35">
      <c r="A14" s="42" t="s">
        <v>2004</v>
      </c>
      <c r="B14" s="15"/>
      <c r="C14" s="15"/>
      <c r="D14" s="15"/>
      <c r="E14" s="15"/>
      <c r="F14" s="15"/>
      <c r="G14" s="15"/>
      <c r="H14" s="15"/>
      <c r="I14" s="15"/>
      <c r="J14" s="15"/>
      <c r="K14" s="15"/>
      <c r="L14" s="15"/>
      <c r="M14" s="15"/>
      <c r="N14" s="15"/>
      <c r="O14" s="15"/>
      <c r="P14" s="72" t="s">
        <v>913</v>
      </c>
      <c r="Q14" s="53" t="s">
        <v>769</v>
      </c>
      <c r="R14" s="1132">
        <f>SUMIFS(VENTAS!BG:BG,VENTAS!AJ:AJ,W14,VENTAS!BF:BF,"SI")+SUMIFS(VENTAS!BH:BH,VENTAS!AL:AL,W14,VENTAS!BF:BF,"SI")+SUMIFS(VENTAS!BI:BI,VENTAS!AN:AN,W14,VENTAS!BF:BF,"SI")</f>
        <v>0</v>
      </c>
      <c r="S14" s="1132"/>
      <c r="T14" s="1132"/>
      <c r="U14" s="1132"/>
      <c r="V14" s="1132"/>
      <c r="W14" s="72" t="s">
        <v>912</v>
      </c>
      <c r="X14" s="53" t="s">
        <v>769</v>
      </c>
      <c r="Y14" s="135">
        <f>SUMIFS(VENTAS!AK:AK,VENTAS!AJ:AJ,W14,VENTAS!BF:BF,"SI")+SUMIFS(VENTAS!AM:AM,VENTAS!AL:AL,W14,VENTAS!BF:BF,"SI")+SUMIFS(VENTAS!AO:AO,VENTAS!AN:AN,W14,VENTAS!BF:BF,"SI")</f>
        <v>0</v>
      </c>
      <c r="Z14" s="1133">
        <f>IF(Y14&lt;0,0,Y14)</f>
        <v>0</v>
      </c>
      <c r="AA14" s="1134"/>
      <c r="AB14" s="1134"/>
      <c r="AC14" s="1134"/>
      <c r="AD14" s="1135"/>
      <c r="AE14" s="36" t="s">
        <v>911</v>
      </c>
      <c r="AF14" s="51" t="s">
        <v>769</v>
      </c>
      <c r="AG14" s="1133">
        <f>IF(Z14&gt;0,SUMIFS(VENTAS!R:R,VENTAS!AJ:AJ,W14,VENTAS!BF:BF,"SI")+SUMIFS(VENTAS!R:R,VENTAS!AL:AL,W14,VENTAS!BF:BF,"SI")+SUMIFS(VENTAS!R:R,VENTAS!AN:AN,W14,VENTAS!BF:BF,"SI"),0)</f>
        <v>0</v>
      </c>
      <c r="AH14" s="1134"/>
      <c r="AI14" s="1134"/>
      <c r="AJ14" s="1134"/>
      <c r="AK14" s="1136"/>
      <c r="AL14" s="144"/>
      <c r="AM14" s="264"/>
      <c r="AN14" s="462"/>
    </row>
    <row r="15" spans="1:40" s="75" customFormat="1" ht="18.75" customHeight="1" x14ac:dyDescent="0.35">
      <c r="A15" s="42" t="s">
        <v>2005</v>
      </c>
      <c r="B15" s="15"/>
      <c r="C15" s="15"/>
      <c r="D15" s="15"/>
      <c r="E15" s="15"/>
      <c r="F15" s="15"/>
      <c r="G15" s="15"/>
      <c r="H15" s="15"/>
      <c r="I15" s="15"/>
      <c r="J15" s="15"/>
      <c r="K15" s="15"/>
      <c r="L15" s="15"/>
      <c r="M15" s="15"/>
      <c r="N15" s="15"/>
      <c r="O15" s="15"/>
      <c r="P15" s="72" t="s">
        <v>2014</v>
      </c>
      <c r="Q15" s="53" t="s">
        <v>769</v>
      </c>
      <c r="R15" s="1132">
        <f>SUMIFS(VENTAS!BG:BG,VENTAS!AJ:AJ,W15,VENTAS!BF:BF,"SI")+SUMIFS(VENTAS!BH:BH,VENTAS!AL:AL,W15,VENTAS!BF:BF,"SI")+SUMIFS(VENTAS!BI:BI,VENTAS!AN:AN,W15,VENTAS!BF:BF,"SI")</f>
        <v>0</v>
      </c>
      <c r="S15" s="1132"/>
      <c r="T15" s="1132"/>
      <c r="U15" s="1132"/>
      <c r="V15" s="1132"/>
      <c r="W15" s="72" t="s">
        <v>2015</v>
      </c>
      <c r="X15" s="53" t="s">
        <v>769</v>
      </c>
      <c r="Y15" s="135">
        <f>SUMIFS(VENTAS!AK:AK,VENTAS!AJ:AJ,W15,VENTAS!BF:BF,"SI")+SUMIFS(VENTAS!AM:AM,VENTAS!AL:AL,W15,VENTAS!BF:BF,"SI")+SUMIFS(VENTAS!AO:AO,VENTAS!AN:AN,W15,VENTAS!BF:BF,"SI")</f>
        <v>0</v>
      </c>
      <c r="Z15" s="1133">
        <f>IF(Y15&lt;0,0,Y15)</f>
        <v>0</v>
      </c>
      <c r="AA15" s="1134"/>
      <c r="AB15" s="1134"/>
      <c r="AC15" s="1134"/>
      <c r="AD15" s="1135"/>
      <c r="AE15" s="36" t="s">
        <v>2016</v>
      </c>
      <c r="AF15" s="51" t="s">
        <v>769</v>
      </c>
      <c r="AG15" s="1133">
        <f>IF(Z15&gt;0,SUMIFS(VENTAS!X:X,VENTAS!AJ:AJ,W15,VENTAS!BF:BF,"SI")+SUMIFS(VENTAS!X:X,VENTAS!AL:AL,W15,VENTAS!BF:BF,"SI")+SUMIFS(VENTAS!X:X,VENTAS!AN:AN,W15,VENTAS!BF:BF,"SI"),0)</f>
        <v>0</v>
      </c>
      <c r="AH15" s="1134"/>
      <c r="AI15" s="1134"/>
      <c r="AJ15" s="1134"/>
      <c r="AK15" s="1136"/>
      <c r="AL15" s="144"/>
      <c r="AM15" s="264"/>
      <c r="AN15" s="462"/>
    </row>
    <row r="16" spans="1:40" s="75" customFormat="1" ht="18.75" customHeight="1" x14ac:dyDescent="0.35">
      <c r="A16" s="42" t="s">
        <v>2228</v>
      </c>
      <c r="B16" s="15"/>
      <c r="C16" s="15"/>
      <c r="D16" s="15"/>
      <c r="E16" s="15"/>
      <c r="F16" s="15"/>
      <c r="G16" s="15"/>
      <c r="H16" s="15"/>
      <c r="I16" s="15"/>
      <c r="J16" s="15"/>
      <c r="K16" s="15"/>
      <c r="L16" s="15"/>
      <c r="M16" s="15"/>
      <c r="N16" s="15"/>
      <c r="O16" s="15"/>
      <c r="P16" s="72" t="s">
        <v>2229</v>
      </c>
      <c r="Q16" s="53" t="s">
        <v>769</v>
      </c>
      <c r="R16" s="1132">
        <f>SUMIFS(VENTAS!BG:BG,VENTAS!AJ:AJ,W16,VENTAS!BF:BF,"SI")+SUMIFS(VENTAS!BH:BH,VENTAS!AL:AL,W16,VENTAS!BF:BF,"SI")+SUMIFS(VENTAS!BI:BI,VENTAS!AN:AN,W16,VENTAS!BF:BF,"SI")</f>
        <v>0</v>
      </c>
      <c r="S16" s="1132"/>
      <c r="T16" s="1132"/>
      <c r="U16" s="1132"/>
      <c r="V16" s="1132"/>
      <c r="W16" s="72" t="s">
        <v>2230</v>
      </c>
      <c r="X16" s="53" t="s">
        <v>769</v>
      </c>
      <c r="Y16" s="135">
        <f>SUMIFS(VENTAS!AK:AK,VENTAS!AJ:AJ,W16,VENTAS!BF:BF,"SI")+SUMIFS(VENTAS!AM:AM,VENTAS!AL:AL,W16,VENTAS!BF:BF,"SI")+SUMIFS(VENTAS!AO:AO,VENTAS!AN:AN,W16,VENTAS!BF:BF,"SI")</f>
        <v>0</v>
      </c>
      <c r="Z16" s="1133">
        <f>IF(Y16&lt;0,0,Y16)</f>
        <v>0</v>
      </c>
      <c r="AA16" s="1134"/>
      <c r="AB16" s="1134"/>
      <c r="AC16" s="1134"/>
      <c r="AD16" s="1135"/>
      <c r="AE16" s="36" t="s">
        <v>2231</v>
      </c>
      <c r="AF16" s="51" t="s">
        <v>769</v>
      </c>
      <c r="AG16" s="1133">
        <f>IF(Z16&gt;0,SUMIFS(VENTAS!U:U,VENTAS!AJ:AJ,W16,VENTAS!BF:BF,"SI")+SUMIFS(VENTAS!U:U,VENTAS!AL:AL,W16,VENTAS!BF:BF,"SI")+SUMIFS(VENTAS!U:U,VENTAS!AN:AN,W16,VENTAS!BF:BF,"SI"),0)</f>
        <v>0</v>
      </c>
      <c r="AH16" s="1134"/>
      <c r="AI16" s="1134"/>
      <c r="AJ16" s="1134"/>
      <c r="AK16" s="1136"/>
      <c r="AL16" s="144"/>
      <c r="AM16" s="264"/>
      <c r="AN16" s="462"/>
    </row>
    <row r="17" spans="1:40" ht="18.75" customHeight="1" x14ac:dyDescent="0.35">
      <c r="A17" s="42" t="s">
        <v>2006</v>
      </c>
      <c r="B17" s="15"/>
      <c r="C17" s="15"/>
      <c r="D17" s="15"/>
      <c r="E17" s="15"/>
      <c r="F17" s="15"/>
      <c r="G17" s="15"/>
      <c r="H17" s="15"/>
      <c r="I17" s="15"/>
      <c r="J17" s="15"/>
      <c r="K17" s="15"/>
      <c r="L17" s="15"/>
      <c r="M17" s="15"/>
      <c r="N17" s="15"/>
      <c r="O17" s="15"/>
      <c r="P17" s="128"/>
      <c r="Q17" s="127"/>
      <c r="R17" s="127"/>
      <c r="S17" s="127"/>
      <c r="T17" s="127"/>
      <c r="U17" s="127"/>
      <c r="V17" s="126"/>
      <c r="W17" s="128"/>
      <c r="X17" s="127"/>
      <c r="Y17" s="127"/>
      <c r="Z17" s="127"/>
      <c r="AA17" s="127"/>
      <c r="AB17" s="127"/>
      <c r="AC17" s="127"/>
      <c r="AD17" s="126"/>
      <c r="AE17" s="36" t="s">
        <v>910</v>
      </c>
      <c r="AF17" s="51" t="s">
        <v>769</v>
      </c>
      <c r="AG17" s="1193">
        <v>0</v>
      </c>
      <c r="AH17" s="1194"/>
      <c r="AI17" s="1194"/>
      <c r="AJ17" s="1194"/>
      <c r="AK17" s="1195"/>
      <c r="AL17" s="75"/>
      <c r="AM17" s="264"/>
      <c r="AN17" s="269"/>
    </row>
    <row r="18" spans="1:40" ht="18.75" customHeight="1" x14ac:dyDescent="0.35">
      <c r="A18" s="42" t="s">
        <v>2007</v>
      </c>
      <c r="B18" s="15"/>
      <c r="C18" s="15"/>
      <c r="D18" s="15"/>
      <c r="E18" s="15"/>
      <c r="F18" s="15"/>
      <c r="G18" s="15"/>
      <c r="H18" s="15"/>
      <c r="I18" s="15"/>
      <c r="J18" s="15"/>
      <c r="K18" s="15"/>
      <c r="L18" s="15"/>
      <c r="M18" s="15"/>
      <c r="N18" s="15"/>
      <c r="O18" s="15"/>
      <c r="P18" s="128"/>
      <c r="Q18" s="127"/>
      <c r="R18" s="127"/>
      <c r="S18" s="127"/>
      <c r="T18" s="127"/>
      <c r="U18" s="127"/>
      <c r="V18" s="126"/>
      <c r="W18" s="128"/>
      <c r="X18" s="127"/>
      <c r="Y18" s="127"/>
      <c r="Z18" s="127"/>
      <c r="AA18" s="127"/>
      <c r="AB18" s="127"/>
      <c r="AC18" s="127"/>
      <c r="AD18" s="126"/>
      <c r="AE18" s="36" t="s">
        <v>1037</v>
      </c>
      <c r="AF18" s="51" t="s">
        <v>769</v>
      </c>
      <c r="AG18" s="1193">
        <v>0</v>
      </c>
      <c r="AH18" s="1194"/>
      <c r="AI18" s="1194"/>
      <c r="AJ18" s="1194"/>
      <c r="AK18" s="1195"/>
      <c r="AL18" s="75"/>
      <c r="AM18" s="264"/>
    </row>
    <row r="19" spans="1:40" s="75" customFormat="1" ht="18.75" customHeight="1" x14ac:dyDescent="0.2">
      <c r="A19" s="41" t="s">
        <v>2008</v>
      </c>
      <c r="B19" s="567"/>
      <c r="C19" s="567"/>
      <c r="D19" s="567"/>
      <c r="E19" s="567"/>
      <c r="F19" s="567"/>
      <c r="G19" s="567"/>
      <c r="H19" s="567"/>
      <c r="I19" s="567"/>
      <c r="J19" s="567"/>
      <c r="K19" s="567"/>
      <c r="L19" s="567"/>
      <c r="M19" s="567"/>
      <c r="N19" s="567"/>
      <c r="O19" s="568"/>
      <c r="P19" s="72" t="s">
        <v>909</v>
      </c>
      <c r="Q19" s="53" t="s">
        <v>769</v>
      </c>
      <c r="R19" s="1132">
        <f>SUMIFS(VENTAS!BG:BG,VENTAS!AJ:AJ,W19,VENTAS!BF:BF,"SI")+SUMIFS(VENTAS!BH:BH,VENTAS!AL:AL,W19,VENTAS!BF:BF,"SI")+SUMIFS(VENTAS!BI:BI,VENTAS!AN:AN,W19,VENTAS!BF:BF,"SI")</f>
        <v>0</v>
      </c>
      <c r="S19" s="1132"/>
      <c r="T19" s="1132"/>
      <c r="U19" s="1132"/>
      <c r="V19" s="1132"/>
      <c r="W19" s="72" t="s">
        <v>908</v>
      </c>
      <c r="X19" s="53" t="s">
        <v>769</v>
      </c>
      <c r="Y19" s="280">
        <f>SUMIFS(VENTAS!AK:AK,VENTAS!AJ:AJ,W19,VENTAS!BF:BF,"SI")+SUMIFS(VENTAS!AM:AM,VENTAS!AL:AL,W19,VENTAS!BF:BF,"SI")+SUMIFS(VENTAS!AO:AO,VENTAS!AN:AN,W19,VENTAS!BF:BF,"SI")</f>
        <v>0</v>
      </c>
      <c r="Z19" s="1133">
        <f t="shared" ref="Z19:Z24" si="1">IF(Y19&lt;0,0,Y19)</f>
        <v>0</v>
      </c>
      <c r="AA19" s="1134"/>
      <c r="AB19" s="1134"/>
      <c r="AC19" s="1134"/>
      <c r="AD19" s="1135"/>
      <c r="AE19" s="1168"/>
      <c r="AF19" s="1169"/>
      <c r="AG19" s="1169"/>
      <c r="AH19" s="1169"/>
      <c r="AI19" s="1169"/>
      <c r="AJ19" s="1169"/>
      <c r="AK19" s="1170"/>
    </row>
    <row r="20" spans="1:40" s="75" customFormat="1" ht="18.75" customHeight="1" x14ac:dyDescent="0.35">
      <c r="A20" s="41" t="s">
        <v>2009</v>
      </c>
      <c r="B20" s="569"/>
      <c r="C20" s="569"/>
      <c r="D20" s="569"/>
      <c r="E20" s="569"/>
      <c r="F20" s="569"/>
      <c r="G20" s="569"/>
      <c r="H20" s="569"/>
      <c r="I20" s="569"/>
      <c r="J20" s="569"/>
      <c r="K20" s="569"/>
      <c r="L20" s="569"/>
      <c r="M20" s="569"/>
      <c r="N20" s="569"/>
      <c r="O20" s="570"/>
      <c r="P20" s="72" t="s">
        <v>907</v>
      </c>
      <c r="Q20" s="53" t="s">
        <v>769</v>
      </c>
      <c r="R20" s="1132">
        <f>SUMIFS(VENTAS!BG:BG,VENTAS!AJ:AJ,W20,VENTAS!BF:BF,"SI")+SUMIFS(VENTAS!BH:BH,VENTAS!AL:AL,W20,VENTAS!BF:BF,"SI")+SUMIFS(VENTAS!BI:BI,VENTAS!AN:AN,W20,VENTAS!BF:BF,"SI")</f>
        <v>0</v>
      </c>
      <c r="S20" s="1132"/>
      <c r="T20" s="1132"/>
      <c r="U20" s="1132"/>
      <c r="V20" s="1132"/>
      <c r="W20" s="72" t="s">
        <v>906</v>
      </c>
      <c r="X20" s="53" t="s">
        <v>769</v>
      </c>
      <c r="Y20" s="135">
        <f>SUMIFS(VENTAS!AK:AK,VENTAS!AJ:AJ,W20,VENTAS!BF:BF,"SI")+SUMIFS(VENTAS!AM:AM,VENTAS!AL:AL,W20,VENTAS!BF:BF,"SI")+SUMIFS(VENTAS!AO:AO,VENTAS!AN:AN,W20,VENTAS!BF:BF,"SI")</f>
        <v>0</v>
      </c>
      <c r="Z20" s="1133">
        <f t="shared" si="1"/>
        <v>0</v>
      </c>
      <c r="AA20" s="1134"/>
      <c r="AB20" s="1134"/>
      <c r="AC20" s="1134"/>
      <c r="AD20" s="1135"/>
      <c r="AE20" s="1171"/>
      <c r="AF20" s="1172"/>
      <c r="AG20" s="1172"/>
      <c r="AH20" s="1172"/>
      <c r="AI20" s="1172"/>
      <c r="AJ20" s="1172"/>
      <c r="AK20" s="1173"/>
    </row>
    <row r="21" spans="1:40" s="75" customFormat="1" ht="18.75" customHeight="1" x14ac:dyDescent="0.35">
      <c r="A21" s="41" t="s">
        <v>2010</v>
      </c>
      <c r="B21" s="569"/>
      <c r="C21" s="569"/>
      <c r="D21" s="569"/>
      <c r="E21" s="569"/>
      <c r="F21" s="569"/>
      <c r="G21" s="569"/>
      <c r="H21" s="569"/>
      <c r="I21" s="569"/>
      <c r="J21" s="569"/>
      <c r="K21" s="569"/>
      <c r="L21" s="569"/>
      <c r="M21" s="569"/>
      <c r="N21" s="569"/>
      <c r="O21" s="569"/>
      <c r="P21" s="72" t="s">
        <v>905</v>
      </c>
      <c r="Q21" s="53" t="s">
        <v>769</v>
      </c>
      <c r="R21" s="1132">
        <f>SUMIFS(VENTAS!BG:BG,VENTAS!AJ:AJ,W21,VENTAS!BF:BF,"SI")+SUMIFS(VENTAS!BH:BH,VENTAS!AL:AL,W21,VENTAS!BF:BF,"SI")+SUMIFS(VENTAS!BI:BI,VENTAS!AN:AN,W21,VENTAS!BF:BF,"SI")</f>
        <v>0</v>
      </c>
      <c r="S21" s="1132"/>
      <c r="T21" s="1132"/>
      <c r="U21" s="1132"/>
      <c r="V21" s="1132"/>
      <c r="W21" s="72" t="s">
        <v>904</v>
      </c>
      <c r="X21" s="53" t="s">
        <v>769</v>
      </c>
      <c r="Y21" s="135">
        <f>SUMIFS(VENTAS!AK:AK,VENTAS!AJ:AJ,W21,VENTAS!BF:BF,"SI")+SUMIFS(VENTAS!AM:AM,VENTAS!AL:AL,W21,VENTAS!BF:BF,"SI")+SUMIFS(VENTAS!AO:AO,VENTAS!AN:AN,W21,VENTAS!BF:BF,"SI")</f>
        <v>0</v>
      </c>
      <c r="Z21" s="1133">
        <f t="shared" si="1"/>
        <v>0</v>
      </c>
      <c r="AA21" s="1134"/>
      <c r="AB21" s="1134"/>
      <c r="AC21" s="1134"/>
      <c r="AD21" s="1135"/>
      <c r="AE21" s="1171"/>
      <c r="AF21" s="1172"/>
      <c r="AG21" s="1172"/>
      <c r="AH21" s="1172"/>
      <c r="AI21" s="1172"/>
      <c r="AJ21" s="1172"/>
      <c r="AK21" s="1173"/>
    </row>
    <row r="22" spans="1:40" s="75" customFormat="1" ht="18.75" customHeight="1" x14ac:dyDescent="0.35">
      <c r="A22" s="41" t="s">
        <v>2011</v>
      </c>
      <c r="B22" s="15"/>
      <c r="C22" s="15"/>
      <c r="D22" s="15"/>
      <c r="E22" s="15"/>
      <c r="F22" s="15"/>
      <c r="G22" s="15"/>
      <c r="H22" s="15"/>
      <c r="I22" s="15"/>
      <c r="J22" s="15"/>
      <c r="K22" s="15"/>
      <c r="L22" s="15"/>
      <c r="M22" s="15"/>
      <c r="N22" s="15"/>
      <c r="O22" s="15"/>
      <c r="P22" s="72" t="s">
        <v>903</v>
      </c>
      <c r="Q22" s="53" t="s">
        <v>769</v>
      </c>
      <c r="R22" s="1132">
        <f>SUMIFS(VENTAS!BG:BG,VENTAS!AJ:AJ,W22,VENTAS!BF:BF,"SI")+SUMIFS(VENTAS!BH:BH,VENTAS!AL:AL,W22,VENTAS!BF:BF,"SI")+SUMIFS(VENTAS!BI:BI,VENTAS!AN:AN,W22,VENTAS!BF:BF,"SI")</f>
        <v>0</v>
      </c>
      <c r="S22" s="1132"/>
      <c r="T22" s="1132"/>
      <c r="U22" s="1132"/>
      <c r="V22" s="1132"/>
      <c r="W22" s="72" t="s">
        <v>902</v>
      </c>
      <c r="X22" s="53" t="s">
        <v>769</v>
      </c>
      <c r="Y22" s="135">
        <f>SUMIFS(VENTAS!AK:AK,VENTAS!AJ:AJ,W22,VENTAS!BF:BF,"SI")+SUMIFS(VENTAS!AM:AM,VENTAS!AL:AL,W22,VENTAS!BF:BF,"SI")+SUMIFS(VENTAS!AO:AO,VENTAS!AN:AN,W22,VENTAS!BF:BF,"SI")</f>
        <v>0</v>
      </c>
      <c r="Z22" s="1133">
        <f t="shared" si="1"/>
        <v>0</v>
      </c>
      <c r="AA22" s="1134"/>
      <c r="AB22" s="1134"/>
      <c r="AC22" s="1134"/>
      <c r="AD22" s="1135"/>
      <c r="AE22" s="1171"/>
      <c r="AF22" s="1172"/>
      <c r="AG22" s="1172"/>
      <c r="AH22" s="1172"/>
      <c r="AI22" s="1172"/>
      <c r="AJ22" s="1172"/>
      <c r="AK22" s="1173"/>
    </row>
    <row r="23" spans="1:40" s="75" customFormat="1" ht="18.75" customHeight="1" x14ac:dyDescent="0.35">
      <c r="A23" s="42" t="s">
        <v>2012</v>
      </c>
      <c r="B23" s="15"/>
      <c r="C23" s="15"/>
      <c r="D23" s="15"/>
      <c r="E23" s="15"/>
      <c r="F23" s="15"/>
      <c r="G23" s="15"/>
      <c r="H23" s="15"/>
      <c r="I23" s="15"/>
      <c r="J23" s="15"/>
      <c r="K23" s="15"/>
      <c r="L23" s="15"/>
      <c r="M23" s="15"/>
      <c r="N23" s="15"/>
      <c r="O23" s="15"/>
      <c r="P23" s="72" t="s">
        <v>901</v>
      </c>
      <c r="Q23" s="53" t="s">
        <v>769</v>
      </c>
      <c r="R23" s="1132">
        <f>SUMIFS(VENTAS!BG:BG,VENTAS!AJ:AJ,W23,VENTAS!BF:BF,"SI")+SUMIFS(VENTAS!BH:BH,VENTAS!AL:AL,W23,VENTAS!BF:BF,"SI")+SUMIFS(VENTAS!BI:BI,VENTAS!AN:AN,W23,VENTAS!BF:BF,"SI")+SUMIFS(EXPORTACIONES!AN:AN,EXPORTACIONES!AG:AG,W23,EXPORTACIONES!AM:AM,"SI")+SUMIFS(EXPORTACIONES!AO:AO,EXPORTACIONES!AI:AI,W23,EXPORTACIONES!AM:AM,"SI")</f>
        <v>0</v>
      </c>
      <c r="S23" s="1132"/>
      <c r="T23" s="1132"/>
      <c r="U23" s="1132"/>
      <c r="V23" s="1132"/>
      <c r="W23" s="72" t="s">
        <v>900</v>
      </c>
      <c r="X23" s="53" t="s">
        <v>769</v>
      </c>
      <c r="Y23" s="135">
        <f>SUMIFS(VENTAS!AK:AK,VENTAS!AJ:AJ,W23,VENTAS!BF:BF,"SI")+SUMIFS(VENTAS!AM:AM,VENTAS!AL:AL,W23,VENTAS!BF:BF,"SI")+SUMIFS(VENTAS!AO:AO,VENTAS!AN:AN,W23,VENTAS!BF:BF,"SI")+SUMIFS(EXPORTACIONES!AH:AH,EXPORTACIONES!AG:AG,W23,EXPORTACIONES!AM:AM,"SI")+SUMIFS(EXPORTACIONES!AJ:AJ,EXPORTACIONES!AI:AI,W23,EXPORTACIONES!AM:AM,"SI")</f>
        <v>0</v>
      </c>
      <c r="Z23" s="1133">
        <f t="shared" si="1"/>
        <v>0</v>
      </c>
      <c r="AA23" s="1134"/>
      <c r="AB23" s="1134"/>
      <c r="AC23" s="1134"/>
      <c r="AD23" s="1135"/>
      <c r="AE23" s="1171"/>
      <c r="AF23" s="1172"/>
      <c r="AG23" s="1172"/>
      <c r="AH23" s="1172"/>
      <c r="AI23" s="1172"/>
      <c r="AJ23" s="1172"/>
      <c r="AK23" s="1173"/>
    </row>
    <row r="24" spans="1:40" s="75" customFormat="1" ht="18.75" customHeight="1" thickBot="1" x14ac:dyDescent="0.4">
      <c r="A24" s="42" t="s">
        <v>2013</v>
      </c>
      <c r="B24" s="15"/>
      <c r="C24" s="15"/>
      <c r="D24" s="15"/>
      <c r="E24" s="15"/>
      <c r="F24" s="15"/>
      <c r="G24" s="15"/>
      <c r="H24" s="15"/>
      <c r="I24" s="15"/>
      <c r="J24" s="15"/>
      <c r="K24" s="15"/>
      <c r="L24" s="15"/>
      <c r="M24" s="15"/>
      <c r="N24" s="15"/>
      <c r="O24" s="15"/>
      <c r="P24" s="72" t="s">
        <v>899</v>
      </c>
      <c r="Q24" s="51" t="s">
        <v>769</v>
      </c>
      <c r="R24" s="1132">
        <f>SUMIFS(VENTAS!BG:BG,VENTAS!AJ:AJ,W24,VENTAS!BF:BF,"SI")+SUMIFS(VENTAS!BH:BH,VENTAS!AL:AL,W24,VENTAS!BF:BF,"SI")+SUMIFS(VENTAS!BI:BI,VENTAS!AN:AN,W24,VENTAS!BF:BF,"SI")+SUMIFS(EXPORTACIONES!AN:AN,EXPORTACIONES!AG:AG,W24,EXPORTACIONES!AM:AM,"SI")+SUMIFS(EXPORTACIONES!AO:AO,EXPORTACIONES!AI:AI,W24,EXPORTACIONES!AM:AM,"SI")</f>
        <v>0</v>
      </c>
      <c r="S24" s="1132"/>
      <c r="T24" s="1132"/>
      <c r="U24" s="1132"/>
      <c r="V24" s="1132"/>
      <c r="W24" s="72" t="s">
        <v>898</v>
      </c>
      <c r="X24" s="51" t="s">
        <v>769</v>
      </c>
      <c r="Y24" s="135">
        <f>SUMIFS(VENTAS!AK:AK,VENTAS!AJ:AJ,W24,VENTAS!BF:BF,"SI")+SUMIFS(VENTAS!AM:AM,VENTAS!AL:AL,W24,VENTAS!BF:BF,"SI")+SUMIFS(VENTAS!AO:AO,VENTAS!AN:AN,W24,VENTAS!BF:BF,"SI")+SUMIFS(EXPORTACIONES!AH:AH,EXPORTACIONES!AG:AG,W24,EXPORTACIONES!AM:AM,"SI")+SUMIFS(EXPORTACIONES!AJ:AJ,EXPORTACIONES!AI:AI,W24,EXPORTACIONES!AM:AM,"SI")</f>
        <v>0</v>
      </c>
      <c r="Z24" s="1158">
        <f t="shared" si="1"/>
        <v>0</v>
      </c>
      <c r="AA24" s="1159"/>
      <c r="AB24" s="1159"/>
      <c r="AC24" s="1159"/>
      <c r="AD24" s="1160"/>
      <c r="AE24" s="1174"/>
      <c r="AF24" s="1175"/>
      <c r="AG24" s="1175"/>
      <c r="AH24" s="1175"/>
      <c r="AI24" s="1175"/>
      <c r="AJ24" s="1175"/>
      <c r="AK24" s="1176"/>
    </row>
    <row r="25" spans="1:40" s="75" customFormat="1" ht="18.75" customHeight="1" thickBot="1" x14ac:dyDescent="0.4">
      <c r="A25" s="64" t="s">
        <v>897</v>
      </c>
      <c r="B25" s="33"/>
      <c r="C25" s="33"/>
      <c r="D25" s="33"/>
      <c r="E25" s="33"/>
      <c r="F25" s="33"/>
      <c r="G25" s="33"/>
      <c r="H25" s="33"/>
      <c r="I25" s="33"/>
      <c r="J25" s="33"/>
      <c r="K25" s="33"/>
      <c r="L25" s="33"/>
      <c r="M25" s="33"/>
      <c r="N25" s="33"/>
      <c r="O25" s="78"/>
      <c r="P25" s="143" t="s">
        <v>896</v>
      </c>
      <c r="Q25" s="58" t="s">
        <v>767</v>
      </c>
      <c r="R25" s="1155">
        <f>SUM(R13:V24)</f>
        <v>23234.98000000001</v>
      </c>
      <c r="S25" s="1156"/>
      <c r="T25" s="1156"/>
      <c r="U25" s="1156"/>
      <c r="V25" s="1199"/>
      <c r="W25" s="143" t="s">
        <v>895</v>
      </c>
      <c r="X25" s="58" t="s">
        <v>767</v>
      </c>
      <c r="Y25" s="132">
        <f>+Z25+X26+X27+X28+X29</f>
        <v>23234.98000000001</v>
      </c>
      <c r="Z25" s="1155">
        <f>SUM(Z13:AD24)</f>
        <v>23234.98000000001</v>
      </c>
      <c r="AA25" s="1156"/>
      <c r="AB25" s="1156"/>
      <c r="AC25" s="1156"/>
      <c r="AD25" s="1157"/>
      <c r="AE25" s="59" t="s">
        <v>894</v>
      </c>
      <c r="AF25" s="58" t="s">
        <v>767</v>
      </c>
      <c r="AG25" s="1155">
        <f>IF((SUM(AG13:AK17)-AG18)&gt;0,(SUM(AG13:AK17)-AG18),0)</f>
        <v>3485.7299999999941</v>
      </c>
      <c r="AH25" s="1156"/>
      <c r="AI25" s="1156"/>
      <c r="AJ25" s="1156"/>
      <c r="AK25" s="1199"/>
    </row>
    <row r="26" spans="1:40" ht="18.75" customHeight="1" x14ac:dyDescent="0.35">
      <c r="A26" s="129" t="s">
        <v>2017</v>
      </c>
      <c r="B26" s="43"/>
      <c r="C26" s="43"/>
      <c r="D26" s="43"/>
      <c r="E26" s="43"/>
      <c r="F26" s="44"/>
      <c r="G26" s="43"/>
      <c r="H26" s="43"/>
      <c r="I26" s="43"/>
      <c r="J26" s="43"/>
      <c r="K26" s="43"/>
      <c r="L26" s="43"/>
      <c r="M26" s="43"/>
      <c r="N26" s="43"/>
      <c r="O26" s="142"/>
      <c r="P26" s="72" t="s">
        <v>893</v>
      </c>
      <c r="Q26" s="53" t="s">
        <v>769</v>
      </c>
      <c r="R26" s="1132">
        <f>SUMIFS(VENTAS!BG:BG,VENTAS!AJ:AJ,W26,VENTAS!BF:BF,"SI")+SUMIFS(VENTAS!BH:BH,VENTAS!AL:AL,W26,VENTAS!BF:BF,"SI")+SUMIFS(VENTAS!BI:BI,VENTAS!AN:AN,W26,VENTAS!BF:BF,"SI")</f>
        <v>0</v>
      </c>
      <c r="S26" s="1132"/>
      <c r="T26" s="1132"/>
      <c r="U26" s="1132"/>
      <c r="V26" s="1132"/>
      <c r="W26" s="40" t="s">
        <v>892</v>
      </c>
      <c r="X26" s="1147">
        <f>SUMIFS(VENTAS!AK:AK,VENTAS!AJ:AJ,W26,VENTAS!BF:BF,"SI")+SUMIFS(VENTAS!AM:AM,VENTAS!AL:AL,W26,VENTAS!BF:BF,"SI")+SUMIFS(VENTAS!AO:AO,VENTAS!AN:AN,W26,VENTAS!BF:BF,"SI")</f>
        <v>0</v>
      </c>
      <c r="Y26" s="1148"/>
      <c r="Z26" s="1148"/>
      <c r="AA26" s="1148"/>
      <c r="AB26" s="1148"/>
      <c r="AC26" s="1148"/>
      <c r="AD26" s="1177"/>
      <c r="AE26" s="1164" t="s">
        <v>749</v>
      </c>
      <c r="AF26" s="1165"/>
      <c r="AG26" s="1165"/>
      <c r="AH26" s="1165"/>
      <c r="AI26" s="1165"/>
      <c r="AJ26" s="1165"/>
      <c r="AK26" s="1166"/>
    </row>
    <row r="27" spans="1:40" ht="18.75" customHeight="1" x14ac:dyDescent="0.35">
      <c r="A27" s="131" t="s">
        <v>2018</v>
      </c>
      <c r="B27" s="15"/>
      <c r="C27" s="15"/>
      <c r="D27" s="15"/>
      <c r="E27" s="15"/>
      <c r="F27" s="41"/>
      <c r="G27" s="15"/>
      <c r="H27" s="15"/>
      <c r="I27" s="15"/>
      <c r="J27" s="15"/>
      <c r="K27" s="15"/>
      <c r="L27" s="15"/>
      <c r="M27" s="15"/>
      <c r="N27" s="15"/>
      <c r="O27" s="15"/>
      <c r="P27" s="1137"/>
      <c r="Q27" s="1138"/>
      <c r="R27" s="1138"/>
      <c r="S27" s="1138"/>
      <c r="T27" s="1138"/>
      <c r="U27" s="1138"/>
      <c r="V27" s="1139"/>
      <c r="W27" s="72" t="s">
        <v>891</v>
      </c>
      <c r="X27" s="1133">
        <f>IF(Y19&lt;0,ABS(Y19),0)+IF(Y20&lt;0,ABS(Y20),0)+IF(Y21&lt;0,ABS(Y21),0)+IF(Y22&lt;0,ABS(Y22),0)+IF(Y23&lt;0,ABS(Y23),0)+IF(Y24&lt;0,ABS(Y24),0)</f>
        <v>0</v>
      </c>
      <c r="Y27" s="1134"/>
      <c r="Z27" s="1134"/>
      <c r="AA27" s="1134"/>
      <c r="AB27" s="1134"/>
      <c r="AC27" s="1134"/>
      <c r="AD27" s="1135"/>
      <c r="AE27" s="1140"/>
      <c r="AF27" s="1141"/>
      <c r="AG27" s="1141"/>
      <c r="AH27" s="1141"/>
      <c r="AI27" s="1141"/>
      <c r="AJ27" s="1141"/>
      <c r="AK27" s="1167"/>
    </row>
    <row r="28" spans="1:40" ht="18.75" customHeight="1" x14ac:dyDescent="0.35">
      <c r="A28" s="131" t="s">
        <v>2019</v>
      </c>
      <c r="B28" s="15"/>
      <c r="C28" s="15"/>
      <c r="D28" s="15"/>
      <c r="E28" s="15"/>
      <c r="F28" s="41"/>
      <c r="G28" s="15"/>
      <c r="H28" s="15"/>
      <c r="I28" s="15"/>
      <c r="J28" s="15"/>
      <c r="K28" s="15"/>
      <c r="L28" s="15"/>
      <c r="M28" s="15"/>
      <c r="N28" s="15"/>
      <c r="O28" s="15"/>
      <c r="P28" s="1140"/>
      <c r="Q28" s="1141"/>
      <c r="R28" s="1141"/>
      <c r="S28" s="1141"/>
      <c r="T28" s="1141"/>
      <c r="U28" s="1141"/>
      <c r="V28" s="1142"/>
      <c r="W28" s="40" t="s">
        <v>890</v>
      </c>
      <c r="X28" s="1132">
        <f>IF(Y13&lt;0,ABS(Y13),0)+IF(Y14&lt;0,ABS(Y14),0)+IF(Y15&lt;0,ABS(Y15),0)</f>
        <v>0</v>
      </c>
      <c r="Y28" s="1132"/>
      <c r="Z28" s="1132"/>
      <c r="AA28" s="1132"/>
      <c r="AB28" s="1132"/>
      <c r="AC28" s="1132"/>
      <c r="AD28" s="1132"/>
      <c r="AE28" s="72" t="s">
        <v>889</v>
      </c>
      <c r="AF28" s="1248">
        <f>IF(X28&gt;0,ABS(AF29-SUMIF(VENTAS!BF:BF,"SI",VENTAS!R:R)+SUMIF(VENTAS!BF:BF,"SI",VENTAS!U:U)+SUMIF(VENTAS!BF:BF,"SI",VENTAS!X:X)),0)</f>
        <v>0</v>
      </c>
      <c r="AG28" s="1249"/>
      <c r="AH28" s="1249"/>
      <c r="AI28" s="1249"/>
      <c r="AJ28" s="1249"/>
      <c r="AK28" s="1250"/>
    </row>
    <row r="29" spans="1:40" ht="18.75" customHeight="1" x14ac:dyDescent="0.35">
      <c r="A29" s="131" t="s">
        <v>2020</v>
      </c>
      <c r="B29" s="15"/>
      <c r="C29" s="15"/>
      <c r="D29" s="15"/>
      <c r="E29" s="15"/>
      <c r="F29" s="41"/>
      <c r="G29" s="15"/>
      <c r="H29" s="15"/>
      <c r="I29" s="15"/>
      <c r="J29" s="15"/>
      <c r="K29" s="15"/>
      <c r="L29" s="15"/>
      <c r="M29" s="15"/>
      <c r="N29" s="15"/>
      <c r="O29" s="130"/>
      <c r="P29" s="72" t="s">
        <v>888</v>
      </c>
      <c r="Q29" s="53" t="s">
        <v>769</v>
      </c>
      <c r="R29" s="1132">
        <f>SUMIFS(VENTAS!BG:BG,VENTAS!AJ:AJ,W29,VENTAS!BF:BF,"SI")+SUMIFS(VENTAS!BH:BH,VENTAS!AL:AL,W29,VENTAS!BF:BF,"SI")+SUMIFS(VENTAS!BI:BI,VENTAS!AN:AN,W29,VENTAS!BF:BF,"SI")</f>
        <v>0</v>
      </c>
      <c r="S29" s="1132"/>
      <c r="T29" s="1132"/>
      <c r="U29" s="1132"/>
      <c r="V29" s="1132"/>
      <c r="W29" s="72" t="s">
        <v>887</v>
      </c>
      <c r="X29" s="1161">
        <f>SUMIFS(VENTAS!AK:AK,VENTAS!AJ:AJ,W29,VENTAS!BF:BF,"SI")+SUMIFS(VENTAS!AM:AM,VENTAS!AL:AL,W29,VENTAS!BF:BF,"SI")+SUMIFS(VENTAS!AO:AO,VENTAS!AN:AN,W29,VENTAS!BF:BF,"SI")</f>
        <v>0</v>
      </c>
      <c r="Y29" s="1162"/>
      <c r="Z29" s="1162"/>
      <c r="AA29" s="1162"/>
      <c r="AB29" s="1162"/>
      <c r="AC29" s="1162"/>
      <c r="AD29" s="1163"/>
      <c r="AE29" s="273" t="s">
        <v>886</v>
      </c>
      <c r="AF29" s="1191">
        <f>SUMIFS(VENTAS!R:R,VENTAS!AJ:AJ,W29,VENTAS!BF:BF,"SI")+SUMIFS(VENTAS!R:R,VENTAS!AL:AL,W29,VENTAS!BF:BF,"SI")+SUMIFS(VENTAS!R:R,VENTAS!AN:AN,W29,VENTAS!BF:BF,"SI")+SUMIFS(VENTAS!U:U,VENTAS!AJ:AJ,W29,VENTAS!BF:BF,"SI")+SUMIFS(VENTAS!U:U,VENTAS!AL:AL,W29,VENTAS!BF:BF,"SI")+SUMIFS(VENTAS!U:U,VENTAS!AN:AN,W29,VENTAS!BF:BF,"SI")+SUMIFS(VENTAS!X:X,VENTAS!AJ:AJ,W29,VENTAS!BF:BF,"SI")+SUMIFS(VENTAS!X:X,VENTAS!AL:AL,W29,VENTAS!BF:BF,"SI")+SUMIFS(VENTAS!X:X,VENTAS!AN:AN,W29,VENTAS!BF:BF,"SI")</f>
        <v>0</v>
      </c>
      <c r="AG29" s="1134"/>
      <c r="AH29" s="1134"/>
      <c r="AI29" s="1134"/>
      <c r="AJ29" s="1134"/>
      <c r="AK29" s="1136"/>
    </row>
    <row r="30" spans="1:40" ht="8.25" customHeight="1" thickBot="1" x14ac:dyDescent="0.4">
      <c r="A30" s="124"/>
      <c r="B30" s="123"/>
      <c r="C30" s="123"/>
      <c r="D30" s="123"/>
      <c r="E30" s="123"/>
      <c r="F30" s="123"/>
      <c r="G30" s="123"/>
      <c r="H30" s="123"/>
      <c r="I30" s="123"/>
      <c r="J30" s="123"/>
      <c r="K30" s="123"/>
      <c r="L30" s="123"/>
      <c r="M30" s="123"/>
      <c r="N30" s="123"/>
      <c r="O30" s="123"/>
      <c r="P30" s="123"/>
      <c r="Q30" s="123"/>
      <c r="R30" s="123"/>
      <c r="S30" s="123"/>
      <c r="T30" s="123"/>
      <c r="U30" s="123"/>
      <c r="V30" s="123"/>
      <c r="W30" s="123"/>
      <c r="X30" s="123"/>
      <c r="Y30" s="123"/>
      <c r="Z30" s="123"/>
      <c r="AA30" s="123"/>
      <c r="AB30" s="123"/>
      <c r="AC30" s="123"/>
      <c r="AD30" s="123"/>
      <c r="AE30" s="123"/>
      <c r="AF30" s="123"/>
      <c r="AG30" s="123"/>
      <c r="AH30" s="123"/>
      <c r="AI30" s="123"/>
      <c r="AJ30" s="123"/>
      <c r="AK30" s="138"/>
    </row>
    <row r="31" spans="1:40" ht="19.5" customHeight="1" thickBot="1" x14ac:dyDescent="0.4">
      <c r="A31" s="114" t="s">
        <v>1254</v>
      </c>
      <c r="B31" s="137"/>
      <c r="C31" s="137"/>
      <c r="D31" s="137"/>
      <c r="E31" s="137"/>
      <c r="F31" s="50"/>
      <c r="G31" s="137"/>
      <c r="H31" s="137"/>
      <c r="I31" s="137"/>
      <c r="J31" s="137"/>
      <c r="K31" s="137"/>
      <c r="L31" s="137"/>
      <c r="M31" s="137"/>
      <c r="N31" s="137"/>
      <c r="O31" s="137"/>
      <c r="P31" s="137"/>
      <c r="Q31" s="137"/>
      <c r="R31" s="137"/>
      <c r="S31" s="137"/>
      <c r="T31" s="137"/>
      <c r="U31" s="137"/>
      <c r="V31" s="137"/>
      <c r="W31" s="137"/>
      <c r="X31" s="137"/>
      <c r="Y31" s="137"/>
      <c r="Z31" s="137"/>
      <c r="AA31" s="137"/>
      <c r="AB31" s="137"/>
      <c r="AC31" s="137"/>
      <c r="AD31" s="137"/>
      <c r="AE31" s="137"/>
      <c r="AF31" s="137"/>
      <c r="AG31" s="137"/>
      <c r="AH31" s="137"/>
      <c r="AI31" s="137"/>
      <c r="AJ31" s="137"/>
      <c r="AK31" s="141"/>
    </row>
    <row r="32" spans="1:40" ht="8.25" customHeight="1" x14ac:dyDescent="0.35">
      <c r="A32" s="23"/>
      <c r="AK32" s="19"/>
    </row>
    <row r="33" spans="1:40" ht="58.5" customHeight="1" x14ac:dyDescent="0.35">
      <c r="A33" s="1247" t="s">
        <v>885</v>
      </c>
      <c r="B33" s="1186"/>
      <c r="C33" s="1186"/>
      <c r="D33" s="1186"/>
      <c r="E33" s="1187"/>
      <c r="F33" s="1185" t="s">
        <v>884</v>
      </c>
      <c r="G33" s="1186"/>
      <c r="H33" s="1186"/>
      <c r="I33" s="1186"/>
      <c r="J33" s="1187"/>
      <c r="K33" s="1185" t="s">
        <v>883</v>
      </c>
      <c r="L33" s="1186"/>
      <c r="M33" s="1186"/>
      <c r="N33" s="1186"/>
      <c r="O33" s="1187"/>
      <c r="P33" s="1185" t="s">
        <v>882</v>
      </c>
      <c r="Q33" s="1244"/>
      <c r="R33" s="1244"/>
      <c r="S33" s="1244"/>
      <c r="T33" s="1244"/>
      <c r="U33" s="1245"/>
      <c r="V33" s="1185" t="s">
        <v>1515</v>
      </c>
      <c r="W33" s="1186"/>
      <c r="X33" s="1186"/>
      <c r="Y33" s="1186"/>
      <c r="Z33" s="1186"/>
      <c r="AA33" s="1187"/>
      <c r="AB33" s="1185" t="s">
        <v>881</v>
      </c>
      <c r="AC33" s="1186"/>
      <c r="AD33" s="1186"/>
      <c r="AE33" s="1186"/>
      <c r="AF33" s="1187"/>
      <c r="AG33" s="1185" t="s">
        <v>880</v>
      </c>
      <c r="AH33" s="1244"/>
      <c r="AI33" s="1244"/>
      <c r="AJ33" s="1244"/>
      <c r="AK33" s="1246"/>
    </row>
    <row r="34" spans="1:40" s="139" customFormat="1" ht="18.75" customHeight="1" x14ac:dyDescent="0.35">
      <c r="A34" s="140">
        <v>480</v>
      </c>
      <c r="B34" s="1188">
        <f>+(Z13+Z14)-G34</f>
        <v>23234.98000000001</v>
      </c>
      <c r="C34" s="1189"/>
      <c r="D34" s="1189"/>
      <c r="E34" s="1190"/>
      <c r="F34" s="140" t="s">
        <v>879</v>
      </c>
      <c r="G34" s="1241">
        <v>0</v>
      </c>
      <c r="H34" s="1242"/>
      <c r="I34" s="1242"/>
      <c r="J34" s="1243"/>
      <c r="K34" s="40" t="s">
        <v>878</v>
      </c>
      <c r="L34" s="1188">
        <f>+AG25</f>
        <v>3485.7299999999941</v>
      </c>
      <c r="M34" s="1189"/>
      <c r="N34" s="1189"/>
      <c r="O34" s="1192"/>
      <c r="P34" s="40" t="s">
        <v>877</v>
      </c>
      <c r="Q34" s="1241">
        <v>0</v>
      </c>
      <c r="R34" s="1242"/>
      <c r="S34" s="1242"/>
      <c r="T34" s="1242"/>
      <c r="U34" s="1243"/>
      <c r="V34" s="40" t="s">
        <v>876</v>
      </c>
      <c r="W34" s="1231">
        <f>ROUND(B34*15%,2)</f>
        <v>3485.25</v>
      </c>
      <c r="X34" s="1231"/>
      <c r="Y34" s="1231"/>
      <c r="Z34" s="1231"/>
      <c r="AA34" s="1231"/>
      <c r="AB34" s="40" t="s">
        <v>875</v>
      </c>
      <c r="AC34" s="1231">
        <f>+L34-W34</f>
        <v>0.47999999999410647</v>
      </c>
      <c r="AD34" s="1231"/>
      <c r="AE34" s="1231"/>
      <c r="AF34" s="1231"/>
      <c r="AG34" s="40" t="s">
        <v>874</v>
      </c>
      <c r="AH34" s="1231">
        <f>+Q34+W34</f>
        <v>3485.25</v>
      </c>
      <c r="AI34" s="1231"/>
      <c r="AJ34" s="1231"/>
      <c r="AK34" s="1232"/>
    </row>
    <row r="35" spans="1:40" ht="8.25" customHeight="1" x14ac:dyDescent="0.35">
      <c r="A35" s="23"/>
      <c r="AK35" s="19"/>
    </row>
    <row r="36" spans="1:40" ht="20.399999999999999" customHeight="1" x14ac:dyDescent="0.35">
      <c r="A36" s="1184" t="s">
        <v>1231</v>
      </c>
      <c r="B36" s="1182"/>
      <c r="C36" s="1182"/>
      <c r="D36" s="1182"/>
      <c r="E36" s="1182"/>
      <c r="F36" s="1182"/>
      <c r="G36" s="1182"/>
      <c r="H36" s="1182"/>
      <c r="I36" s="1182"/>
      <c r="J36" s="1183"/>
      <c r="K36" s="72" t="s">
        <v>1229</v>
      </c>
      <c r="L36" s="1178">
        <f>COUNTIFS(VENTAS!BF:BF,"SI",VENTAS!H:H,"18-Documentos autorizados utilizados en ventas excepto N/C N/D")</f>
        <v>480</v>
      </c>
      <c r="M36" s="1179"/>
      <c r="N36" s="1179"/>
      <c r="O36" s="1180"/>
      <c r="P36" s="1181" t="s">
        <v>1232</v>
      </c>
      <c r="Q36" s="1182"/>
      <c r="R36" s="1182"/>
      <c r="S36" s="1182"/>
      <c r="T36" s="1182"/>
      <c r="U36" s="1182"/>
      <c r="V36" s="1182"/>
      <c r="W36" s="1182"/>
      <c r="X36" s="1182"/>
      <c r="Y36" s="1182"/>
      <c r="Z36" s="1182"/>
      <c r="AA36" s="1183"/>
      <c r="AB36" s="72" t="s">
        <v>1230</v>
      </c>
      <c r="AC36" s="1178">
        <f>IF(COUNTIFS(ANULADOS!I:I,"SI",ANULADOS!A:A,"01-Factura")&gt;0,COUNTIFS(ANULADOS!I:I,"SI",ANULADOS!A:A,"01-Factura"),COUNTIFS(VENTAS!BF:BF,"SI",VENTAS!H:H,"00-Comprobante de ventas anulado"))</f>
        <v>0</v>
      </c>
      <c r="AD36" s="1179"/>
      <c r="AE36" s="1179"/>
      <c r="AF36" s="1180"/>
      <c r="AG36" s="319"/>
      <c r="AK36" s="19"/>
    </row>
    <row r="37" spans="1:40" ht="8.25" customHeight="1" thickBot="1" x14ac:dyDescent="0.4">
      <c r="A37" s="124"/>
      <c r="B37" s="123"/>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3"/>
      <c r="AA37" s="123"/>
      <c r="AB37" s="123"/>
      <c r="AC37" s="123"/>
      <c r="AD37" s="123"/>
      <c r="AE37" s="123"/>
      <c r="AF37" s="123"/>
      <c r="AG37" s="123"/>
      <c r="AH37" s="123"/>
      <c r="AI37" s="123"/>
      <c r="AJ37" s="123"/>
      <c r="AK37" s="138"/>
    </row>
    <row r="38" spans="1:40" ht="19.5" customHeight="1" thickBot="1" x14ac:dyDescent="0.4">
      <c r="A38" s="114" t="s">
        <v>873</v>
      </c>
      <c r="B38" s="137"/>
      <c r="C38" s="137"/>
      <c r="D38" s="137"/>
      <c r="E38" s="137"/>
      <c r="F38" s="50"/>
      <c r="G38" s="137"/>
      <c r="H38" s="137"/>
      <c r="I38" s="137"/>
      <c r="J38" s="137"/>
      <c r="K38" s="137"/>
      <c r="L38" s="137"/>
      <c r="M38" s="137"/>
      <c r="N38" s="137"/>
      <c r="O38" s="137"/>
      <c r="P38" s="1090" t="s">
        <v>872</v>
      </c>
      <c r="Q38" s="1091"/>
      <c r="R38" s="1091"/>
      <c r="S38" s="1091"/>
      <c r="T38" s="1091"/>
      <c r="U38" s="1091"/>
      <c r="V38" s="1092"/>
      <c r="W38" s="1090" t="s">
        <v>871</v>
      </c>
      <c r="X38" s="1091"/>
      <c r="Y38" s="1091"/>
      <c r="Z38" s="1091"/>
      <c r="AA38" s="1091"/>
      <c r="AB38" s="1091"/>
      <c r="AC38" s="1091"/>
      <c r="AD38" s="1092"/>
      <c r="AE38" s="1090" t="s">
        <v>870</v>
      </c>
      <c r="AF38" s="1091"/>
      <c r="AG38" s="1091"/>
      <c r="AH38" s="1091"/>
      <c r="AI38" s="1091"/>
      <c r="AJ38" s="1091"/>
      <c r="AK38" s="1092"/>
    </row>
    <row r="39" spans="1:40" ht="18.75" customHeight="1" x14ac:dyDescent="0.35">
      <c r="A39" s="575" t="s">
        <v>2024</v>
      </c>
      <c r="B39" s="571"/>
      <c r="C39" s="571"/>
      <c r="D39" s="571"/>
      <c r="E39" s="571"/>
      <c r="F39" s="571"/>
      <c r="G39" s="571"/>
      <c r="H39" s="571"/>
      <c r="I39" s="571"/>
      <c r="J39" s="571"/>
      <c r="K39" s="571"/>
      <c r="L39" s="571"/>
      <c r="M39" s="571"/>
      <c r="N39" s="571"/>
      <c r="O39" s="572"/>
      <c r="P39" s="40" t="s">
        <v>869</v>
      </c>
      <c r="Q39" s="74" t="s">
        <v>769</v>
      </c>
      <c r="R39" s="1144">
        <f>SUMIFS(COMPRAS!DE:DE,COMPRAS!AS:AS,W39,COMPRAS!DC:DC,"SI")+SUMIFS(COMPRAS!DF:DF,COMPRAS!AU:AU,W39,COMPRAS!DC:DC,"SI")+SUMIFS(COMPRAS!DG:DG,COMPRAS!AW:AW,W39,COMPRAS!DC:DC,"SI")</f>
        <v>35909.600000000013</v>
      </c>
      <c r="S39" s="1145"/>
      <c r="T39" s="1145"/>
      <c r="U39" s="1145"/>
      <c r="V39" s="1146"/>
      <c r="W39" s="40" t="s">
        <v>868</v>
      </c>
      <c r="X39" s="74" t="s">
        <v>769</v>
      </c>
      <c r="Y39" s="135">
        <f>SUMIFS(COMPRAS!AT:AT,COMPRAS!AS:AS,W39,COMPRAS!DC:DC,"SI")+SUMIFS(COMPRAS!AV:AV,COMPRAS!AU:AU,W39,COMPRAS!DC:DC,"SI")+SUMIFS(COMPRAS!AX:AX,COMPRAS!AW:AW,W39,COMPRAS!DC:DC,"SI")</f>
        <v>33770.640000000014</v>
      </c>
      <c r="Z39" s="1147">
        <f t="shared" ref="Z39:Z46" si="2">IF(Y39&lt;0,0,Y39)</f>
        <v>33770.640000000014</v>
      </c>
      <c r="AA39" s="1148"/>
      <c r="AB39" s="1148"/>
      <c r="AC39" s="1148"/>
      <c r="AD39" s="1177"/>
      <c r="AE39" s="72" t="s">
        <v>867</v>
      </c>
      <c r="AF39" s="53" t="s">
        <v>769</v>
      </c>
      <c r="AG39" s="1147">
        <f>IF(Z39&gt;0,SUMIFS(COMPRAS!Z:Z,COMPRAS!AS:AS,W39,COMPRAS!DC:DC,"SI")+SUMIFS(COMPRAS!Z:Z,COMPRAS!AU:AU,W39,COMPRAS!DC:DC,"SI")+SUMIFS(COMPRAS!Z:Z,COMPRAS!AW:AW,W39,COMPRAS!DC:DC,"SI"),0)</f>
        <v>5065.6099999999997</v>
      </c>
      <c r="AH39" s="1148"/>
      <c r="AI39" s="1148"/>
      <c r="AJ39" s="1148"/>
      <c r="AK39" s="1149"/>
      <c r="AL39" s="136"/>
      <c r="AN39" s="136"/>
    </row>
    <row r="40" spans="1:40" ht="18.75" customHeight="1" x14ac:dyDescent="0.35">
      <c r="A40" s="575" t="s">
        <v>2025</v>
      </c>
      <c r="B40" s="573"/>
      <c r="C40" s="573"/>
      <c r="D40" s="573"/>
      <c r="E40" s="573"/>
      <c r="F40" s="573"/>
      <c r="G40" s="573"/>
      <c r="H40" s="573"/>
      <c r="I40" s="573"/>
      <c r="J40" s="573"/>
      <c r="K40" s="573"/>
      <c r="L40" s="573"/>
      <c r="M40" s="573"/>
      <c r="N40" s="573"/>
      <c r="O40" s="574"/>
      <c r="P40" s="72" t="s">
        <v>866</v>
      </c>
      <c r="Q40" s="53" t="s">
        <v>769</v>
      </c>
      <c r="R40" s="1132">
        <f>SUMIFS(COMPRAS!DE:DE,COMPRAS!AS:AS,W40,COMPRAS!DC:DC,"SI")+SUMIFS(COMPRAS!DF:DF,COMPRAS!AU:AU,W40,COMPRAS!DC:DC,"SI")+SUMIFS(COMPRAS!DG:DG,COMPRAS!AW:AW,W40,COMPRAS!DC:DC,"SI")</f>
        <v>0</v>
      </c>
      <c r="S40" s="1132"/>
      <c r="T40" s="1132"/>
      <c r="U40" s="1132"/>
      <c r="V40" s="1132"/>
      <c r="W40" s="72" t="s">
        <v>865</v>
      </c>
      <c r="X40" s="53" t="s">
        <v>769</v>
      </c>
      <c r="Y40" s="135">
        <f>SUMIFS(COMPRAS!AT:AT,COMPRAS!AS:AS,W40,COMPRAS!DC:DC,"SI")+SUMIFS(COMPRAS!AV:AV,COMPRAS!AU:AU,W40,COMPRAS!DC:DC,"SI")+SUMIFS(COMPRAS!AX:AX,COMPRAS!AW:AW,W40,COMPRAS!DC:DC,"SI")</f>
        <v>0</v>
      </c>
      <c r="Z40" s="1133">
        <f t="shared" si="2"/>
        <v>0</v>
      </c>
      <c r="AA40" s="1134"/>
      <c r="AB40" s="1134"/>
      <c r="AC40" s="1134"/>
      <c r="AD40" s="1135"/>
      <c r="AE40" s="72" t="s">
        <v>864</v>
      </c>
      <c r="AF40" s="53" t="s">
        <v>769</v>
      </c>
      <c r="AG40" s="1133">
        <f>IF(Z40&gt;0,SUMIFS(COMPRAS!Z:Z,COMPRAS!AS:AS,W40,COMPRAS!DC:DC,"SI")+SUMIFS(COMPRAS!Z:Z,COMPRAS!AU:AU,W40,COMPRAS!DC:DC,"SI")+SUMIFS(COMPRAS!Z:Z,COMPRAS!AW:AW,W40,COMPRAS!DC:DC,"SI"),0)</f>
        <v>0</v>
      </c>
      <c r="AH40" s="1134"/>
      <c r="AI40" s="1134"/>
      <c r="AJ40" s="1134"/>
      <c r="AK40" s="1136"/>
      <c r="AL40" s="136"/>
    </row>
    <row r="41" spans="1:40" ht="18.75" customHeight="1" x14ac:dyDescent="0.35">
      <c r="A41" s="575" t="s">
        <v>2278</v>
      </c>
      <c r="B41" s="573"/>
      <c r="C41" s="573"/>
      <c r="D41" s="573"/>
      <c r="E41" s="573"/>
      <c r="F41" s="573"/>
      <c r="G41" s="573"/>
      <c r="H41" s="573"/>
      <c r="I41" s="573"/>
      <c r="J41" s="573"/>
      <c r="K41" s="573"/>
      <c r="L41" s="573"/>
      <c r="M41" s="573"/>
      <c r="N41" s="573"/>
      <c r="O41" s="574"/>
      <c r="P41" s="72" t="s">
        <v>2021</v>
      </c>
      <c r="Q41" s="53" t="s">
        <v>769</v>
      </c>
      <c r="R41" s="1132">
        <f>SUMIFS(COMPRAS!DE:DE,COMPRAS!AS:AS,W41,COMPRAS!DC:DC,"SI")+SUMIFS(COMPRAS!DF:DF,COMPRAS!AU:AU,W41,COMPRAS!DC:DC,"SI")+SUMIFS(COMPRAS!DG:DG,COMPRAS!AW:AW,W41,COMPRAS!DC:DC,"SI")</f>
        <v>0</v>
      </c>
      <c r="S41" s="1132"/>
      <c r="T41" s="1132"/>
      <c r="U41" s="1132"/>
      <c r="V41" s="1132"/>
      <c r="W41" s="72" t="s">
        <v>2022</v>
      </c>
      <c r="X41" s="53" t="s">
        <v>769</v>
      </c>
      <c r="Y41" s="135">
        <f>SUMIFS(COMPRAS!AT:AT,COMPRAS!AS:AS,W41,COMPRAS!DC:DC,"SI")+SUMIFS(COMPRAS!AV:AV,COMPRAS!AU:AU,W41,COMPRAS!DC:DC,"SI")+SUMIFS(COMPRAS!AX:AX,COMPRAS!AW:AW,W41,COMPRAS!DC:DC,"SI")</f>
        <v>0</v>
      </c>
      <c r="Z41" s="1133">
        <f t="shared" ref="Z41" si="3">IF(Y41&lt;0,0,Y41)</f>
        <v>0</v>
      </c>
      <c r="AA41" s="1134"/>
      <c r="AB41" s="1134"/>
      <c r="AC41" s="1134"/>
      <c r="AD41" s="1135"/>
      <c r="AE41" s="72" t="s">
        <v>2023</v>
      </c>
      <c r="AF41" s="53" t="s">
        <v>769</v>
      </c>
      <c r="AG41" s="1133">
        <f>IF(Z41&gt;0,SUMIFS(COMPRAS!AF:AF,COMPRAS!AS:AS,W41,COMPRAS!DC:DC,"SI")+SUMIFS(COMPRAS!AF:AF,COMPRAS!AU:AU,W41,COMPRAS!DC:DC,"SI")+SUMIFS(COMPRAS!AF:AF,COMPRAS!AW:AW,W41,COMPRAS!DC:DC,"SI"),0)</f>
        <v>0</v>
      </c>
      <c r="AH41" s="1134"/>
      <c r="AI41" s="1134"/>
      <c r="AJ41" s="1134"/>
      <c r="AK41" s="1136"/>
      <c r="AL41" s="136"/>
    </row>
    <row r="42" spans="1:40" ht="18.75" customHeight="1" x14ac:dyDescent="0.35">
      <c r="A42" s="575" t="s">
        <v>2265</v>
      </c>
      <c r="B42" s="573"/>
      <c r="C42" s="573"/>
      <c r="D42" s="573"/>
      <c r="E42" s="573"/>
      <c r="F42" s="573"/>
      <c r="G42" s="573"/>
      <c r="H42" s="573"/>
      <c r="I42" s="573"/>
      <c r="J42" s="573"/>
      <c r="K42" s="573"/>
      <c r="L42" s="573"/>
      <c r="M42" s="573"/>
      <c r="N42" s="573"/>
      <c r="O42" s="574"/>
      <c r="P42" s="72" t="s">
        <v>2232</v>
      </c>
      <c r="Q42" s="53" t="s">
        <v>769</v>
      </c>
      <c r="R42" s="1132">
        <f>SUMIFS(COMPRAS!DE:DE,COMPRAS!AS:AS,W42,COMPRAS!DC:DC,"SI")+SUMIFS(COMPRAS!DF:DF,COMPRAS!AU:AU,W42,COMPRAS!DC:DC,"SI")+SUMIFS(COMPRAS!DG:DG,COMPRAS!AW:AW,W42,COMPRAS!DC:DC,"SI")</f>
        <v>0</v>
      </c>
      <c r="S42" s="1132"/>
      <c r="T42" s="1132"/>
      <c r="U42" s="1132"/>
      <c r="V42" s="1132"/>
      <c r="W42" s="72" t="s">
        <v>2233</v>
      </c>
      <c r="X42" s="53" t="s">
        <v>769</v>
      </c>
      <c r="Y42" s="135">
        <f>SUMIFS(COMPRAS!AT:AT,COMPRAS!AS:AS,W42,COMPRAS!DC:DC,"SI")+SUMIFS(COMPRAS!AV:AV,COMPRAS!AU:AU,W42,COMPRAS!DC:DC,"SI")+SUMIFS(COMPRAS!AX:AX,COMPRAS!AW:AW,W42,COMPRAS!DC:DC,"SI")</f>
        <v>0</v>
      </c>
      <c r="Z42" s="1133">
        <f t="shared" ref="Z42" si="4">IF(Y42&lt;0,0,Y42)</f>
        <v>0</v>
      </c>
      <c r="AA42" s="1134"/>
      <c r="AB42" s="1134"/>
      <c r="AC42" s="1134"/>
      <c r="AD42" s="1135"/>
      <c r="AE42" s="72" t="s">
        <v>2234</v>
      </c>
      <c r="AF42" s="53" t="s">
        <v>769</v>
      </c>
      <c r="AG42" s="1133">
        <f>IF(Z42&gt;0,SUMIFS(COMPRAS!AC:AC,COMPRAS!AS:AS,W42,COMPRAS!DC:DC,"SI")+SUMIFS(COMPRAS!AC:AC,COMPRAS!AU:AU,W42,COMPRAS!DC:DC,"SI")+SUMIFS(COMPRAS!AC:AC,COMPRAS!AW:AW,W42,COMPRAS!DC:DC,"SI"),0)</f>
        <v>0</v>
      </c>
      <c r="AH42" s="1134"/>
      <c r="AI42" s="1134"/>
      <c r="AJ42" s="1134"/>
      <c r="AK42" s="1136"/>
      <c r="AL42" s="136"/>
    </row>
    <row r="43" spans="1:40" ht="18.75" customHeight="1" x14ac:dyDescent="0.35">
      <c r="A43" s="575" t="s">
        <v>2026</v>
      </c>
      <c r="B43" s="576"/>
      <c r="C43" s="576"/>
      <c r="D43" s="576"/>
      <c r="E43" s="576"/>
      <c r="F43" s="576"/>
      <c r="G43" s="576"/>
      <c r="H43" s="576"/>
      <c r="I43" s="576"/>
      <c r="J43" s="576"/>
      <c r="K43" s="576"/>
      <c r="L43" s="576"/>
      <c r="M43" s="576"/>
      <c r="N43" s="576"/>
      <c r="O43" s="577"/>
      <c r="P43" s="40" t="s">
        <v>863</v>
      </c>
      <c r="Q43" s="53" t="s">
        <v>769</v>
      </c>
      <c r="R43" s="1132">
        <f>SUMIFS(COMPRAS!DE:DE,COMPRAS!AS:AS,W43,COMPRAS!DC:DC,"SI")+SUMIFS(COMPRAS!DF:DF,COMPRAS!AU:AU,W43,COMPRAS!DC:DC,"SI")+SUMIFS(COMPRAS!DG:DG,COMPRAS!AW:AW,W43,COMPRAS!DC:DC,"SI")</f>
        <v>0</v>
      </c>
      <c r="S43" s="1132"/>
      <c r="T43" s="1132"/>
      <c r="U43" s="1132"/>
      <c r="V43" s="1132"/>
      <c r="W43" s="40" t="s">
        <v>862</v>
      </c>
      <c r="X43" s="53" t="s">
        <v>769</v>
      </c>
      <c r="Y43" s="135">
        <f>SUMIFS(COMPRAS!AT:AT,COMPRAS!AS:AS,W43,COMPRAS!DC:DC,"SI")+SUMIFS(COMPRAS!AV:AV,COMPRAS!AU:AU,W43,COMPRAS!DC:DC,"SI")+SUMIFS(COMPRAS!AX:AX,COMPRAS!AW:AW,W43,COMPRAS!DC:DC,"SI")</f>
        <v>0</v>
      </c>
      <c r="Z43" s="1133">
        <f t="shared" si="2"/>
        <v>0</v>
      </c>
      <c r="AA43" s="1134"/>
      <c r="AB43" s="1134"/>
      <c r="AC43" s="1134"/>
      <c r="AD43" s="1135"/>
      <c r="AE43" s="72" t="s">
        <v>861</v>
      </c>
      <c r="AF43" s="53" t="s">
        <v>769</v>
      </c>
      <c r="AG43" s="1133">
        <f>IF(Z43&gt;0,SUMIFS(COMPRAS!DJ:DJ,COMPRAS!AS:AS,W43,COMPRAS!DC:DC,"SI")+SUMIFS(COMPRAS!DJ:DJ,COMPRAS!AU:AU,W43,COMPRAS!DC:DC,"SI")+SUMIFS(COMPRAS!DJ:DJ,COMPRAS!AW:AW,W43,COMPRAS!DC:DC,"SI"),0)</f>
        <v>0</v>
      </c>
      <c r="AH43" s="1134"/>
      <c r="AI43" s="1134"/>
      <c r="AJ43" s="1134"/>
      <c r="AK43" s="1136"/>
      <c r="AL43" s="95"/>
    </row>
    <row r="44" spans="1:40" ht="18.75" customHeight="1" x14ac:dyDescent="0.35">
      <c r="A44" s="575" t="s">
        <v>2027</v>
      </c>
      <c r="B44" s="576"/>
      <c r="C44" s="576"/>
      <c r="D44" s="576"/>
      <c r="E44" s="576"/>
      <c r="F44" s="576"/>
      <c r="G44" s="576"/>
      <c r="H44" s="576"/>
      <c r="I44" s="576"/>
      <c r="J44" s="576"/>
      <c r="K44" s="576"/>
      <c r="L44" s="576"/>
      <c r="M44" s="576"/>
      <c r="N44" s="576"/>
      <c r="O44" s="577"/>
      <c r="P44" s="72" t="s">
        <v>860</v>
      </c>
      <c r="Q44" s="53" t="s">
        <v>769</v>
      </c>
      <c r="R44" s="1132">
        <f>SUMIFS(COMPRAS!DE:DE,COMPRAS!AS:AS,W44,COMPRAS!DC:DC,"SI")+SUMIFS(COMPRAS!DF:DF,COMPRAS!AU:AU,W44,COMPRAS!DC:DC,"SI")+SUMIFS(COMPRAS!DG:DG,COMPRAS!AW:AW,W44,COMPRAS!DC:DC,"SI")</f>
        <v>0</v>
      </c>
      <c r="S44" s="1132"/>
      <c r="T44" s="1132"/>
      <c r="U44" s="1132"/>
      <c r="V44" s="1132"/>
      <c r="W44" s="72" t="s">
        <v>859</v>
      </c>
      <c r="X44" s="53" t="s">
        <v>769</v>
      </c>
      <c r="Y44" s="135">
        <f>SUMIFS(COMPRAS!AT:AT,COMPRAS!AS:AS,W44,COMPRAS!DC:DC,"SI")+SUMIFS(COMPRAS!AV:AV,COMPRAS!AU:AU,W44,COMPRAS!DC:DC,"SI")+SUMIFS(COMPRAS!AX:AX,COMPRAS!AW:AW,W44,COMPRAS!DC:DC,"SI")</f>
        <v>0</v>
      </c>
      <c r="Z44" s="1133">
        <f t="shared" si="2"/>
        <v>0</v>
      </c>
      <c r="AA44" s="1134"/>
      <c r="AB44" s="1134"/>
      <c r="AC44" s="1134"/>
      <c r="AD44" s="1135"/>
      <c r="AE44" s="72" t="s">
        <v>858</v>
      </c>
      <c r="AF44" s="53" t="s">
        <v>769</v>
      </c>
      <c r="AG44" s="1133">
        <f>IF(Z44&gt;0,SUMIFS(COMPRAS!Z:Z,COMPRAS!AS:AS,W44,COMPRAS!DC:DC,"SI")+SUMIFS(COMPRAS!Z:Z,COMPRAS!AU:AU,W44,COMPRAS!DC:DC,"SI")+SUMIFS(COMPRAS!Z:Z,COMPRAS!AW:AW,W44,COMPRAS!DC:DC,"SI"),0)</f>
        <v>0</v>
      </c>
      <c r="AH44" s="1134"/>
      <c r="AI44" s="1134"/>
      <c r="AJ44" s="1134"/>
      <c r="AK44" s="1136"/>
      <c r="AL44" s="95"/>
    </row>
    <row r="45" spans="1:40" ht="18.75" customHeight="1" x14ac:dyDescent="0.35">
      <c r="A45" s="575" t="s">
        <v>2028</v>
      </c>
      <c r="B45" s="576"/>
      <c r="C45" s="576"/>
      <c r="D45" s="576"/>
      <c r="E45" s="576"/>
      <c r="F45" s="576"/>
      <c r="G45" s="576"/>
      <c r="H45" s="576"/>
      <c r="I45" s="576"/>
      <c r="J45" s="576"/>
      <c r="K45" s="576"/>
      <c r="L45" s="576"/>
      <c r="M45" s="576"/>
      <c r="N45" s="576"/>
      <c r="O45" s="577"/>
      <c r="P45" s="72" t="s">
        <v>857</v>
      </c>
      <c r="Q45" s="53" t="s">
        <v>769</v>
      </c>
      <c r="R45" s="1132">
        <f>SUMIFS(COMPRAS!DE:DE,COMPRAS!AS:AS,W45,COMPRAS!DC:DC,"SI")+SUMIFS(COMPRAS!DF:DF,COMPRAS!AU:AU,W45,COMPRAS!DC:DC,"SI")+SUMIFS(COMPRAS!DG:DG,COMPRAS!AW:AW,W45,COMPRAS!DC:DC,"SI")</f>
        <v>0</v>
      </c>
      <c r="S45" s="1132"/>
      <c r="T45" s="1132"/>
      <c r="U45" s="1132"/>
      <c r="V45" s="1132"/>
      <c r="W45" s="72" t="s">
        <v>856</v>
      </c>
      <c r="X45" s="53" t="s">
        <v>769</v>
      </c>
      <c r="Y45" s="135">
        <f>SUMIFS(COMPRAS!AT:AT,COMPRAS!AS:AS,W45,COMPRAS!DC:DC,"SI")+SUMIFS(COMPRAS!AV:AV,COMPRAS!AU:AU,W45,COMPRAS!DC:DC,"SI")+SUMIFS(COMPRAS!AX:AX,COMPRAS!AW:AW,W45,COMPRAS!DC:DC,"SI")</f>
        <v>0</v>
      </c>
      <c r="Z45" s="1133">
        <f t="shared" si="2"/>
        <v>0</v>
      </c>
      <c r="AA45" s="1134"/>
      <c r="AB45" s="1134"/>
      <c r="AC45" s="1134"/>
      <c r="AD45" s="1135"/>
      <c r="AE45" s="72" t="s">
        <v>855</v>
      </c>
      <c r="AF45" s="53" t="s">
        <v>769</v>
      </c>
      <c r="AG45" s="1133">
        <f>IF(Z45&gt;0,SUMIFS(COMPRAS!Z:Z,COMPRAS!AS:AS,W45,COMPRAS!DC:DC,"SI")+SUMIFS(COMPRAS!Z:Z,COMPRAS!AU:AU,W45,COMPRAS!DC:DC,"SI")+SUMIFS(COMPRAS!Z:Z,COMPRAS!AW:AW,W45,COMPRAS!DC:DC,"SI"),0)</f>
        <v>0</v>
      </c>
      <c r="AH45" s="1134"/>
      <c r="AI45" s="1134"/>
      <c r="AJ45" s="1134"/>
      <c r="AK45" s="1136"/>
      <c r="AL45" s="95"/>
    </row>
    <row r="46" spans="1:40" ht="18.75" customHeight="1" x14ac:dyDescent="0.35">
      <c r="A46" s="131" t="s">
        <v>2029</v>
      </c>
      <c r="B46" s="76"/>
      <c r="C46" s="76"/>
      <c r="D46" s="76"/>
      <c r="E46" s="76"/>
      <c r="F46" s="76"/>
      <c r="G46" s="76"/>
      <c r="H46" s="76"/>
      <c r="I46" s="76"/>
      <c r="J46" s="76"/>
      <c r="K46" s="76"/>
      <c r="L46" s="76"/>
      <c r="M46" s="76"/>
      <c r="N46" s="76"/>
      <c r="O46" s="134"/>
      <c r="P46" s="40" t="s">
        <v>854</v>
      </c>
      <c r="Q46" s="74" t="s">
        <v>769</v>
      </c>
      <c r="R46" s="1132">
        <f>SUMIFS(COMPRAS!DE:DE,COMPRAS!AS:AS,W46,COMPRAS!DC:DC,"SI")+SUMIFS(COMPRAS!DF:DF,COMPRAS!AU:AU,W46,COMPRAS!DC:DC,"SI")+SUMIFS(COMPRAS!DG:DG,COMPRAS!AW:AW,W46,COMPRAS!DC:DC,"SI")</f>
        <v>0</v>
      </c>
      <c r="S46" s="1132"/>
      <c r="T46" s="1132"/>
      <c r="U46" s="1132"/>
      <c r="V46" s="1132"/>
      <c r="W46" s="40" t="s">
        <v>853</v>
      </c>
      <c r="X46" s="74" t="s">
        <v>769</v>
      </c>
      <c r="Y46" s="135">
        <f>SUMIFS(COMPRAS!AT:AT,COMPRAS!AS:AS,W46,COMPRAS!DC:DC,"SI")+SUMIFS(COMPRAS!AV:AV,COMPRAS!AU:AU,W46,COMPRAS!DC:DC,"SI")+SUMIFS(COMPRAS!AX:AX,COMPRAS!AW:AW,W46,COMPRAS!DC:DC,"SI")</f>
        <v>0</v>
      </c>
      <c r="Z46" s="1133">
        <f t="shared" si="2"/>
        <v>0</v>
      </c>
      <c r="AA46" s="1134"/>
      <c r="AB46" s="1134"/>
      <c r="AC46" s="1134"/>
      <c r="AD46" s="1135"/>
      <c r="AE46" s="72" t="s">
        <v>852</v>
      </c>
      <c r="AF46" s="53" t="s">
        <v>769</v>
      </c>
      <c r="AG46" s="1161">
        <f>IF(Z46&gt;0,SUMIFS(COMPRAS!Z:Z,COMPRAS!AS:AS,W46,COMPRAS!DC:DC,"SI")+SUMIFS(COMPRAS!Z:Z,COMPRAS!AU:AU,W46,COMPRAS!DC:DC,"SI")+SUMIFS(COMPRAS!Z:Z,COMPRAS!AW:AW,W46,COMPRAS!DC:DC,"SI"),0)</f>
        <v>0</v>
      </c>
      <c r="AH46" s="1162"/>
      <c r="AI46" s="1162"/>
      <c r="AJ46" s="1162"/>
      <c r="AK46" s="1260"/>
      <c r="AL46" s="95"/>
    </row>
    <row r="47" spans="1:40" ht="18.649999999999999" customHeight="1" x14ac:dyDescent="0.35">
      <c r="A47" s="41" t="s">
        <v>2030</v>
      </c>
      <c r="B47" s="15"/>
      <c r="C47" s="15"/>
      <c r="D47" s="15"/>
      <c r="E47" s="15"/>
      <c r="F47" s="15"/>
      <c r="G47" s="15"/>
      <c r="H47" s="15"/>
      <c r="I47" s="15"/>
      <c r="J47" s="15"/>
      <c r="K47" s="15"/>
      <c r="L47" s="15"/>
      <c r="M47" s="15"/>
      <c r="N47" s="15"/>
      <c r="O47" s="130"/>
      <c r="P47" s="128"/>
      <c r="Q47" s="127"/>
      <c r="R47" s="127"/>
      <c r="S47" s="127"/>
      <c r="T47" s="127"/>
      <c r="U47" s="127"/>
      <c r="V47" s="126"/>
      <c r="W47" s="128"/>
      <c r="X47" s="127"/>
      <c r="Y47" s="127"/>
      <c r="Z47" s="127"/>
      <c r="AA47" s="127"/>
      <c r="AB47" s="127"/>
      <c r="AC47" s="127"/>
      <c r="AD47" s="126"/>
      <c r="AE47" s="36" t="s">
        <v>851</v>
      </c>
      <c r="AF47" s="51" t="s">
        <v>769</v>
      </c>
      <c r="AG47" s="1193">
        <v>0</v>
      </c>
      <c r="AH47" s="1194"/>
      <c r="AI47" s="1194"/>
      <c r="AJ47" s="1194"/>
      <c r="AK47" s="1195"/>
      <c r="AL47" s="75"/>
    </row>
    <row r="48" spans="1:40" ht="17.5" x14ac:dyDescent="0.35">
      <c r="A48" s="41" t="s">
        <v>2031</v>
      </c>
      <c r="B48" s="15"/>
      <c r="C48" s="15"/>
      <c r="D48" s="15"/>
      <c r="E48" s="15"/>
      <c r="F48" s="15"/>
      <c r="G48" s="15"/>
      <c r="H48" s="15"/>
      <c r="I48" s="15"/>
      <c r="J48" s="15"/>
      <c r="K48" s="15"/>
      <c r="L48" s="15"/>
      <c r="M48" s="15"/>
      <c r="N48" s="15"/>
      <c r="O48" s="130"/>
      <c r="P48" s="128"/>
      <c r="Q48" s="127"/>
      <c r="R48" s="127"/>
      <c r="S48" s="127"/>
      <c r="T48" s="127"/>
      <c r="U48" s="127"/>
      <c r="V48" s="126"/>
      <c r="W48" s="128"/>
      <c r="X48" s="127"/>
      <c r="Y48" s="127"/>
      <c r="Z48" s="127"/>
      <c r="AA48" s="127"/>
      <c r="AB48" s="127"/>
      <c r="AC48" s="127"/>
      <c r="AD48" s="126"/>
      <c r="AE48" s="36" t="s">
        <v>1038</v>
      </c>
      <c r="AF48" s="51" t="s">
        <v>769</v>
      </c>
      <c r="AG48" s="1193">
        <v>0</v>
      </c>
      <c r="AH48" s="1194"/>
      <c r="AI48" s="1194"/>
      <c r="AJ48" s="1194"/>
      <c r="AK48" s="1195"/>
    </row>
    <row r="49" spans="1:38" ht="18.75" customHeight="1" x14ac:dyDescent="0.35">
      <c r="A49" s="131" t="s">
        <v>2032</v>
      </c>
      <c r="B49" s="76"/>
      <c r="C49" s="76"/>
      <c r="D49" s="76"/>
      <c r="E49" s="76"/>
      <c r="F49" s="76"/>
      <c r="G49" s="76"/>
      <c r="H49" s="76"/>
      <c r="I49" s="76"/>
      <c r="J49" s="76"/>
      <c r="K49" s="76"/>
      <c r="L49" s="76"/>
      <c r="M49" s="76"/>
      <c r="N49" s="76"/>
      <c r="O49" s="134"/>
      <c r="P49" s="72" t="s">
        <v>850</v>
      </c>
      <c r="Q49" s="53" t="s">
        <v>769</v>
      </c>
      <c r="R49" s="1132">
        <f>SUMIFS(COMPRAS!DE:DE,COMPRAS!AS:AS,W49,COMPRAS!DC:DC,"SI")+SUMIFS(COMPRAS!DF:DF,COMPRAS!AU:AU,W49,COMPRAS!DC:DC,"SI")+SUMIFS(COMPRAS!DG:DG,COMPRAS!AW:AW,W49,COMPRAS!DC:DC,"SI")</f>
        <v>0</v>
      </c>
      <c r="S49" s="1132"/>
      <c r="T49" s="1132"/>
      <c r="U49" s="1132"/>
      <c r="V49" s="1132"/>
      <c r="W49" s="72" t="s">
        <v>849</v>
      </c>
      <c r="X49" s="53" t="s">
        <v>769</v>
      </c>
      <c r="Y49" s="280">
        <f>SUMIFS(COMPRAS!AT:AT,COMPRAS!AS:AS,W49,COMPRAS!DC:DC,"SI")+SUMIFS(COMPRAS!AV:AV,COMPRAS!AU:AU,W49,COMPRAS!DC:DC,"SI")+SUMIFS(COMPRAS!AX:AX,COMPRAS!AW:AW,W49,COMPRAS!DC:DC,"SI")</f>
        <v>0</v>
      </c>
      <c r="Z49" s="1133">
        <f>IF(Y49&lt;0,0,Y49)</f>
        <v>0</v>
      </c>
      <c r="AA49" s="1134"/>
      <c r="AB49" s="1134"/>
      <c r="AC49" s="1134"/>
      <c r="AD49" s="1135"/>
      <c r="AE49" s="1168" t="s">
        <v>749</v>
      </c>
      <c r="AF49" s="1169"/>
      <c r="AG49" s="1169"/>
      <c r="AH49" s="1169"/>
      <c r="AI49" s="1169"/>
      <c r="AJ49" s="1169"/>
      <c r="AK49" s="1170"/>
    </row>
    <row r="50" spans="1:38" ht="18.75" customHeight="1" x14ac:dyDescent="0.35">
      <c r="A50" s="129" t="s">
        <v>2033</v>
      </c>
      <c r="B50" s="76"/>
      <c r="C50" s="76"/>
      <c r="D50" s="76"/>
      <c r="E50" s="76"/>
      <c r="F50" s="76"/>
      <c r="G50" s="76"/>
      <c r="H50" s="76"/>
      <c r="I50" s="76"/>
      <c r="J50" s="76"/>
      <c r="K50" s="76"/>
      <c r="L50" s="76"/>
      <c r="M50" s="76"/>
      <c r="N50" s="76"/>
      <c r="O50" s="134"/>
      <c r="P50" s="40" t="s">
        <v>848</v>
      </c>
      <c r="Q50" s="53" t="s">
        <v>769</v>
      </c>
      <c r="R50" s="1132">
        <f>SUMIFS(COMPRAS!DE:DE,COMPRAS!AS:AS,W50,COMPRAS!DC:DC,"SI")+SUMIFS(COMPRAS!DF:DF,COMPRAS!AU:AU,W50,COMPRAS!DC:DC,"SI")+SUMIFS(COMPRAS!DG:DG,COMPRAS!AW:AW,W50,COMPRAS!DC:DC,"SI")</f>
        <v>0</v>
      </c>
      <c r="S50" s="1132"/>
      <c r="T50" s="1132"/>
      <c r="U50" s="1132"/>
      <c r="V50" s="1132"/>
      <c r="W50" s="40" t="s">
        <v>847</v>
      </c>
      <c r="X50" s="53" t="s">
        <v>769</v>
      </c>
      <c r="Y50" s="280">
        <f>SUMIFS(COMPRAS!AT:AT,COMPRAS!AS:AS,W50,COMPRAS!DC:DC,"SI")+SUMIFS(COMPRAS!AV:AV,COMPRAS!AU:AU,W50,COMPRAS!DC:DC,"SI")+SUMIFS(COMPRAS!AX:AX,COMPRAS!AW:AW,W50,COMPRAS!DC:DC,"SI")</f>
        <v>0</v>
      </c>
      <c r="Z50" s="1133">
        <f>IF(Y50&lt;0,0,Y50)</f>
        <v>0</v>
      </c>
      <c r="AA50" s="1134"/>
      <c r="AB50" s="1134"/>
      <c r="AC50" s="1134"/>
      <c r="AD50" s="1135"/>
      <c r="AE50" s="1171"/>
      <c r="AF50" s="1172"/>
      <c r="AG50" s="1172"/>
      <c r="AH50" s="1172"/>
      <c r="AI50" s="1172"/>
      <c r="AJ50" s="1172"/>
      <c r="AK50" s="1173"/>
    </row>
    <row r="51" spans="1:38" ht="18.75" customHeight="1" thickBot="1" x14ac:dyDescent="0.4">
      <c r="A51" s="131" t="s">
        <v>2034</v>
      </c>
      <c r="B51" s="15"/>
      <c r="C51" s="15"/>
      <c r="D51" s="15"/>
      <c r="E51" s="15"/>
      <c r="F51" s="41"/>
      <c r="G51" s="15"/>
      <c r="H51" s="15"/>
      <c r="I51" s="15"/>
      <c r="J51" s="15"/>
      <c r="K51" s="15"/>
      <c r="L51" s="15"/>
      <c r="M51" s="15"/>
      <c r="N51" s="15"/>
      <c r="O51" s="130"/>
      <c r="P51" s="40" t="s">
        <v>846</v>
      </c>
      <c r="Q51" s="53" t="s">
        <v>769</v>
      </c>
      <c r="R51" s="1269">
        <f>SUMIFS(COMPRAS!DE:DE,COMPRAS!AS:AS,W51,COMPRAS!DC:DC,"SI")+SUMIFS(COMPRAS!DF:DF,COMPRAS!AU:AU,W51,COMPRAS!DC:DC,"SI")+SUMIFS(COMPRAS!DG:DG,COMPRAS!AW:AW,W51,COMPRAS!DC:DC,"SI")</f>
        <v>0</v>
      </c>
      <c r="S51" s="1270"/>
      <c r="T51" s="1270"/>
      <c r="U51" s="1270"/>
      <c r="V51" s="1271"/>
      <c r="W51" s="72" t="s">
        <v>845</v>
      </c>
      <c r="X51" s="74" t="s">
        <v>769</v>
      </c>
      <c r="Y51" s="135">
        <f>SUMIFS(COMPRAS!AT:AT,COMPRAS!AS:AS,W51,COMPRAS!DC:DC,"SI")+SUMIFS(COMPRAS!AV:AV,COMPRAS!AU:AU,W51,COMPRAS!DC:DC,"SI")+SUMIFS(COMPRAS!AX:AX,COMPRAS!AW:AW,W51,COMPRAS!DC:DC,"SI")</f>
        <v>0</v>
      </c>
      <c r="Z51" s="1158">
        <f>IF(Y51&lt;0,0,Y51)</f>
        <v>0</v>
      </c>
      <c r="AA51" s="1159"/>
      <c r="AB51" s="1159"/>
      <c r="AC51" s="1159"/>
      <c r="AD51" s="1160"/>
      <c r="AE51" s="1174"/>
      <c r="AF51" s="1175"/>
      <c r="AG51" s="1175"/>
      <c r="AH51" s="1175"/>
      <c r="AI51" s="1175"/>
      <c r="AJ51" s="1175"/>
      <c r="AK51" s="1176"/>
    </row>
    <row r="52" spans="1:38" ht="18.75" customHeight="1" thickBot="1" x14ac:dyDescent="0.4">
      <c r="A52" s="71" t="s">
        <v>844</v>
      </c>
      <c r="B52" s="33"/>
      <c r="C52" s="33"/>
      <c r="D52" s="33"/>
      <c r="E52" s="33"/>
      <c r="F52" s="34"/>
      <c r="G52" s="33"/>
      <c r="H52" s="33"/>
      <c r="I52" s="33"/>
      <c r="J52" s="33"/>
      <c r="K52" s="33"/>
      <c r="L52" s="33"/>
      <c r="M52" s="33"/>
      <c r="N52" s="33"/>
      <c r="O52" s="133"/>
      <c r="P52" s="59" t="s">
        <v>843</v>
      </c>
      <c r="Q52" s="281" t="s">
        <v>767</v>
      </c>
      <c r="R52" s="1265">
        <f>SUM(R39:V51)</f>
        <v>35909.600000000013</v>
      </c>
      <c r="S52" s="1156"/>
      <c r="T52" s="1156"/>
      <c r="U52" s="1156"/>
      <c r="V52" s="1199"/>
      <c r="W52" s="282" t="s">
        <v>842</v>
      </c>
      <c r="X52" s="58" t="s">
        <v>767</v>
      </c>
      <c r="Y52" s="132">
        <f>+Z52+X53+X55+X56+X57</f>
        <v>33770.640000000014</v>
      </c>
      <c r="Z52" s="1155">
        <f>SUM(Z39:AD51)</f>
        <v>33770.640000000014</v>
      </c>
      <c r="AA52" s="1156"/>
      <c r="AB52" s="1156"/>
      <c r="AC52" s="1156"/>
      <c r="AD52" s="1157"/>
      <c r="AE52" s="59" t="s">
        <v>841</v>
      </c>
      <c r="AF52" s="58" t="s">
        <v>767</v>
      </c>
      <c r="AG52" s="1155">
        <f>IF((SUM(AG39:AK47)-AG48)&gt;0,(SUM(AG39:AK47)-AG48),0)</f>
        <v>5065.6099999999997</v>
      </c>
      <c r="AH52" s="1156"/>
      <c r="AI52" s="1156"/>
      <c r="AJ52" s="1156"/>
      <c r="AK52" s="1199"/>
      <c r="AL52" s="136"/>
    </row>
    <row r="53" spans="1:38" ht="18.75" customHeight="1" x14ac:dyDescent="0.35">
      <c r="A53" s="131" t="s">
        <v>2035</v>
      </c>
      <c r="B53" s="15"/>
      <c r="C53" s="15"/>
      <c r="D53" s="15"/>
      <c r="E53" s="15"/>
      <c r="F53" s="15"/>
      <c r="G53" s="15"/>
      <c r="H53" s="15"/>
      <c r="I53" s="15"/>
      <c r="J53" s="15"/>
      <c r="K53" s="15"/>
      <c r="L53" s="15"/>
      <c r="M53" s="15"/>
      <c r="N53" s="15"/>
      <c r="O53" s="130"/>
      <c r="P53" s="40" t="s">
        <v>840</v>
      </c>
      <c r="Q53" s="53" t="s">
        <v>769</v>
      </c>
      <c r="R53" s="1143">
        <f>SUMIFS(COMPRAS!DE:DE,COMPRAS!AS:AS,W53,COMPRAS!DC:DC,"SI")+SUMIFS(COMPRAS!DF:DF,COMPRAS!AU:AU,W53,COMPRAS!DC:DC,"SI")+SUMIFS(COMPRAS!DG:DG,COMPRAS!AW:AW,W53,COMPRAS!DC:DC,"SI")</f>
        <v>0</v>
      </c>
      <c r="S53" s="1143"/>
      <c r="T53" s="1143"/>
      <c r="U53" s="1143"/>
      <c r="V53" s="1143"/>
      <c r="W53" s="40" t="s">
        <v>839</v>
      </c>
      <c r="X53" s="1144">
        <f>SUMIFS(COMPRAS!AT:AT,COMPRAS!AS:AS,W53,COMPRAS!DC:DC,"SI")+SUMIFS(COMPRAS!AV:AV,COMPRAS!AU:AU,W53,COMPRAS!DC:DC,"SI")+SUMIFS(COMPRAS!AX:AX,COMPRAS!AW:AW,W53,COMPRAS!DC:DC,"SI")</f>
        <v>0</v>
      </c>
      <c r="Y53" s="1145"/>
      <c r="Z53" s="1145"/>
      <c r="AA53" s="1145"/>
      <c r="AB53" s="1145"/>
      <c r="AC53" s="1145"/>
      <c r="AD53" s="1146"/>
      <c r="AE53" s="1272" t="s">
        <v>749</v>
      </c>
      <c r="AF53" s="1273"/>
      <c r="AG53" s="1273"/>
      <c r="AH53" s="1273"/>
      <c r="AI53" s="1273"/>
      <c r="AJ53" s="1273"/>
      <c r="AK53" s="1274"/>
    </row>
    <row r="54" spans="1:38" ht="18.75" customHeight="1" x14ac:dyDescent="0.35">
      <c r="A54" s="129" t="s">
        <v>2036</v>
      </c>
      <c r="B54" s="43"/>
      <c r="C54" s="43"/>
      <c r="D54" s="43"/>
      <c r="E54" s="43"/>
      <c r="F54" s="43"/>
      <c r="G54" s="43"/>
      <c r="H54" s="43"/>
      <c r="I54" s="43"/>
      <c r="J54" s="43"/>
      <c r="K54" s="43"/>
      <c r="L54" s="43"/>
      <c r="M54" s="43"/>
      <c r="N54" s="43"/>
      <c r="O54" s="43"/>
      <c r="P54" s="40" t="s">
        <v>838</v>
      </c>
      <c r="Q54" s="53" t="s">
        <v>769</v>
      </c>
      <c r="R54" s="1132">
        <f>SUMIFS(COMPRAS!DE:DE,COMPRAS!AS:AS,W54,COMPRAS!DC:DC,"SI")+SUMIFS(COMPRAS!DF:DF,COMPRAS!AU:AU,W54,COMPRAS!DC:DC,"SI")+SUMIFS(COMPRAS!DG:DG,COMPRAS!AW:AW,W54,COMPRAS!DC:DC,"SI")</f>
        <v>0</v>
      </c>
      <c r="S54" s="1132"/>
      <c r="T54" s="1132"/>
      <c r="U54" s="1132"/>
      <c r="V54" s="1132"/>
      <c r="W54" s="72" t="s">
        <v>837</v>
      </c>
      <c r="X54" s="1132">
        <f>SUMIFS(COMPRAS!AT:AT,COMPRAS!AS:AS,W54,COMPRAS!DC:DC,"SI")+SUMIFS(COMPRAS!AV:AV,COMPRAS!AU:AU,W54,COMPRAS!DC:DC,"SI")+SUMIFS(COMPRAS!AX:AX,COMPRAS!AW:AW,W54,COMPRAS!DC:DC,"SI")</f>
        <v>0</v>
      </c>
      <c r="Y54" s="1132"/>
      <c r="Z54" s="1132"/>
      <c r="AA54" s="1132"/>
      <c r="AB54" s="1132"/>
      <c r="AC54" s="1132"/>
      <c r="AD54" s="1132"/>
      <c r="AE54" s="1171"/>
      <c r="AF54" s="1172"/>
      <c r="AG54" s="1172"/>
      <c r="AH54" s="1172"/>
      <c r="AI54" s="1172"/>
      <c r="AJ54" s="1172"/>
      <c r="AK54" s="1173"/>
    </row>
    <row r="55" spans="1:38" ht="18.75" customHeight="1" x14ac:dyDescent="0.35">
      <c r="A55" s="129" t="s">
        <v>2037</v>
      </c>
      <c r="B55" s="43"/>
      <c r="C55" s="43"/>
      <c r="D55" s="43"/>
      <c r="E55" s="43"/>
      <c r="F55" s="44"/>
      <c r="G55" s="43"/>
      <c r="H55" s="43"/>
      <c r="I55" s="43"/>
      <c r="J55" s="43"/>
      <c r="K55" s="43"/>
      <c r="L55" s="43"/>
      <c r="M55" s="43"/>
      <c r="N55" s="43"/>
      <c r="O55" s="43"/>
      <c r="P55" s="128"/>
      <c r="Q55" s="127"/>
      <c r="R55" s="127"/>
      <c r="S55" s="127"/>
      <c r="T55" s="127"/>
      <c r="U55" s="127"/>
      <c r="V55" s="126"/>
      <c r="W55" s="40" t="s">
        <v>836</v>
      </c>
      <c r="X55" s="1132">
        <f>IF(Y49&lt;0,ABS(Y49),0)+IF(Y50&lt;0,ABS(Y50),0)</f>
        <v>0</v>
      </c>
      <c r="Y55" s="1132"/>
      <c r="Z55" s="1132"/>
      <c r="AA55" s="1132"/>
      <c r="AB55" s="1132"/>
      <c r="AC55" s="1132"/>
      <c r="AD55" s="1132"/>
      <c r="AE55" s="1275"/>
      <c r="AF55" s="1276"/>
      <c r="AG55" s="1276"/>
      <c r="AH55" s="1276"/>
      <c r="AI55" s="1276"/>
      <c r="AJ55" s="1276"/>
      <c r="AK55" s="1277"/>
    </row>
    <row r="56" spans="1:38" ht="18.75" customHeight="1" x14ac:dyDescent="0.35">
      <c r="A56" s="99" t="s">
        <v>2038</v>
      </c>
      <c r="B56" s="15"/>
      <c r="C56" s="15"/>
      <c r="D56" s="15"/>
      <c r="E56" s="15"/>
      <c r="F56" s="41"/>
      <c r="G56" s="15"/>
      <c r="H56" s="15"/>
      <c r="I56" s="15"/>
      <c r="J56" s="15"/>
      <c r="K56" s="15"/>
      <c r="L56" s="15"/>
      <c r="M56" s="15"/>
      <c r="N56" s="15"/>
      <c r="O56" s="15"/>
      <c r="P56" s="128"/>
      <c r="Q56" s="127"/>
      <c r="R56" s="127"/>
      <c r="S56" s="127"/>
      <c r="T56" s="127"/>
      <c r="U56" s="127"/>
      <c r="V56" s="126"/>
      <c r="W56" s="72" t="s">
        <v>835</v>
      </c>
      <c r="X56" s="1132">
        <f>IF(Y39&lt;0,ABS(Y39),0)+IF(Y40&lt;0,ABS(Y40),0)+IF(Y41&lt;0,ABS(Y41),0)+IF(Y42&lt;0,ABS(Y42),0)+IF(Y43&lt;0,ABS(Y43),0)+IF(Y44&lt;0,ABS(Y44),0)+IF(Y45&lt;0,ABS(Y45),0)+IF(Y46&lt;0,ABS(Y46),0)</f>
        <v>0</v>
      </c>
      <c r="Y56" s="1132"/>
      <c r="Z56" s="1132"/>
      <c r="AA56" s="1132"/>
      <c r="AB56" s="1132"/>
      <c r="AC56" s="1132"/>
      <c r="AD56" s="1132"/>
      <c r="AE56" s="72" t="s">
        <v>834</v>
      </c>
      <c r="AF56" s="1248">
        <f>IF(X56&gt;0,ABS(AF57-SUMIF(COMPRAS!DC:DC,"SI",COMPRAS!Z:Z)+SUMIF(COMPRAS!DC:DC,"SI",COMPRAS!AC:AC)+SUMIF(COMPRAS!DC:DC,"SI",COMPRAS!AF:AF)),0)</f>
        <v>0</v>
      </c>
      <c r="AG56" s="1249"/>
      <c r="AH56" s="1249"/>
      <c r="AI56" s="1249"/>
      <c r="AJ56" s="1249"/>
      <c r="AK56" s="1250"/>
    </row>
    <row r="57" spans="1:38" ht="18.75" customHeight="1" thickBot="1" x14ac:dyDescent="0.4">
      <c r="A57" s="125" t="s">
        <v>2039</v>
      </c>
      <c r="B57" s="123"/>
      <c r="C57" s="123"/>
      <c r="D57" s="123"/>
      <c r="E57" s="123"/>
      <c r="F57" s="124"/>
      <c r="G57" s="123"/>
      <c r="H57" s="123"/>
      <c r="I57" s="123"/>
      <c r="J57" s="123"/>
      <c r="K57" s="123"/>
      <c r="L57" s="123"/>
      <c r="M57" s="123"/>
      <c r="N57" s="123"/>
      <c r="O57" s="123"/>
      <c r="P57" s="121" t="s">
        <v>833</v>
      </c>
      <c r="Q57" s="122" t="s">
        <v>769</v>
      </c>
      <c r="R57" s="1261">
        <f>SUMIFS(COMPRAS!DE:DE,COMPRAS!AS:AS,W57,COMPRAS!DC:DC,"SI")+SUMIFS(COMPRAS!DF:DF,COMPRAS!AU:AU,W57,COMPRAS!DC:DC,"SI")+SUMIFS(COMPRAS!DG:DG,COMPRAS!AW:AW,W57,COMPRAS!DC:DC,"SI")</f>
        <v>0</v>
      </c>
      <c r="S57" s="1261"/>
      <c r="T57" s="1261"/>
      <c r="U57" s="1261"/>
      <c r="V57" s="1261"/>
      <c r="W57" s="121" t="s">
        <v>832</v>
      </c>
      <c r="X57" s="1261">
        <f>SUMIFS(COMPRAS!AT:AT,COMPRAS!AS:AS,W57,COMPRAS!DC:DC,"SI")+SUMIFS(COMPRAS!AV:AV,COMPRAS!AU:AU,W57,COMPRAS!DC:DC,"SI")+SUMIFS(COMPRAS!AX:AX,COMPRAS!AW:AW,W57,COMPRAS!DC:DC,"SI")</f>
        <v>0</v>
      </c>
      <c r="Y57" s="1261"/>
      <c r="Z57" s="1261"/>
      <c r="AA57" s="1261"/>
      <c r="AB57" s="1261"/>
      <c r="AC57" s="1261"/>
      <c r="AD57" s="1261"/>
      <c r="AE57" s="274" t="s">
        <v>831</v>
      </c>
      <c r="AF57" s="1266">
        <f>SUMIFS(COMPRAS!Z:Z,COMPRAS!DC:DC,"SI",COMPRAS!AS:AS,W57)+SUMIFS(COMPRAS!Z:Z,COMPRAS!DC:DC,"SI",COMPRAS!AU:AU,W57)+SUMIFS(COMPRAS!Z:Z,COMPRAS!DC:DC,"SI",COMPRAS!AW:AW,W57)+SUMIFS(COMPRAS!AC:AC,COMPRAS!DC:DC,"SI",COMPRAS!AS:AS,W57)+SUMIFS(COMPRAS!AC:AC,COMPRAS!DC:DC,"SI",COMPRAS!AU:AU,W57)+SUMIFS(COMPRAS!AC:AC,COMPRAS!DC:DC,"SI",COMPRAS!AW:AW,W57)+SUMIFS(COMPRAS!AF:AF,COMPRAS!DC:DC,"SI",COMPRAS!AS:AS,W57)+SUMIFS(COMPRAS!AF:AF,COMPRAS!DC:DC,"SI",COMPRAS!AU:AU,W57)+SUMIFS(COMPRAS!AF:AF,COMPRAS!DC:DC,"SI",COMPRAS!AW:AW,W57)</f>
        <v>0</v>
      </c>
      <c r="AG57" s="1267"/>
      <c r="AH57" s="1267"/>
      <c r="AI57" s="1267"/>
      <c r="AJ57" s="1267"/>
      <c r="AK57" s="1268"/>
    </row>
    <row r="58" spans="1:38" ht="8.25" customHeight="1" thickBot="1" x14ac:dyDescent="0.4">
      <c r="A58" s="23"/>
      <c r="AK58" s="19"/>
    </row>
    <row r="59" spans="1:38" ht="18.75" customHeight="1" thickBot="1" x14ac:dyDescent="0.4">
      <c r="A59" s="120" t="s">
        <v>830</v>
      </c>
      <c r="B59" s="118"/>
      <c r="C59" s="118"/>
      <c r="D59" s="118"/>
      <c r="E59" s="118"/>
      <c r="F59" s="119"/>
      <c r="G59" s="118"/>
      <c r="H59" s="118"/>
      <c r="I59" s="118"/>
      <c r="J59" s="118"/>
      <c r="K59" s="118"/>
      <c r="L59" s="118"/>
      <c r="M59" s="118"/>
      <c r="N59" s="118"/>
      <c r="O59" s="118"/>
      <c r="P59" s="118"/>
      <c r="Q59" s="118"/>
      <c r="R59" s="118"/>
      <c r="S59" s="118"/>
      <c r="T59" s="118"/>
      <c r="U59" s="118"/>
      <c r="V59" s="118"/>
      <c r="W59" s="118"/>
      <c r="X59" s="118"/>
      <c r="Y59" s="118"/>
      <c r="Z59" s="118"/>
      <c r="AA59" s="118"/>
      <c r="AB59" s="118"/>
      <c r="AC59" s="118"/>
      <c r="AD59" s="117" t="s">
        <v>2235</v>
      </c>
      <c r="AE59" s="116" t="s">
        <v>829</v>
      </c>
      <c r="AF59" s="1262">
        <f>ROUND((IF(AND(Z25&gt;0,(Z19+Z20)&gt;0),(Z13+Z14+Z15+Z16+Z21+Z22+Z23+Z24)/Z25,IF(Z25&gt;0,1,0))),4)</f>
        <v>1</v>
      </c>
      <c r="AG59" s="1263"/>
      <c r="AH59" s="1263"/>
      <c r="AI59" s="1263"/>
      <c r="AJ59" s="1263"/>
      <c r="AK59" s="1264"/>
    </row>
    <row r="60" spans="1:38" ht="18.75" customHeight="1" thickBot="1" x14ac:dyDescent="0.4">
      <c r="A60" s="71" t="s">
        <v>828</v>
      </c>
      <c r="B60" s="33"/>
      <c r="C60" s="33"/>
      <c r="D60" s="33"/>
      <c r="E60" s="33"/>
      <c r="F60" s="34"/>
      <c r="G60" s="33"/>
      <c r="H60" s="33"/>
      <c r="I60" s="33"/>
      <c r="J60" s="33"/>
      <c r="K60" s="33"/>
      <c r="L60" s="33"/>
      <c r="M60" s="33"/>
      <c r="N60" s="33"/>
      <c r="O60" s="33"/>
      <c r="P60" s="33"/>
      <c r="Q60" s="33"/>
      <c r="R60" s="33"/>
      <c r="S60" s="33"/>
      <c r="T60" s="33"/>
      <c r="U60" s="33"/>
      <c r="V60" s="33"/>
      <c r="W60" s="33"/>
      <c r="X60" s="33"/>
      <c r="Y60" s="33"/>
      <c r="Z60" s="33"/>
      <c r="AA60" s="33"/>
      <c r="AB60" s="33"/>
      <c r="AC60" s="33"/>
      <c r="AD60" s="70" t="s">
        <v>2236</v>
      </c>
      <c r="AE60" s="115" t="s">
        <v>827</v>
      </c>
      <c r="AF60" s="58" t="s">
        <v>767</v>
      </c>
      <c r="AG60" s="1155">
        <f>+ROUND(((AG39+AG40+AG41+AG42+AG44+AG45+AG46+AG47-AG48)*AF59),2)</f>
        <v>5065.6099999999997</v>
      </c>
      <c r="AH60" s="1156"/>
      <c r="AI60" s="1156"/>
      <c r="AJ60" s="1156"/>
      <c r="AK60" s="1199"/>
      <c r="AL60" s="267"/>
    </row>
    <row r="61" spans="1:38" ht="18.75" customHeight="1" thickBot="1" x14ac:dyDescent="0.4">
      <c r="A61" s="921" t="s">
        <v>2415</v>
      </c>
      <c r="B61" s="118"/>
      <c r="C61" s="118"/>
      <c r="D61" s="118"/>
      <c r="E61" s="118"/>
      <c r="F61" s="119"/>
      <c r="G61" s="118"/>
      <c r="H61" s="118"/>
      <c r="I61" s="118"/>
      <c r="J61" s="118"/>
      <c r="K61" s="118"/>
      <c r="L61" s="118"/>
      <c r="M61" s="118"/>
      <c r="N61" s="118"/>
      <c r="O61" s="118"/>
      <c r="P61" s="118"/>
      <c r="Q61" s="118"/>
      <c r="R61" s="118"/>
      <c r="S61" s="118"/>
      <c r="T61" s="118"/>
      <c r="U61" s="118"/>
      <c r="V61" s="118"/>
      <c r="W61" s="118"/>
      <c r="X61" s="118"/>
      <c r="Y61" s="118"/>
      <c r="Z61" s="118"/>
      <c r="AA61" s="118"/>
      <c r="AB61" s="118"/>
      <c r="AC61" s="118"/>
      <c r="AD61" s="117"/>
      <c r="AE61" s="116" t="s">
        <v>2414</v>
      </c>
      <c r="AF61" s="58" t="s">
        <v>767</v>
      </c>
      <c r="AG61" s="1155">
        <f>+ROUND(((AG39+AG40+AG41+AG42+AG44+AG45+AG46+AG47-AG48)-AG60),2)</f>
        <v>0</v>
      </c>
      <c r="AH61" s="1156"/>
      <c r="AI61" s="1156"/>
      <c r="AJ61" s="1156"/>
      <c r="AK61" s="1199"/>
    </row>
    <row r="62" spans="1:38" ht="8.25" customHeight="1" x14ac:dyDescent="0.35">
      <c r="A62" s="23"/>
      <c r="AK62" s="19"/>
    </row>
    <row r="63" spans="1:38" ht="27" customHeight="1" x14ac:dyDescent="0.35">
      <c r="A63" s="1240" t="s">
        <v>1236</v>
      </c>
      <c r="B63" s="1182"/>
      <c r="C63" s="1182"/>
      <c r="D63" s="1182"/>
      <c r="E63" s="1182"/>
      <c r="F63" s="1182"/>
      <c r="G63" s="1182"/>
      <c r="H63" s="1182"/>
      <c r="I63" s="1182"/>
      <c r="J63" s="1183"/>
      <c r="K63" s="320" t="s">
        <v>1233</v>
      </c>
      <c r="L63" s="1178">
        <f>COUNTIFS(COMPRAS!DC:DC,"SI")-COUNTIFS(COMPRAS!DC:DC,"SI",COMPRAS!G:G,"04-Nota de credito")-AC63-AC64</f>
        <v>56</v>
      </c>
      <c r="M63" s="1179"/>
      <c r="N63" s="1179"/>
      <c r="O63" s="1180"/>
      <c r="P63" s="1181" t="s">
        <v>1237</v>
      </c>
      <c r="Q63" s="1182"/>
      <c r="R63" s="1182"/>
      <c r="S63" s="1182"/>
      <c r="T63" s="1182"/>
      <c r="U63" s="1182"/>
      <c r="V63" s="1182"/>
      <c r="W63" s="1182"/>
      <c r="X63" s="1182"/>
      <c r="Y63" s="1182"/>
      <c r="Z63" s="1182"/>
      <c r="AA63" s="1183"/>
      <c r="AB63" s="320" t="s">
        <v>1234</v>
      </c>
      <c r="AC63" s="1178">
        <f>COUNTIFS(COMPRAS!DC:DC,"SI",COMPRAS!G:G,"02-Nota o boleta de venta")</f>
        <v>0</v>
      </c>
      <c r="AD63" s="1179"/>
      <c r="AE63" s="1179"/>
      <c r="AF63" s="1180"/>
      <c r="AG63" s="319"/>
      <c r="AK63" s="19"/>
    </row>
    <row r="64" spans="1:38" ht="27" customHeight="1" x14ac:dyDescent="0.35">
      <c r="A64" s="1240" t="s">
        <v>2040</v>
      </c>
      <c r="B64" s="1182"/>
      <c r="C64" s="1182"/>
      <c r="D64" s="1182"/>
      <c r="E64" s="1182"/>
      <c r="F64" s="1182"/>
      <c r="G64" s="1182"/>
      <c r="H64" s="1182"/>
      <c r="I64" s="1182"/>
      <c r="J64" s="1182"/>
      <c r="K64" s="1182"/>
      <c r="L64" s="1182"/>
      <c r="M64" s="1182"/>
      <c r="N64" s="1182"/>
      <c r="O64" s="1182"/>
      <c r="P64" s="1182"/>
      <c r="Q64" s="1182"/>
      <c r="R64" s="1182"/>
      <c r="S64" s="1182"/>
      <c r="T64" s="1182"/>
      <c r="U64" s="1182"/>
      <c r="V64" s="1182"/>
      <c r="W64" s="1182"/>
      <c r="X64" s="1182"/>
      <c r="Y64" s="1182"/>
      <c r="Z64" s="1182"/>
      <c r="AA64" s="1183"/>
      <c r="AB64" s="320" t="s">
        <v>1235</v>
      </c>
      <c r="AC64" s="1178">
        <f>COUNTIFS(COMPRAS!DC:DC,"SI",COMPRAS!G:G,"03-Liquidación de compra de Bienes o Prestación de servicios")</f>
        <v>0</v>
      </c>
      <c r="AD64" s="1179"/>
      <c r="AE64" s="1179"/>
      <c r="AF64" s="1180"/>
      <c r="AG64" s="319"/>
      <c r="AK64" s="19"/>
    </row>
    <row r="65" spans="1:39" ht="8.25" customHeight="1" thickBot="1" x14ac:dyDescent="0.4">
      <c r="A65" s="23"/>
      <c r="AK65" s="19"/>
    </row>
    <row r="66" spans="1:39" ht="19.5" customHeight="1" thickBot="1" x14ac:dyDescent="0.4">
      <c r="A66" s="114" t="s">
        <v>826</v>
      </c>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8"/>
    </row>
    <row r="67" spans="1:39" ht="18.75" customHeight="1" x14ac:dyDescent="0.35">
      <c r="A67" s="113" t="s">
        <v>2041</v>
      </c>
      <c r="B67" s="43"/>
      <c r="C67" s="43"/>
      <c r="D67" s="43"/>
      <c r="E67" s="43"/>
      <c r="F67" s="43"/>
      <c r="G67" s="43"/>
      <c r="H67" s="43"/>
      <c r="I67" s="43"/>
      <c r="J67" s="43"/>
      <c r="K67" s="43"/>
      <c r="L67" s="43"/>
      <c r="M67" s="43"/>
      <c r="N67" s="43"/>
      <c r="O67" s="43"/>
      <c r="P67" s="43"/>
      <c r="Q67" s="43"/>
      <c r="R67" s="43"/>
      <c r="S67" s="43"/>
      <c r="T67" s="43"/>
      <c r="U67" s="43"/>
      <c r="V67" s="43"/>
      <c r="W67" s="43"/>
      <c r="X67" s="43"/>
      <c r="Y67" s="112"/>
      <c r="Z67" s="43"/>
      <c r="AA67" s="43"/>
      <c r="AB67" s="43"/>
      <c r="AC67" s="43"/>
      <c r="AD67" s="55" t="s">
        <v>2045</v>
      </c>
      <c r="AE67" s="40" t="s">
        <v>825</v>
      </c>
      <c r="AF67" s="111" t="s">
        <v>767</v>
      </c>
      <c r="AG67" s="1147">
        <f>IF((AH34-AG60)&gt;0,(AH34-AG60),0)</f>
        <v>0</v>
      </c>
      <c r="AH67" s="1148"/>
      <c r="AI67" s="1148"/>
      <c r="AJ67" s="1148"/>
      <c r="AK67" s="1149"/>
      <c r="AM67" s="95"/>
    </row>
    <row r="68" spans="1:39" ht="18.75" customHeight="1" x14ac:dyDescent="0.35">
      <c r="A68" s="109" t="s">
        <v>2042</v>
      </c>
      <c r="B68" s="15"/>
      <c r="C68" s="15"/>
      <c r="D68" s="43"/>
      <c r="E68" s="43"/>
      <c r="F68" s="43"/>
      <c r="G68" s="43"/>
      <c r="H68" s="15"/>
      <c r="I68" s="15"/>
      <c r="J68" s="15"/>
      <c r="K68" s="15"/>
      <c r="L68" s="15"/>
      <c r="M68" s="15"/>
      <c r="N68" s="15"/>
      <c r="O68" s="15"/>
      <c r="P68" s="15"/>
      <c r="Q68" s="15"/>
      <c r="R68" s="15"/>
      <c r="S68" s="15"/>
      <c r="T68" s="15"/>
      <c r="U68" s="15"/>
      <c r="V68" s="15"/>
      <c r="W68" s="15"/>
      <c r="X68" s="15"/>
      <c r="Y68" s="110"/>
      <c r="Z68" s="15"/>
      <c r="AA68" s="15"/>
      <c r="AB68" s="15"/>
      <c r="AC68" s="15"/>
      <c r="AD68" s="207" t="s">
        <v>2046</v>
      </c>
      <c r="AE68" s="72" t="s">
        <v>824</v>
      </c>
      <c r="AF68" s="54" t="s">
        <v>767</v>
      </c>
      <c r="AG68" s="1133">
        <f>IF((AH34-AG60)&lt;0,ABS(AH34-AG60),0)</f>
        <v>1580.3599999999997</v>
      </c>
      <c r="AH68" s="1134"/>
      <c r="AI68" s="1134"/>
      <c r="AJ68" s="1134"/>
      <c r="AK68" s="1136"/>
      <c r="AM68" s="95"/>
    </row>
    <row r="69" spans="1:39" s="75" customFormat="1" ht="18.75" customHeight="1" x14ac:dyDescent="0.35">
      <c r="A69" s="109" t="s">
        <v>2043</v>
      </c>
      <c r="B69" s="76"/>
      <c r="C69" s="76"/>
      <c r="D69" s="101"/>
      <c r="E69" s="101"/>
      <c r="F69" s="101"/>
      <c r="G69" s="101"/>
      <c r="H69" s="76"/>
      <c r="I69" s="76"/>
      <c r="J69" s="76"/>
      <c r="K69" s="76"/>
      <c r="L69" s="76"/>
      <c r="M69" s="76"/>
      <c r="N69" s="76"/>
      <c r="O69" s="76"/>
      <c r="P69" s="76"/>
      <c r="Q69" s="76"/>
      <c r="R69" s="76"/>
      <c r="S69" s="76"/>
      <c r="T69" s="76"/>
      <c r="U69" s="76"/>
      <c r="V69" s="76"/>
      <c r="W69" s="76"/>
      <c r="X69" s="76"/>
      <c r="Y69" s="108"/>
      <c r="Z69" s="76"/>
      <c r="AA69" s="76"/>
      <c r="AB69" s="76"/>
      <c r="AC69" s="76"/>
      <c r="AD69" s="76"/>
      <c r="AE69" s="72" t="s">
        <v>823</v>
      </c>
      <c r="AF69" s="53" t="s">
        <v>788</v>
      </c>
      <c r="AG69" s="1133">
        <v>0</v>
      </c>
      <c r="AH69" s="1134"/>
      <c r="AI69" s="1134"/>
      <c r="AJ69" s="1134"/>
      <c r="AK69" s="1136"/>
    </row>
    <row r="70" spans="1:39" s="75" customFormat="1" ht="18.75" customHeight="1" x14ac:dyDescent="0.35">
      <c r="A70" s="109" t="s">
        <v>2044</v>
      </c>
      <c r="B70" s="76"/>
      <c r="C70" s="76"/>
      <c r="D70" s="101"/>
      <c r="E70" s="101"/>
      <c r="F70" s="101"/>
      <c r="G70" s="101"/>
      <c r="H70" s="76"/>
      <c r="I70" s="76"/>
      <c r="J70" s="76"/>
      <c r="K70" s="76"/>
      <c r="L70" s="76"/>
      <c r="M70" s="76"/>
      <c r="N70" s="76"/>
      <c r="O70" s="76"/>
      <c r="P70" s="76"/>
      <c r="Q70" s="76"/>
      <c r="R70" s="76"/>
      <c r="S70" s="76"/>
      <c r="T70" s="76"/>
      <c r="U70" s="76"/>
      <c r="V70" s="76"/>
      <c r="W70" s="76"/>
      <c r="X70" s="76"/>
      <c r="Y70" s="108"/>
      <c r="Z70" s="76"/>
      <c r="AA70" s="76"/>
      <c r="AB70" s="76"/>
      <c r="AC70" s="76"/>
      <c r="AD70" s="76"/>
      <c r="AE70" s="72" t="s">
        <v>822</v>
      </c>
      <c r="AF70" s="53" t="s">
        <v>788</v>
      </c>
      <c r="AG70" s="1133">
        <v>0</v>
      </c>
      <c r="AH70" s="1134"/>
      <c r="AI70" s="1134"/>
      <c r="AJ70" s="1134"/>
      <c r="AK70" s="1136"/>
      <c r="AL70" s="107"/>
      <c r="AM70" s="89"/>
    </row>
    <row r="71" spans="1:39" ht="18.75" customHeight="1" x14ac:dyDescent="0.25">
      <c r="A71" s="1200" t="s">
        <v>821</v>
      </c>
      <c r="B71" s="1201"/>
      <c r="C71" s="1202"/>
      <c r="D71" s="580" t="s">
        <v>2047</v>
      </c>
      <c r="E71" s="91"/>
      <c r="F71" s="106"/>
      <c r="G71" s="91"/>
      <c r="H71" s="106"/>
      <c r="I71" s="91"/>
      <c r="J71" s="106"/>
      <c r="K71" s="91"/>
      <c r="L71" s="106"/>
      <c r="M71" s="91"/>
      <c r="N71" s="106"/>
      <c r="O71" s="91"/>
      <c r="P71" s="106"/>
      <c r="Q71" s="91"/>
      <c r="R71" s="106"/>
      <c r="S71" s="91"/>
      <c r="T71" s="106"/>
      <c r="U71" s="91"/>
      <c r="V71" s="106"/>
      <c r="W71" s="91"/>
      <c r="X71" s="106"/>
      <c r="Y71" s="106"/>
      <c r="Z71" s="91"/>
      <c r="AA71" s="106"/>
      <c r="AB71" s="91"/>
      <c r="AC71" s="106"/>
      <c r="AD71" s="578" t="s">
        <v>2051</v>
      </c>
      <c r="AE71" s="40" t="s">
        <v>820</v>
      </c>
      <c r="AF71" s="53" t="s">
        <v>788</v>
      </c>
      <c r="AG71" s="1117">
        <f>ABS(SUMIF(LIQ_IMPUESTOS!C$5:C$16,T4,LIQ_IMPUESTOS!AE$5:AE$16))</f>
        <v>0</v>
      </c>
      <c r="AH71" s="1118"/>
      <c r="AI71" s="1118"/>
      <c r="AJ71" s="1118"/>
      <c r="AK71" s="1119"/>
      <c r="AL71" s="75"/>
    </row>
    <row r="72" spans="1:39" ht="18.75" customHeight="1" x14ac:dyDescent="0.25">
      <c r="A72" s="1203"/>
      <c r="B72" s="1204"/>
      <c r="C72" s="1205"/>
      <c r="D72" s="580" t="s">
        <v>2048</v>
      </c>
      <c r="E72" s="105"/>
      <c r="F72" s="104"/>
      <c r="G72" s="105"/>
      <c r="H72" s="104"/>
      <c r="I72" s="105"/>
      <c r="J72" s="104"/>
      <c r="K72" s="105"/>
      <c r="L72" s="104"/>
      <c r="M72" s="105"/>
      <c r="N72" s="104"/>
      <c r="O72" s="105"/>
      <c r="P72" s="104"/>
      <c r="Q72" s="105"/>
      <c r="R72" s="104"/>
      <c r="S72" s="105"/>
      <c r="T72" s="104"/>
      <c r="U72" s="105"/>
      <c r="V72" s="104"/>
      <c r="W72" s="105"/>
      <c r="X72" s="104"/>
      <c r="Y72" s="104"/>
      <c r="Z72" s="105"/>
      <c r="AA72" s="104"/>
      <c r="AB72" s="105"/>
      <c r="AC72" s="104"/>
      <c r="AD72" s="579" t="s">
        <v>2052</v>
      </c>
      <c r="AE72" s="72" t="s">
        <v>819</v>
      </c>
      <c r="AF72" s="53" t="s">
        <v>788</v>
      </c>
      <c r="AG72" s="1117">
        <f>ABS(SUMIF(LIQ_IMPUESTOS!C$5:C$16,T4,LIQ_IMPUESTOS!AF$5:AF$16))</f>
        <v>0</v>
      </c>
      <c r="AH72" s="1118"/>
      <c r="AI72" s="1118"/>
      <c r="AJ72" s="1118"/>
      <c r="AK72" s="1119"/>
      <c r="AL72" s="75"/>
    </row>
    <row r="73" spans="1:39" s="75" customFormat="1" ht="18.75" customHeight="1" x14ac:dyDescent="0.25">
      <c r="A73" s="1203"/>
      <c r="B73" s="1204"/>
      <c r="C73" s="1205"/>
      <c r="D73" s="581" t="s">
        <v>2049</v>
      </c>
      <c r="E73" s="102"/>
      <c r="F73" s="103"/>
      <c r="G73" s="102"/>
      <c r="H73" s="103"/>
      <c r="I73" s="102"/>
      <c r="J73" s="103"/>
      <c r="K73" s="102"/>
      <c r="L73" s="103"/>
      <c r="M73" s="102"/>
      <c r="N73" s="103"/>
      <c r="O73" s="102"/>
      <c r="P73" s="103"/>
      <c r="Q73" s="102"/>
      <c r="R73" s="103"/>
      <c r="S73" s="102"/>
      <c r="T73" s="103"/>
      <c r="U73" s="102"/>
      <c r="V73" s="103"/>
      <c r="W73" s="102"/>
      <c r="X73" s="103"/>
      <c r="Y73" s="103"/>
      <c r="Z73" s="102"/>
      <c r="AA73" s="103"/>
      <c r="AB73" s="102"/>
      <c r="AC73" s="103"/>
      <c r="AD73" s="579" t="s">
        <v>2053</v>
      </c>
      <c r="AE73" s="72" t="s">
        <v>818</v>
      </c>
      <c r="AF73" s="53" t="s">
        <v>788</v>
      </c>
      <c r="AG73" s="1133">
        <v>0</v>
      </c>
      <c r="AH73" s="1134"/>
      <c r="AI73" s="1134"/>
      <c r="AJ73" s="1134"/>
      <c r="AK73" s="1136"/>
    </row>
    <row r="74" spans="1:39" s="75" customFormat="1" ht="18.75" customHeight="1" x14ac:dyDescent="0.25">
      <c r="A74" s="1206"/>
      <c r="B74" s="1207"/>
      <c r="C74" s="1208"/>
      <c r="D74" s="581" t="s">
        <v>2050</v>
      </c>
      <c r="E74" s="102"/>
      <c r="F74" s="103"/>
      <c r="G74" s="102"/>
      <c r="H74" s="103"/>
      <c r="I74" s="102"/>
      <c r="J74" s="103"/>
      <c r="K74" s="102"/>
      <c r="L74" s="103"/>
      <c r="M74" s="102"/>
      <c r="N74" s="103"/>
      <c r="O74" s="102"/>
      <c r="P74" s="103"/>
      <c r="Q74" s="102"/>
      <c r="R74" s="103"/>
      <c r="S74" s="102"/>
      <c r="T74" s="103"/>
      <c r="U74" s="102"/>
      <c r="V74" s="103"/>
      <c r="W74" s="102"/>
      <c r="X74" s="103"/>
      <c r="Y74" s="103"/>
      <c r="Z74" s="102"/>
      <c r="AA74" s="103"/>
      <c r="AB74" s="102"/>
      <c r="AC74" s="103"/>
      <c r="AD74" s="579" t="s">
        <v>2054</v>
      </c>
      <c r="AE74" s="40" t="s">
        <v>817</v>
      </c>
      <c r="AF74" s="53" t="s">
        <v>788</v>
      </c>
      <c r="AG74" s="1117">
        <v>0</v>
      </c>
      <c r="AH74" s="1118"/>
      <c r="AI74" s="1118"/>
      <c r="AJ74" s="1118"/>
      <c r="AK74" s="1119"/>
    </row>
    <row r="75" spans="1:39" ht="18.75" customHeight="1" x14ac:dyDescent="0.35">
      <c r="A75" s="99" t="s">
        <v>2055</v>
      </c>
      <c r="B75" s="15"/>
      <c r="C75" s="15"/>
      <c r="D75" s="43"/>
      <c r="E75" s="43"/>
      <c r="F75" s="43"/>
      <c r="G75" s="43"/>
      <c r="H75" s="15"/>
      <c r="I75" s="15"/>
      <c r="J75" s="15"/>
      <c r="K75" s="15"/>
      <c r="L75" s="15"/>
      <c r="M75" s="15"/>
      <c r="N75" s="15"/>
      <c r="O75" s="15"/>
      <c r="P75" s="15"/>
      <c r="Q75" s="15"/>
      <c r="R75" s="15"/>
      <c r="S75" s="15"/>
      <c r="T75" s="15"/>
      <c r="U75" s="15"/>
      <c r="V75" s="15"/>
      <c r="W75" s="15"/>
      <c r="X75" s="15"/>
      <c r="Y75" s="15"/>
      <c r="Z75" s="15"/>
      <c r="AA75" s="15"/>
      <c r="AB75" s="15"/>
      <c r="AC75" s="15"/>
      <c r="AD75" s="15"/>
      <c r="AE75" s="40" t="s">
        <v>816</v>
      </c>
      <c r="AF75" s="53" t="s">
        <v>788</v>
      </c>
      <c r="AG75" s="1133">
        <f>IF(N5,ABS(LIQ_IMPUESTOS!AG16),0)+IF(M5,ABS(LIQ_IMPUESTOS!AG15),0)+IF(L5,ABS(LIQ_IMPUESTOS!AG14),0)+IF(K5,ABS(LIQ_IMPUESTOS!AG13),0)+IF(J5,ABS(LIQ_IMPUESTOS!AG12),0)+IF(I5,ABS(LIQ_IMPUESTOS!AG11),0)+IF(H5,ABS(LIQ_IMPUESTOS!AG10),0)+IF(G5,ABS(LIQ_IMPUESTOS!AG9),0)+IF(F5,ABS(LIQ_IMPUESTOS!AG8),0)+IF(E5,ABS(LIQ_IMPUESTOS!AG7),0)+IF(D5,ABS(LIQ_IMPUESTOS!AG6),0)+IF(C5,ABS(LIQ_IMPUESTOS!AG5),0)</f>
        <v>89.29</v>
      </c>
      <c r="AH75" s="1134"/>
      <c r="AI75" s="1134"/>
      <c r="AJ75" s="1134"/>
      <c r="AK75" s="1136"/>
      <c r="AL75" s="95"/>
    </row>
    <row r="76" spans="1:39" s="75" customFormat="1" ht="18.75" customHeight="1" x14ac:dyDescent="0.35">
      <c r="A76" s="99" t="s">
        <v>2056</v>
      </c>
      <c r="B76" s="76"/>
      <c r="C76" s="76"/>
      <c r="D76" s="101"/>
      <c r="E76" s="101"/>
      <c r="F76" s="101"/>
      <c r="G76" s="101"/>
      <c r="H76" s="76"/>
      <c r="I76" s="76"/>
      <c r="J76" s="76"/>
      <c r="K76" s="76"/>
      <c r="L76" s="76"/>
      <c r="M76" s="76"/>
      <c r="N76" s="76"/>
      <c r="O76" s="76"/>
      <c r="P76" s="76"/>
      <c r="Q76" s="76"/>
      <c r="R76" s="76"/>
      <c r="S76" s="76"/>
      <c r="T76" s="76"/>
      <c r="U76" s="76"/>
      <c r="V76" s="76"/>
      <c r="W76" s="76"/>
      <c r="X76" s="76"/>
      <c r="Y76" s="76"/>
      <c r="Z76" s="76"/>
      <c r="AA76" s="76"/>
      <c r="AB76" s="76"/>
      <c r="AC76" s="76"/>
      <c r="AD76" s="76"/>
      <c r="AE76" s="40" t="s">
        <v>2066</v>
      </c>
      <c r="AF76" s="53" t="s">
        <v>788</v>
      </c>
      <c r="AG76" s="1117">
        <v>0</v>
      </c>
      <c r="AH76" s="1118"/>
      <c r="AI76" s="1118"/>
      <c r="AJ76" s="1118"/>
      <c r="AK76" s="1119"/>
    </row>
    <row r="77" spans="1:39" s="75" customFormat="1" ht="18.75" customHeight="1" x14ac:dyDescent="0.35">
      <c r="A77" s="99" t="s">
        <v>2057</v>
      </c>
      <c r="B77" s="76"/>
      <c r="C77" s="76"/>
      <c r="D77" s="101"/>
      <c r="E77" s="101"/>
      <c r="F77" s="101"/>
      <c r="G77" s="101"/>
      <c r="H77" s="76"/>
      <c r="I77" s="76"/>
      <c r="J77" s="76"/>
      <c r="K77" s="76"/>
      <c r="L77" s="76"/>
      <c r="M77" s="76"/>
      <c r="N77" s="76"/>
      <c r="O77" s="76"/>
      <c r="P77" s="76"/>
      <c r="Q77" s="76"/>
      <c r="R77" s="76"/>
      <c r="S77" s="76"/>
      <c r="T77" s="76"/>
      <c r="U77" s="76"/>
      <c r="V77" s="76"/>
      <c r="W77" s="76"/>
      <c r="X77" s="76"/>
      <c r="Y77" s="76"/>
      <c r="Z77" s="76"/>
      <c r="AA77" s="76"/>
      <c r="AB77" s="76"/>
      <c r="AC77" s="76"/>
      <c r="AD77" s="76"/>
      <c r="AE77" s="40" t="s">
        <v>815</v>
      </c>
      <c r="AF77" s="53" t="s">
        <v>813</v>
      </c>
      <c r="AG77" s="1117">
        <v>0</v>
      </c>
      <c r="AH77" s="1118"/>
      <c r="AI77" s="1118"/>
      <c r="AJ77" s="1118"/>
      <c r="AK77" s="1119"/>
    </row>
    <row r="78" spans="1:39" s="75" customFormat="1" ht="18.75" customHeight="1" x14ac:dyDescent="0.35">
      <c r="A78" s="99" t="s">
        <v>2058</v>
      </c>
      <c r="B78" s="76"/>
      <c r="C78" s="76"/>
      <c r="D78" s="101"/>
      <c r="E78" s="101"/>
      <c r="F78" s="101"/>
      <c r="G78" s="101"/>
      <c r="H78" s="76"/>
      <c r="I78" s="76"/>
      <c r="J78" s="76"/>
      <c r="K78" s="76"/>
      <c r="L78" s="76"/>
      <c r="M78" s="76"/>
      <c r="N78" s="76"/>
      <c r="O78" s="76"/>
      <c r="P78" s="76"/>
      <c r="Q78" s="76"/>
      <c r="R78" s="76"/>
      <c r="S78" s="76"/>
      <c r="T78" s="76"/>
      <c r="U78" s="76"/>
      <c r="V78" s="76"/>
      <c r="W78" s="76"/>
      <c r="X78" s="76"/>
      <c r="Y78" s="76"/>
      <c r="Z78" s="76"/>
      <c r="AA78" s="76"/>
      <c r="AB78" s="76"/>
      <c r="AC78" s="76"/>
      <c r="AD78" s="76"/>
      <c r="AE78" s="40" t="s">
        <v>814</v>
      </c>
      <c r="AF78" s="53" t="s">
        <v>813</v>
      </c>
      <c r="AG78" s="1133">
        <f>IF(AND(SUMIF(COMPRAS!DC:DC,"SI",COMPRAS!DO:DO)&gt;0,SUM(R13:R14)&gt;0),SUMIF(COMPRAS!DC:DC,"SI",COMPRAS!DO:DO),0)</f>
        <v>0</v>
      </c>
      <c r="AH78" s="1134"/>
      <c r="AI78" s="1134"/>
      <c r="AJ78" s="1134"/>
      <c r="AK78" s="1136"/>
      <c r="AL78" s="100"/>
      <c r="AM78" s="89"/>
    </row>
    <row r="79" spans="1:39" ht="18.75" customHeight="1" x14ac:dyDescent="0.35">
      <c r="A79" s="99" t="s">
        <v>2059</v>
      </c>
      <c r="B79" s="15"/>
      <c r="C79" s="15"/>
      <c r="D79" s="43"/>
      <c r="E79" s="43"/>
      <c r="F79" s="43"/>
      <c r="G79" s="43"/>
      <c r="H79" s="15"/>
      <c r="I79" s="15"/>
      <c r="J79" s="15"/>
      <c r="K79" s="15"/>
      <c r="L79" s="15"/>
      <c r="M79" s="15"/>
      <c r="N79" s="15"/>
      <c r="O79" s="15"/>
      <c r="P79" s="15"/>
      <c r="Q79" s="15"/>
      <c r="R79" s="15"/>
      <c r="S79" s="15"/>
      <c r="T79" s="15"/>
      <c r="U79" s="15"/>
      <c r="V79" s="15"/>
      <c r="W79" s="15"/>
      <c r="X79" s="15"/>
      <c r="Y79" s="15"/>
      <c r="Z79" s="15"/>
      <c r="AA79" s="15"/>
      <c r="AB79" s="15"/>
      <c r="AC79" s="15"/>
      <c r="AD79" s="15"/>
      <c r="AE79" s="40" t="s">
        <v>812</v>
      </c>
      <c r="AF79" s="53" t="s">
        <v>769</v>
      </c>
      <c r="AG79" s="1117">
        <v>0</v>
      </c>
      <c r="AH79" s="1118"/>
      <c r="AI79" s="1118"/>
      <c r="AJ79" s="1118"/>
      <c r="AK79" s="1119"/>
      <c r="AL79" s="75"/>
    </row>
    <row r="80" spans="1:39" ht="18.75" customHeight="1" x14ac:dyDescent="0.35">
      <c r="A80" s="99" t="s">
        <v>2060</v>
      </c>
      <c r="B80" s="15"/>
      <c r="C80" s="15"/>
      <c r="D80" s="43"/>
      <c r="E80" s="43"/>
      <c r="F80" s="43"/>
      <c r="G80" s="43"/>
      <c r="H80" s="15"/>
      <c r="I80" s="15"/>
      <c r="J80" s="15"/>
      <c r="K80" s="15"/>
      <c r="L80" s="15"/>
      <c r="M80" s="15"/>
      <c r="N80" s="15"/>
      <c r="O80" s="15"/>
      <c r="P80" s="15"/>
      <c r="Q80" s="15"/>
      <c r="R80" s="15"/>
      <c r="S80" s="15"/>
      <c r="T80" s="15"/>
      <c r="U80" s="15"/>
      <c r="V80" s="15"/>
      <c r="W80" s="15"/>
      <c r="X80" s="15"/>
      <c r="Y80" s="15"/>
      <c r="Z80" s="15"/>
      <c r="AA80" s="15"/>
      <c r="AB80" s="15"/>
      <c r="AC80" s="15"/>
      <c r="AD80" s="15"/>
      <c r="AE80" s="40" t="s">
        <v>811</v>
      </c>
      <c r="AF80" s="53" t="s">
        <v>769</v>
      </c>
      <c r="AG80" s="1117">
        <v>0</v>
      </c>
      <c r="AH80" s="1118"/>
      <c r="AI80" s="1118"/>
      <c r="AJ80" s="1118"/>
      <c r="AK80" s="1119"/>
      <c r="AL80" s="75"/>
    </row>
    <row r="81" spans="1:39" ht="18.75" customHeight="1" x14ac:dyDescent="0.35">
      <c r="A81" s="99" t="s">
        <v>2061</v>
      </c>
      <c r="B81" s="15"/>
      <c r="C81" s="15"/>
      <c r="D81" s="43"/>
      <c r="E81" s="43"/>
      <c r="F81" s="43"/>
      <c r="G81" s="43"/>
      <c r="H81" s="15"/>
      <c r="I81" s="15"/>
      <c r="J81" s="15"/>
      <c r="K81" s="15"/>
      <c r="L81" s="15"/>
      <c r="M81" s="15"/>
      <c r="N81" s="15"/>
      <c r="O81" s="15"/>
      <c r="P81" s="15"/>
      <c r="Q81" s="15"/>
      <c r="R81" s="15"/>
      <c r="S81" s="15"/>
      <c r="T81" s="15"/>
      <c r="U81" s="15"/>
      <c r="V81" s="15"/>
      <c r="W81" s="15"/>
      <c r="X81" s="15"/>
      <c r="Y81" s="15"/>
      <c r="Z81" s="15"/>
      <c r="AA81" s="15"/>
      <c r="AB81" s="15"/>
      <c r="AC81" s="15"/>
      <c r="AD81" s="15"/>
      <c r="AE81" s="40" t="s">
        <v>810</v>
      </c>
      <c r="AF81" s="53" t="s">
        <v>769</v>
      </c>
      <c r="AG81" s="1117">
        <v>0</v>
      </c>
      <c r="AH81" s="1118"/>
      <c r="AI81" s="1118"/>
      <c r="AJ81" s="1118"/>
      <c r="AK81" s="1119"/>
      <c r="AL81" s="75"/>
    </row>
    <row r="82" spans="1:39" ht="18.75" customHeight="1" x14ac:dyDescent="0.35">
      <c r="A82" s="1236" t="s">
        <v>809</v>
      </c>
      <c r="B82" s="1201"/>
      <c r="C82" s="1202"/>
      <c r="D82" s="98" t="s">
        <v>2062</v>
      </c>
      <c r="E82" s="91"/>
      <c r="F82" s="91"/>
      <c r="G82" s="91"/>
      <c r="H82" s="91"/>
      <c r="I82" s="97"/>
      <c r="J82" s="97"/>
      <c r="K82" s="97"/>
      <c r="L82" s="97"/>
      <c r="M82" s="97"/>
      <c r="N82" s="97"/>
      <c r="O82" s="97"/>
      <c r="P82" s="97"/>
      <c r="Q82" s="97"/>
      <c r="R82" s="97"/>
      <c r="S82" s="97"/>
      <c r="T82" s="97"/>
      <c r="U82" s="97"/>
      <c r="V82" s="97"/>
      <c r="W82" s="97"/>
      <c r="X82" s="97"/>
      <c r="Y82" s="97"/>
      <c r="Z82" s="1239"/>
      <c r="AA82" s="1239"/>
      <c r="AB82" s="1239"/>
      <c r="AC82" s="97"/>
      <c r="AD82" s="97"/>
      <c r="AE82" s="72" t="s">
        <v>808</v>
      </c>
      <c r="AF82" s="96" t="s">
        <v>767</v>
      </c>
      <c r="AG82" s="1133">
        <f>IF((AG67-AG68-AG69-AG70-AG71-AG72-AG73-AG74-AG75+AG77+AG78+AG79+AG80+AG81)&lt;0,ABS((AG67-AG68-AG69-AG70-AG71-AG72-AG73-AG74-AG75+AG77+AG78+AG79+AG80+AG81))-AG83-AG84-AG85,0)</f>
        <v>1580.3599999999997</v>
      </c>
      <c r="AH82" s="1134"/>
      <c r="AI82" s="1134"/>
      <c r="AJ82" s="1134"/>
      <c r="AK82" s="1136"/>
      <c r="AM82" s="95"/>
    </row>
    <row r="83" spans="1:39" ht="18.75" customHeight="1" x14ac:dyDescent="0.35">
      <c r="A83" s="1237"/>
      <c r="B83" s="1204"/>
      <c r="C83" s="1205"/>
      <c r="D83" s="92" t="s">
        <v>2048</v>
      </c>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0"/>
      <c r="AE83" s="36" t="s">
        <v>807</v>
      </c>
      <c r="AF83" s="84" t="s">
        <v>767</v>
      </c>
      <c r="AG83" s="1133">
        <f>IF((AG67-AG68-AG69-AG70-AG71-AG72-AG73-AG74-AG75+AG77+AG78+AG79+AG80+AG81)&lt;0,IF((AG67-AG68-AG69-AG70-AG71-AG74+AG77+AG78+AG79+AG80+AG81)&lt;0,(AG72+AG75),IF((AG72+AG75-(AG67-AG68-AG69-AG70-AG71-AG73-AG74+AG77+AG78+AG79+AG80+AG81))&lt;0,0,(AG72+AG75-(AG67-AG68-AG69-AG70-AG71-AG73-AG74+AG77+AG78+AG79+AG80+AG81)))),0)</f>
        <v>89.29</v>
      </c>
      <c r="AH83" s="1134"/>
      <c r="AI83" s="1134"/>
      <c r="AJ83" s="1134"/>
      <c r="AK83" s="1136"/>
      <c r="AM83" s="95"/>
    </row>
    <row r="84" spans="1:39" s="75" customFormat="1" ht="18.75" customHeight="1" x14ac:dyDescent="0.35">
      <c r="A84" s="1237"/>
      <c r="B84" s="1204"/>
      <c r="C84" s="1205"/>
      <c r="D84" s="92" t="s">
        <v>2063</v>
      </c>
      <c r="E84" s="94"/>
      <c r="F84" s="94"/>
      <c r="G84" s="94"/>
      <c r="H84" s="94"/>
      <c r="I84" s="94"/>
      <c r="J84" s="94"/>
      <c r="K84" s="94"/>
      <c r="L84" s="94"/>
      <c r="M84" s="94"/>
      <c r="N84" s="94"/>
      <c r="O84" s="94"/>
      <c r="P84" s="94"/>
      <c r="Q84" s="94"/>
      <c r="R84" s="94"/>
      <c r="S84" s="94"/>
      <c r="T84" s="94"/>
      <c r="U84" s="94"/>
      <c r="V84" s="94"/>
      <c r="W84" s="94"/>
      <c r="X84" s="94"/>
      <c r="Y84" s="94"/>
      <c r="Z84" s="94"/>
      <c r="AA84" s="94"/>
      <c r="AB84" s="94"/>
      <c r="AC84" s="94"/>
      <c r="AD84" s="93"/>
      <c r="AE84" s="36" t="s">
        <v>806</v>
      </c>
      <c r="AF84" s="84" t="s">
        <v>767</v>
      </c>
      <c r="AG84" s="1133">
        <v>0</v>
      </c>
      <c r="AH84" s="1134"/>
      <c r="AI84" s="1134"/>
      <c r="AJ84" s="1134"/>
      <c r="AK84" s="1136"/>
    </row>
    <row r="85" spans="1:39" s="75" customFormat="1" ht="18.75" customHeight="1" x14ac:dyDescent="0.35">
      <c r="A85" s="1238"/>
      <c r="B85" s="1207"/>
      <c r="C85" s="1208"/>
      <c r="D85" s="92" t="s">
        <v>2050</v>
      </c>
      <c r="E85" s="91"/>
      <c r="F85" s="91"/>
      <c r="G85" s="91"/>
      <c r="H85" s="91"/>
      <c r="I85" s="91"/>
      <c r="J85" s="91"/>
      <c r="K85" s="91"/>
      <c r="L85" s="91"/>
      <c r="M85" s="91"/>
      <c r="N85" s="91"/>
      <c r="O85" s="91"/>
      <c r="P85" s="91"/>
      <c r="Q85" s="91"/>
      <c r="R85" s="91"/>
      <c r="S85" s="91"/>
      <c r="T85" s="91"/>
      <c r="U85" s="91"/>
      <c r="V85" s="91"/>
      <c r="W85" s="91"/>
      <c r="X85" s="91"/>
      <c r="Y85" s="91"/>
      <c r="Z85" s="91"/>
      <c r="AA85" s="91"/>
      <c r="AB85" s="91"/>
      <c r="AC85" s="91"/>
      <c r="AD85" s="90"/>
      <c r="AE85" s="36" t="s">
        <v>805</v>
      </c>
      <c r="AF85" s="52" t="s">
        <v>767</v>
      </c>
      <c r="AG85" s="1191">
        <f>IF((AG67-AG68-AG69-AG70-AG71-AG72-AG73-AG74-AG75+AG77+AG78+AG79+AG80+AG81)&lt;0,IF((AG70+AG74-AG78)&gt;0,IF((AG67-AG68-AG69)-(AG70+AG74-AG78)&gt;0,0,(AG70+AG74-AG78)-(AG67-AG69)),0),0)</f>
        <v>0</v>
      </c>
      <c r="AH85" s="1134"/>
      <c r="AI85" s="1134"/>
      <c r="AJ85" s="1134"/>
      <c r="AK85" s="1136"/>
      <c r="AL85" s="3"/>
      <c r="AM85" s="89"/>
    </row>
    <row r="86" spans="1:39" ht="18.75" customHeight="1" x14ac:dyDescent="0.35">
      <c r="A86" s="99" t="s">
        <v>2418</v>
      </c>
      <c r="B86" s="15"/>
      <c r="C86" s="15"/>
      <c r="D86" s="43"/>
      <c r="E86" s="43"/>
      <c r="F86" s="43"/>
      <c r="G86" s="43"/>
      <c r="H86" s="15"/>
      <c r="I86" s="15"/>
      <c r="J86" s="15"/>
      <c r="K86" s="15"/>
      <c r="L86" s="15"/>
      <c r="M86" s="15"/>
      <c r="N86" s="15"/>
      <c r="O86" s="15"/>
      <c r="P86" s="15"/>
      <c r="Q86" s="15"/>
      <c r="R86" s="15"/>
      <c r="S86" s="15"/>
      <c r="T86" s="15"/>
      <c r="U86" s="15"/>
      <c r="V86" s="15"/>
      <c r="W86" s="15"/>
      <c r="X86" s="15"/>
      <c r="Y86" s="15"/>
      <c r="Z86" s="15"/>
      <c r="AA86" s="15"/>
      <c r="AB86" s="15"/>
      <c r="AC86" s="15"/>
      <c r="AD86" s="15"/>
      <c r="AE86" s="40" t="s">
        <v>2417</v>
      </c>
      <c r="AF86" s="53" t="s">
        <v>767</v>
      </c>
      <c r="AG86" s="1117">
        <v>0</v>
      </c>
      <c r="AH86" s="1118"/>
      <c r="AI86" s="1118"/>
      <c r="AJ86" s="1118"/>
      <c r="AK86" s="1119"/>
      <c r="AL86" s="75"/>
    </row>
    <row r="87" spans="1:39" ht="18.75" customHeight="1" thickBot="1" x14ac:dyDescent="0.4">
      <c r="A87" s="88" t="s">
        <v>804</v>
      </c>
      <c r="B87" s="87"/>
      <c r="C87" s="87"/>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86" t="s">
        <v>2416</v>
      </c>
      <c r="AE87" s="85" t="s">
        <v>803</v>
      </c>
      <c r="AF87" s="84" t="s">
        <v>767</v>
      </c>
      <c r="AG87" s="1233">
        <f>IF((AG67-AG68-AG69-AG70-AG71-AG72-AG73-AG74-AG75+AG77+AG78+AG79+AG80+AG81)&gt;0,(AG67-AG68-AG69-AG70-AG71-AG72-AG73-AG74-AG75+AG77+AG78+AG79+AG80+AG81),0)</f>
        <v>0</v>
      </c>
      <c r="AH87" s="1234"/>
      <c r="AI87" s="1234"/>
      <c r="AJ87" s="1234"/>
      <c r="AK87" s="1235"/>
      <c r="AM87" s="83"/>
    </row>
    <row r="88" spans="1:39" s="75" customFormat="1" ht="18.75" customHeight="1" thickBot="1" x14ac:dyDescent="0.4">
      <c r="A88" s="82" t="s">
        <v>2064</v>
      </c>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81"/>
      <c r="AE88" s="80" t="s">
        <v>802</v>
      </c>
      <c r="AF88" s="79" t="s">
        <v>769</v>
      </c>
      <c r="AG88" s="1220">
        <v>0</v>
      </c>
      <c r="AH88" s="1218"/>
      <c r="AI88" s="1218"/>
      <c r="AJ88" s="1218"/>
      <c r="AK88" s="1219"/>
    </row>
    <row r="89" spans="1:39" ht="18.75" customHeight="1" thickBot="1" x14ac:dyDescent="0.4">
      <c r="A89" s="71" t="s">
        <v>2065</v>
      </c>
      <c r="B89" s="33"/>
      <c r="C89" s="33"/>
      <c r="D89" s="33"/>
      <c r="E89" s="33"/>
      <c r="F89" s="34"/>
      <c r="G89" s="33"/>
      <c r="H89" s="33"/>
      <c r="I89" s="33"/>
      <c r="J89" s="33"/>
      <c r="K89" s="33"/>
      <c r="L89" s="33"/>
      <c r="M89" s="33"/>
      <c r="N89" s="33"/>
      <c r="O89" s="33"/>
      <c r="P89" s="33"/>
      <c r="Q89" s="33"/>
      <c r="R89" s="33"/>
      <c r="S89" s="33"/>
      <c r="T89" s="33"/>
      <c r="U89" s="33"/>
      <c r="V89" s="33"/>
      <c r="W89" s="33"/>
      <c r="X89" s="33"/>
      <c r="Y89" s="33"/>
      <c r="Z89" s="33"/>
      <c r="AA89" s="33"/>
      <c r="AB89" s="33"/>
      <c r="AC89" s="33"/>
      <c r="AD89" s="70" t="s">
        <v>801</v>
      </c>
      <c r="AE89" s="59" t="s">
        <v>800</v>
      </c>
      <c r="AF89" s="58" t="s">
        <v>767</v>
      </c>
      <c r="AG89" s="1155">
        <f>+AG87+AG88</f>
        <v>0</v>
      </c>
      <c r="AH89" s="1156"/>
      <c r="AI89" s="1156"/>
      <c r="AJ89" s="1156"/>
      <c r="AK89" s="1199"/>
    </row>
    <row r="90" spans="1:39" ht="8.25" customHeight="1" thickBot="1" x14ac:dyDescent="0.4">
      <c r="A90" s="64"/>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78"/>
    </row>
    <row r="91" spans="1:39" ht="19.5" customHeight="1" thickBot="1" x14ac:dyDescent="0.4">
      <c r="A91" s="50" t="s">
        <v>799</v>
      </c>
      <c r="B91" s="49"/>
      <c r="C91" s="49"/>
      <c r="D91" s="49"/>
      <c r="E91" s="49"/>
      <c r="F91" s="49"/>
      <c r="G91" s="49"/>
      <c r="H91" s="49"/>
      <c r="I91" s="49"/>
      <c r="J91" s="49"/>
      <c r="K91" s="49"/>
      <c r="L91" s="49"/>
      <c r="M91" s="49"/>
      <c r="N91" s="49"/>
      <c r="O91" s="49"/>
      <c r="P91" s="49"/>
      <c r="Q91" s="49"/>
      <c r="R91" s="49"/>
      <c r="S91" s="49"/>
      <c r="T91" s="49"/>
      <c r="U91" s="49"/>
      <c r="V91" s="49"/>
      <c r="W91" s="1090" t="s">
        <v>2419</v>
      </c>
      <c r="X91" s="1091"/>
      <c r="Y91" s="1091"/>
      <c r="Z91" s="1091"/>
      <c r="AA91" s="1091"/>
      <c r="AB91" s="1091"/>
      <c r="AC91" s="1091"/>
      <c r="AD91" s="1092"/>
      <c r="AE91" s="1090" t="s">
        <v>2420</v>
      </c>
      <c r="AF91" s="1091"/>
      <c r="AG91" s="1091"/>
      <c r="AH91" s="1091"/>
      <c r="AI91" s="1091"/>
      <c r="AJ91" s="1091"/>
      <c r="AK91" s="1092"/>
    </row>
    <row r="92" spans="1:39" ht="17.399999999999999" customHeight="1" x14ac:dyDescent="0.35">
      <c r="A92" s="922" t="s">
        <v>2425</v>
      </c>
      <c r="B92" s="37"/>
      <c r="C92" s="37"/>
      <c r="D92" s="37"/>
      <c r="E92" s="37"/>
      <c r="F92" s="248"/>
      <c r="G92" s="37"/>
      <c r="H92" s="37"/>
      <c r="I92" s="37"/>
      <c r="J92" s="37"/>
      <c r="K92" s="37"/>
      <c r="L92" s="37"/>
      <c r="M92" s="37"/>
      <c r="N92" s="37"/>
      <c r="O92" s="37"/>
      <c r="P92" s="37"/>
      <c r="Q92" s="37"/>
      <c r="R92" s="37"/>
      <c r="S92" s="37"/>
      <c r="T92" s="37"/>
      <c r="U92" s="37"/>
      <c r="V92" s="37"/>
      <c r="W92" s="36" t="s">
        <v>2421</v>
      </c>
      <c r="X92" s="53" t="s">
        <v>767</v>
      </c>
      <c r="Y92" s="925"/>
      <c r="Z92" s="1129">
        <v>0</v>
      </c>
      <c r="AA92" s="1130"/>
      <c r="AB92" s="1130"/>
      <c r="AC92" s="1130"/>
      <c r="AD92" s="1131"/>
      <c r="AE92" s="36" t="s">
        <v>2422</v>
      </c>
      <c r="AF92" s="51" t="s">
        <v>767</v>
      </c>
      <c r="AG92" s="1126">
        <v>0</v>
      </c>
      <c r="AH92" s="1127"/>
      <c r="AI92" s="1127"/>
      <c r="AJ92" s="1127"/>
      <c r="AK92" s="1128"/>
    </row>
    <row r="93" spans="1:39" ht="11.5" x14ac:dyDescent="0.35">
      <c r="A93" s="920"/>
      <c r="B93" s="75"/>
      <c r="C93" s="75"/>
      <c r="D93" s="75"/>
      <c r="E93" s="75"/>
      <c r="F93" s="75"/>
      <c r="G93" s="75"/>
      <c r="H93" s="75"/>
      <c r="I93" s="75"/>
      <c r="J93" s="75"/>
      <c r="K93" s="75"/>
      <c r="L93" s="75"/>
      <c r="M93" s="75"/>
      <c r="N93" s="75"/>
      <c r="O93" s="75"/>
      <c r="P93" s="75"/>
      <c r="Q93" s="75"/>
      <c r="R93" s="75"/>
      <c r="S93" s="75"/>
      <c r="T93" s="75"/>
      <c r="U93" s="75"/>
      <c r="V93" s="75"/>
      <c r="W93" s="87"/>
      <c r="X93" s="87"/>
      <c r="Y93" s="87"/>
      <c r="Z93" s="87"/>
      <c r="AA93" s="87"/>
      <c r="AB93" s="87"/>
      <c r="AC93" s="87"/>
      <c r="AD93" s="87"/>
      <c r="AE93" s="1123" t="s">
        <v>2423</v>
      </c>
      <c r="AF93" s="1124"/>
      <c r="AG93" s="1124"/>
      <c r="AH93" s="1124"/>
      <c r="AI93" s="1124"/>
      <c r="AJ93" s="1124"/>
      <c r="AK93" s="1125"/>
    </row>
    <row r="94" spans="1:39" ht="17.399999999999999" customHeight="1" thickBot="1" x14ac:dyDescent="0.4">
      <c r="A94" s="923" t="s">
        <v>2425</v>
      </c>
      <c r="B94" s="924"/>
      <c r="C94" s="924"/>
      <c r="D94" s="924"/>
      <c r="E94" s="924"/>
      <c r="F94" s="924"/>
      <c r="G94" s="924"/>
      <c r="H94" s="924"/>
      <c r="I94" s="924"/>
      <c r="J94" s="924"/>
      <c r="K94" s="924"/>
      <c r="L94" s="924"/>
      <c r="M94" s="924"/>
      <c r="N94" s="924"/>
      <c r="O94" s="924"/>
      <c r="P94" s="924"/>
      <c r="Q94" s="924"/>
      <c r="R94" s="924"/>
      <c r="S94" s="924"/>
      <c r="T94" s="924"/>
      <c r="U94" s="924"/>
      <c r="V94" s="924"/>
      <c r="W94" s="924"/>
      <c r="X94" s="924"/>
      <c r="Y94" s="924"/>
      <c r="Z94" s="924"/>
      <c r="AA94" s="924"/>
      <c r="AB94" s="924"/>
      <c r="AC94" s="924"/>
      <c r="AD94" s="924"/>
      <c r="AE94" s="40" t="s">
        <v>2424</v>
      </c>
      <c r="AF94" s="74" t="s">
        <v>767</v>
      </c>
      <c r="AG94" s="1120">
        <v>0</v>
      </c>
      <c r="AH94" s="1121"/>
      <c r="AI94" s="1121"/>
      <c r="AJ94" s="1121"/>
      <c r="AK94" s="1122"/>
    </row>
    <row r="95" spans="1:39" ht="8.25" customHeight="1" thickBot="1" x14ac:dyDescent="0.4">
      <c r="A95" s="64"/>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78"/>
    </row>
    <row r="96" spans="1:39" ht="19.5" customHeight="1" thickBot="1" x14ac:dyDescent="0.4">
      <c r="A96" s="50" t="s">
        <v>799</v>
      </c>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8"/>
    </row>
    <row r="97" spans="1:37" ht="18.75" customHeight="1" x14ac:dyDescent="0.35">
      <c r="A97" s="44" t="s">
        <v>2067</v>
      </c>
      <c r="B97" s="43"/>
      <c r="C97" s="43"/>
      <c r="D97" s="43"/>
      <c r="E97" s="43"/>
      <c r="F97" s="43"/>
      <c r="G97" s="43"/>
      <c r="H97" s="43"/>
      <c r="I97" s="43"/>
      <c r="J97" s="43"/>
      <c r="K97" s="43"/>
      <c r="L97" s="43"/>
      <c r="M97" s="43"/>
      <c r="N97" s="43"/>
      <c r="O97" s="43"/>
      <c r="P97" s="43"/>
      <c r="Q97" s="43"/>
      <c r="R97" s="43"/>
      <c r="S97" s="43"/>
      <c r="T97" s="43"/>
      <c r="U97" s="21"/>
      <c r="V97" s="43"/>
      <c r="W97" s="43"/>
      <c r="X97" s="43"/>
      <c r="Y97" s="43"/>
      <c r="Z97" s="43"/>
      <c r="AA97" s="43"/>
      <c r="AB97" s="43"/>
      <c r="AC97" s="43"/>
      <c r="AD97" s="43"/>
      <c r="AE97" s="40" t="s">
        <v>798</v>
      </c>
      <c r="AF97" s="74" t="s">
        <v>769</v>
      </c>
      <c r="AG97" s="1147">
        <f>SUMIF(COMPRAS!DC:DC,"SI",COMPRAS!CC:CC)</f>
        <v>0</v>
      </c>
      <c r="AH97" s="1148"/>
      <c r="AI97" s="1148"/>
      <c r="AJ97" s="1148"/>
      <c r="AK97" s="1149"/>
    </row>
    <row r="98" spans="1:37" ht="18.75" customHeight="1" x14ac:dyDescent="0.35">
      <c r="A98" s="41" t="s">
        <v>2068</v>
      </c>
      <c r="B98" s="15"/>
      <c r="C98" s="15"/>
      <c r="D98" s="15"/>
      <c r="E98" s="15"/>
      <c r="F98" s="15"/>
      <c r="G98" s="15"/>
      <c r="H98" s="15"/>
      <c r="I98" s="15"/>
      <c r="J98" s="15"/>
      <c r="K98" s="15"/>
      <c r="L98" s="15"/>
      <c r="M98" s="15"/>
      <c r="N98" s="15"/>
      <c r="O98" s="15"/>
      <c r="P98" s="15"/>
      <c r="Q98" s="15"/>
      <c r="R98" s="15"/>
      <c r="S98" s="15"/>
      <c r="T98" s="15"/>
      <c r="U98" s="73"/>
      <c r="V98" s="15"/>
      <c r="W98" s="15"/>
      <c r="X98" s="15"/>
      <c r="Y98" s="15"/>
      <c r="Z98" s="15"/>
      <c r="AA98" s="15"/>
      <c r="AB98" s="15"/>
      <c r="AC98" s="15"/>
      <c r="AD98" s="15"/>
      <c r="AE98" s="72" t="s">
        <v>797</v>
      </c>
      <c r="AF98" s="74" t="s">
        <v>769</v>
      </c>
      <c r="AG98" s="1133">
        <f>SUMIF(COMPRAS!DC:DC,"SI",COMPRAS!CD:CD)</f>
        <v>0</v>
      </c>
      <c r="AH98" s="1134"/>
      <c r="AI98" s="1134"/>
      <c r="AJ98" s="1134"/>
      <c r="AK98" s="1136"/>
    </row>
    <row r="99" spans="1:37" ht="18.75" customHeight="1" x14ac:dyDescent="0.35">
      <c r="A99" s="41" t="s">
        <v>2069</v>
      </c>
      <c r="B99" s="15"/>
      <c r="C99" s="15"/>
      <c r="D99" s="15"/>
      <c r="E99" s="15"/>
      <c r="F99" s="15"/>
      <c r="G99" s="15"/>
      <c r="H99" s="15"/>
      <c r="I99" s="15"/>
      <c r="J99" s="15"/>
      <c r="K99" s="15"/>
      <c r="L99" s="15"/>
      <c r="M99" s="15"/>
      <c r="N99" s="15"/>
      <c r="O99" s="15"/>
      <c r="P99" s="15"/>
      <c r="Q99" s="15"/>
      <c r="R99" s="15"/>
      <c r="S99" s="15"/>
      <c r="T99" s="15"/>
      <c r="U99" s="73"/>
      <c r="V99" s="15"/>
      <c r="W99" s="15"/>
      <c r="X99" s="15"/>
      <c r="Y99" s="15"/>
      <c r="Z99" s="15"/>
      <c r="AA99" s="15"/>
      <c r="AB99" s="15"/>
      <c r="AC99" s="15"/>
      <c r="AD99" s="15"/>
      <c r="AE99" s="72" t="s">
        <v>796</v>
      </c>
      <c r="AF99" s="74" t="s">
        <v>769</v>
      </c>
      <c r="AG99" s="1133">
        <f>SUMIF(COMPRAS!DC:DC,"SI",COMPRAS!CE:CE)</f>
        <v>182.47</v>
      </c>
      <c r="AH99" s="1134"/>
      <c r="AI99" s="1134"/>
      <c r="AJ99" s="1134"/>
      <c r="AK99" s="1136"/>
    </row>
    <row r="100" spans="1:37" s="75" customFormat="1" ht="18.75" customHeight="1" x14ac:dyDescent="0.35">
      <c r="A100" s="41" t="s">
        <v>2070</v>
      </c>
      <c r="B100" s="76"/>
      <c r="C100" s="76"/>
      <c r="D100" s="76"/>
      <c r="E100" s="76"/>
      <c r="F100" s="76"/>
      <c r="G100" s="76"/>
      <c r="H100" s="76"/>
      <c r="I100" s="76"/>
      <c r="J100" s="76"/>
      <c r="K100" s="76"/>
      <c r="L100" s="76"/>
      <c r="M100" s="76"/>
      <c r="N100" s="76"/>
      <c r="O100" s="76"/>
      <c r="P100" s="76"/>
      <c r="Q100" s="76"/>
      <c r="R100" s="76"/>
      <c r="S100" s="76"/>
      <c r="T100" s="76"/>
      <c r="U100" s="77"/>
      <c r="V100" s="76"/>
      <c r="W100" s="76"/>
      <c r="X100" s="76"/>
      <c r="Y100" s="76"/>
      <c r="Z100" s="76"/>
      <c r="AA100" s="76"/>
      <c r="AB100" s="76"/>
      <c r="AC100" s="76"/>
      <c r="AD100" s="76"/>
      <c r="AE100" s="72" t="s">
        <v>795</v>
      </c>
      <c r="AF100" s="74" t="s">
        <v>769</v>
      </c>
      <c r="AG100" s="1133">
        <f>SUMIF(COMPRAS!DC:DC,"SI",COMPRAS!CF:CF)</f>
        <v>0</v>
      </c>
      <c r="AH100" s="1134"/>
      <c r="AI100" s="1134"/>
      <c r="AJ100" s="1134"/>
      <c r="AK100" s="1136"/>
    </row>
    <row r="101" spans="1:37" ht="18.75" customHeight="1" x14ac:dyDescent="0.35">
      <c r="A101" s="41" t="s">
        <v>2071</v>
      </c>
      <c r="B101" s="15"/>
      <c r="C101" s="15"/>
      <c r="D101" s="15"/>
      <c r="E101" s="15"/>
      <c r="F101" s="15"/>
      <c r="G101" s="15"/>
      <c r="H101" s="15"/>
      <c r="I101" s="15"/>
      <c r="J101" s="15"/>
      <c r="K101" s="15"/>
      <c r="L101" s="15"/>
      <c r="M101" s="15"/>
      <c r="N101" s="15"/>
      <c r="O101" s="15"/>
      <c r="P101" s="15"/>
      <c r="Q101" s="15"/>
      <c r="R101" s="15"/>
      <c r="S101" s="15"/>
      <c r="T101" s="15"/>
      <c r="U101" s="73"/>
      <c r="V101" s="15"/>
      <c r="W101" s="15"/>
      <c r="X101" s="15"/>
      <c r="Y101" s="15"/>
      <c r="Z101" s="15"/>
      <c r="AA101" s="15"/>
      <c r="AB101" s="15"/>
      <c r="AC101" s="15"/>
      <c r="AD101" s="15"/>
      <c r="AE101" s="72" t="s">
        <v>794</v>
      </c>
      <c r="AF101" s="74" t="s">
        <v>769</v>
      </c>
      <c r="AG101" s="1133">
        <f>SUMIF(COMPRAS!DC:DC,"SI",COMPRAS!CG:CG)</f>
        <v>848.88</v>
      </c>
      <c r="AH101" s="1134"/>
      <c r="AI101" s="1134"/>
      <c r="AJ101" s="1134"/>
      <c r="AK101" s="1136"/>
    </row>
    <row r="102" spans="1:37" ht="18.75" customHeight="1" thickBot="1" x14ac:dyDescent="0.4">
      <c r="A102" s="41" t="s">
        <v>2072</v>
      </c>
      <c r="B102" s="15"/>
      <c r="C102" s="15"/>
      <c r="D102" s="15"/>
      <c r="E102" s="15"/>
      <c r="F102" s="15"/>
      <c r="G102" s="15"/>
      <c r="H102" s="15"/>
      <c r="I102" s="15"/>
      <c r="J102" s="15"/>
      <c r="K102" s="15"/>
      <c r="L102" s="15"/>
      <c r="M102" s="15"/>
      <c r="N102" s="15"/>
      <c r="O102" s="15"/>
      <c r="P102" s="15"/>
      <c r="Q102" s="15"/>
      <c r="R102" s="15"/>
      <c r="S102" s="15"/>
      <c r="T102" s="15"/>
      <c r="U102" s="73"/>
      <c r="V102" s="15"/>
      <c r="W102" s="15"/>
      <c r="X102" s="15"/>
      <c r="Y102" s="15"/>
      <c r="Z102" s="15"/>
      <c r="AA102" s="15"/>
      <c r="AB102" s="15"/>
      <c r="AC102" s="15"/>
      <c r="AD102" s="15"/>
      <c r="AE102" s="72" t="s">
        <v>793</v>
      </c>
      <c r="AF102" s="74" t="s">
        <v>769</v>
      </c>
      <c r="AG102" s="1158">
        <f>SUMIF(COMPRAS!DC:DC,"SI",COMPRAS!CH:CH)+SUMIF(COMPRAS!DC:DC,"SI",COMPRAS!CI:CI)</f>
        <v>0</v>
      </c>
      <c r="AH102" s="1159"/>
      <c r="AI102" s="1159"/>
      <c r="AJ102" s="1159"/>
      <c r="AK102" s="1209"/>
    </row>
    <row r="103" spans="1:37" ht="18.75" customHeight="1" thickBot="1" x14ac:dyDescent="0.4">
      <c r="A103" s="71" t="s">
        <v>792</v>
      </c>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70" t="s">
        <v>791</v>
      </c>
      <c r="AE103" s="59" t="s">
        <v>790</v>
      </c>
      <c r="AF103" s="58" t="s">
        <v>767</v>
      </c>
      <c r="AG103" s="1155">
        <f>SUM(AG97:AK102)</f>
        <v>1031.3499999999999</v>
      </c>
      <c r="AH103" s="1156"/>
      <c r="AI103" s="1156"/>
      <c r="AJ103" s="1156"/>
      <c r="AK103" s="1199"/>
    </row>
    <row r="104" spans="1:37" ht="8.25" customHeight="1" thickBot="1" x14ac:dyDescent="0.4">
      <c r="A104" s="64"/>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63"/>
      <c r="AF104" s="63"/>
      <c r="AG104" s="62"/>
      <c r="AH104" s="62"/>
      <c r="AI104" s="62"/>
      <c r="AJ104" s="62"/>
      <c r="AK104" s="61"/>
    </row>
    <row r="105" spans="1:37" ht="18.75" customHeight="1" x14ac:dyDescent="0.35">
      <c r="A105" s="41" t="s">
        <v>2073</v>
      </c>
      <c r="B105" s="15"/>
      <c r="C105" s="15"/>
      <c r="D105" s="15"/>
      <c r="E105" s="15"/>
      <c r="F105" s="15"/>
      <c r="G105" s="15"/>
      <c r="H105" s="15"/>
      <c r="I105" s="15"/>
      <c r="J105" s="15"/>
      <c r="K105" s="15"/>
      <c r="L105" s="15"/>
      <c r="M105" s="15"/>
      <c r="N105" s="15"/>
      <c r="O105" s="15"/>
      <c r="P105" s="15"/>
      <c r="Q105" s="15"/>
      <c r="R105" s="15"/>
      <c r="S105" s="15"/>
      <c r="T105" s="15"/>
      <c r="U105" s="73"/>
      <c r="V105" s="15"/>
      <c r="W105" s="15"/>
      <c r="X105" s="15"/>
      <c r="Y105" s="15"/>
      <c r="Z105" s="15"/>
      <c r="AA105" s="15"/>
      <c r="AB105" s="15"/>
      <c r="AC105" s="15"/>
      <c r="AD105" s="15"/>
      <c r="AE105" s="72" t="s">
        <v>789</v>
      </c>
      <c r="AF105" s="53" t="s">
        <v>788</v>
      </c>
      <c r="AG105" s="1147">
        <v>0</v>
      </c>
      <c r="AH105" s="1148"/>
      <c r="AI105" s="1148"/>
      <c r="AJ105" s="1148"/>
      <c r="AK105" s="1149"/>
    </row>
    <row r="106" spans="1:37" ht="18.75" customHeight="1" thickBot="1" x14ac:dyDescent="0.4">
      <c r="A106" s="41" t="s">
        <v>2074</v>
      </c>
      <c r="B106" s="15"/>
      <c r="C106" s="15"/>
      <c r="D106" s="15"/>
      <c r="E106" s="15"/>
      <c r="F106" s="15"/>
      <c r="G106" s="15"/>
      <c r="H106" s="15"/>
      <c r="I106" s="15"/>
      <c r="J106" s="15"/>
      <c r="K106" s="15"/>
      <c r="L106" s="15"/>
      <c r="M106" s="15"/>
      <c r="N106" s="15"/>
      <c r="O106" s="15"/>
      <c r="P106" s="15"/>
      <c r="Q106" s="15"/>
      <c r="R106" s="15"/>
      <c r="S106" s="15"/>
      <c r="T106" s="15"/>
      <c r="U106" s="73"/>
      <c r="V106" s="15"/>
      <c r="W106" s="15"/>
      <c r="X106" s="15"/>
      <c r="Y106" s="15"/>
      <c r="Z106" s="15"/>
      <c r="AA106" s="15"/>
      <c r="AB106" s="15"/>
      <c r="AC106" s="15"/>
      <c r="AD106" s="15"/>
      <c r="AE106" s="72" t="s">
        <v>2075</v>
      </c>
      <c r="AF106" s="74" t="s">
        <v>788</v>
      </c>
      <c r="AG106" s="1158">
        <f>SUMIF(COMPRAS!DC:DC,"SI",COMPRAS!CI:CI)</f>
        <v>0</v>
      </c>
      <c r="AH106" s="1159"/>
      <c r="AI106" s="1159"/>
      <c r="AJ106" s="1159"/>
      <c r="AK106" s="1209"/>
    </row>
    <row r="107" spans="1:37" ht="18.75" customHeight="1" thickBot="1" x14ac:dyDescent="0.4">
      <c r="A107" s="71" t="s">
        <v>787</v>
      </c>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70" t="s">
        <v>2076</v>
      </c>
      <c r="AE107" s="59" t="s">
        <v>786</v>
      </c>
      <c r="AF107" s="58" t="s">
        <v>767</v>
      </c>
      <c r="AG107" s="1155">
        <f>AG103-AG105-AG106</f>
        <v>1031.3499999999999</v>
      </c>
      <c r="AH107" s="1156"/>
      <c r="AI107" s="1156"/>
      <c r="AJ107" s="1156"/>
      <c r="AK107" s="1199"/>
    </row>
    <row r="108" spans="1:37" ht="8.25" customHeight="1" thickBot="1" x14ac:dyDescent="0.4">
      <c r="A108" s="64"/>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63"/>
      <c r="AF108" s="63"/>
      <c r="AG108" s="62"/>
      <c r="AH108" s="62"/>
      <c r="AI108" s="62"/>
      <c r="AJ108" s="62"/>
      <c r="AK108" s="61"/>
    </row>
    <row r="109" spans="1:37" ht="18.75" customHeight="1" thickBot="1" x14ac:dyDescent="0.4">
      <c r="A109" s="64" t="s">
        <v>785</v>
      </c>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70" t="s">
        <v>784</v>
      </c>
      <c r="AE109" s="59" t="s">
        <v>783</v>
      </c>
      <c r="AF109" s="58" t="s">
        <v>767</v>
      </c>
      <c r="AG109" s="1155">
        <f>+AG89+AG107</f>
        <v>1031.3499999999999</v>
      </c>
      <c r="AH109" s="1156"/>
      <c r="AI109" s="1156"/>
      <c r="AJ109" s="1156"/>
      <c r="AK109" s="1199"/>
    </row>
    <row r="110" spans="1:37" ht="8.25" customHeight="1" thickBot="1" x14ac:dyDescent="0.4">
      <c r="A110" s="64"/>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63"/>
      <c r="AF110" s="63"/>
      <c r="AG110" s="62"/>
      <c r="AH110" s="62"/>
      <c r="AI110" s="62"/>
      <c r="AJ110" s="62"/>
      <c r="AK110" s="61"/>
    </row>
    <row r="111" spans="1:37" ht="18.75" customHeight="1" thickBot="1" x14ac:dyDescent="0.4">
      <c r="A111" s="69" t="s">
        <v>782</v>
      </c>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59" t="s">
        <v>781</v>
      </c>
      <c r="AF111" s="58" t="s">
        <v>767</v>
      </c>
      <c r="AG111" s="1220">
        <f>+I113+V113+AH113</f>
        <v>0</v>
      </c>
      <c r="AH111" s="1218"/>
      <c r="AI111" s="1218"/>
      <c r="AJ111" s="1218"/>
      <c r="AK111" s="1219"/>
    </row>
    <row r="112" spans="1:37" ht="27.9" customHeight="1" thickBot="1" x14ac:dyDescent="0.4">
      <c r="A112" s="1049" t="s">
        <v>1255</v>
      </c>
      <c r="B112" s="1050"/>
      <c r="C112" s="1050"/>
      <c r="D112" s="1050"/>
      <c r="E112" s="1050"/>
      <c r="F112" s="1050"/>
      <c r="G112" s="1050"/>
      <c r="H112" s="1050"/>
      <c r="I112" s="1050"/>
      <c r="J112" s="1050"/>
      <c r="K112" s="1050"/>
      <c r="L112" s="1050"/>
      <c r="M112" s="1050"/>
      <c r="N112" s="1050"/>
      <c r="O112" s="1050"/>
      <c r="P112" s="1050"/>
      <c r="Q112" s="1050"/>
      <c r="R112" s="1050"/>
      <c r="S112" s="1050"/>
      <c r="T112" s="1050"/>
      <c r="U112" s="1050"/>
      <c r="V112" s="1050"/>
      <c r="W112" s="1050"/>
      <c r="X112" s="1050"/>
      <c r="Y112" s="1050"/>
      <c r="Z112" s="1050"/>
      <c r="AA112" s="1050"/>
      <c r="AB112" s="1050"/>
      <c r="AC112" s="1050"/>
      <c r="AD112" s="1050"/>
      <c r="AE112" s="1050"/>
      <c r="AF112" s="1050"/>
      <c r="AG112" s="1050"/>
      <c r="AH112" s="1050"/>
      <c r="AI112" s="1050"/>
      <c r="AJ112" s="1050"/>
      <c r="AK112" s="1051"/>
    </row>
    <row r="113" spans="1:37" ht="18.75" customHeight="1" thickBot="1" x14ac:dyDescent="0.4">
      <c r="A113" s="1227" t="s">
        <v>779</v>
      </c>
      <c r="B113" s="1228"/>
      <c r="C113" s="1228"/>
      <c r="D113" s="1228"/>
      <c r="E113" s="1228"/>
      <c r="F113" s="1228"/>
      <c r="G113" s="68">
        <v>897</v>
      </c>
      <c r="H113" s="67" t="s">
        <v>752</v>
      </c>
      <c r="I113" s="1218">
        <v>0</v>
      </c>
      <c r="J113" s="1218"/>
      <c r="K113" s="1218"/>
      <c r="L113" s="1219"/>
      <c r="M113" s="1229" t="s">
        <v>778</v>
      </c>
      <c r="N113" s="1230"/>
      <c r="O113" s="1230"/>
      <c r="P113" s="1230"/>
      <c r="Q113" s="1230"/>
      <c r="R113" s="1230"/>
      <c r="S113" s="1230"/>
      <c r="T113" s="66">
        <v>898</v>
      </c>
      <c r="U113" s="67" t="s">
        <v>752</v>
      </c>
      <c r="V113" s="1218">
        <v>0</v>
      </c>
      <c r="W113" s="1218"/>
      <c r="X113" s="1218"/>
      <c r="Y113" s="1218"/>
      <c r="Z113" s="1219"/>
      <c r="AA113" s="1229" t="s">
        <v>777</v>
      </c>
      <c r="AB113" s="1230"/>
      <c r="AC113" s="1230"/>
      <c r="AD113" s="1230"/>
      <c r="AE113" s="1230"/>
      <c r="AF113" s="66">
        <v>899</v>
      </c>
      <c r="AG113" s="65" t="s">
        <v>752</v>
      </c>
      <c r="AH113" s="1218">
        <v>0</v>
      </c>
      <c r="AI113" s="1218"/>
      <c r="AJ113" s="1218"/>
      <c r="AK113" s="1219"/>
    </row>
    <row r="114" spans="1:37" ht="8.25" customHeight="1" thickBot="1" x14ac:dyDescent="0.4">
      <c r="A114" s="64"/>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63"/>
      <c r="AF114" s="63"/>
      <c r="AG114" s="62"/>
      <c r="AH114" s="62"/>
      <c r="AI114" s="62"/>
      <c r="AJ114" s="62"/>
      <c r="AK114" s="61"/>
    </row>
    <row r="115" spans="1:37" ht="18.75" customHeight="1" thickBot="1" x14ac:dyDescent="0.4">
      <c r="A115" s="60" t="s">
        <v>2077</v>
      </c>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59" t="s">
        <v>775</v>
      </c>
      <c r="AF115" s="58" t="s">
        <v>767</v>
      </c>
      <c r="AG115" s="1220">
        <v>0</v>
      </c>
      <c r="AH115" s="1218"/>
      <c r="AI115" s="1218"/>
      <c r="AJ115" s="1218"/>
      <c r="AK115" s="1219"/>
    </row>
    <row r="116" spans="1:37" ht="8.25" customHeight="1" thickBot="1" x14ac:dyDescent="0.4">
      <c r="A116" s="34"/>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57"/>
      <c r="AH116" s="57"/>
      <c r="AI116" s="33"/>
      <c r="AJ116" s="57"/>
      <c r="AK116" s="56"/>
    </row>
    <row r="117" spans="1:37" ht="19.5" customHeight="1" thickBot="1" x14ac:dyDescent="0.4">
      <c r="A117" s="50" t="s">
        <v>1256</v>
      </c>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8"/>
    </row>
    <row r="118" spans="1:37" ht="18.75" customHeight="1" x14ac:dyDescent="0.35">
      <c r="A118" s="42" t="s">
        <v>773</v>
      </c>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55" t="s">
        <v>772</v>
      </c>
      <c r="AG118" s="54">
        <v>902</v>
      </c>
      <c r="AH118" s="53" t="s">
        <v>769</v>
      </c>
      <c r="AI118" s="1147">
        <f>+AG109-V113</f>
        <v>1031.3499999999999</v>
      </c>
      <c r="AJ118" s="1148"/>
      <c r="AK118" s="1149"/>
    </row>
    <row r="119" spans="1:37" ht="18.75" customHeight="1" x14ac:dyDescent="0.35">
      <c r="A119" s="42" t="s">
        <v>771</v>
      </c>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43"/>
      <c r="AG119" s="54">
        <v>903</v>
      </c>
      <c r="AH119" s="53" t="s">
        <v>769</v>
      </c>
      <c r="AI119" s="1133">
        <v>0</v>
      </c>
      <c r="AJ119" s="1134"/>
      <c r="AK119" s="1136"/>
    </row>
    <row r="120" spans="1:37" ht="18.75" customHeight="1" thickBot="1" x14ac:dyDescent="0.4">
      <c r="A120" s="38" t="s">
        <v>770</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G120" s="52">
        <v>904</v>
      </c>
      <c r="AH120" s="51" t="s">
        <v>769</v>
      </c>
      <c r="AI120" s="1158">
        <v>0</v>
      </c>
      <c r="AJ120" s="1159"/>
      <c r="AK120" s="1209"/>
    </row>
    <row r="121" spans="1:37" ht="19.5" customHeight="1" thickBot="1" x14ac:dyDescent="0.4">
      <c r="A121" s="50" t="s">
        <v>768</v>
      </c>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c r="AC121" s="49"/>
      <c r="AD121" s="49"/>
      <c r="AE121" s="49"/>
      <c r="AF121" s="48"/>
      <c r="AG121" s="47">
        <v>999</v>
      </c>
      <c r="AH121" s="46" t="s">
        <v>767</v>
      </c>
      <c r="AI121" s="1155">
        <f>SUM(AI118:AK120)</f>
        <v>1031.3499999999999</v>
      </c>
      <c r="AJ121" s="1156"/>
      <c r="AK121" s="1199"/>
    </row>
    <row r="122" spans="1:37" ht="18.75" customHeight="1" x14ac:dyDescent="0.35">
      <c r="A122" s="45" t="s">
        <v>766</v>
      </c>
      <c r="B122" s="43"/>
      <c r="C122" s="43"/>
      <c r="D122" s="43"/>
      <c r="E122" s="43"/>
      <c r="F122" s="44"/>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c r="AD122" s="43"/>
      <c r="AE122" s="43"/>
      <c r="AF122" s="43"/>
      <c r="AG122" s="40" t="s">
        <v>765</v>
      </c>
      <c r="AH122" s="39" t="s">
        <v>752</v>
      </c>
      <c r="AI122" s="1148">
        <f>+AI121</f>
        <v>1031.3499999999999</v>
      </c>
      <c r="AJ122" s="1148"/>
      <c r="AK122" s="1149"/>
    </row>
    <row r="123" spans="1:37" ht="18.75" customHeight="1" x14ac:dyDescent="0.35">
      <c r="A123" s="42" t="s">
        <v>764</v>
      </c>
      <c r="B123" s="15"/>
      <c r="C123" s="15"/>
      <c r="D123" s="15"/>
      <c r="E123" s="15"/>
      <c r="F123" s="41"/>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40" t="s">
        <v>763</v>
      </c>
      <c r="AH123" s="39" t="s">
        <v>752</v>
      </c>
      <c r="AI123" s="1134">
        <v>0</v>
      </c>
      <c r="AJ123" s="1134"/>
      <c r="AK123" s="1136"/>
    </row>
    <row r="124" spans="1:37" ht="18.75" customHeight="1" x14ac:dyDescent="0.35">
      <c r="A124" s="38" t="s">
        <v>762</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6" t="s">
        <v>761</v>
      </c>
      <c r="AH124" s="35" t="s">
        <v>752</v>
      </c>
      <c r="AI124" s="1134">
        <v>0</v>
      </c>
      <c r="AJ124" s="1134"/>
      <c r="AK124" s="1136"/>
    </row>
    <row r="125" spans="1:37" ht="18.75" customHeight="1" thickBot="1" x14ac:dyDescent="0.4">
      <c r="A125" s="38" t="s">
        <v>760</v>
      </c>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6" t="s">
        <v>759</v>
      </c>
      <c r="AH125" s="35" t="s">
        <v>752</v>
      </c>
      <c r="AI125" s="1159">
        <v>0</v>
      </c>
      <c r="AJ125" s="1159"/>
      <c r="AK125" s="1209"/>
    </row>
    <row r="126" spans="1:37" ht="32.25" customHeight="1" thickBot="1" x14ac:dyDescent="0.4">
      <c r="A126" s="34" t="s">
        <v>758</v>
      </c>
      <c r="B126" s="33"/>
      <c r="C126" s="33"/>
      <c r="D126" s="33"/>
      <c r="E126" s="33"/>
      <c r="F126" s="33"/>
      <c r="G126" s="33"/>
      <c r="H126" s="33"/>
      <c r="I126" s="33"/>
      <c r="J126" s="33"/>
      <c r="K126" s="33"/>
      <c r="L126" s="33"/>
      <c r="M126" s="33"/>
      <c r="N126" s="33"/>
      <c r="O126" s="33"/>
      <c r="P126" s="1221" t="s">
        <v>757</v>
      </c>
      <c r="Q126" s="1222"/>
      <c r="R126" s="1222"/>
      <c r="S126" s="1222"/>
      <c r="T126" s="1223"/>
      <c r="U126" s="1224" t="s">
        <v>756</v>
      </c>
      <c r="V126" s="1225"/>
      <c r="W126" s="1225"/>
      <c r="X126" s="1225"/>
      <c r="Y126" s="1225"/>
      <c r="Z126" s="1225"/>
      <c r="AA126" s="1225"/>
      <c r="AB126" s="1225"/>
      <c r="AC126" s="1225"/>
      <c r="AD126" s="1225"/>
      <c r="AE126" s="1226"/>
      <c r="AF126" s="1221" t="s">
        <v>755</v>
      </c>
      <c r="AG126" s="1222"/>
      <c r="AH126" s="1222"/>
      <c r="AI126" s="1222"/>
      <c r="AJ126" s="1222"/>
      <c r="AK126" s="1223"/>
    </row>
    <row r="127" spans="1:37" ht="18.75" customHeight="1" x14ac:dyDescent="0.35">
      <c r="A127" s="32">
        <v>908</v>
      </c>
      <c r="B127" s="30" t="s">
        <v>754</v>
      </c>
      <c r="C127" s="1033"/>
      <c r="D127" s="1033"/>
      <c r="E127" s="1210"/>
      <c r="F127" s="31">
        <v>910</v>
      </c>
      <c r="G127" s="30" t="s">
        <v>754</v>
      </c>
      <c r="H127" s="1033"/>
      <c r="I127" s="1033"/>
      <c r="J127" s="1210"/>
      <c r="K127" s="31">
        <v>912</v>
      </c>
      <c r="L127" s="30" t="s">
        <v>754</v>
      </c>
      <c r="M127" s="1033"/>
      <c r="N127" s="1033"/>
      <c r="O127" s="1210"/>
      <c r="P127" s="1041"/>
      <c r="Q127" s="1042"/>
      <c r="R127" s="1042"/>
      <c r="S127" s="1042"/>
      <c r="T127" s="1043"/>
      <c r="U127" s="32">
        <v>916</v>
      </c>
      <c r="V127" s="30" t="s">
        <v>753</v>
      </c>
      <c r="W127" s="1033"/>
      <c r="X127" s="1033"/>
      <c r="Y127" s="1033"/>
      <c r="Z127" s="1210"/>
      <c r="AA127" s="31">
        <v>918</v>
      </c>
      <c r="AB127" s="30" t="s">
        <v>753</v>
      </c>
      <c r="AC127" s="1033"/>
      <c r="AD127" s="1033"/>
      <c r="AE127" s="1210"/>
      <c r="AF127" s="1041"/>
      <c r="AG127" s="1042"/>
      <c r="AH127" s="1042"/>
      <c r="AI127" s="1042"/>
      <c r="AJ127" s="1042"/>
      <c r="AK127" s="1043"/>
    </row>
    <row r="128" spans="1:37" ht="18.75" customHeight="1" thickBot="1" x14ac:dyDescent="0.4">
      <c r="A128" s="28">
        <v>909</v>
      </c>
      <c r="B128" s="26" t="s">
        <v>752</v>
      </c>
      <c r="C128" s="1159">
        <v>0</v>
      </c>
      <c r="D128" s="1159"/>
      <c r="E128" s="1160"/>
      <c r="F128" s="29">
        <v>911</v>
      </c>
      <c r="G128" s="26" t="s">
        <v>752</v>
      </c>
      <c r="H128" s="1159">
        <v>0</v>
      </c>
      <c r="I128" s="1159"/>
      <c r="J128" s="1160"/>
      <c r="K128" s="27">
        <v>913</v>
      </c>
      <c r="L128" s="26" t="s">
        <v>752</v>
      </c>
      <c r="M128" s="1159">
        <v>0</v>
      </c>
      <c r="N128" s="1159"/>
      <c r="O128" s="1160"/>
      <c r="P128" s="27">
        <v>915</v>
      </c>
      <c r="Q128" s="26" t="s">
        <v>752</v>
      </c>
      <c r="R128" s="1159">
        <v>0</v>
      </c>
      <c r="S128" s="1159"/>
      <c r="T128" s="1209"/>
      <c r="U128" s="28">
        <v>917</v>
      </c>
      <c r="V128" s="26" t="s">
        <v>752</v>
      </c>
      <c r="W128" s="1159">
        <v>0</v>
      </c>
      <c r="X128" s="1159"/>
      <c r="Y128" s="1159"/>
      <c r="Z128" s="1160"/>
      <c r="AA128" s="27">
        <v>919</v>
      </c>
      <c r="AB128" s="26" t="s">
        <v>752</v>
      </c>
      <c r="AC128" s="1159">
        <v>0</v>
      </c>
      <c r="AD128" s="1159"/>
      <c r="AE128" s="1160"/>
      <c r="AF128" s="27">
        <v>920</v>
      </c>
      <c r="AG128" s="26" t="s">
        <v>752</v>
      </c>
      <c r="AH128" s="1159">
        <v>0</v>
      </c>
      <c r="AI128" s="1159"/>
      <c r="AJ128" s="1159"/>
      <c r="AK128" s="1209"/>
    </row>
    <row r="129" spans="1:37" ht="22.5" customHeight="1" x14ac:dyDescent="0.35">
      <c r="A129" s="1213" t="s">
        <v>751</v>
      </c>
      <c r="B129" s="1214"/>
      <c r="C129" s="1214"/>
      <c r="D129" s="1214"/>
      <c r="E129" s="1214"/>
      <c r="F129" s="1214"/>
      <c r="G129" s="1214"/>
      <c r="H129" s="1214"/>
      <c r="I129" s="1214"/>
      <c r="J129" s="1214"/>
      <c r="K129" s="1214"/>
      <c r="L129" s="1214"/>
      <c r="M129" s="1214"/>
      <c r="N129" s="1214"/>
      <c r="O129" s="1214"/>
      <c r="P129" s="1214"/>
      <c r="Q129" s="1214"/>
      <c r="R129" s="1214"/>
      <c r="S129" s="1214"/>
      <c r="T129" s="1214"/>
      <c r="U129" s="1214"/>
      <c r="V129" s="1214"/>
      <c r="W129" s="1214"/>
      <c r="X129" s="1214"/>
      <c r="Y129" s="1214"/>
      <c r="Z129" s="1214"/>
      <c r="AA129" s="1214"/>
      <c r="AB129" s="1214"/>
      <c r="AC129" s="1214"/>
      <c r="AD129" s="1214"/>
      <c r="AE129" s="1214"/>
      <c r="AF129" s="1214"/>
      <c r="AG129" s="1214"/>
      <c r="AH129" s="1214"/>
      <c r="AI129" s="1214"/>
      <c r="AJ129" s="1214"/>
      <c r="AK129" s="1215"/>
    </row>
    <row r="130" spans="1:37" ht="15.75" customHeight="1" x14ac:dyDescent="0.35">
      <c r="A130" s="23"/>
      <c r="C130" s="20"/>
      <c r="D130" s="20"/>
      <c r="E130" s="20"/>
      <c r="F130" s="20"/>
      <c r="AK130" s="19"/>
    </row>
    <row r="131" spans="1:37" ht="15.75" customHeight="1" x14ac:dyDescent="0.35">
      <c r="A131" s="25"/>
      <c r="B131" s="24"/>
      <c r="C131" s="20"/>
      <c r="D131" s="20"/>
      <c r="E131" s="20"/>
      <c r="F131" s="20"/>
      <c r="G131" s="24"/>
      <c r="H131" s="24"/>
      <c r="I131" s="24"/>
      <c r="J131" s="24"/>
      <c r="K131" s="24"/>
      <c r="L131" s="24"/>
      <c r="M131" s="24"/>
      <c r="N131" s="24"/>
      <c r="O131" s="24"/>
      <c r="P131" s="24"/>
      <c r="Q131" s="24"/>
      <c r="R131" s="24"/>
      <c r="S131" s="24"/>
      <c r="T131" s="24"/>
      <c r="U131" s="24"/>
      <c r="AK131" s="19"/>
    </row>
    <row r="132" spans="1:37" ht="12.75" customHeight="1" x14ac:dyDescent="0.35">
      <c r="A132" s="25"/>
      <c r="B132" s="24"/>
      <c r="C132" s="20"/>
      <c r="D132" s="20"/>
      <c r="E132" s="20"/>
      <c r="F132" s="20"/>
      <c r="G132" s="24"/>
      <c r="H132" s="24"/>
      <c r="I132" s="24"/>
      <c r="J132" s="24"/>
      <c r="K132" s="24"/>
      <c r="L132" s="24"/>
      <c r="M132" s="24"/>
      <c r="N132" s="24"/>
      <c r="O132" s="24"/>
      <c r="P132" s="24"/>
      <c r="Q132" s="24"/>
      <c r="R132" s="24"/>
      <c r="S132" s="24"/>
      <c r="T132" s="24"/>
      <c r="U132" s="24"/>
      <c r="AK132" s="19"/>
    </row>
    <row r="133" spans="1:37" ht="18" customHeight="1" thickBot="1" x14ac:dyDescent="0.4">
      <c r="A133" s="23"/>
      <c r="B133" s="20"/>
      <c r="C133" s="20"/>
      <c r="D133" s="20"/>
      <c r="E133" s="20"/>
      <c r="F133" s="20"/>
      <c r="G133" s="21"/>
      <c r="H133" s="22" t="s">
        <v>750</v>
      </c>
      <c r="J133" s="20"/>
      <c r="K133" s="21"/>
      <c r="L133" s="21"/>
      <c r="Q133" s="20" t="s">
        <v>749</v>
      </c>
      <c r="R133" s="20"/>
      <c r="S133" s="20"/>
      <c r="T133" s="20"/>
      <c r="U133" s="20"/>
      <c r="AB133" s="20" t="s">
        <v>748</v>
      </c>
      <c r="AC133" s="20"/>
      <c r="AK133" s="19"/>
    </row>
    <row r="134" spans="1:37" ht="22.5" customHeight="1" thickBot="1" x14ac:dyDescent="0.4">
      <c r="A134" s="18" t="s">
        <v>747</v>
      </c>
      <c r="B134" s="17"/>
      <c r="C134" s="1216" t="str">
        <f>Parametros!D6</f>
        <v>GARCIA RODRIGUEZ CHARLES MILTON</v>
      </c>
      <c r="D134" s="1212"/>
      <c r="E134" s="1212"/>
      <c r="F134" s="1212"/>
      <c r="G134" s="1212"/>
      <c r="H134" s="1212"/>
      <c r="I134" s="1212"/>
      <c r="J134" s="1212"/>
      <c r="K134" s="1212"/>
      <c r="L134" s="1212"/>
      <c r="M134" s="1212"/>
      <c r="N134" s="1212"/>
      <c r="O134" s="1212"/>
      <c r="P134" s="1212"/>
      <c r="Q134" s="1212"/>
      <c r="R134" s="1212"/>
      <c r="S134" s="1212"/>
      <c r="T134" s="1217"/>
      <c r="U134" s="18" t="s">
        <v>747</v>
      </c>
      <c r="V134" s="17"/>
      <c r="W134" s="16"/>
      <c r="X134" s="1211" t="str">
        <f>Parametros!D8</f>
        <v>ESPINOZA TOALOMBO WILMER OLMEDO</v>
      </c>
      <c r="Y134" s="1212"/>
      <c r="Z134" s="1212"/>
      <c r="AA134" s="1212"/>
      <c r="AB134" s="1212"/>
      <c r="AC134" s="1212"/>
      <c r="AD134" s="1212"/>
      <c r="AE134" s="1212"/>
      <c r="AF134" s="1212"/>
      <c r="AG134" s="1212"/>
      <c r="AH134" s="15"/>
      <c r="AI134" s="15"/>
      <c r="AJ134" s="15"/>
      <c r="AK134" s="14"/>
    </row>
    <row r="135" spans="1:37" ht="22.5" customHeight="1" thickBot="1" x14ac:dyDescent="0.4">
      <c r="A135" s="8">
        <v>198</v>
      </c>
      <c r="B135" s="7" t="s">
        <v>746</v>
      </c>
      <c r="C135" s="13"/>
      <c r="D135" s="13"/>
      <c r="E135" s="11"/>
      <c r="F135" s="12"/>
      <c r="G135" s="11"/>
      <c r="H135" s="5"/>
      <c r="I135" s="1159" t="str">
        <f>Parametros!D7</f>
        <v>0917809451001</v>
      </c>
      <c r="J135" s="1159"/>
      <c r="K135" s="1159"/>
      <c r="L135" s="1159"/>
      <c r="M135" s="1159"/>
      <c r="N135" s="1159"/>
      <c r="O135" s="1159"/>
      <c r="P135" s="10"/>
      <c r="Q135" s="10"/>
      <c r="R135" s="10"/>
      <c r="S135" s="10"/>
      <c r="T135" s="9"/>
      <c r="U135" s="8">
        <v>199</v>
      </c>
      <c r="V135" s="7" t="s">
        <v>745</v>
      </c>
      <c r="W135" s="6"/>
      <c r="X135" s="1159" t="str">
        <f>Parametros!D9</f>
        <v>0916540586001</v>
      </c>
      <c r="Y135" s="1159"/>
      <c r="Z135" s="1159"/>
      <c r="AA135" s="1159"/>
      <c r="AB135" s="1159"/>
      <c r="AC135" s="1159"/>
      <c r="AD135" s="1159"/>
      <c r="AE135" s="1159"/>
      <c r="AF135" s="1159"/>
      <c r="AG135" s="1159"/>
      <c r="AH135" s="5"/>
      <c r="AI135" s="5"/>
      <c r="AJ135" s="5"/>
      <c r="AK135" s="4"/>
    </row>
  </sheetData>
  <mergeCells count="235">
    <mergeCell ref="Z50:AD50"/>
    <mergeCell ref="R44:V44"/>
    <mergeCell ref="X57:AD57"/>
    <mergeCell ref="Z52:AD52"/>
    <mergeCell ref="Z44:AD44"/>
    <mergeCell ref="AG47:AK47"/>
    <mergeCell ref="AG48:AK48"/>
    <mergeCell ref="AG60:AK60"/>
    <mergeCell ref="AF59:AK59"/>
    <mergeCell ref="R57:V57"/>
    <mergeCell ref="R52:V52"/>
    <mergeCell ref="X55:AD55"/>
    <mergeCell ref="AF57:AK57"/>
    <mergeCell ref="R51:V51"/>
    <mergeCell ref="AF56:AK56"/>
    <mergeCell ref="AG52:AK52"/>
    <mergeCell ref="X54:AD54"/>
    <mergeCell ref="AE53:AK55"/>
    <mergeCell ref="R54:V54"/>
    <mergeCell ref="AG71:AK71"/>
    <mergeCell ref="AG81:AK81"/>
    <mergeCell ref="AG39:AK39"/>
    <mergeCell ref="Z40:AD40"/>
    <mergeCell ref="AE38:AK38"/>
    <mergeCell ref="R39:V39"/>
    <mergeCell ref="R50:V50"/>
    <mergeCell ref="AG40:AK40"/>
    <mergeCell ref="R40:V40"/>
    <mergeCell ref="R43:V43"/>
    <mergeCell ref="AG43:AK43"/>
    <mergeCell ref="Z39:AD39"/>
    <mergeCell ref="W38:AD38"/>
    <mergeCell ref="R49:V49"/>
    <mergeCell ref="AG41:AK41"/>
    <mergeCell ref="Z41:AD41"/>
    <mergeCell ref="R41:V41"/>
    <mergeCell ref="Z46:AD46"/>
    <mergeCell ref="Z49:AD49"/>
    <mergeCell ref="AG45:AK45"/>
    <mergeCell ref="AE49:AK51"/>
    <mergeCell ref="Z51:AD51"/>
    <mergeCell ref="AG46:AK46"/>
    <mergeCell ref="Z45:AD45"/>
    <mergeCell ref="B6:B7"/>
    <mergeCell ref="C6:C7"/>
    <mergeCell ref="H6:H7"/>
    <mergeCell ref="B10:N10"/>
    <mergeCell ref="I6:I7"/>
    <mergeCell ref="J6:J7"/>
    <mergeCell ref="F6:F7"/>
    <mergeCell ref="K6:K7"/>
    <mergeCell ref="G6:G7"/>
    <mergeCell ref="E6:E7"/>
    <mergeCell ref="D6:D7"/>
    <mergeCell ref="G34:J34"/>
    <mergeCell ref="P33:U33"/>
    <mergeCell ref="AG33:AK33"/>
    <mergeCell ref="F33:J33"/>
    <mergeCell ref="A33:E33"/>
    <mergeCell ref="AF28:AK28"/>
    <mergeCell ref="A9:A10"/>
    <mergeCell ref="P38:V38"/>
    <mergeCell ref="I1:AE2"/>
    <mergeCell ref="P6:P7"/>
    <mergeCell ref="AF1:AG2"/>
    <mergeCell ref="M6:M7"/>
    <mergeCell ref="Z14:AD14"/>
    <mergeCell ref="AG14:AK14"/>
    <mergeCell ref="P10:AK10"/>
    <mergeCell ref="AH6:AJ6"/>
    <mergeCell ref="X7:AE7"/>
    <mergeCell ref="AH7:AJ7"/>
    <mergeCell ref="AG13:AK13"/>
    <mergeCell ref="N6:N7"/>
    <mergeCell ref="Q6:Q7"/>
    <mergeCell ref="L6:L7"/>
    <mergeCell ref="AG6:AG7"/>
    <mergeCell ref="P4:S4"/>
    <mergeCell ref="T4:U4"/>
    <mergeCell ref="R13:V13"/>
    <mergeCell ref="U6:U7"/>
    <mergeCell ref="R6:R7"/>
    <mergeCell ref="S6:S7"/>
    <mergeCell ref="T6:T7"/>
    <mergeCell ref="W12:AD12"/>
    <mergeCell ref="A82:C85"/>
    <mergeCell ref="AG73:AK73"/>
    <mergeCell ref="AG74:AK74"/>
    <mergeCell ref="AG75:AK75"/>
    <mergeCell ref="Z82:AB82"/>
    <mergeCell ref="A63:J63"/>
    <mergeCell ref="L63:O63"/>
    <mergeCell ref="P63:AA63"/>
    <mergeCell ref="AC63:AF63"/>
    <mergeCell ref="AC64:AF64"/>
    <mergeCell ref="A64:AA64"/>
    <mergeCell ref="AG85:AK85"/>
    <mergeCell ref="AG76:AK76"/>
    <mergeCell ref="AG17:AK17"/>
    <mergeCell ref="Q34:U34"/>
    <mergeCell ref="R23:V23"/>
    <mergeCell ref="AC34:AF34"/>
    <mergeCell ref="AG70:AK70"/>
    <mergeCell ref="AG100:AK100"/>
    <mergeCell ref="AG107:AK107"/>
    <mergeCell ref="AH34:AK34"/>
    <mergeCell ref="W34:AA34"/>
    <mergeCell ref="R45:V45"/>
    <mergeCell ref="R46:V46"/>
    <mergeCell ref="Z43:AD43"/>
    <mergeCell ref="AG105:AK105"/>
    <mergeCell ref="AG103:AK103"/>
    <mergeCell ref="AG79:AK79"/>
    <mergeCell ref="AG97:AK97"/>
    <mergeCell ref="AG102:AK102"/>
    <mergeCell ref="AG101:AK101"/>
    <mergeCell ref="AG98:AK98"/>
    <mergeCell ref="AG99:AK99"/>
    <mergeCell ref="AG88:AK88"/>
    <mergeCell ref="AG89:AK89"/>
    <mergeCell ref="AG82:AK82"/>
    <mergeCell ref="AG87:AK87"/>
    <mergeCell ref="AG68:AK68"/>
    <mergeCell ref="AG83:AK83"/>
    <mergeCell ref="AG61:AK61"/>
    <mergeCell ref="AG80:AK80"/>
    <mergeCell ref="AI122:AK122"/>
    <mergeCell ref="AG109:AK109"/>
    <mergeCell ref="AH113:AK113"/>
    <mergeCell ref="AG111:AK111"/>
    <mergeCell ref="AI120:AK120"/>
    <mergeCell ref="AI119:AK119"/>
    <mergeCell ref="AI118:AK118"/>
    <mergeCell ref="V113:Z113"/>
    <mergeCell ref="P126:T126"/>
    <mergeCell ref="U126:AE126"/>
    <mergeCell ref="AF126:AK126"/>
    <mergeCell ref="AI121:AK121"/>
    <mergeCell ref="AG115:AK115"/>
    <mergeCell ref="AI123:AK123"/>
    <mergeCell ref="AI124:AK124"/>
    <mergeCell ref="AI125:AK125"/>
    <mergeCell ref="A112:AK112"/>
    <mergeCell ref="A113:F113"/>
    <mergeCell ref="I113:L113"/>
    <mergeCell ref="M113:S113"/>
    <mergeCell ref="AA113:AE113"/>
    <mergeCell ref="A71:C74"/>
    <mergeCell ref="AG77:AK77"/>
    <mergeCell ref="AG78:AK78"/>
    <mergeCell ref="AG84:AK84"/>
    <mergeCell ref="I135:O135"/>
    <mergeCell ref="X135:AG135"/>
    <mergeCell ref="W128:Z128"/>
    <mergeCell ref="AF127:AK127"/>
    <mergeCell ref="C128:E128"/>
    <mergeCell ref="H128:J128"/>
    <mergeCell ref="M128:O128"/>
    <mergeCell ref="R128:T128"/>
    <mergeCell ref="P127:T127"/>
    <mergeCell ref="W127:Z127"/>
    <mergeCell ref="AC127:AE127"/>
    <mergeCell ref="X134:AG134"/>
    <mergeCell ref="AC128:AE128"/>
    <mergeCell ref="AH128:AK128"/>
    <mergeCell ref="C127:E127"/>
    <mergeCell ref="H127:J127"/>
    <mergeCell ref="M127:O127"/>
    <mergeCell ref="A129:AK129"/>
    <mergeCell ref="C134:T134"/>
    <mergeCell ref="AG106:AK106"/>
    <mergeCell ref="A6:A7"/>
    <mergeCell ref="L36:O36"/>
    <mergeCell ref="P36:AA36"/>
    <mergeCell ref="A36:J36"/>
    <mergeCell ref="K33:O33"/>
    <mergeCell ref="AC36:AF36"/>
    <mergeCell ref="B34:E34"/>
    <mergeCell ref="V33:AA33"/>
    <mergeCell ref="AB33:AF33"/>
    <mergeCell ref="AF29:AK29"/>
    <mergeCell ref="L34:O34"/>
    <mergeCell ref="X29:AD29"/>
    <mergeCell ref="R29:V29"/>
    <mergeCell ref="X28:AD28"/>
    <mergeCell ref="AG18:AK18"/>
    <mergeCell ref="AE12:AK12"/>
    <mergeCell ref="P12:V12"/>
    <mergeCell ref="R22:V22"/>
    <mergeCell ref="R14:V14"/>
    <mergeCell ref="R15:V15"/>
    <mergeCell ref="AG25:AK25"/>
    <mergeCell ref="Z21:AD21"/>
    <mergeCell ref="R24:V24"/>
    <mergeCell ref="R25:V25"/>
    <mergeCell ref="W6:W7"/>
    <mergeCell ref="X6:AE6"/>
    <mergeCell ref="AG44:AK44"/>
    <mergeCell ref="Z23:AD23"/>
    <mergeCell ref="Z25:AD25"/>
    <mergeCell ref="Z24:AD24"/>
    <mergeCell ref="Z13:AD13"/>
    <mergeCell ref="Z20:AD20"/>
    <mergeCell ref="Z22:AD22"/>
    <mergeCell ref="AG15:AK15"/>
    <mergeCell ref="Z15:AD15"/>
    <mergeCell ref="X27:AD27"/>
    <mergeCell ref="AE26:AK27"/>
    <mergeCell ref="Z19:AD19"/>
    <mergeCell ref="AE19:AK24"/>
    <mergeCell ref="X26:AD26"/>
    <mergeCell ref="AG86:AK86"/>
    <mergeCell ref="W91:AD91"/>
    <mergeCell ref="AE91:AK91"/>
    <mergeCell ref="AG94:AK94"/>
    <mergeCell ref="AE93:AK93"/>
    <mergeCell ref="AG92:AK92"/>
    <mergeCell ref="Z92:AD92"/>
    <mergeCell ref="R16:V16"/>
    <mergeCell ref="Z16:AD16"/>
    <mergeCell ref="AG16:AK16"/>
    <mergeCell ref="R42:V42"/>
    <mergeCell ref="Z42:AD42"/>
    <mergeCell ref="AG42:AK42"/>
    <mergeCell ref="R20:V20"/>
    <mergeCell ref="R26:V26"/>
    <mergeCell ref="R21:V21"/>
    <mergeCell ref="R19:V19"/>
    <mergeCell ref="P27:V28"/>
    <mergeCell ref="R53:V53"/>
    <mergeCell ref="AG72:AK72"/>
    <mergeCell ref="X56:AD56"/>
    <mergeCell ref="X53:AD53"/>
    <mergeCell ref="AG67:AK67"/>
    <mergeCell ref="AG69:AK69"/>
  </mergeCells>
  <conditionalFormatting sqref="C6:N7">
    <cfRule type="expression" dxfId="9" priority="1">
      <formula>C$5</formula>
    </cfRule>
  </conditionalFormatting>
  <dataValidations count="3">
    <dataValidation type="whole" operator="equal" allowBlank="1" showInputMessage="1" showErrorMessage="1" errorTitle="Anexos con Excel" error="Este campo esta bloqueado por el SRI" sqref="AG84:AK84 WWJ983117:WWN983117 WMN983117:WMR983117 WCR983117:WCV983117 VSV983117:VSZ983117 VIZ983117:VJD983117 UZD983117:UZH983117 UPH983117:UPL983117 UFL983117:UFP983117 TVP983117:TVT983117 TLT983117:TLX983117 TBX983117:TCB983117 SSB983117:SSF983117 SIF983117:SIJ983117 RYJ983117:RYN983117 RON983117:ROR983117 RER983117:REV983117 QUV983117:QUZ983117 QKZ983117:QLD983117 QBD983117:QBH983117 PRH983117:PRL983117 PHL983117:PHP983117 OXP983117:OXT983117 ONT983117:ONX983117 ODX983117:OEB983117 NUB983117:NUF983117 NKF983117:NKJ983117 NAJ983117:NAN983117 MQN983117:MQR983117 MGR983117:MGV983117 LWV983117:LWZ983117 LMZ983117:LND983117 LDD983117:LDH983117 KTH983117:KTL983117 KJL983117:KJP983117 JZP983117:JZT983117 JPT983117:JPX983117 JFX983117:JGB983117 IWB983117:IWF983117 IMF983117:IMJ983117 ICJ983117:ICN983117 HSN983117:HSR983117 HIR983117:HIV983117 GYV983117:GYZ983117 GOZ983117:GPD983117 GFD983117:GFH983117 FVH983117:FVL983117 FLL983117:FLP983117 FBP983117:FBT983117 ERT983117:ERX983117 EHX983117:EIB983117 DYB983117:DYF983117 DOF983117:DOJ983117 DEJ983117:DEN983117 CUN983117:CUR983117 CKR983117:CKV983117 CAV983117:CAZ983117 BQZ983117:BRD983117 BHD983117:BHH983117 AXH983117:AXL983117 ANL983117:ANP983117 ADP983117:ADT983117 TT983117:TX983117 JX983117:KB983117 AG983117:AK983117 WWJ917581:WWN917581 WMN917581:WMR917581 WCR917581:WCV917581 VSV917581:VSZ917581 VIZ917581:VJD917581 UZD917581:UZH917581 UPH917581:UPL917581 UFL917581:UFP917581 TVP917581:TVT917581 TLT917581:TLX917581 TBX917581:TCB917581 SSB917581:SSF917581 SIF917581:SIJ917581 RYJ917581:RYN917581 RON917581:ROR917581 RER917581:REV917581 QUV917581:QUZ917581 QKZ917581:QLD917581 QBD917581:QBH917581 PRH917581:PRL917581 PHL917581:PHP917581 OXP917581:OXT917581 ONT917581:ONX917581 ODX917581:OEB917581 NUB917581:NUF917581 NKF917581:NKJ917581 NAJ917581:NAN917581 MQN917581:MQR917581 MGR917581:MGV917581 LWV917581:LWZ917581 LMZ917581:LND917581 LDD917581:LDH917581 KTH917581:KTL917581 KJL917581:KJP917581 JZP917581:JZT917581 JPT917581:JPX917581 JFX917581:JGB917581 IWB917581:IWF917581 IMF917581:IMJ917581 ICJ917581:ICN917581 HSN917581:HSR917581 HIR917581:HIV917581 GYV917581:GYZ917581 GOZ917581:GPD917581 GFD917581:GFH917581 FVH917581:FVL917581 FLL917581:FLP917581 FBP917581:FBT917581 ERT917581:ERX917581 EHX917581:EIB917581 DYB917581:DYF917581 DOF917581:DOJ917581 DEJ917581:DEN917581 CUN917581:CUR917581 CKR917581:CKV917581 CAV917581:CAZ917581 BQZ917581:BRD917581 BHD917581:BHH917581 AXH917581:AXL917581 ANL917581:ANP917581 ADP917581:ADT917581 TT917581:TX917581 JX917581:KB917581 AG917581:AK917581 WWJ852045:WWN852045 WMN852045:WMR852045 WCR852045:WCV852045 VSV852045:VSZ852045 VIZ852045:VJD852045 UZD852045:UZH852045 UPH852045:UPL852045 UFL852045:UFP852045 TVP852045:TVT852045 TLT852045:TLX852045 TBX852045:TCB852045 SSB852045:SSF852045 SIF852045:SIJ852045 RYJ852045:RYN852045 RON852045:ROR852045 RER852045:REV852045 QUV852045:QUZ852045 QKZ852045:QLD852045 QBD852045:QBH852045 PRH852045:PRL852045 PHL852045:PHP852045 OXP852045:OXT852045 ONT852045:ONX852045 ODX852045:OEB852045 NUB852045:NUF852045 NKF852045:NKJ852045 NAJ852045:NAN852045 MQN852045:MQR852045 MGR852045:MGV852045 LWV852045:LWZ852045 LMZ852045:LND852045 LDD852045:LDH852045 KTH852045:KTL852045 KJL852045:KJP852045 JZP852045:JZT852045 JPT852045:JPX852045 JFX852045:JGB852045 IWB852045:IWF852045 IMF852045:IMJ852045 ICJ852045:ICN852045 HSN852045:HSR852045 HIR852045:HIV852045 GYV852045:GYZ852045 GOZ852045:GPD852045 GFD852045:GFH852045 FVH852045:FVL852045 FLL852045:FLP852045 FBP852045:FBT852045 ERT852045:ERX852045 EHX852045:EIB852045 DYB852045:DYF852045 DOF852045:DOJ852045 DEJ852045:DEN852045 CUN852045:CUR852045 CKR852045:CKV852045 CAV852045:CAZ852045 BQZ852045:BRD852045 BHD852045:BHH852045 AXH852045:AXL852045 ANL852045:ANP852045 ADP852045:ADT852045 TT852045:TX852045 JX852045:KB852045 AG852045:AK852045 WWJ786509:WWN786509 WMN786509:WMR786509 WCR786509:WCV786509 VSV786509:VSZ786509 VIZ786509:VJD786509 UZD786509:UZH786509 UPH786509:UPL786509 UFL786509:UFP786509 TVP786509:TVT786509 TLT786509:TLX786509 TBX786509:TCB786509 SSB786509:SSF786509 SIF786509:SIJ786509 RYJ786509:RYN786509 RON786509:ROR786509 RER786509:REV786509 QUV786509:QUZ786509 QKZ786509:QLD786509 QBD786509:QBH786509 PRH786509:PRL786509 PHL786509:PHP786509 OXP786509:OXT786509 ONT786509:ONX786509 ODX786509:OEB786509 NUB786509:NUF786509 NKF786509:NKJ786509 NAJ786509:NAN786509 MQN786509:MQR786509 MGR786509:MGV786509 LWV786509:LWZ786509 LMZ786509:LND786509 LDD786509:LDH786509 KTH786509:KTL786509 KJL786509:KJP786509 JZP786509:JZT786509 JPT786509:JPX786509 JFX786509:JGB786509 IWB786509:IWF786509 IMF786509:IMJ786509 ICJ786509:ICN786509 HSN786509:HSR786509 HIR786509:HIV786509 GYV786509:GYZ786509 GOZ786509:GPD786509 GFD786509:GFH786509 FVH786509:FVL786509 FLL786509:FLP786509 FBP786509:FBT786509 ERT786509:ERX786509 EHX786509:EIB786509 DYB786509:DYF786509 DOF786509:DOJ786509 DEJ786509:DEN786509 CUN786509:CUR786509 CKR786509:CKV786509 CAV786509:CAZ786509 BQZ786509:BRD786509 BHD786509:BHH786509 AXH786509:AXL786509 ANL786509:ANP786509 ADP786509:ADT786509 TT786509:TX786509 JX786509:KB786509 AG786509:AK786509 WWJ720973:WWN720973 WMN720973:WMR720973 WCR720973:WCV720973 VSV720973:VSZ720973 VIZ720973:VJD720973 UZD720973:UZH720973 UPH720973:UPL720973 UFL720973:UFP720973 TVP720973:TVT720973 TLT720973:TLX720973 TBX720973:TCB720973 SSB720973:SSF720973 SIF720973:SIJ720973 RYJ720973:RYN720973 RON720973:ROR720973 RER720973:REV720973 QUV720973:QUZ720973 QKZ720973:QLD720973 QBD720973:QBH720973 PRH720973:PRL720973 PHL720973:PHP720973 OXP720973:OXT720973 ONT720973:ONX720973 ODX720973:OEB720973 NUB720973:NUF720973 NKF720973:NKJ720973 NAJ720973:NAN720973 MQN720973:MQR720973 MGR720973:MGV720973 LWV720973:LWZ720973 LMZ720973:LND720973 LDD720973:LDH720973 KTH720973:KTL720973 KJL720973:KJP720973 JZP720973:JZT720973 JPT720973:JPX720973 JFX720973:JGB720973 IWB720973:IWF720973 IMF720973:IMJ720973 ICJ720973:ICN720973 HSN720973:HSR720973 HIR720973:HIV720973 GYV720973:GYZ720973 GOZ720973:GPD720973 GFD720973:GFH720973 FVH720973:FVL720973 FLL720973:FLP720973 FBP720973:FBT720973 ERT720973:ERX720973 EHX720973:EIB720973 DYB720973:DYF720973 DOF720973:DOJ720973 DEJ720973:DEN720973 CUN720973:CUR720973 CKR720973:CKV720973 CAV720973:CAZ720973 BQZ720973:BRD720973 BHD720973:BHH720973 AXH720973:AXL720973 ANL720973:ANP720973 ADP720973:ADT720973 TT720973:TX720973 JX720973:KB720973 AG720973:AK720973 WWJ655437:WWN655437 WMN655437:WMR655437 WCR655437:WCV655437 VSV655437:VSZ655437 VIZ655437:VJD655437 UZD655437:UZH655437 UPH655437:UPL655437 UFL655437:UFP655437 TVP655437:TVT655437 TLT655437:TLX655437 TBX655437:TCB655437 SSB655437:SSF655437 SIF655437:SIJ655437 RYJ655437:RYN655437 RON655437:ROR655437 RER655437:REV655437 QUV655437:QUZ655437 QKZ655437:QLD655437 QBD655437:QBH655437 PRH655437:PRL655437 PHL655437:PHP655437 OXP655437:OXT655437 ONT655437:ONX655437 ODX655437:OEB655437 NUB655437:NUF655437 NKF655437:NKJ655437 NAJ655437:NAN655437 MQN655437:MQR655437 MGR655437:MGV655437 LWV655437:LWZ655437 LMZ655437:LND655437 LDD655437:LDH655437 KTH655437:KTL655437 KJL655437:KJP655437 JZP655437:JZT655437 JPT655437:JPX655437 JFX655437:JGB655437 IWB655437:IWF655437 IMF655437:IMJ655437 ICJ655437:ICN655437 HSN655437:HSR655437 HIR655437:HIV655437 GYV655437:GYZ655437 GOZ655437:GPD655437 GFD655437:GFH655437 FVH655437:FVL655437 FLL655437:FLP655437 FBP655437:FBT655437 ERT655437:ERX655437 EHX655437:EIB655437 DYB655437:DYF655437 DOF655437:DOJ655437 DEJ655437:DEN655437 CUN655437:CUR655437 CKR655437:CKV655437 CAV655437:CAZ655437 BQZ655437:BRD655437 BHD655437:BHH655437 AXH655437:AXL655437 ANL655437:ANP655437 ADP655437:ADT655437 TT655437:TX655437 JX655437:KB655437 AG655437:AK655437 WWJ589901:WWN589901 WMN589901:WMR589901 WCR589901:WCV589901 VSV589901:VSZ589901 VIZ589901:VJD589901 UZD589901:UZH589901 UPH589901:UPL589901 UFL589901:UFP589901 TVP589901:TVT589901 TLT589901:TLX589901 TBX589901:TCB589901 SSB589901:SSF589901 SIF589901:SIJ589901 RYJ589901:RYN589901 RON589901:ROR589901 RER589901:REV589901 QUV589901:QUZ589901 QKZ589901:QLD589901 QBD589901:QBH589901 PRH589901:PRL589901 PHL589901:PHP589901 OXP589901:OXT589901 ONT589901:ONX589901 ODX589901:OEB589901 NUB589901:NUF589901 NKF589901:NKJ589901 NAJ589901:NAN589901 MQN589901:MQR589901 MGR589901:MGV589901 LWV589901:LWZ589901 LMZ589901:LND589901 LDD589901:LDH589901 KTH589901:KTL589901 KJL589901:KJP589901 JZP589901:JZT589901 JPT589901:JPX589901 JFX589901:JGB589901 IWB589901:IWF589901 IMF589901:IMJ589901 ICJ589901:ICN589901 HSN589901:HSR589901 HIR589901:HIV589901 GYV589901:GYZ589901 GOZ589901:GPD589901 GFD589901:GFH589901 FVH589901:FVL589901 FLL589901:FLP589901 FBP589901:FBT589901 ERT589901:ERX589901 EHX589901:EIB589901 DYB589901:DYF589901 DOF589901:DOJ589901 DEJ589901:DEN589901 CUN589901:CUR589901 CKR589901:CKV589901 CAV589901:CAZ589901 BQZ589901:BRD589901 BHD589901:BHH589901 AXH589901:AXL589901 ANL589901:ANP589901 ADP589901:ADT589901 TT589901:TX589901 JX589901:KB589901 AG589901:AK589901 WWJ524365:WWN524365 WMN524365:WMR524365 WCR524365:WCV524365 VSV524365:VSZ524365 VIZ524365:VJD524365 UZD524365:UZH524365 UPH524365:UPL524365 UFL524365:UFP524365 TVP524365:TVT524365 TLT524365:TLX524365 TBX524365:TCB524365 SSB524365:SSF524365 SIF524365:SIJ524365 RYJ524365:RYN524365 RON524365:ROR524365 RER524365:REV524365 QUV524365:QUZ524365 QKZ524365:QLD524365 QBD524365:QBH524365 PRH524365:PRL524365 PHL524365:PHP524365 OXP524365:OXT524365 ONT524365:ONX524365 ODX524365:OEB524365 NUB524365:NUF524365 NKF524365:NKJ524365 NAJ524365:NAN524365 MQN524365:MQR524365 MGR524365:MGV524365 LWV524365:LWZ524365 LMZ524365:LND524365 LDD524365:LDH524365 KTH524365:KTL524365 KJL524365:KJP524365 JZP524365:JZT524365 JPT524365:JPX524365 JFX524365:JGB524365 IWB524365:IWF524365 IMF524365:IMJ524365 ICJ524365:ICN524365 HSN524365:HSR524365 HIR524365:HIV524365 GYV524365:GYZ524365 GOZ524365:GPD524365 GFD524365:GFH524365 FVH524365:FVL524365 FLL524365:FLP524365 FBP524365:FBT524365 ERT524365:ERX524365 EHX524365:EIB524365 DYB524365:DYF524365 DOF524365:DOJ524365 DEJ524365:DEN524365 CUN524365:CUR524365 CKR524365:CKV524365 CAV524365:CAZ524365 BQZ524365:BRD524365 BHD524365:BHH524365 AXH524365:AXL524365 ANL524365:ANP524365 ADP524365:ADT524365 TT524365:TX524365 JX524365:KB524365 AG524365:AK524365 WWJ458829:WWN458829 WMN458829:WMR458829 WCR458829:WCV458829 VSV458829:VSZ458829 VIZ458829:VJD458829 UZD458829:UZH458829 UPH458829:UPL458829 UFL458829:UFP458829 TVP458829:TVT458829 TLT458829:TLX458829 TBX458829:TCB458829 SSB458829:SSF458829 SIF458829:SIJ458829 RYJ458829:RYN458829 RON458829:ROR458829 RER458829:REV458829 QUV458829:QUZ458829 QKZ458829:QLD458829 QBD458829:QBH458829 PRH458829:PRL458829 PHL458829:PHP458829 OXP458829:OXT458829 ONT458829:ONX458829 ODX458829:OEB458829 NUB458829:NUF458829 NKF458829:NKJ458829 NAJ458829:NAN458829 MQN458829:MQR458829 MGR458829:MGV458829 LWV458829:LWZ458829 LMZ458829:LND458829 LDD458829:LDH458829 KTH458829:KTL458829 KJL458829:KJP458829 JZP458829:JZT458829 JPT458829:JPX458829 JFX458829:JGB458829 IWB458829:IWF458829 IMF458829:IMJ458829 ICJ458829:ICN458829 HSN458829:HSR458829 HIR458829:HIV458829 GYV458829:GYZ458829 GOZ458829:GPD458829 GFD458829:GFH458829 FVH458829:FVL458829 FLL458829:FLP458829 FBP458829:FBT458829 ERT458829:ERX458829 EHX458829:EIB458829 DYB458829:DYF458829 DOF458829:DOJ458829 DEJ458829:DEN458829 CUN458829:CUR458829 CKR458829:CKV458829 CAV458829:CAZ458829 BQZ458829:BRD458829 BHD458829:BHH458829 AXH458829:AXL458829 ANL458829:ANP458829 ADP458829:ADT458829 TT458829:TX458829 JX458829:KB458829 AG458829:AK458829 WWJ393293:WWN393293 WMN393293:WMR393293 WCR393293:WCV393293 VSV393293:VSZ393293 VIZ393293:VJD393293 UZD393293:UZH393293 UPH393293:UPL393293 UFL393293:UFP393293 TVP393293:TVT393293 TLT393293:TLX393293 TBX393293:TCB393293 SSB393293:SSF393293 SIF393293:SIJ393293 RYJ393293:RYN393293 RON393293:ROR393293 RER393293:REV393293 QUV393293:QUZ393293 QKZ393293:QLD393293 QBD393293:QBH393293 PRH393293:PRL393293 PHL393293:PHP393293 OXP393293:OXT393293 ONT393293:ONX393293 ODX393293:OEB393293 NUB393293:NUF393293 NKF393293:NKJ393293 NAJ393293:NAN393293 MQN393293:MQR393293 MGR393293:MGV393293 LWV393293:LWZ393293 LMZ393293:LND393293 LDD393293:LDH393293 KTH393293:KTL393293 KJL393293:KJP393293 JZP393293:JZT393293 JPT393293:JPX393293 JFX393293:JGB393293 IWB393293:IWF393293 IMF393293:IMJ393293 ICJ393293:ICN393293 HSN393293:HSR393293 HIR393293:HIV393293 GYV393293:GYZ393293 GOZ393293:GPD393293 GFD393293:GFH393293 FVH393293:FVL393293 FLL393293:FLP393293 FBP393293:FBT393293 ERT393293:ERX393293 EHX393293:EIB393293 DYB393293:DYF393293 DOF393293:DOJ393293 DEJ393293:DEN393293 CUN393293:CUR393293 CKR393293:CKV393293 CAV393293:CAZ393293 BQZ393293:BRD393293 BHD393293:BHH393293 AXH393293:AXL393293 ANL393293:ANP393293 ADP393293:ADT393293 TT393293:TX393293 JX393293:KB393293 AG393293:AK393293 WWJ327757:WWN327757 WMN327757:WMR327757 WCR327757:WCV327757 VSV327757:VSZ327757 VIZ327757:VJD327757 UZD327757:UZH327757 UPH327757:UPL327757 UFL327757:UFP327757 TVP327757:TVT327757 TLT327757:TLX327757 TBX327757:TCB327757 SSB327757:SSF327757 SIF327757:SIJ327757 RYJ327757:RYN327757 RON327757:ROR327757 RER327757:REV327757 QUV327757:QUZ327757 QKZ327757:QLD327757 QBD327757:QBH327757 PRH327757:PRL327757 PHL327757:PHP327757 OXP327757:OXT327757 ONT327757:ONX327757 ODX327757:OEB327757 NUB327757:NUF327757 NKF327757:NKJ327757 NAJ327757:NAN327757 MQN327757:MQR327757 MGR327757:MGV327757 LWV327757:LWZ327757 LMZ327757:LND327757 LDD327757:LDH327757 KTH327757:KTL327757 KJL327757:KJP327757 JZP327757:JZT327757 JPT327757:JPX327757 JFX327757:JGB327757 IWB327757:IWF327757 IMF327757:IMJ327757 ICJ327757:ICN327757 HSN327757:HSR327757 HIR327757:HIV327757 GYV327757:GYZ327757 GOZ327757:GPD327757 GFD327757:GFH327757 FVH327757:FVL327757 FLL327757:FLP327757 FBP327757:FBT327757 ERT327757:ERX327757 EHX327757:EIB327757 DYB327757:DYF327757 DOF327757:DOJ327757 DEJ327757:DEN327757 CUN327757:CUR327757 CKR327757:CKV327757 CAV327757:CAZ327757 BQZ327757:BRD327757 BHD327757:BHH327757 AXH327757:AXL327757 ANL327757:ANP327757 ADP327757:ADT327757 TT327757:TX327757 JX327757:KB327757 AG327757:AK327757 WWJ262221:WWN262221 WMN262221:WMR262221 WCR262221:WCV262221 VSV262221:VSZ262221 VIZ262221:VJD262221 UZD262221:UZH262221 UPH262221:UPL262221 UFL262221:UFP262221 TVP262221:TVT262221 TLT262221:TLX262221 TBX262221:TCB262221 SSB262221:SSF262221 SIF262221:SIJ262221 RYJ262221:RYN262221 RON262221:ROR262221 RER262221:REV262221 QUV262221:QUZ262221 QKZ262221:QLD262221 QBD262221:QBH262221 PRH262221:PRL262221 PHL262221:PHP262221 OXP262221:OXT262221 ONT262221:ONX262221 ODX262221:OEB262221 NUB262221:NUF262221 NKF262221:NKJ262221 NAJ262221:NAN262221 MQN262221:MQR262221 MGR262221:MGV262221 LWV262221:LWZ262221 LMZ262221:LND262221 LDD262221:LDH262221 KTH262221:KTL262221 KJL262221:KJP262221 JZP262221:JZT262221 JPT262221:JPX262221 JFX262221:JGB262221 IWB262221:IWF262221 IMF262221:IMJ262221 ICJ262221:ICN262221 HSN262221:HSR262221 HIR262221:HIV262221 GYV262221:GYZ262221 GOZ262221:GPD262221 GFD262221:GFH262221 FVH262221:FVL262221 FLL262221:FLP262221 FBP262221:FBT262221 ERT262221:ERX262221 EHX262221:EIB262221 DYB262221:DYF262221 DOF262221:DOJ262221 DEJ262221:DEN262221 CUN262221:CUR262221 CKR262221:CKV262221 CAV262221:CAZ262221 BQZ262221:BRD262221 BHD262221:BHH262221 AXH262221:AXL262221 ANL262221:ANP262221 ADP262221:ADT262221 TT262221:TX262221 JX262221:KB262221 AG262221:AK262221 WWJ196685:WWN196685 WMN196685:WMR196685 WCR196685:WCV196685 VSV196685:VSZ196685 VIZ196685:VJD196685 UZD196685:UZH196685 UPH196685:UPL196685 UFL196685:UFP196685 TVP196685:TVT196685 TLT196685:TLX196685 TBX196685:TCB196685 SSB196685:SSF196685 SIF196685:SIJ196685 RYJ196685:RYN196685 RON196685:ROR196685 RER196685:REV196685 QUV196685:QUZ196685 QKZ196685:QLD196685 QBD196685:QBH196685 PRH196685:PRL196685 PHL196685:PHP196685 OXP196685:OXT196685 ONT196685:ONX196685 ODX196685:OEB196685 NUB196685:NUF196685 NKF196685:NKJ196685 NAJ196685:NAN196685 MQN196685:MQR196685 MGR196685:MGV196685 LWV196685:LWZ196685 LMZ196685:LND196685 LDD196685:LDH196685 KTH196685:KTL196685 KJL196685:KJP196685 JZP196685:JZT196685 JPT196685:JPX196685 JFX196685:JGB196685 IWB196685:IWF196685 IMF196685:IMJ196685 ICJ196685:ICN196685 HSN196685:HSR196685 HIR196685:HIV196685 GYV196685:GYZ196685 GOZ196685:GPD196685 GFD196685:GFH196685 FVH196685:FVL196685 FLL196685:FLP196685 FBP196685:FBT196685 ERT196685:ERX196685 EHX196685:EIB196685 DYB196685:DYF196685 DOF196685:DOJ196685 DEJ196685:DEN196685 CUN196685:CUR196685 CKR196685:CKV196685 CAV196685:CAZ196685 BQZ196685:BRD196685 BHD196685:BHH196685 AXH196685:AXL196685 ANL196685:ANP196685 ADP196685:ADT196685 TT196685:TX196685 JX196685:KB196685 AG196685:AK196685 WWJ131149:WWN131149 WMN131149:WMR131149 WCR131149:WCV131149 VSV131149:VSZ131149 VIZ131149:VJD131149 UZD131149:UZH131149 UPH131149:UPL131149 UFL131149:UFP131149 TVP131149:TVT131149 TLT131149:TLX131149 TBX131149:TCB131149 SSB131149:SSF131149 SIF131149:SIJ131149 RYJ131149:RYN131149 RON131149:ROR131149 RER131149:REV131149 QUV131149:QUZ131149 QKZ131149:QLD131149 QBD131149:QBH131149 PRH131149:PRL131149 PHL131149:PHP131149 OXP131149:OXT131149 ONT131149:ONX131149 ODX131149:OEB131149 NUB131149:NUF131149 NKF131149:NKJ131149 NAJ131149:NAN131149 MQN131149:MQR131149 MGR131149:MGV131149 LWV131149:LWZ131149 LMZ131149:LND131149 LDD131149:LDH131149 KTH131149:KTL131149 KJL131149:KJP131149 JZP131149:JZT131149 JPT131149:JPX131149 JFX131149:JGB131149 IWB131149:IWF131149 IMF131149:IMJ131149 ICJ131149:ICN131149 HSN131149:HSR131149 HIR131149:HIV131149 GYV131149:GYZ131149 GOZ131149:GPD131149 GFD131149:GFH131149 FVH131149:FVL131149 FLL131149:FLP131149 FBP131149:FBT131149 ERT131149:ERX131149 EHX131149:EIB131149 DYB131149:DYF131149 DOF131149:DOJ131149 DEJ131149:DEN131149 CUN131149:CUR131149 CKR131149:CKV131149 CAV131149:CAZ131149 BQZ131149:BRD131149 BHD131149:BHH131149 AXH131149:AXL131149 ANL131149:ANP131149 ADP131149:ADT131149 TT131149:TX131149 JX131149:KB131149 AG131149:AK131149 WWJ65613:WWN65613 WMN65613:WMR65613 WCR65613:WCV65613 VSV65613:VSZ65613 VIZ65613:VJD65613 UZD65613:UZH65613 UPH65613:UPL65613 UFL65613:UFP65613 TVP65613:TVT65613 TLT65613:TLX65613 TBX65613:TCB65613 SSB65613:SSF65613 SIF65613:SIJ65613 RYJ65613:RYN65613 RON65613:ROR65613 RER65613:REV65613 QUV65613:QUZ65613 QKZ65613:QLD65613 QBD65613:QBH65613 PRH65613:PRL65613 PHL65613:PHP65613 OXP65613:OXT65613 ONT65613:ONX65613 ODX65613:OEB65613 NUB65613:NUF65613 NKF65613:NKJ65613 NAJ65613:NAN65613 MQN65613:MQR65613 MGR65613:MGV65613 LWV65613:LWZ65613 LMZ65613:LND65613 LDD65613:LDH65613 KTH65613:KTL65613 KJL65613:KJP65613 JZP65613:JZT65613 JPT65613:JPX65613 JFX65613:JGB65613 IWB65613:IWF65613 IMF65613:IMJ65613 ICJ65613:ICN65613 HSN65613:HSR65613 HIR65613:HIV65613 GYV65613:GYZ65613 GOZ65613:GPD65613 GFD65613:GFH65613 FVH65613:FVL65613 FLL65613:FLP65613 FBP65613:FBT65613 ERT65613:ERX65613 EHX65613:EIB65613 DYB65613:DYF65613 DOF65613:DOJ65613 DEJ65613:DEN65613 CUN65613:CUR65613 CKR65613:CKV65613 CAV65613:CAZ65613 BQZ65613:BRD65613 BHD65613:BHH65613 AXH65613:AXL65613 ANL65613:ANP65613 ADP65613:ADT65613 TT65613:TX65613 JX65613:KB65613 AG65613:AK65613 WWJ69:WWN69 WMN69:WMR69 WCR69:WCV69 VSV69:VSZ69 VIZ69:VJD69 UZD69:UZH69 UPH69:UPL69 UFL69:UFP69 TVP69:TVT69 TLT69:TLX69 TBX69:TCB69 SSB69:SSF69 SIF69:SIJ69 RYJ69:RYN69 RON69:ROR69 RER69:REV69 QUV69:QUZ69 QKZ69:QLD69 QBD69:QBH69 PRH69:PRL69 PHL69:PHP69 OXP69:OXT69 ONT69:ONX69 ODX69:OEB69 NUB69:NUF69 NKF69:NKJ69 NAJ69:NAN69 MQN69:MQR69 MGR69:MGV69 LWV69:LWZ69 LMZ69:LND69 LDD69:LDH69 KTH69:KTL69 KJL69:KJP69 JZP69:JZT69 JPT69:JPX69 JFX69:JGB69 IWB69:IWF69 IMF69:IMJ69 ICJ69:ICN69 HSN69:HSR69 HIR69:HIV69 GYV69:GYZ69 GOZ69:GPD69 GFD69:GFH69 FVH69:FVL69 FLL69:FLP69 FBP69:FBT69 ERT69:ERX69 EHX69:EIB69 DYB69:DYF69 DOF69:DOJ69 DEJ69:DEN69 CUN69:CUR69 CKR69:CKV69 CAV69:CAZ69 BQZ69:BRD69 BHD69:BHH69 AXH69:AXL69 ANL69:ANP69 ADP69:ADT69 TT69:TX69 JX69:KB69 JX84:KB84 WWJ983121:WWN983121 WMN983121:WMR983121 WCR983121:WCV983121 VSV983121:VSZ983121 VIZ983121:VJD983121 UZD983121:UZH983121 UPH983121:UPL983121 UFL983121:UFP983121 TVP983121:TVT983121 TLT983121:TLX983121 TBX983121:TCB983121 SSB983121:SSF983121 SIF983121:SIJ983121 RYJ983121:RYN983121 RON983121:ROR983121 RER983121:REV983121 QUV983121:QUZ983121 QKZ983121:QLD983121 QBD983121:QBH983121 PRH983121:PRL983121 PHL983121:PHP983121 OXP983121:OXT983121 ONT983121:ONX983121 ODX983121:OEB983121 NUB983121:NUF983121 NKF983121:NKJ983121 NAJ983121:NAN983121 MQN983121:MQR983121 MGR983121:MGV983121 LWV983121:LWZ983121 LMZ983121:LND983121 LDD983121:LDH983121 KTH983121:KTL983121 KJL983121:KJP983121 JZP983121:JZT983121 JPT983121:JPX983121 JFX983121:JGB983121 IWB983121:IWF983121 IMF983121:IMJ983121 ICJ983121:ICN983121 HSN983121:HSR983121 HIR983121:HIV983121 GYV983121:GYZ983121 GOZ983121:GPD983121 GFD983121:GFH983121 FVH983121:FVL983121 FLL983121:FLP983121 FBP983121:FBT983121 ERT983121:ERX983121 EHX983121:EIB983121 DYB983121:DYF983121 DOF983121:DOJ983121 DEJ983121:DEN983121 CUN983121:CUR983121 CKR983121:CKV983121 CAV983121:CAZ983121 BQZ983121:BRD983121 BHD983121:BHH983121 AXH983121:AXL983121 ANL983121:ANP983121 ADP983121:ADT983121 TT983121:TX983121 JX983121:KB983121 AG983121:AK983121 WWJ917585:WWN917585 WMN917585:WMR917585 WCR917585:WCV917585 VSV917585:VSZ917585 VIZ917585:VJD917585 UZD917585:UZH917585 UPH917585:UPL917585 UFL917585:UFP917585 TVP917585:TVT917585 TLT917585:TLX917585 TBX917585:TCB917585 SSB917585:SSF917585 SIF917585:SIJ917585 RYJ917585:RYN917585 RON917585:ROR917585 RER917585:REV917585 QUV917585:QUZ917585 QKZ917585:QLD917585 QBD917585:QBH917585 PRH917585:PRL917585 PHL917585:PHP917585 OXP917585:OXT917585 ONT917585:ONX917585 ODX917585:OEB917585 NUB917585:NUF917585 NKF917585:NKJ917585 NAJ917585:NAN917585 MQN917585:MQR917585 MGR917585:MGV917585 LWV917585:LWZ917585 LMZ917585:LND917585 LDD917585:LDH917585 KTH917585:KTL917585 KJL917585:KJP917585 JZP917585:JZT917585 JPT917585:JPX917585 JFX917585:JGB917585 IWB917585:IWF917585 IMF917585:IMJ917585 ICJ917585:ICN917585 HSN917585:HSR917585 HIR917585:HIV917585 GYV917585:GYZ917585 GOZ917585:GPD917585 GFD917585:GFH917585 FVH917585:FVL917585 FLL917585:FLP917585 FBP917585:FBT917585 ERT917585:ERX917585 EHX917585:EIB917585 DYB917585:DYF917585 DOF917585:DOJ917585 DEJ917585:DEN917585 CUN917585:CUR917585 CKR917585:CKV917585 CAV917585:CAZ917585 BQZ917585:BRD917585 BHD917585:BHH917585 AXH917585:AXL917585 ANL917585:ANP917585 ADP917585:ADT917585 TT917585:TX917585 JX917585:KB917585 AG917585:AK917585 WWJ852049:WWN852049 WMN852049:WMR852049 WCR852049:WCV852049 VSV852049:VSZ852049 VIZ852049:VJD852049 UZD852049:UZH852049 UPH852049:UPL852049 UFL852049:UFP852049 TVP852049:TVT852049 TLT852049:TLX852049 TBX852049:TCB852049 SSB852049:SSF852049 SIF852049:SIJ852049 RYJ852049:RYN852049 RON852049:ROR852049 RER852049:REV852049 QUV852049:QUZ852049 QKZ852049:QLD852049 QBD852049:QBH852049 PRH852049:PRL852049 PHL852049:PHP852049 OXP852049:OXT852049 ONT852049:ONX852049 ODX852049:OEB852049 NUB852049:NUF852049 NKF852049:NKJ852049 NAJ852049:NAN852049 MQN852049:MQR852049 MGR852049:MGV852049 LWV852049:LWZ852049 LMZ852049:LND852049 LDD852049:LDH852049 KTH852049:KTL852049 KJL852049:KJP852049 JZP852049:JZT852049 JPT852049:JPX852049 JFX852049:JGB852049 IWB852049:IWF852049 IMF852049:IMJ852049 ICJ852049:ICN852049 HSN852049:HSR852049 HIR852049:HIV852049 GYV852049:GYZ852049 GOZ852049:GPD852049 GFD852049:GFH852049 FVH852049:FVL852049 FLL852049:FLP852049 FBP852049:FBT852049 ERT852049:ERX852049 EHX852049:EIB852049 DYB852049:DYF852049 DOF852049:DOJ852049 DEJ852049:DEN852049 CUN852049:CUR852049 CKR852049:CKV852049 CAV852049:CAZ852049 BQZ852049:BRD852049 BHD852049:BHH852049 AXH852049:AXL852049 ANL852049:ANP852049 ADP852049:ADT852049 TT852049:TX852049 JX852049:KB852049 AG852049:AK852049 WWJ786513:WWN786513 WMN786513:WMR786513 WCR786513:WCV786513 VSV786513:VSZ786513 VIZ786513:VJD786513 UZD786513:UZH786513 UPH786513:UPL786513 UFL786513:UFP786513 TVP786513:TVT786513 TLT786513:TLX786513 TBX786513:TCB786513 SSB786513:SSF786513 SIF786513:SIJ786513 RYJ786513:RYN786513 RON786513:ROR786513 RER786513:REV786513 QUV786513:QUZ786513 QKZ786513:QLD786513 QBD786513:QBH786513 PRH786513:PRL786513 PHL786513:PHP786513 OXP786513:OXT786513 ONT786513:ONX786513 ODX786513:OEB786513 NUB786513:NUF786513 NKF786513:NKJ786513 NAJ786513:NAN786513 MQN786513:MQR786513 MGR786513:MGV786513 LWV786513:LWZ786513 LMZ786513:LND786513 LDD786513:LDH786513 KTH786513:KTL786513 KJL786513:KJP786513 JZP786513:JZT786513 JPT786513:JPX786513 JFX786513:JGB786513 IWB786513:IWF786513 IMF786513:IMJ786513 ICJ786513:ICN786513 HSN786513:HSR786513 HIR786513:HIV786513 GYV786513:GYZ786513 GOZ786513:GPD786513 GFD786513:GFH786513 FVH786513:FVL786513 FLL786513:FLP786513 FBP786513:FBT786513 ERT786513:ERX786513 EHX786513:EIB786513 DYB786513:DYF786513 DOF786513:DOJ786513 DEJ786513:DEN786513 CUN786513:CUR786513 CKR786513:CKV786513 CAV786513:CAZ786513 BQZ786513:BRD786513 BHD786513:BHH786513 AXH786513:AXL786513 ANL786513:ANP786513 ADP786513:ADT786513 TT786513:TX786513 JX786513:KB786513 AG786513:AK786513 WWJ720977:WWN720977 WMN720977:WMR720977 WCR720977:WCV720977 VSV720977:VSZ720977 VIZ720977:VJD720977 UZD720977:UZH720977 UPH720977:UPL720977 UFL720977:UFP720977 TVP720977:TVT720977 TLT720977:TLX720977 TBX720977:TCB720977 SSB720977:SSF720977 SIF720977:SIJ720977 RYJ720977:RYN720977 RON720977:ROR720977 RER720977:REV720977 QUV720977:QUZ720977 QKZ720977:QLD720977 QBD720977:QBH720977 PRH720977:PRL720977 PHL720977:PHP720977 OXP720977:OXT720977 ONT720977:ONX720977 ODX720977:OEB720977 NUB720977:NUF720977 NKF720977:NKJ720977 NAJ720977:NAN720977 MQN720977:MQR720977 MGR720977:MGV720977 LWV720977:LWZ720977 LMZ720977:LND720977 LDD720977:LDH720977 KTH720977:KTL720977 KJL720977:KJP720977 JZP720977:JZT720977 JPT720977:JPX720977 JFX720977:JGB720977 IWB720977:IWF720977 IMF720977:IMJ720977 ICJ720977:ICN720977 HSN720977:HSR720977 HIR720977:HIV720977 GYV720977:GYZ720977 GOZ720977:GPD720977 GFD720977:GFH720977 FVH720977:FVL720977 FLL720977:FLP720977 FBP720977:FBT720977 ERT720977:ERX720977 EHX720977:EIB720977 DYB720977:DYF720977 DOF720977:DOJ720977 DEJ720977:DEN720977 CUN720977:CUR720977 CKR720977:CKV720977 CAV720977:CAZ720977 BQZ720977:BRD720977 BHD720977:BHH720977 AXH720977:AXL720977 ANL720977:ANP720977 ADP720977:ADT720977 TT720977:TX720977 JX720977:KB720977 AG720977:AK720977 WWJ655441:WWN655441 WMN655441:WMR655441 WCR655441:WCV655441 VSV655441:VSZ655441 VIZ655441:VJD655441 UZD655441:UZH655441 UPH655441:UPL655441 UFL655441:UFP655441 TVP655441:TVT655441 TLT655441:TLX655441 TBX655441:TCB655441 SSB655441:SSF655441 SIF655441:SIJ655441 RYJ655441:RYN655441 RON655441:ROR655441 RER655441:REV655441 QUV655441:QUZ655441 QKZ655441:QLD655441 QBD655441:QBH655441 PRH655441:PRL655441 PHL655441:PHP655441 OXP655441:OXT655441 ONT655441:ONX655441 ODX655441:OEB655441 NUB655441:NUF655441 NKF655441:NKJ655441 NAJ655441:NAN655441 MQN655441:MQR655441 MGR655441:MGV655441 LWV655441:LWZ655441 LMZ655441:LND655441 LDD655441:LDH655441 KTH655441:KTL655441 KJL655441:KJP655441 JZP655441:JZT655441 JPT655441:JPX655441 JFX655441:JGB655441 IWB655441:IWF655441 IMF655441:IMJ655441 ICJ655441:ICN655441 HSN655441:HSR655441 HIR655441:HIV655441 GYV655441:GYZ655441 GOZ655441:GPD655441 GFD655441:GFH655441 FVH655441:FVL655441 FLL655441:FLP655441 FBP655441:FBT655441 ERT655441:ERX655441 EHX655441:EIB655441 DYB655441:DYF655441 DOF655441:DOJ655441 DEJ655441:DEN655441 CUN655441:CUR655441 CKR655441:CKV655441 CAV655441:CAZ655441 BQZ655441:BRD655441 BHD655441:BHH655441 AXH655441:AXL655441 ANL655441:ANP655441 ADP655441:ADT655441 TT655441:TX655441 JX655441:KB655441 AG655441:AK655441 WWJ589905:WWN589905 WMN589905:WMR589905 WCR589905:WCV589905 VSV589905:VSZ589905 VIZ589905:VJD589905 UZD589905:UZH589905 UPH589905:UPL589905 UFL589905:UFP589905 TVP589905:TVT589905 TLT589905:TLX589905 TBX589905:TCB589905 SSB589905:SSF589905 SIF589905:SIJ589905 RYJ589905:RYN589905 RON589905:ROR589905 RER589905:REV589905 QUV589905:QUZ589905 QKZ589905:QLD589905 QBD589905:QBH589905 PRH589905:PRL589905 PHL589905:PHP589905 OXP589905:OXT589905 ONT589905:ONX589905 ODX589905:OEB589905 NUB589905:NUF589905 NKF589905:NKJ589905 NAJ589905:NAN589905 MQN589905:MQR589905 MGR589905:MGV589905 LWV589905:LWZ589905 LMZ589905:LND589905 LDD589905:LDH589905 KTH589905:KTL589905 KJL589905:KJP589905 JZP589905:JZT589905 JPT589905:JPX589905 JFX589905:JGB589905 IWB589905:IWF589905 IMF589905:IMJ589905 ICJ589905:ICN589905 HSN589905:HSR589905 HIR589905:HIV589905 GYV589905:GYZ589905 GOZ589905:GPD589905 GFD589905:GFH589905 FVH589905:FVL589905 FLL589905:FLP589905 FBP589905:FBT589905 ERT589905:ERX589905 EHX589905:EIB589905 DYB589905:DYF589905 DOF589905:DOJ589905 DEJ589905:DEN589905 CUN589905:CUR589905 CKR589905:CKV589905 CAV589905:CAZ589905 BQZ589905:BRD589905 BHD589905:BHH589905 AXH589905:AXL589905 ANL589905:ANP589905 ADP589905:ADT589905 TT589905:TX589905 JX589905:KB589905 AG589905:AK589905 WWJ524369:WWN524369 WMN524369:WMR524369 WCR524369:WCV524369 VSV524369:VSZ524369 VIZ524369:VJD524369 UZD524369:UZH524369 UPH524369:UPL524369 UFL524369:UFP524369 TVP524369:TVT524369 TLT524369:TLX524369 TBX524369:TCB524369 SSB524369:SSF524369 SIF524369:SIJ524369 RYJ524369:RYN524369 RON524369:ROR524369 RER524369:REV524369 QUV524369:QUZ524369 QKZ524369:QLD524369 QBD524369:QBH524369 PRH524369:PRL524369 PHL524369:PHP524369 OXP524369:OXT524369 ONT524369:ONX524369 ODX524369:OEB524369 NUB524369:NUF524369 NKF524369:NKJ524369 NAJ524369:NAN524369 MQN524369:MQR524369 MGR524369:MGV524369 LWV524369:LWZ524369 LMZ524369:LND524369 LDD524369:LDH524369 KTH524369:KTL524369 KJL524369:KJP524369 JZP524369:JZT524369 JPT524369:JPX524369 JFX524369:JGB524369 IWB524369:IWF524369 IMF524369:IMJ524369 ICJ524369:ICN524369 HSN524369:HSR524369 HIR524369:HIV524369 GYV524369:GYZ524369 GOZ524369:GPD524369 GFD524369:GFH524369 FVH524369:FVL524369 FLL524369:FLP524369 FBP524369:FBT524369 ERT524369:ERX524369 EHX524369:EIB524369 DYB524369:DYF524369 DOF524369:DOJ524369 DEJ524369:DEN524369 CUN524369:CUR524369 CKR524369:CKV524369 CAV524369:CAZ524369 BQZ524369:BRD524369 BHD524369:BHH524369 AXH524369:AXL524369 ANL524369:ANP524369 ADP524369:ADT524369 TT524369:TX524369 JX524369:KB524369 AG524369:AK524369 WWJ458833:WWN458833 WMN458833:WMR458833 WCR458833:WCV458833 VSV458833:VSZ458833 VIZ458833:VJD458833 UZD458833:UZH458833 UPH458833:UPL458833 UFL458833:UFP458833 TVP458833:TVT458833 TLT458833:TLX458833 TBX458833:TCB458833 SSB458833:SSF458833 SIF458833:SIJ458833 RYJ458833:RYN458833 RON458833:ROR458833 RER458833:REV458833 QUV458833:QUZ458833 QKZ458833:QLD458833 QBD458833:QBH458833 PRH458833:PRL458833 PHL458833:PHP458833 OXP458833:OXT458833 ONT458833:ONX458833 ODX458833:OEB458833 NUB458833:NUF458833 NKF458833:NKJ458833 NAJ458833:NAN458833 MQN458833:MQR458833 MGR458833:MGV458833 LWV458833:LWZ458833 LMZ458833:LND458833 LDD458833:LDH458833 KTH458833:KTL458833 KJL458833:KJP458833 JZP458833:JZT458833 JPT458833:JPX458833 JFX458833:JGB458833 IWB458833:IWF458833 IMF458833:IMJ458833 ICJ458833:ICN458833 HSN458833:HSR458833 HIR458833:HIV458833 GYV458833:GYZ458833 GOZ458833:GPD458833 GFD458833:GFH458833 FVH458833:FVL458833 FLL458833:FLP458833 FBP458833:FBT458833 ERT458833:ERX458833 EHX458833:EIB458833 DYB458833:DYF458833 DOF458833:DOJ458833 DEJ458833:DEN458833 CUN458833:CUR458833 CKR458833:CKV458833 CAV458833:CAZ458833 BQZ458833:BRD458833 BHD458833:BHH458833 AXH458833:AXL458833 ANL458833:ANP458833 ADP458833:ADT458833 TT458833:TX458833 JX458833:KB458833 AG458833:AK458833 WWJ393297:WWN393297 WMN393297:WMR393297 WCR393297:WCV393297 VSV393297:VSZ393297 VIZ393297:VJD393297 UZD393297:UZH393297 UPH393297:UPL393297 UFL393297:UFP393297 TVP393297:TVT393297 TLT393297:TLX393297 TBX393297:TCB393297 SSB393297:SSF393297 SIF393297:SIJ393297 RYJ393297:RYN393297 RON393297:ROR393297 RER393297:REV393297 QUV393297:QUZ393297 QKZ393297:QLD393297 QBD393297:QBH393297 PRH393297:PRL393297 PHL393297:PHP393297 OXP393297:OXT393297 ONT393297:ONX393297 ODX393297:OEB393297 NUB393297:NUF393297 NKF393297:NKJ393297 NAJ393297:NAN393297 MQN393297:MQR393297 MGR393297:MGV393297 LWV393297:LWZ393297 LMZ393297:LND393297 LDD393297:LDH393297 KTH393297:KTL393297 KJL393297:KJP393297 JZP393297:JZT393297 JPT393297:JPX393297 JFX393297:JGB393297 IWB393297:IWF393297 IMF393297:IMJ393297 ICJ393297:ICN393297 HSN393297:HSR393297 HIR393297:HIV393297 GYV393297:GYZ393297 GOZ393297:GPD393297 GFD393297:GFH393297 FVH393297:FVL393297 FLL393297:FLP393297 FBP393297:FBT393297 ERT393297:ERX393297 EHX393297:EIB393297 DYB393297:DYF393297 DOF393297:DOJ393297 DEJ393297:DEN393297 CUN393297:CUR393297 CKR393297:CKV393297 CAV393297:CAZ393297 BQZ393297:BRD393297 BHD393297:BHH393297 AXH393297:AXL393297 ANL393297:ANP393297 ADP393297:ADT393297 TT393297:TX393297 JX393297:KB393297 AG393297:AK393297 WWJ327761:WWN327761 WMN327761:WMR327761 WCR327761:WCV327761 VSV327761:VSZ327761 VIZ327761:VJD327761 UZD327761:UZH327761 UPH327761:UPL327761 UFL327761:UFP327761 TVP327761:TVT327761 TLT327761:TLX327761 TBX327761:TCB327761 SSB327761:SSF327761 SIF327761:SIJ327761 RYJ327761:RYN327761 RON327761:ROR327761 RER327761:REV327761 QUV327761:QUZ327761 QKZ327761:QLD327761 QBD327761:QBH327761 PRH327761:PRL327761 PHL327761:PHP327761 OXP327761:OXT327761 ONT327761:ONX327761 ODX327761:OEB327761 NUB327761:NUF327761 NKF327761:NKJ327761 NAJ327761:NAN327761 MQN327761:MQR327761 MGR327761:MGV327761 LWV327761:LWZ327761 LMZ327761:LND327761 LDD327761:LDH327761 KTH327761:KTL327761 KJL327761:KJP327761 JZP327761:JZT327761 JPT327761:JPX327761 JFX327761:JGB327761 IWB327761:IWF327761 IMF327761:IMJ327761 ICJ327761:ICN327761 HSN327761:HSR327761 HIR327761:HIV327761 GYV327761:GYZ327761 GOZ327761:GPD327761 GFD327761:GFH327761 FVH327761:FVL327761 FLL327761:FLP327761 FBP327761:FBT327761 ERT327761:ERX327761 EHX327761:EIB327761 DYB327761:DYF327761 DOF327761:DOJ327761 DEJ327761:DEN327761 CUN327761:CUR327761 CKR327761:CKV327761 CAV327761:CAZ327761 BQZ327761:BRD327761 BHD327761:BHH327761 AXH327761:AXL327761 ANL327761:ANP327761 ADP327761:ADT327761 TT327761:TX327761 JX327761:KB327761 AG327761:AK327761 WWJ262225:WWN262225 WMN262225:WMR262225 WCR262225:WCV262225 VSV262225:VSZ262225 VIZ262225:VJD262225 UZD262225:UZH262225 UPH262225:UPL262225 UFL262225:UFP262225 TVP262225:TVT262225 TLT262225:TLX262225 TBX262225:TCB262225 SSB262225:SSF262225 SIF262225:SIJ262225 RYJ262225:RYN262225 RON262225:ROR262225 RER262225:REV262225 QUV262225:QUZ262225 QKZ262225:QLD262225 QBD262225:QBH262225 PRH262225:PRL262225 PHL262225:PHP262225 OXP262225:OXT262225 ONT262225:ONX262225 ODX262225:OEB262225 NUB262225:NUF262225 NKF262225:NKJ262225 NAJ262225:NAN262225 MQN262225:MQR262225 MGR262225:MGV262225 LWV262225:LWZ262225 LMZ262225:LND262225 LDD262225:LDH262225 KTH262225:KTL262225 KJL262225:KJP262225 JZP262225:JZT262225 JPT262225:JPX262225 JFX262225:JGB262225 IWB262225:IWF262225 IMF262225:IMJ262225 ICJ262225:ICN262225 HSN262225:HSR262225 HIR262225:HIV262225 GYV262225:GYZ262225 GOZ262225:GPD262225 GFD262225:GFH262225 FVH262225:FVL262225 FLL262225:FLP262225 FBP262225:FBT262225 ERT262225:ERX262225 EHX262225:EIB262225 DYB262225:DYF262225 DOF262225:DOJ262225 DEJ262225:DEN262225 CUN262225:CUR262225 CKR262225:CKV262225 CAV262225:CAZ262225 BQZ262225:BRD262225 BHD262225:BHH262225 AXH262225:AXL262225 ANL262225:ANP262225 ADP262225:ADT262225 TT262225:TX262225 JX262225:KB262225 AG262225:AK262225 WWJ196689:WWN196689 WMN196689:WMR196689 WCR196689:WCV196689 VSV196689:VSZ196689 VIZ196689:VJD196689 UZD196689:UZH196689 UPH196689:UPL196689 UFL196689:UFP196689 TVP196689:TVT196689 TLT196689:TLX196689 TBX196689:TCB196689 SSB196689:SSF196689 SIF196689:SIJ196689 RYJ196689:RYN196689 RON196689:ROR196689 RER196689:REV196689 QUV196689:QUZ196689 QKZ196689:QLD196689 QBD196689:QBH196689 PRH196689:PRL196689 PHL196689:PHP196689 OXP196689:OXT196689 ONT196689:ONX196689 ODX196689:OEB196689 NUB196689:NUF196689 NKF196689:NKJ196689 NAJ196689:NAN196689 MQN196689:MQR196689 MGR196689:MGV196689 LWV196689:LWZ196689 LMZ196689:LND196689 LDD196689:LDH196689 KTH196689:KTL196689 KJL196689:KJP196689 JZP196689:JZT196689 JPT196689:JPX196689 JFX196689:JGB196689 IWB196689:IWF196689 IMF196689:IMJ196689 ICJ196689:ICN196689 HSN196689:HSR196689 HIR196689:HIV196689 GYV196689:GYZ196689 GOZ196689:GPD196689 GFD196689:GFH196689 FVH196689:FVL196689 FLL196689:FLP196689 FBP196689:FBT196689 ERT196689:ERX196689 EHX196689:EIB196689 DYB196689:DYF196689 DOF196689:DOJ196689 DEJ196689:DEN196689 CUN196689:CUR196689 CKR196689:CKV196689 CAV196689:CAZ196689 BQZ196689:BRD196689 BHD196689:BHH196689 AXH196689:AXL196689 ANL196689:ANP196689 ADP196689:ADT196689 TT196689:TX196689 JX196689:KB196689 AG196689:AK196689 WWJ131153:WWN131153 WMN131153:WMR131153 WCR131153:WCV131153 VSV131153:VSZ131153 VIZ131153:VJD131153 UZD131153:UZH131153 UPH131153:UPL131153 UFL131153:UFP131153 TVP131153:TVT131153 TLT131153:TLX131153 TBX131153:TCB131153 SSB131153:SSF131153 SIF131153:SIJ131153 RYJ131153:RYN131153 RON131153:ROR131153 RER131153:REV131153 QUV131153:QUZ131153 QKZ131153:QLD131153 QBD131153:QBH131153 PRH131153:PRL131153 PHL131153:PHP131153 OXP131153:OXT131153 ONT131153:ONX131153 ODX131153:OEB131153 NUB131153:NUF131153 NKF131153:NKJ131153 NAJ131153:NAN131153 MQN131153:MQR131153 MGR131153:MGV131153 LWV131153:LWZ131153 LMZ131153:LND131153 LDD131153:LDH131153 KTH131153:KTL131153 KJL131153:KJP131153 JZP131153:JZT131153 JPT131153:JPX131153 JFX131153:JGB131153 IWB131153:IWF131153 IMF131153:IMJ131153 ICJ131153:ICN131153 HSN131153:HSR131153 HIR131153:HIV131153 GYV131153:GYZ131153 GOZ131153:GPD131153 GFD131153:GFH131153 FVH131153:FVL131153 FLL131153:FLP131153 FBP131153:FBT131153 ERT131153:ERX131153 EHX131153:EIB131153 DYB131153:DYF131153 DOF131153:DOJ131153 DEJ131153:DEN131153 CUN131153:CUR131153 CKR131153:CKV131153 CAV131153:CAZ131153 BQZ131153:BRD131153 BHD131153:BHH131153 AXH131153:AXL131153 ANL131153:ANP131153 ADP131153:ADT131153 TT131153:TX131153 JX131153:KB131153 AG131153:AK131153 WWJ65617:WWN65617 WMN65617:WMR65617 WCR65617:WCV65617 VSV65617:VSZ65617 VIZ65617:VJD65617 UZD65617:UZH65617 UPH65617:UPL65617 UFL65617:UFP65617 TVP65617:TVT65617 TLT65617:TLX65617 TBX65617:TCB65617 SSB65617:SSF65617 SIF65617:SIJ65617 RYJ65617:RYN65617 RON65617:ROR65617 RER65617:REV65617 QUV65617:QUZ65617 QKZ65617:QLD65617 QBD65617:QBH65617 PRH65617:PRL65617 PHL65617:PHP65617 OXP65617:OXT65617 ONT65617:ONX65617 ODX65617:OEB65617 NUB65617:NUF65617 NKF65617:NKJ65617 NAJ65617:NAN65617 MQN65617:MQR65617 MGR65617:MGV65617 LWV65617:LWZ65617 LMZ65617:LND65617 LDD65617:LDH65617 KTH65617:KTL65617 KJL65617:KJP65617 JZP65617:JZT65617 JPT65617:JPX65617 JFX65617:JGB65617 IWB65617:IWF65617 IMF65617:IMJ65617 ICJ65617:ICN65617 HSN65617:HSR65617 HIR65617:HIV65617 GYV65617:GYZ65617 GOZ65617:GPD65617 GFD65617:GFH65617 FVH65617:FVL65617 FLL65617:FLP65617 FBP65617:FBT65617 ERT65617:ERX65617 EHX65617:EIB65617 DYB65617:DYF65617 DOF65617:DOJ65617 DEJ65617:DEN65617 CUN65617:CUR65617 CKR65617:CKV65617 CAV65617:CAZ65617 BQZ65617:BRD65617 BHD65617:BHH65617 AXH65617:AXL65617 ANL65617:ANP65617 ADP65617:ADT65617 TT65617:TX65617 JX65617:KB65617 AG65617:AK65617 WWJ73:WWN73 WMN73:WMR73 WCR73:WCV73 VSV73:VSZ73 VIZ73:VJD73 UZD73:UZH73 UPH73:UPL73 UFL73:UFP73 TVP73:TVT73 TLT73:TLX73 TBX73:TCB73 SSB73:SSF73 SIF73:SIJ73 RYJ73:RYN73 RON73:ROR73 RER73:REV73 QUV73:QUZ73 QKZ73:QLD73 QBD73:QBH73 PRH73:PRL73 PHL73:PHP73 OXP73:OXT73 ONT73:ONX73 ODX73:OEB73 NUB73:NUF73 NKF73:NKJ73 NAJ73:NAN73 MQN73:MQR73 MGR73:MGV73 LWV73:LWZ73 LMZ73:LND73 LDD73:LDH73 KTH73:KTL73 KJL73:KJP73 JZP73:JZT73 JPT73:JPX73 JFX73:JGB73 IWB73:IWF73 IMF73:IMJ73 ICJ73:ICN73 HSN73:HSR73 HIR73:HIV73 GYV73:GYZ73 GOZ73:GPD73 GFD73:GFH73 FVH73:FVL73 FLL73:FLP73 FBP73:FBT73 ERT73:ERX73 EHX73:EIB73 DYB73:DYF73 DOF73:DOJ73 DEJ73:DEN73 CUN73:CUR73 CKR73:CKV73 CAV73:CAZ73 BQZ73:BRD73 BHD73:BHH73 AXH73:AXL73 ANL73:ANP73 ADP73:ADT73 TT73:TX73 JX73:KB73 AG73:AK73 WWJ983131:WWN983131 WMN983131:WMR983131 WCR983131:WCV983131 VSV983131:VSZ983131 VIZ983131:VJD983131 UZD983131:UZH983131 UPH983131:UPL983131 UFL983131:UFP983131 TVP983131:TVT983131 TLT983131:TLX983131 TBX983131:TCB983131 SSB983131:SSF983131 SIF983131:SIJ983131 RYJ983131:RYN983131 RON983131:ROR983131 RER983131:REV983131 QUV983131:QUZ983131 QKZ983131:QLD983131 QBD983131:QBH983131 PRH983131:PRL983131 PHL983131:PHP983131 OXP983131:OXT983131 ONT983131:ONX983131 ODX983131:OEB983131 NUB983131:NUF983131 NKF983131:NKJ983131 NAJ983131:NAN983131 MQN983131:MQR983131 MGR983131:MGV983131 LWV983131:LWZ983131 LMZ983131:LND983131 LDD983131:LDH983131 KTH983131:KTL983131 KJL983131:KJP983131 JZP983131:JZT983131 JPT983131:JPX983131 JFX983131:JGB983131 IWB983131:IWF983131 IMF983131:IMJ983131 ICJ983131:ICN983131 HSN983131:HSR983131 HIR983131:HIV983131 GYV983131:GYZ983131 GOZ983131:GPD983131 GFD983131:GFH983131 FVH983131:FVL983131 FLL983131:FLP983131 FBP983131:FBT983131 ERT983131:ERX983131 EHX983131:EIB983131 DYB983131:DYF983131 DOF983131:DOJ983131 DEJ983131:DEN983131 CUN983131:CUR983131 CKR983131:CKV983131 CAV983131:CAZ983131 BQZ983131:BRD983131 BHD983131:BHH983131 AXH983131:AXL983131 ANL983131:ANP983131 ADP983131:ADT983131 TT983131:TX983131 JX983131:KB983131 AG983131:AK983131 WWJ917595:WWN917595 WMN917595:WMR917595 WCR917595:WCV917595 VSV917595:VSZ917595 VIZ917595:VJD917595 UZD917595:UZH917595 UPH917595:UPL917595 UFL917595:UFP917595 TVP917595:TVT917595 TLT917595:TLX917595 TBX917595:TCB917595 SSB917595:SSF917595 SIF917595:SIJ917595 RYJ917595:RYN917595 RON917595:ROR917595 RER917595:REV917595 QUV917595:QUZ917595 QKZ917595:QLD917595 QBD917595:QBH917595 PRH917595:PRL917595 PHL917595:PHP917595 OXP917595:OXT917595 ONT917595:ONX917595 ODX917595:OEB917595 NUB917595:NUF917595 NKF917595:NKJ917595 NAJ917595:NAN917595 MQN917595:MQR917595 MGR917595:MGV917595 LWV917595:LWZ917595 LMZ917595:LND917595 LDD917595:LDH917595 KTH917595:KTL917595 KJL917595:KJP917595 JZP917595:JZT917595 JPT917595:JPX917595 JFX917595:JGB917595 IWB917595:IWF917595 IMF917595:IMJ917595 ICJ917595:ICN917595 HSN917595:HSR917595 HIR917595:HIV917595 GYV917595:GYZ917595 GOZ917595:GPD917595 GFD917595:GFH917595 FVH917595:FVL917595 FLL917595:FLP917595 FBP917595:FBT917595 ERT917595:ERX917595 EHX917595:EIB917595 DYB917595:DYF917595 DOF917595:DOJ917595 DEJ917595:DEN917595 CUN917595:CUR917595 CKR917595:CKV917595 CAV917595:CAZ917595 BQZ917595:BRD917595 BHD917595:BHH917595 AXH917595:AXL917595 ANL917595:ANP917595 ADP917595:ADT917595 TT917595:TX917595 JX917595:KB917595 AG917595:AK917595 WWJ852059:WWN852059 WMN852059:WMR852059 WCR852059:WCV852059 VSV852059:VSZ852059 VIZ852059:VJD852059 UZD852059:UZH852059 UPH852059:UPL852059 UFL852059:UFP852059 TVP852059:TVT852059 TLT852059:TLX852059 TBX852059:TCB852059 SSB852059:SSF852059 SIF852059:SIJ852059 RYJ852059:RYN852059 RON852059:ROR852059 RER852059:REV852059 QUV852059:QUZ852059 QKZ852059:QLD852059 QBD852059:QBH852059 PRH852059:PRL852059 PHL852059:PHP852059 OXP852059:OXT852059 ONT852059:ONX852059 ODX852059:OEB852059 NUB852059:NUF852059 NKF852059:NKJ852059 NAJ852059:NAN852059 MQN852059:MQR852059 MGR852059:MGV852059 LWV852059:LWZ852059 LMZ852059:LND852059 LDD852059:LDH852059 KTH852059:KTL852059 KJL852059:KJP852059 JZP852059:JZT852059 JPT852059:JPX852059 JFX852059:JGB852059 IWB852059:IWF852059 IMF852059:IMJ852059 ICJ852059:ICN852059 HSN852059:HSR852059 HIR852059:HIV852059 GYV852059:GYZ852059 GOZ852059:GPD852059 GFD852059:GFH852059 FVH852059:FVL852059 FLL852059:FLP852059 FBP852059:FBT852059 ERT852059:ERX852059 EHX852059:EIB852059 DYB852059:DYF852059 DOF852059:DOJ852059 DEJ852059:DEN852059 CUN852059:CUR852059 CKR852059:CKV852059 CAV852059:CAZ852059 BQZ852059:BRD852059 BHD852059:BHH852059 AXH852059:AXL852059 ANL852059:ANP852059 ADP852059:ADT852059 TT852059:TX852059 JX852059:KB852059 AG852059:AK852059 WWJ786523:WWN786523 WMN786523:WMR786523 WCR786523:WCV786523 VSV786523:VSZ786523 VIZ786523:VJD786523 UZD786523:UZH786523 UPH786523:UPL786523 UFL786523:UFP786523 TVP786523:TVT786523 TLT786523:TLX786523 TBX786523:TCB786523 SSB786523:SSF786523 SIF786523:SIJ786523 RYJ786523:RYN786523 RON786523:ROR786523 RER786523:REV786523 QUV786523:QUZ786523 QKZ786523:QLD786523 QBD786523:QBH786523 PRH786523:PRL786523 PHL786523:PHP786523 OXP786523:OXT786523 ONT786523:ONX786523 ODX786523:OEB786523 NUB786523:NUF786523 NKF786523:NKJ786523 NAJ786523:NAN786523 MQN786523:MQR786523 MGR786523:MGV786523 LWV786523:LWZ786523 LMZ786523:LND786523 LDD786523:LDH786523 KTH786523:KTL786523 KJL786523:KJP786523 JZP786523:JZT786523 JPT786523:JPX786523 JFX786523:JGB786523 IWB786523:IWF786523 IMF786523:IMJ786523 ICJ786523:ICN786523 HSN786523:HSR786523 HIR786523:HIV786523 GYV786523:GYZ786523 GOZ786523:GPD786523 GFD786523:GFH786523 FVH786523:FVL786523 FLL786523:FLP786523 FBP786523:FBT786523 ERT786523:ERX786523 EHX786523:EIB786523 DYB786523:DYF786523 DOF786523:DOJ786523 DEJ786523:DEN786523 CUN786523:CUR786523 CKR786523:CKV786523 CAV786523:CAZ786523 BQZ786523:BRD786523 BHD786523:BHH786523 AXH786523:AXL786523 ANL786523:ANP786523 ADP786523:ADT786523 TT786523:TX786523 JX786523:KB786523 AG786523:AK786523 WWJ720987:WWN720987 WMN720987:WMR720987 WCR720987:WCV720987 VSV720987:VSZ720987 VIZ720987:VJD720987 UZD720987:UZH720987 UPH720987:UPL720987 UFL720987:UFP720987 TVP720987:TVT720987 TLT720987:TLX720987 TBX720987:TCB720987 SSB720987:SSF720987 SIF720987:SIJ720987 RYJ720987:RYN720987 RON720987:ROR720987 RER720987:REV720987 QUV720987:QUZ720987 QKZ720987:QLD720987 QBD720987:QBH720987 PRH720987:PRL720987 PHL720987:PHP720987 OXP720987:OXT720987 ONT720987:ONX720987 ODX720987:OEB720987 NUB720987:NUF720987 NKF720987:NKJ720987 NAJ720987:NAN720987 MQN720987:MQR720987 MGR720987:MGV720987 LWV720987:LWZ720987 LMZ720987:LND720987 LDD720987:LDH720987 KTH720987:KTL720987 KJL720987:KJP720987 JZP720987:JZT720987 JPT720987:JPX720987 JFX720987:JGB720987 IWB720987:IWF720987 IMF720987:IMJ720987 ICJ720987:ICN720987 HSN720987:HSR720987 HIR720987:HIV720987 GYV720987:GYZ720987 GOZ720987:GPD720987 GFD720987:GFH720987 FVH720987:FVL720987 FLL720987:FLP720987 FBP720987:FBT720987 ERT720987:ERX720987 EHX720987:EIB720987 DYB720987:DYF720987 DOF720987:DOJ720987 DEJ720987:DEN720987 CUN720987:CUR720987 CKR720987:CKV720987 CAV720987:CAZ720987 BQZ720987:BRD720987 BHD720987:BHH720987 AXH720987:AXL720987 ANL720987:ANP720987 ADP720987:ADT720987 TT720987:TX720987 JX720987:KB720987 AG720987:AK720987 WWJ655451:WWN655451 WMN655451:WMR655451 WCR655451:WCV655451 VSV655451:VSZ655451 VIZ655451:VJD655451 UZD655451:UZH655451 UPH655451:UPL655451 UFL655451:UFP655451 TVP655451:TVT655451 TLT655451:TLX655451 TBX655451:TCB655451 SSB655451:SSF655451 SIF655451:SIJ655451 RYJ655451:RYN655451 RON655451:ROR655451 RER655451:REV655451 QUV655451:QUZ655451 QKZ655451:QLD655451 QBD655451:QBH655451 PRH655451:PRL655451 PHL655451:PHP655451 OXP655451:OXT655451 ONT655451:ONX655451 ODX655451:OEB655451 NUB655451:NUF655451 NKF655451:NKJ655451 NAJ655451:NAN655451 MQN655451:MQR655451 MGR655451:MGV655451 LWV655451:LWZ655451 LMZ655451:LND655451 LDD655451:LDH655451 KTH655451:KTL655451 KJL655451:KJP655451 JZP655451:JZT655451 JPT655451:JPX655451 JFX655451:JGB655451 IWB655451:IWF655451 IMF655451:IMJ655451 ICJ655451:ICN655451 HSN655451:HSR655451 HIR655451:HIV655451 GYV655451:GYZ655451 GOZ655451:GPD655451 GFD655451:GFH655451 FVH655451:FVL655451 FLL655451:FLP655451 FBP655451:FBT655451 ERT655451:ERX655451 EHX655451:EIB655451 DYB655451:DYF655451 DOF655451:DOJ655451 DEJ655451:DEN655451 CUN655451:CUR655451 CKR655451:CKV655451 CAV655451:CAZ655451 BQZ655451:BRD655451 BHD655451:BHH655451 AXH655451:AXL655451 ANL655451:ANP655451 ADP655451:ADT655451 TT655451:TX655451 JX655451:KB655451 AG655451:AK655451 WWJ589915:WWN589915 WMN589915:WMR589915 WCR589915:WCV589915 VSV589915:VSZ589915 VIZ589915:VJD589915 UZD589915:UZH589915 UPH589915:UPL589915 UFL589915:UFP589915 TVP589915:TVT589915 TLT589915:TLX589915 TBX589915:TCB589915 SSB589915:SSF589915 SIF589915:SIJ589915 RYJ589915:RYN589915 RON589915:ROR589915 RER589915:REV589915 QUV589915:QUZ589915 QKZ589915:QLD589915 QBD589915:QBH589915 PRH589915:PRL589915 PHL589915:PHP589915 OXP589915:OXT589915 ONT589915:ONX589915 ODX589915:OEB589915 NUB589915:NUF589915 NKF589915:NKJ589915 NAJ589915:NAN589915 MQN589915:MQR589915 MGR589915:MGV589915 LWV589915:LWZ589915 LMZ589915:LND589915 LDD589915:LDH589915 KTH589915:KTL589915 KJL589915:KJP589915 JZP589915:JZT589915 JPT589915:JPX589915 JFX589915:JGB589915 IWB589915:IWF589915 IMF589915:IMJ589915 ICJ589915:ICN589915 HSN589915:HSR589915 HIR589915:HIV589915 GYV589915:GYZ589915 GOZ589915:GPD589915 GFD589915:GFH589915 FVH589915:FVL589915 FLL589915:FLP589915 FBP589915:FBT589915 ERT589915:ERX589915 EHX589915:EIB589915 DYB589915:DYF589915 DOF589915:DOJ589915 DEJ589915:DEN589915 CUN589915:CUR589915 CKR589915:CKV589915 CAV589915:CAZ589915 BQZ589915:BRD589915 BHD589915:BHH589915 AXH589915:AXL589915 ANL589915:ANP589915 ADP589915:ADT589915 TT589915:TX589915 JX589915:KB589915 AG589915:AK589915 WWJ524379:WWN524379 WMN524379:WMR524379 WCR524379:WCV524379 VSV524379:VSZ524379 VIZ524379:VJD524379 UZD524379:UZH524379 UPH524379:UPL524379 UFL524379:UFP524379 TVP524379:TVT524379 TLT524379:TLX524379 TBX524379:TCB524379 SSB524379:SSF524379 SIF524379:SIJ524379 RYJ524379:RYN524379 RON524379:ROR524379 RER524379:REV524379 QUV524379:QUZ524379 QKZ524379:QLD524379 QBD524379:QBH524379 PRH524379:PRL524379 PHL524379:PHP524379 OXP524379:OXT524379 ONT524379:ONX524379 ODX524379:OEB524379 NUB524379:NUF524379 NKF524379:NKJ524379 NAJ524379:NAN524379 MQN524379:MQR524379 MGR524379:MGV524379 LWV524379:LWZ524379 LMZ524379:LND524379 LDD524379:LDH524379 KTH524379:KTL524379 KJL524379:KJP524379 JZP524379:JZT524379 JPT524379:JPX524379 JFX524379:JGB524379 IWB524379:IWF524379 IMF524379:IMJ524379 ICJ524379:ICN524379 HSN524379:HSR524379 HIR524379:HIV524379 GYV524379:GYZ524379 GOZ524379:GPD524379 GFD524379:GFH524379 FVH524379:FVL524379 FLL524379:FLP524379 FBP524379:FBT524379 ERT524379:ERX524379 EHX524379:EIB524379 DYB524379:DYF524379 DOF524379:DOJ524379 DEJ524379:DEN524379 CUN524379:CUR524379 CKR524379:CKV524379 CAV524379:CAZ524379 BQZ524379:BRD524379 BHD524379:BHH524379 AXH524379:AXL524379 ANL524379:ANP524379 ADP524379:ADT524379 TT524379:TX524379 JX524379:KB524379 AG524379:AK524379 WWJ458843:WWN458843 WMN458843:WMR458843 WCR458843:WCV458843 VSV458843:VSZ458843 VIZ458843:VJD458843 UZD458843:UZH458843 UPH458843:UPL458843 UFL458843:UFP458843 TVP458843:TVT458843 TLT458843:TLX458843 TBX458843:TCB458843 SSB458843:SSF458843 SIF458843:SIJ458843 RYJ458843:RYN458843 RON458843:ROR458843 RER458843:REV458843 QUV458843:QUZ458843 QKZ458843:QLD458843 QBD458843:QBH458843 PRH458843:PRL458843 PHL458843:PHP458843 OXP458843:OXT458843 ONT458843:ONX458843 ODX458843:OEB458843 NUB458843:NUF458843 NKF458843:NKJ458843 NAJ458843:NAN458843 MQN458843:MQR458843 MGR458843:MGV458843 LWV458843:LWZ458843 LMZ458843:LND458843 LDD458843:LDH458843 KTH458843:KTL458843 KJL458843:KJP458843 JZP458843:JZT458843 JPT458843:JPX458843 JFX458843:JGB458843 IWB458843:IWF458843 IMF458843:IMJ458843 ICJ458843:ICN458843 HSN458843:HSR458843 HIR458843:HIV458843 GYV458843:GYZ458843 GOZ458843:GPD458843 GFD458843:GFH458843 FVH458843:FVL458843 FLL458843:FLP458843 FBP458843:FBT458843 ERT458843:ERX458843 EHX458843:EIB458843 DYB458843:DYF458843 DOF458843:DOJ458843 DEJ458843:DEN458843 CUN458843:CUR458843 CKR458843:CKV458843 CAV458843:CAZ458843 BQZ458843:BRD458843 BHD458843:BHH458843 AXH458843:AXL458843 ANL458843:ANP458843 ADP458843:ADT458843 TT458843:TX458843 JX458843:KB458843 AG458843:AK458843 WWJ393307:WWN393307 WMN393307:WMR393307 WCR393307:WCV393307 VSV393307:VSZ393307 VIZ393307:VJD393307 UZD393307:UZH393307 UPH393307:UPL393307 UFL393307:UFP393307 TVP393307:TVT393307 TLT393307:TLX393307 TBX393307:TCB393307 SSB393307:SSF393307 SIF393307:SIJ393307 RYJ393307:RYN393307 RON393307:ROR393307 RER393307:REV393307 QUV393307:QUZ393307 QKZ393307:QLD393307 QBD393307:QBH393307 PRH393307:PRL393307 PHL393307:PHP393307 OXP393307:OXT393307 ONT393307:ONX393307 ODX393307:OEB393307 NUB393307:NUF393307 NKF393307:NKJ393307 NAJ393307:NAN393307 MQN393307:MQR393307 MGR393307:MGV393307 LWV393307:LWZ393307 LMZ393307:LND393307 LDD393307:LDH393307 KTH393307:KTL393307 KJL393307:KJP393307 JZP393307:JZT393307 JPT393307:JPX393307 JFX393307:JGB393307 IWB393307:IWF393307 IMF393307:IMJ393307 ICJ393307:ICN393307 HSN393307:HSR393307 HIR393307:HIV393307 GYV393307:GYZ393307 GOZ393307:GPD393307 GFD393307:GFH393307 FVH393307:FVL393307 FLL393307:FLP393307 FBP393307:FBT393307 ERT393307:ERX393307 EHX393307:EIB393307 DYB393307:DYF393307 DOF393307:DOJ393307 DEJ393307:DEN393307 CUN393307:CUR393307 CKR393307:CKV393307 CAV393307:CAZ393307 BQZ393307:BRD393307 BHD393307:BHH393307 AXH393307:AXL393307 ANL393307:ANP393307 ADP393307:ADT393307 TT393307:TX393307 JX393307:KB393307 AG393307:AK393307 WWJ327771:WWN327771 WMN327771:WMR327771 WCR327771:WCV327771 VSV327771:VSZ327771 VIZ327771:VJD327771 UZD327771:UZH327771 UPH327771:UPL327771 UFL327771:UFP327771 TVP327771:TVT327771 TLT327771:TLX327771 TBX327771:TCB327771 SSB327771:SSF327771 SIF327771:SIJ327771 RYJ327771:RYN327771 RON327771:ROR327771 RER327771:REV327771 QUV327771:QUZ327771 QKZ327771:QLD327771 QBD327771:QBH327771 PRH327771:PRL327771 PHL327771:PHP327771 OXP327771:OXT327771 ONT327771:ONX327771 ODX327771:OEB327771 NUB327771:NUF327771 NKF327771:NKJ327771 NAJ327771:NAN327771 MQN327771:MQR327771 MGR327771:MGV327771 LWV327771:LWZ327771 LMZ327771:LND327771 LDD327771:LDH327771 KTH327771:KTL327771 KJL327771:KJP327771 JZP327771:JZT327771 JPT327771:JPX327771 JFX327771:JGB327771 IWB327771:IWF327771 IMF327771:IMJ327771 ICJ327771:ICN327771 HSN327771:HSR327771 HIR327771:HIV327771 GYV327771:GYZ327771 GOZ327771:GPD327771 GFD327771:GFH327771 FVH327771:FVL327771 FLL327771:FLP327771 FBP327771:FBT327771 ERT327771:ERX327771 EHX327771:EIB327771 DYB327771:DYF327771 DOF327771:DOJ327771 DEJ327771:DEN327771 CUN327771:CUR327771 CKR327771:CKV327771 CAV327771:CAZ327771 BQZ327771:BRD327771 BHD327771:BHH327771 AXH327771:AXL327771 ANL327771:ANP327771 ADP327771:ADT327771 TT327771:TX327771 JX327771:KB327771 AG327771:AK327771 WWJ262235:WWN262235 WMN262235:WMR262235 WCR262235:WCV262235 VSV262235:VSZ262235 VIZ262235:VJD262235 UZD262235:UZH262235 UPH262235:UPL262235 UFL262235:UFP262235 TVP262235:TVT262235 TLT262235:TLX262235 TBX262235:TCB262235 SSB262235:SSF262235 SIF262235:SIJ262235 RYJ262235:RYN262235 RON262235:ROR262235 RER262235:REV262235 QUV262235:QUZ262235 QKZ262235:QLD262235 QBD262235:QBH262235 PRH262235:PRL262235 PHL262235:PHP262235 OXP262235:OXT262235 ONT262235:ONX262235 ODX262235:OEB262235 NUB262235:NUF262235 NKF262235:NKJ262235 NAJ262235:NAN262235 MQN262235:MQR262235 MGR262235:MGV262235 LWV262235:LWZ262235 LMZ262235:LND262235 LDD262235:LDH262235 KTH262235:KTL262235 KJL262235:KJP262235 JZP262235:JZT262235 JPT262235:JPX262235 JFX262235:JGB262235 IWB262235:IWF262235 IMF262235:IMJ262235 ICJ262235:ICN262235 HSN262235:HSR262235 HIR262235:HIV262235 GYV262235:GYZ262235 GOZ262235:GPD262235 GFD262235:GFH262235 FVH262235:FVL262235 FLL262235:FLP262235 FBP262235:FBT262235 ERT262235:ERX262235 EHX262235:EIB262235 DYB262235:DYF262235 DOF262235:DOJ262235 DEJ262235:DEN262235 CUN262235:CUR262235 CKR262235:CKV262235 CAV262235:CAZ262235 BQZ262235:BRD262235 BHD262235:BHH262235 AXH262235:AXL262235 ANL262235:ANP262235 ADP262235:ADT262235 TT262235:TX262235 JX262235:KB262235 AG262235:AK262235 WWJ196699:WWN196699 WMN196699:WMR196699 WCR196699:WCV196699 VSV196699:VSZ196699 VIZ196699:VJD196699 UZD196699:UZH196699 UPH196699:UPL196699 UFL196699:UFP196699 TVP196699:TVT196699 TLT196699:TLX196699 TBX196699:TCB196699 SSB196699:SSF196699 SIF196699:SIJ196699 RYJ196699:RYN196699 RON196699:ROR196699 RER196699:REV196699 QUV196699:QUZ196699 QKZ196699:QLD196699 QBD196699:QBH196699 PRH196699:PRL196699 PHL196699:PHP196699 OXP196699:OXT196699 ONT196699:ONX196699 ODX196699:OEB196699 NUB196699:NUF196699 NKF196699:NKJ196699 NAJ196699:NAN196699 MQN196699:MQR196699 MGR196699:MGV196699 LWV196699:LWZ196699 LMZ196699:LND196699 LDD196699:LDH196699 KTH196699:KTL196699 KJL196699:KJP196699 JZP196699:JZT196699 JPT196699:JPX196699 JFX196699:JGB196699 IWB196699:IWF196699 IMF196699:IMJ196699 ICJ196699:ICN196699 HSN196699:HSR196699 HIR196699:HIV196699 GYV196699:GYZ196699 GOZ196699:GPD196699 GFD196699:GFH196699 FVH196699:FVL196699 FLL196699:FLP196699 FBP196699:FBT196699 ERT196699:ERX196699 EHX196699:EIB196699 DYB196699:DYF196699 DOF196699:DOJ196699 DEJ196699:DEN196699 CUN196699:CUR196699 CKR196699:CKV196699 CAV196699:CAZ196699 BQZ196699:BRD196699 BHD196699:BHH196699 AXH196699:AXL196699 ANL196699:ANP196699 ADP196699:ADT196699 TT196699:TX196699 JX196699:KB196699 AG196699:AK196699 WWJ131163:WWN131163 WMN131163:WMR131163 WCR131163:WCV131163 VSV131163:VSZ131163 VIZ131163:VJD131163 UZD131163:UZH131163 UPH131163:UPL131163 UFL131163:UFP131163 TVP131163:TVT131163 TLT131163:TLX131163 TBX131163:TCB131163 SSB131163:SSF131163 SIF131163:SIJ131163 RYJ131163:RYN131163 RON131163:ROR131163 RER131163:REV131163 QUV131163:QUZ131163 QKZ131163:QLD131163 QBD131163:QBH131163 PRH131163:PRL131163 PHL131163:PHP131163 OXP131163:OXT131163 ONT131163:ONX131163 ODX131163:OEB131163 NUB131163:NUF131163 NKF131163:NKJ131163 NAJ131163:NAN131163 MQN131163:MQR131163 MGR131163:MGV131163 LWV131163:LWZ131163 LMZ131163:LND131163 LDD131163:LDH131163 KTH131163:KTL131163 KJL131163:KJP131163 JZP131163:JZT131163 JPT131163:JPX131163 JFX131163:JGB131163 IWB131163:IWF131163 IMF131163:IMJ131163 ICJ131163:ICN131163 HSN131163:HSR131163 HIR131163:HIV131163 GYV131163:GYZ131163 GOZ131163:GPD131163 GFD131163:GFH131163 FVH131163:FVL131163 FLL131163:FLP131163 FBP131163:FBT131163 ERT131163:ERX131163 EHX131163:EIB131163 DYB131163:DYF131163 DOF131163:DOJ131163 DEJ131163:DEN131163 CUN131163:CUR131163 CKR131163:CKV131163 CAV131163:CAZ131163 BQZ131163:BRD131163 BHD131163:BHH131163 AXH131163:AXL131163 ANL131163:ANP131163 ADP131163:ADT131163 TT131163:TX131163 JX131163:KB131163 AG131163:AK131163 WWJ65627:WWN65627 WMN65627:WMR65627 WCR65627:WCV65627 VSV65627:VSZ65627 VIZ65627:VJD65627 UZD65627:UZH65627 UPH65627:UPL65627 UFL65627:UFP65627 TVP65627:TVT65627 TLT65627:TLX65627 TBX65627:TCB65627 SSB65627:SSF65627 SIF65627:SIJ65627 RYJ65627:RYN65627 RON65627:ROR65627 RER65627:REV65627 QUV65627:QUZ65627 QKZ65627:QLD65627 QBD65627:QBH65627 PRH65627:PRL65627 PHL65627:PHP65627 OXP65627:OXT65627 ONT65627:ONX65627 ODX65627:OEB65627 NUB65627:NUF65627 NKF65627:NKJ65627 NAJ65627:NAN65627 MQN65627:MQR65627 MGR65627:MGV65627 LWV65627:LWZ65627 LMZ65627:LND65627 LDD65627:LDH65627 KTH65627:KTL65627 KJL65627:KJP65627 JZP65627:JZT65627 JPT65627:JPX65627 JFX65627:JGB65627 IWB65627:IWF65627 IMF65627:IMJ65627 ICJ65627:ICN65627 HSN65627:HSR65627 HIR65627:HIV65627 GYV65627:GYZ65627 GOZ65627:GPD65627 GFD65627:GFH65627 FVH65627:FVL65627 FLL65627:FLP65627 FBP65627:FBT65627 ERT65627:ERX65627 EHX65627:EIB65627 DYB65627:DYF65627 DOF65627:DOJ65627 DEJ65627:DEN65627 CUN65627:CUR65627 CKR65627:CKV65627 CAV65627:CAZ65627 BQZ65627:BRD65627 BHD65627:BHH65627 AXH65627:AXL65627 ANL65627:ANP65627 ADP65627:ADT65627 TT65627:TX65627 JX65627:KB65627 AG65627:AK65627 WWJ84:WWN84 WMN84:WMR84 WCR84:WCV84 VSV84:VSZ84 VIZ84:VJD84 UZD84:UZH84 UPH84:UPL84 UFL84:UFP84 TVP84:TVT84 TLT84:TLX84 TBX84:TCB84 SSB84:SSF84 SIF84:SIJ84 RYJ84:RYN84 RON84:ROR84 RER84:REV84 QUV84:QUZ84 QKZ84:QLD84 QBD84:QBH84 PRH84:PRL84 PHL84:PHP84 OXP84:OXT84 ONT84:ONX84 ODX84:OEB84 NUB84:NUF84 NKF84:NKJ84 NAJ84:NAN84 MQN84:MQR84 MGR84:MGV84 LWV84:LWZ84 LMZ84:LND84 LDD84:LDH84 KTH84:KTL84 KJL84:KJP84 JZP84:JZT84 JPT84:JPX84 JFX84:JGB84 IWB84:IWF84 IMF84:IMJ84 ICJ84:ICN84 HSN84:HSR84 HIR84:HIV84 GYV84:GYZ84 GOZ84:GPD84 GFD84:GFH84 FVH84:FVL84 FLL84:FLP84 FBP84:FBT84 ERT84:ERX84 EHX84:EIB84 DYB84:DYF84 DOF84:DOJ84 DEJ84:DEN84 CUN84:CUR84 CKR84:CKV84 CAV84:CAZ84 BQZ84:BRD84 BHD84:BHH84 AXH84:AXL84 ANL84:ANP84 ADP84:ADT84 TT84:TX84" xr:uid="{00000000-0002-0000-0800-000000000000}">
      <formula1>112233445566</formula1>
    </dataValidation>
    <dataValidation operator="equal" allowBlank="1" showInputMessage="1" errorTitle="Anexos con Excel" error="Este campo esta bloqueado por el SRI" sqref="AG69:AK69" xr:uid="{00000000-0002-0000-0800-000001000000}"/>
    <dataValidation type="list" allowBlank="1" showInputMessage="1" showErrorMessage="1" sqref="T4:U4" xr:uid="{00000000-0002-0000-0800-000002000000}">
      <formula1>"1,2,3,4,5,6,7,8,9,10,11,12,I-Semestre,II-Semestre"</formula1>
    </dataValidation>
  </dataValidations>
  <printOptions horizontalCentered="1"/>
  <pageMargins left="0.39370078740157483" right="0" top="0.39370078740157483" bottom="0" header="0" footer="0"/>
  <pageSetup paperSize="9" scale="48" fitToHeight="2" orientation="portrait"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2"/>
  <dimension ref="A1:EL68"/>
  <sheetViews>
    <sheetView showGridLines="0" tabSelected="1" zoomScaleNormal="100" workbookViewId="0">
      <pane xSplit="3" ySplit="6" topLeftCell="BA59" activePane="bottomRight" state="frozen"/>
      <selection activeCell="A5" sqref="A5:A6"/>
      <selection pane="topRight" activeCell="A5" sqref="A5:A6"/>
      <selection pane="bottomLeft" activeCell="A5" sqref="A5:A6"/>
      <selection pane="bottomRight" sqref="A1:EK6"/>
    </sheetView>
  </sheetViews>
  <sheetFormatPr baseColWidth="10" defaultColWidth="10.90625" defaultRowHeight="11.5" outlineLevelCol="1" x14ac:dyDescent="0.25"/>
  <cols>
    <col min="1" max="1" width="15" style="350" customWidth="1"/>
    <col min="2" max="2" width="9.453125" style="333" hidden="1" customWidth="1"/>
    <col min="3" max="3" width="34.1796875" style="350" customWidth="1"/>
    <col min="4" max="4" width="16.54296875" style="333" customWidth="1" outlineLevel="1"/>
    <col min="5" max="5" width="7.6328125" style="368" customWidth="1"/>
    <col min="6" max="6" width="12.54296875" style="333" customWidth="1" outlineLevel="1"/>
    <col min="7" max="7" width="12" style="350" customWidth="1"/>
    <col min="8" max="9" width="5.6328125" style="368" customWidth="1"/>
    <col min="10" max="10" width="9.90625" style="350" customWidth="1"/>
    <col min="11" max="11" width="26.36328125" style="350" customWidth="1"/>
    <col min="12" max="13" width="11.54296875" style="352" customWidth="1"/>
    <col min="14" max="14" width="11.453125" style="333" customWidth="1" outlineLevel="1"/>
    <col min="15" max="16" width="6.08984375" style="368" customWidth="1" outlineLevel="1"/>
    <col min="17" max="17" width="11.453125" style="350" customWidth="1" outlineLevel="1"/>
    <col min="18" max="18" width="14.36328125" style="350" customWidth="1" outlineLevel="1"/>
    <col min="19" max="19" width="17.453125" style="350" customWidth="1"/>
    <col min="20" max="20" width="62.08984375" style="350" customWidth="1" outlineLevel="1"/>
    <col min="21" max="22" width="11.453125" style="353" customWidth="1"/>
    <col min="23" max="23" width="12.453125" style="353" customWidth="1"/>
    <col min="24" max="24" width="12.08984375" style="353" customWidth="1"/>
    <col min="25" max="25" width="8.36328125" style="353" customWidth="1"/>
    <col min="26" max="26" width="9.453125" style="353" customWidth="1"/>
    <col min="27" max="27" width="12.08984375" style="353" customWidth="1" outlineLevel="1"/>
    <col min="28" max="28" width="8.36328125" style="353" customWidth="1" outlineLevel="1"/>
    <col min="29" max="29" width="9.453125" style="353" customWidth="1" outlineLevel="1"/>
    <col min="30" max="30" width="12.08984375" style="353" customWidth="1" outlineLevel="1"/>
    <col min="31" max="31" width="8.36328125" style="353" customWidth="1" outlineLevel="1"/>
    <col min="32" max="32" width="9.453125" style="353" customWidth="1" outlineLevel="1"/>
    <col min="33" max="33" width="11" style="353" customWidth="1"/>
    <col min="34" max="35" width="11" style="353" customWidth="1" outlineLevel="1"/>
    <col min="36" max="36" width="11" style="353" customWidth="1"/>
    <col min="37" max="37" width="12" style="353" customWidth="1"/>
    <col min="38" max="38" width="11" style="353" customWidth="1"/>
    <col min="39" max="39" width="1.36328125" style="333" customWidth="1"/>
    <col min="40" max="40" width="13.54296875" style="350" customWidth="1" outlineLevel="1"/>
    <col min="41" max="41" width="23.90625" style="350" customWidth="1" outlineLevel="1"/>
    <col min="42" max="42" width="10.08984375" style="350" customWidth="1" outlineLevel="1"/>
    <col min="43" max="43" width="13.36328125" style="350" customWidth="1" outlineLevel="1"/>
    <col min="44" max="44" width="27.6328125" style="333" customWidth="1"/>
    <col min="45" max="45" width="6.08984375" style="431" customWidth="1"/>
    <col min="46" max="46" width="11.54296875" style="353" customWidth="1"/>
    <col min="47" max="47" width="6.08984375" style="431" customWidth="1"/>
    <col min="48" max="48" width="11.54296875" style="353" customWidth="1"/>
    <col min="49" max="49" width="6.08984375" style="431" customWidth="1"/>
    <col min="50" max="50" width="11.54296875" style="353" customWidth="1"/>
    <col min="51" max="51" width="1.36328125" style="333" customWidth="1"/>
    <col min="52" max="52" width="14.36328125" style="350" customWidth="1"/>
    <col min="53" max="54" width="5.90625" style="368" customWidth="1"/>
    <col min="55" max="55" width="10.90625" style="350" customWidth="1"/>
    <col min="56" max="56" width="22" style="350" customWidth="1"/>
    <col min="57" max="57" width="12.36328125" style="584" customWidth="1"/>
    <col min="58" max="58" width="7" style="533" customWidth="1"/>
    <col min="59" max="59" width="11.90625" style="353" customWidth="1"/>
    <col min="60" max="60" width="11" style="354" customWidth="1"/>
    <col min="61" max="61" width="9.54296875" style="353" customWidth="1"/>
    <col min="62" max="62" width="11.453125" style="352" hidden="1" customWidth="1" outlineLevel="1"/>
    <col min="63" max="63" width="11.453125" style="353" hidden="1" customWidth="1" outlineLevel="1"/>
    <col min="64" max="64" width="11.453125" style="333" hidden="1" customWidth="1" outlineLevel="1"/>
    <col min="65" max="66" width="11.453125" style="353" hidden="1" customWidth="1" outlineLevel="1"/>
    <col min="67" max="67" width="7" style="533" customWidth="1" collapsed="1"/>
    <col min="68" max="68" width="11" style="353" customWidth="1"/>
    <col min="69" max="69" width="11" style="354" customWidth="1"/>
    <col min="70" max="70" width="9.54296875" style="353" customWidth="1"/>
    <col min="71" max="71" width="11.453125" style="352" customWidth="1" outlineLevel="1"/>
    <col min="72" max="72" width="11.453125" style="353" customWidth="1" outlineLevel="1"/>
    <col min="73" max="75" width="11.453125" style="333" customWidth="1" outlineLevel="1"/>
    <col min="76" max="76" width="7" style="533" customWidth="1"/>
    <col min="77" max="77" width="11.453125" style="353" customWidth="1"/>
    <col min="78" max="78" width="11.453125" style="354" customWidth="1"/>
    <col min="79" max="79" width="9.54296875" style="353" customWidth="1"/>
    <col min="80" max="80" width="1.36328125" style="333" customWidth="1"/>
    <col min="81" max="82" width="11.453125" style="353" customWidth="1" outlineLevel="1"/>
    <col min="83" max="83" width="11" style="353" customWidth="1"/>
    <col min="84" max="84" width="11.453125" style="353" customWidth="1" outlineLevel="1"/>
    <col min="85" max="86" width="11" style="353" customWidth="1"/>
    <col min="87" max="88" width="11" style="353" customWidth="1" outlineLevel="1"/>
    <col min="89" max="89" width="11" style="353" customWidth="1"/>
    <col min="90" max="90" width="23.90625" style="350" customWidth="1" outlineLevel="1"/>
    <col min="91" max="91" width="10.08984375" style="350" customWidth="1" outlineLevel="1"/>
    <col min="92" max="92" width="13.36328125" style="350" customWidth="1" outlineLevel="1"/>
    <col min="93" max="93" width="2" style="333" customWidth="1"/>
    <col min="94" max="94" width="20.90625" style="333" customWidth="1"/>
    <col min="95" max="95" width="20" style="333" customWidth="1"/>
    <col min="96" max="96" width="20" style="333" customWidth="1" outlineLevel="1"/>
    <col min="97" max="97" width="21.08984375" style="333" customWidth="1"/>
    <col min="98" max="99" width="20.90625" style="333" customWidth="1" outlineLevel="1"/>
    <col min="100" max="100" width="20.90625" style="350" customWidth="1" outlineLevel="1"/>
    <col min="101" max="101" width="19.6328125" style="333" customWidth="1" outlineLevel="1"/>
    <col min="102" max="104" width="9.54296875" style="351" customWidth="1" outlineLevel="1"/>
    <col min="105" max="105" width="1.90625" style="333" customWidth="1"/>
    <col min="106" max="106" width="6.453125" style="351" customWidth="1"/>
    <col min="107" max="108" width="9.54296875" style="351" customWidth="1"/>
    <col min="109" max="118" width="11.453125" style="353" customWidth="1" outlineLevel="1"/>
    <col min="119" max="119" width="1.90625" style="333" customWidth="1"/>
    <col min="120" max="120" width="22.453125" style="350" customWidth="1" outlineLevel="1"/>
    <col min="121" max="122" width="9.54296875" style="368" customWidth="1" outlineLevel="1"/>
    <col min="123" max="123" width="27.6328125" style="350" customWidth="1" outlineLevel="1"/>
    <col min="124" max="124" width="14.90625" style="350" customWidth="1" outlineLevel="1"/>
    <col min="125" max="126" width="21.54296875" style="350" customWidth="1" outlineLevel="1"/>
    <col min="127" max="127" width="18.08984375" style="350" customWidth="1" outlineLevel="1"/>
    <col min="128" max="130" width="9.54296875" style="368" customWidth="1" outlineLevel="1"/>
    <col min="131" max="131" width="21" style="350" customWidth="1" outlineLevel="1"/>
    <col min="132" max="132" width="16.453125" style="350" customWidth="1" outlineLevel="1"/>
    <col min="133" max="133" width="27.6328125" style="350" customWidth="1" outlineLevel="1"/>
    <col min="134" max="134" width="21.54296875" style="350" customWidth="1" outlineLevel="1"/>
    <col min="135" max="137" width="11.453125" style="353" customWidth="1" outlineLevel="1"/>
    <col min="138" max="138" width="21.453125" style="350" customWidth="1" outlineLevel="1"/>
    <col min="139" max="139" width="13" style="333" customWidth="1" outlineLevel="1"/>
    <col min="140" max="140" width="1.90625" style="333" customWidth="1"/>
    <col min="141" max="141" width="27.6328125" style="350" customWidth="1"/>
    <col min="142" max="142" width="2.453125" style="333" customWidth="1"/>
    <col min="143" max="16384" width="10.90625" style="333"/>
  </cols>
  <sheetData>
    <row r="1" spans="1:142" ht="20.149999999999999" customHeight="1" x14ac:dyDescent="0.25">
      <c r="A1" s="372" t="str">
        <f>Parametros!D4&amp;" - "&amp;Parametros!D5</f>
        <v>0917809451001 - GARCIA RODRIGUEZ CHARLES MILTON</v>
      </c>
      <c r="B1" s="321"/>
      <c r="C1" s="322"/>
      <c r="D1" s="322"/>
      <c r="E1" s="323"/>
      <c r="F1" s="322"/>
      <c r="G1" s="322"/>
      <c r="H1" s="323"/>
      <c r="I1" s="323"/>
      <c r="J1" s="322"/>
      <c r="K1" s="322"/>
      <c r="L1" s="324"/>
      <c r="M1" s="324"/>
      <c r="N1" s="322"/>
      <c r="O1" s="323"/>
      <c r="P1" s="323"/>
      <c r="Q1" s="322"/>
      <c r="R1" s="322"/>
      <c r="S1" s="322"/>
      <c r="T1" s="322"/>
      <c r="U1" s="326"/>
      <c r="V1" s="326"/>
      <c r="W1" s="326"/>
      <c r="X1" s="326"/>
      <c r="Y1" s="326"/>
      <c r="Z1" s="326"/>
      <c r="AA1" s="326"/>
      <c r="AB1" s="326"/>
      <c r="AC1" s="326"/>
      <c r="AD1" s="326"/>
      <c r="AE1" s="326"/>
      <c r="AF1" s="326"/>
      <c r="AG1" s="326"/>
      <c r="AH1" s="326"/>
      <c r="AI1" s="326"/>
      <c r="AJ1" s="326"/>
      <c r="AK1" s="327"/>
      <c r="AL1" s="326"/>
      <c r="AN1" s="322"/>
      <c r="AO1" s="322"/>
      <c r="AP1" s="322"/>
      <c r="AQ1" s="322"/>
      <c r="AR1" s="325"/>
      <c r="AS1" s="429"/>
      <c r="AT1" s="326"/>
      <c r="AU1" s="432"/>
      <c r="AV1" s="326"/>
      <c r="AW1" s="432"/>
      <c r="AX1" s="326"/>
      <c r="AZ1" s="328"/>
      <c r="BA1" s="323"/>
      <c r="BB1" s="323"/>
      <c r="BC1" s="328"/>
      <c r="BD1" s="328"/>
      <c r="BE1" s="582"/>
      <c r="BF1" s="329"/>
      <c r="BG1" s="326"/>
      <c r="BH1" s="330"/>
      <c r="BI1" s="326"/>
      <c r="BJ1" s="324"/>
      <c r="BK1" s="326"/>
      <c r="BL1" s="331"/>
      <c r="BM1" s="326"/>
      <c r="BN1" s="326"/>
      <c r="BO1" s="329"/>
      <c r="BP1" s="326"/>
      <c r="BQ1" s="330"/>
      <c r="BR1" s="326"/>
      <c r="BS1" s="324"/>
      <c r="BT1" s="326"/>
      <c r="BU1" s="331"/>
      <c r="BV1" s="332"/>
      <c r="BW1" s="322"/>
      <c r="BX1" s="329"/>
      <c r="BY1" s="326"/>
      <c r="BZ1" s="330"/>
      <c r="CA1" s="326"/>
      <c r="CC1" s="326"/>
      <c r="CD1" s="326"/>
      <c r="CE1" s="326"/>
      <c r="CF1" s="326"/>
      <c r="CG1" s="326"/>
      <c r="CH1" s="326"/>
      <c r="CI1" s="326"/>
      <c r="CJ1" s="326"/>
      <c r="CK1" s="326"/>
      <c r="CL1" s="322"/>
      <c r="CM1" s="322"/>
      <c r="CN1" s="322"/>
      <c r="CP1" s="325"/>
      <c r="CQ1" s="325"/>
      <c r="CR1" s="325"/>
      <c r="CS1" s="325"/>
      <c r="CT1" s="325"/>
      <c r="CU1" s="325"/>
      <c r="CV1" s="322"/>
      <c r="CW1" s="325"/>
      <c r="CX1" s="321"/>
      <c r="CY1" s="321"/>
      <c r="CZ1" s="321"/>
      <c r="DA1" s="325"/>
      <c r="DB1" s="321"/>
      <c r="DC1" s="321"/>
      <c r="DD1" s="321"/>
      <c r="DE1" s="326"/>
      <c r="DF1" s="326"/>
      <c r="DG1" s="326"/>
      <c r="DH1" s="326"/>
      <c r="DI1" s="326"/>
      <c r="DJ1" s="326"/>
      <c r="DK1" s="326"/>
      <c r="DL1" s="326"/>
      <c r="DM1" s="326"/>
      <c r="DN1" s="326"/>
      <c r="DO1" s="325"/>
      <c r="DP1" s="322"/>
      <c r="DQ1" s="322"/>
      <c r="DR1" s="323"/>
      <c r="DS1" s="322"/>
      <c r="DT1" s="322"/>
      <c r="DU1" s="322"/>
      <c r="DV1" s="322"/>
      <c r="DW1" s="322"/>
      <c r="DX1" s="323"/>
      <c r="DY1" s="323"/>
      <c r="DZ1" s="323"/>
      <c r="EA1" s="322"/>
      <c r="EB1" s="322"/>
      <c r="EC1" s="322"/>
      <c r="ED1" s="322"/>
      <c r="EE1" s="326"/>
      <c r="EF1" s="326"/>
      <c r="EG1" s="326"/>
      <c r="EH1" s="322"/>
      <c r="EI1" s="325"/>
      <c r="EJ1" s="325"/>
      <c r="EK1" s="322"/>
      <c r="EL1" s="325"/>
    </row>
    <row r="2" spans="1:142" ht="19.5" customHeight="1" x14ac:dyDescent="0.25">
      <c r="A2" s="373" t="s">
        <v>1189</v>
      </c>
      <c r="B2" s="334"/>
      <c r="C2" s="334"/>
      <c r="D2" s="322"/>
      <c r="E2" s="323"/>
      <c r="F2" s="322"/>
      <c r="G2" s="322"/>
      <c r="H2" s="323"/>
      <c r="I2" s="323"/>
      <c r="J2" s="322"/>
      <c r="K2" s="322"/>
      <c r="L2" s="324"/>
      <c r="M2" s="324"/>
      <c r="N2" s="322"/>
      <c r="O2" s="323"/>
      <c r="P2" s="323"/>
      <c r="Q2" s="322"/>
      <c r="R2" s="322"/>
      <c r="S2" s="322"/>
      <c r="T2" s="322"/>
      <c r="U2" s="326"/>
      <c r="V2" s="326"/>
      <c r="W2" s="326"/>
      <c r="X2" s="326"/>
      <c r="Y2" s="326"/>
      <c r="Z2" s="326"/>
      <c r="AA2" s="326"/>
      <c r="AB2" s="326"/>
      <c r="AC2" s="326"/>
      <c r="AD2" s="326"/>
      <c r="AE2" s="326"/>
      <c r="AF2" s="326"/>
      <c r="AG2" s="326"/>
      <c r="AH2" s="326"/>
      <c r="AK2" s="537"/>
      <c r="AL2" s="326"/>
      <c r="AN2" s="322"/>
      <c r="AO2" s="322"/>
      <c r="AP2" s="322"/>
      <c r="AQ2" s="322"/>
      <c r="AR2" s="325"/>
      <c r="AS2" s="429"/>
      <c r="AT2" s="326"/>
      <c r="AU2" s="432"/>
      <c r="AV2" s="335"/>
      <c r="AW2" s="432"/>
      <c r="AX2" s="326"/>
      <c r="AZ2" s="328"/>
      <c r="BA2" s="323"/>
      <c r="BB2" s="323"/>
      <c r="BC2" s="328"/>
      <c r="BD2" s="328"/>
      <c r="BE2" s="582"/>
      <c r="BF2" s="329"/>
      <c r="BG2" s="326"/>
      <c r="BH2" s="330"/>
      <c r="BI2" s="326"/>
      <c r="BJ2" s="324"/>
      <c r="BK2" s="326"/>
      <c r="BL2" s="331"/>
      <c r="BM2" s="326"/>
      <c r="BN2" s="326"/>
      <c r="BO2" s="329"/>
      <c r="BP2" s="326"/>
      <c r="BQ2" s="330"/>
      <c r="BR2" s="326"/>
      <c r="BS2" s="324"/>
      <c r="BT2" s="326"/>
      <c r="BU2" s="331"/>
      <c r="BV2" s="332"/>
      <c r="BW2" s="322"/>
      <c r="BX2" s="329"/>
      <c r="BY2" s="326"/>
      <c r="BZ2" s="330"/>
      <c r="CA2" s="326"/>
      <c r="CC2" s="326"/>
      <c r="CD2" s="326"/>
      <c r="CE2" s="326"/>
      <c r="CF2" s="326"/>
      <c r="CG2" s="326"/>
      <c r="CH2" s="326"/>
      <c r="CI2" s="326"/>
      <c r="CJ2" s="326"/>
      <c r="CK2" s="326"/>
      <c r="CL2" s="322"/>
      <c r="CM2" s="322"/>
      <c r="CN2" s="322"/>
      <c r="CP2" s="325"/>
      <c r="CQ2" s="325"/>
      <c r="CR2" s="325"/>
      <c r="CS2" s="325"/>
      <c r="CT2" s="325"/>
      <c r="CU2" s="325"/>
      <c r="CV2" s="322"/>
      <c r="CW2" s="325"/>
      <c r="CX2" s="321"/>
      <c r="CY2" s="321"/>
      <c r="CZ2" s="321"/>
      <c r="DA2" s="325"/>
      <c r="DB2" s="321"/>
      <c r="DC2" s="321"/>
      <c r="DD2" s="321"/>
      <c r="DE2" s="326"/>
      <c r="DF2" s="326"/>
      <c r="DG2" s="326"/>
      <c r="DH2" s="326"/>
      <c r="DI2" s="326"/>
      <c r="DJ2" s="326"/>
      <c r="DK2" s="326"/>
      <c r="DL2" s="326"/>
      <c r="DM2" s="326"/>
      <c r="DN2" s="326"/>
      <c r="DO2" s="325"/>
      <c r="DP2" s="322"/>
      <c r="DQ2" s="323"/>
      <c r="DR2" s="323"/>
      <c r="DS2" s="322"/>
      <c r="DT2" s="322"/>
      <c r="DU2" s="322"/>
      <c r="DV2" s="322"/>
      <c r="DW2" s="322"/>
      <c r="DX2" s="323"/>
      <c r="DY2" s="323"/>
      <c r="DZ2" s="323"/>
      <c r="EA2" s="322"/>
      <c r="EB2" s="322"/>
      <c r="EC2" s="322"/>
      <c r="ED2" s="322"/>
      <c r="EE2" s="326"/>
      <c r="EF2" s="326"/>
      <c r="EG2" s="326"/>
      <c r="EH2" s="322"/>
      <c r="EI2" s="325"/>
      <c r="EJ2" s="325"/>
      <c r="EK2" s="322"/>
      <c r="EL2" s="325"/>
    </row>
    <row r="3" spans="1:142" s="344" customFormat="1" ht="15.9" hidden="1" customHeight="1" x14ac:dyDescent="0.25">
      <c r="A3" s="336"/>
      <c r="B3" s="337"/>
      <c r="C3" s="338"/>
      <c r="D3" s="338"/>
      <c r="E3" s="338"/>
      <c r="F3" s="338"/>
      <c r="G3" s="338"/>
      <c r="H3" s="338"/>
      <c r="I3" s="338"/>
      <c r="J3" s="338"/>
      <c r="K3" s="338"/>
      <c r="L3" s="339"/>
      <c r="M3" s="339"/>
      <c r="N3" s="338"/>
      <c r="O3" s="338"/>
      <c r="P3" s="338"/>
      <c r="Q3" s="338"/>
      <c r="R3" s="338"/>
      <c r="S3" s="338"/>
      <c r="T3" s="338"/>
      <c r="U3" s="340"/>
      <c r="V3" s="340"/>
      <c r="W3" s="340"/>
      <c r="X3" s="340"/>
      <c r="Y3" s="340"/>
      <c r="Z3" s="340"/>
      <c r="AA3" s="340"/>
      <c r="AB3" s="340"/>
      <c r="AC3" s="340"/>
      <c r="AD3" s="340"/>
      <c r="AE3" s="340"/>
      <c r="AF3" s="340"/>
      <c r="AG3" s="340"/>
      <c r="AH3" s="340"/>
      <c r="AI3" s="374"/>
      <c r="AJ3" s="374"/>
      <c r="AK3" s="340"/>
      <c r="AL3" s="340"/>
      <c r="AM3" s="337"/>
      <c r="AN3" s="338"/>
      <c r="AO3" s="338"/>
      <c r="AP3" s="338"/>
      <c r="AQ3" s="338"/>
      <c r="AR3" s="337"/>
      <c r="AS3" s="430"/>
      <c r="AT3" s="340"/>
      <c r="AU3" s="433"/>
      <c r="AV3" s="340"/>
      <c r="AW3" s="433"/>
      <c r="AX3" s="340"/>
      <c r="AY3" s="337"/>
      <c r="AZ3" s="338"/>
      <c r="BA3" s="338"/>
      <c r="BB3" s="338"/>
      <c r="BC3" s="338"/>
      <c r="BD3" s="338"/>
      <c r="BE3" s="583"/>
      <c r="BF3" s="532"/>
      <c r="BG3" s="340"/>
      <c r="BH3" s="342"/>
      <c r="BI3" s="340"/>
      <c r="BJ3" s="339"/>
      <c r="BK3" s="340"/>
      <c r="BL3" s="343"/>
      <c r="BM3" s="340"/>
      <c r="BN3" s="340"/>
      <c r="BO3" s="532"/>
      <c r="BP3" s="340"/>
      <c r="BQ3" s="342"/>
      <c r="BR3" s="340"/>
      <c r="BS3" s="339"/>
      <c r="BT3" s="340"/>
      <c r="BU3" s="343"/>
      <c r="BV3" s="341"/>
      <c r="BW3" s="338"/>
      <c r="BX3" s="532"/>
      <c r="BY3" s="340"/>
      <c r="BZ3" s="342"/>
      <c r="CA3" s="340"/>
      <c r="CB3" s="337"/>
      <c r="CC3" s="340"/>
      <c r="CD3" s="340"/>
      <c r="CE3" s="340"/>
      <c r="CF3" s="340"/>
      <c r="CG3" s="340"/>
      <c r="CH3" s="340"/>
      <c r="CI3" s="340"/>
      <c r="CJ3" s="340"/>
      <c r="CK3" s="340"/>
      <c r="CL3" s="338"/>
      <c r="CM3" s="338"/>
      <c r="CN3" s="338"/>
      <c r="CO3" s="337"/>
      <c r="CP3" s="337"/>
      <c r="CQ3" s="337"/>
      <c r="CR3" s="337"/>
      <c r="CS3" s="337"/>
      <c r="CT3" s="337"/>
      <c r="CU3" s="337"/>
      <c r="CV3" s="338"/>
      <c r="CW3" s="337"/>
      <c r="CX3" s="337"/>
      <c r="CY3" s="337"/>
      <c r="CZ3" s="337"/>
      <c r="DA3" s="337"/>
      <c r="DB3" s="337"/>
      <c r="DC3" s="337"/>
      <c r="DD3" s="337"/>
      <c r="DE3" s="340"/>
      <c r="DF3" s="340"/>
      <c r="DG3" s="340"/>
      <c r="DH3" s="340"/>
      <c r="DI3" s="340"/>
      <c r="DJ3" s="340"/>
      <c r="DK3" s="340"/>
      <c r="DL3" s="340"/>
      <c r="DM3" s="340"/>
      <c r="DN3" s="340"/>
      <c r="DO3" s="337"/>
      <c r="DP3" s="338"/>
      <c r="DQ3" s="338"/>
      <c r="DR3" s="338"/>
      <c r="DS3" s="338"/>
      <c r="DT3" s="338"/>
      <c r="DU3" s="338"/>
      <c r="DV3" s="338"/>
      <c r="DW3" s="338"/>
      <c r="DX3" s="338"/>
      <c r="DY3" s="338"/>
      <c r="DZ3" s="338"/>
      <c r="EA3" s="338"/>
      <c r="EB3" s="338"/>
      <c r="EC3" s="338"/>
      <c r="ED3" s="338"/>
      <c r="EE3" s="340"/>
      <c r="EF3" s="340"/>
      <c r="EG3" s="340"/>
      <c r="EH3" s="338"/>
      <c r="EI3" s="337"/>
      <c r="EJ3" s="337"/>
      <c r="EK3" s="338"/>
      <c r="EL3" s="337"/>
    </row>
    <row r="4" spans="1:142" s="615" customFormat="1" ht="14" customHeight="1" x14ac:dyDescent="0.25">
      <c r="A4" s="370"/>
      <c r="B4" s="371" t="str">
        <f>"# Registros COMPRAS : " &amp; COUNTIF(M:M,"&gt;0")</f>
        <v># Registros COMPRAS : 58</v>
      </c>
      <c r="C4" s="595" t="s">
        <v>1263</v>
      </c>
      <c r="D4" s="616"/>
      <c r="E4" s="617"/>
      <c r="F4" s="618" t="s">
        <v>1264</v>
      </c>
      <c r="G4" s="601"/>
      <c r="H4" s="601"/>
      <c r="I4" s="601"/>
      <c r="J4" s="601"/>
      <c r="K4" s="601"/>
      <c r="L4" s="619"/>
      <c r="M4" s="620"/>
      <c r="N4" s="595" t="s">
        <v>1265</v>
      </c>
      <c r="O4" s="601"/>
      <c r="P4" s="601"/>
      <c r="Q4" s="601"/>
      <c r="R4" s="616"/>
      <c r="T4" s="598"/>
      <c r="U4" s="599" t="s">
        <v>1954</v>
      </c>
      <c r="V4" s="537"/>
      <c r="W4" s="537"/>
      <c r="X4" s="634"/>
      <c r="Y4" s="842"/>
      <c r="Z4" s="843"/>
      <c r="AA4" s="634"/>
      <c r="AB4" s="842"/>
      <c r="AC4" s="843"/>
      <c r="AD4" s="634"/>
      <c r="AE4" s="842"/>
      <c r="AF4" s="843"/>
      <c r="AG4" s="537"/>
      <c r="AH4" s="621"/>
      <c r="AI4" s="621"/>
      <c r="AJ4" s="621"/>
      <c r="AL4" s="600"/>
      <c r="AN4" s="603"/>
      <c r="AO4" s="622" t="s">
        <v>1957</v>
      </c>
      <c r="AP4" s="623"/>
      <c r="AQ4" s="623"/>
      <c r="AR4" s="624"/>
      <c r="AS4" s="604" t="s">
        <v>1953</v>
      </c>
      <c r="AT4" s="537"/>
      <c r="AU4" s="605"/>
      <c r="AV4" s="537"/>
      <c r="AW4" s="605"/>
      <c r="AX4" s="600"/>
      <c r="AZ4" s="625" t="s">
        <v>1955</v>
      </c>
      <c r="BA4" s="601"/>
      <c r="BB4" s="601"/>
      <c r="BC4" s="601"/>
      <c r="BD4" s="601"/>
      <c r="BE4" s="626"/>
      <c r="BF4" s="627" t="s">
        <v>1266</v>
      </c>
      <c r="BG4" s="537"/>
      <c r="BH4" s="628"/>
      <c r="BI4" s="600"/>
      <c r="BJ4" s="629" t="s">
        <v>1267</v>
      </c>
      <c r="BK4" s="630"/>
      <c r="BL4" s="631"/>
      <c r="BM4" s="632" t="s">
        <v>1271</v>
      </c>
      <c r="BN4" s="633"/>
      <c r="BO4" s="627" t="s">
        <v>1268</v>
      </c>
      <c r="BP4" s="537"/>
      <c r="BQ4" s="628"/>
      <c r="BR4" s="600"/>
      <c r="BS4" s="629" t="s">
        <v>1269</v>
      </c>
      <c r="BT4" s="630"/>
      <c r="BU4" s="631"/>
      <c r="BV4" s="632" t="s">
        <v>1270</v>
      </c>
      <c r="BW4" s="633"/>
      <c r="BX4" s="627" t="s">
        <v>677</v>
      </c>
      <c r="BY4" s="537"/>
      <c r="BZ4" s="628"/>
      <c r="CA4" s="600"/>
      <c r="CC4" s="599" t="s">
        <v>1956</v>
      </c>
      <c r="CD4" s="537"/>
      <c r="CE4" s="537"/>
      <c r="CF4" s="537"/>
      <c r="CG4" s="537"/>
      <c r="CH4" s="537"/>
      <c r="CI4" s="537"/>
      <c r="CJ4" s="537"/>
      <c r="CK4" s="634" t="s">
        <v>678</v>
      </c>
      <c r="CL4" s="622" t="s">
        <v>1958</v>
      </c>
      <c r="CM4" s="623"/>
      <c r="CN4" s="623"/>
      <c r="CP4" s="635" t="s">
        <v>1959</v>
      </c>
      <c r="CQ4" s="636"/>
      <c r="CR4" s="637"/>
      <c r="CS4" s="613"/>
      <c r="CT4" s="608" t="s">
        <v>2119</v>
      </c>
      <c r="CU4" s="608" t="s">
        <v>2120</v>
      </c>
      <c r="CV4" s="608" t="s">
        <v>2121</v>
      </c>
      <c r="CW4" s="646" t="s">
        <v>2122</v>
      </c>
      <c r="CX4" s="646"/>
      <c r="CY4" s="646"/>
      <c r="CZ4" s="646"/>
      <c r="DA4" s="638"/>
      <c r="DB4" s="608" t="s">
        <v>678</v>
      </c>
      <c r="DC4" s="608" t="s">
        <v>678</v>
      </c>
      <c r="DD4" s="608" t="s">
        <v>678</v>
      </c>
      <c r="DE4" s="639" t="s">
        <v>678</v>
      </c>
      <c r="DF4" s="639" t="s">
        <v>678</v>
      </c>
      <c r="DG4" s="639" t="s">
        <v>678</v>
      </c>
      <c r="DH4" s="639" t="s">
        <v>678</v>
      </c>
      <c r="DI4" s="639" t="s">
        <v>678</v>
      </c>
      <c r="DJ4" s="639" t="s">
        <v>678</v>
      </c>
      <c r="DK4" s="639" t="s">
        <v>678</v>
      </c>
      <c r="DL4" s="639" t="s">
        <v>678</v>
      </c>
      <c r="DM4" s="639" t="s">
        <v>678</v>
      </c>
      <c r="DN4" s="639" t="s">
        <v>678</v>
      </c>
      <c r="DO4" s="638"/>
      <c r="DP4" s="603"/>
      <c r="DQ4" s="610"/>
      <c r="DR4" s="610"/>
      <c r="DS4" s="603"/>
      <c r="DT4" s="603"/>
      <c r="DU4" s="603"/>
      <c r="DV4" s="603"/>
      <c r="DW4" s="603"/>
      <c r="DX4" s="610"/>
      <c r="DY4" s="610"/>
      <c r="DZ4" s="610"/>
      <c r="EA4" s="603"/>
      <c r="EB4" s="603"/>
      <c r="EC4" s="603"/>
      <c r="ED4" s="603"/>
      <c r="EE4" s="345"/>
      <c r="EF4" s="327"/>
      <c r="EG4" s="327" t="s">
        <v>1870</v>
      </c>
      <c r="EH4" s="603"/>
      <c r="EI4" s="639" t="s">
        <v>678</v>
      </c>
      <c r="EJ4" s="638"/>
      <c r="EK4" s="598"/>
      <c r="EL4" s="613"/>
    </row>
    <row r="5" spans="1:142" s="351" customFormat="1" ht="15.9" customHeight="1" x14ac:dyDescent="0.25">
      <c r="A5" s="1334" t="s">
        <v>679</v>
      </c>
      <c r="B5" s="1332" t="s">
        <v>680</v>
      </c>
      <c r="C5" s="1336" t="s">
        <v>681</v>
      </c>
      <c r="D5" s="1332" t="s">
        <v>682</v>
      </c>
      <c r="E5" s="1336" t="s">
        <v>683</v>
      </c>
      <c r="F5" s="1336" t="s">
        <v>2105</v>
      </c>
      <c r="G5" s="1336" t="s">
        <v>684</v>
      </c>
      <c r="H5" s="1336" t="s">
        <v>685</v>
      </c>
      <c r="I5" s="1336" t="s">
        <v>686</v>
      </c>
      <c r="J5" s="1336" t="s">
        <v>687</v>
      </c>
      <c r="K5" s="1336" t="s">
        <v>688</v>
      </c>
      <c r="L5" s="1330" t="s">
        <v>689</v>
      </c>
      <c r="M5" s="1330" t="s">
        <v>1099</v>
      </c>
      <c r="N5" s="1332" t="s">
        <v>690</v>
      </c>
      <c r="O5" s="1336" t="s">
        <v>685</v>
      </c>
      <c r="P5" s="1336" t="s">
        <v>686</v>
      </c>
      <c r="Q5" s="1336" t="s">
        <v>691</v>
      </c>
      <c r="R5" s="1336" t="s">
        <v>692</v>
      </c>
      <c r="S5" s="816" t="s">
        <v>676</v>
      </c>
      <c r="T5" s="1340" t="s">
        <v>694</v>
      </c>
      <c r="U5" s="587">
        <f>SUBTOTAL(9,U$6:U1012)</f>
        <v>0</v>
      </c>
      <c r="V5" s="587">
        <f>SUBTOTAL(9,V$6:V1012)</f>
        <v>0</v>
      </c>
      <c r="W5" s="587">
        <f>SUBTOTAL(9,W$6:W1012)</f>
        <v>76.760000000000005</v>
      </c>
      <c r="X5" s="587">
        <f>SUBTOTAL(9,X$6:X1012)</f>
        <v>33770.640000000014</v>
      </c>
      <c r="Y5" s="1278" t="s">
        <v>2266</v>
      </c>
      <c r="Z5" s="817">
        <f>SUBTOTAL(9,Z$6:Z1012)</f>
        <v>5065.6099999999997</v>
      </c>
      <c r="AA5" s="587">
        <f>SUBTOTAL(9,AA$6:AA1012)</f>
        <v>2702.18</v>
      </c>
      <c r="AB5" s="1278" t="s">
        <v>2267</v>
      </c>
      <c r="AC5" s="817">
        <f>SUBTOTAL(9,AC$6:AC1012)</f>
        <v>135.11000000000001</v>
      </c>
      <c r="AD5" s="587">
        <f>SUBTOTAL(9,AD$6:AD1012)</f>
        <v>0</v>
      </c>
      <c r="AE5" s="1278" t="s">
        <v>2276</v>
      </c>
      <c r="AF5" s="817">
        <f>SUBTOTAL(9,AF$6:AF1012)</f>
        <v>0</v>
      </c>
      <c r="AG5" s="587">
        <f>SUBTOTAL(9,AG$6:AG1012)</f>
        <v>0</v>
      </c>
      <c r="AH5" s="587">
        <f>SUBTOTAL(9,AH$6:AH1012)</f>
        <v>0</v>
      </c>
      <c r="AI5" s="587">
        <f>SUBTOTAL(9,AI$6:AI1012)</f>
        <v>0</v>
      </c>
      <c r="AJ5" s="587">
        <f>SUBTOTAL(9,AJ$6:AJ1012)</f>
        <v>0</v>
      </c>
      <c r="AK5" s="587">
        <f>SUBTOTAL(9,AK$6:AK1012)</f>
        <v>41750.299999999996</v>
      </c>
      <c r="AL5" s="587">
        <f>SUBTOTAL(9,AL$6:AL1012)</f>
        <v>0</v>
      </c>
      <c r="AM5" s="538"/>
      <c r="AN5" s="1338" t="s">
        <v>1560</v>
      </c>
      <c r="AO5" s="1284" t="s">
        <v>1967</v>
      </c>
      <c r="AP5" s="1284"/>
      <c r="AQ5" s="1284"/>
      <c r="AR5" s="1293" t="s">
        <v>2114</v>
      </c>
      <c r="AS5" s="1291" t="s">
        <v>1960</v>
      </c>
      <c r="AT5" s="588">
        <f>SUBTOTAL(9,AT$6:AT1012)</f>
        <v>33770.640000000014</v>
      </c>
      <c r="AU5" s="1291" t="s">
        <v>1961</v>
      </c>
      <c r="AV5" s="588">
        <f>SUBTOTAL(9,AV$6:AV1012)</f>
        <v>0</v>
      </c>
      <c r="AW5" s="1291" t="s">
        <v>1962</v>
      </c>
      <c r="AX5" s="588">
        <f>SUBTOTAL(9,AX$6:AX1012)</f>
        <v>0</v>
      </c>
      <c r="AY5" s="538"/>
      <c r="AZ5" s="1287" t="s">
        <v>1088</v>
      </c>
      <c r="BA5" s="1289" t="s">
        <v>1963</v>
      </c>
      <c r="BB5" s="1289" t="s">
        <v>1964</v>
      </c>
      <c r="BC5" s="1289" t="s">
        <v>1965</v>
      </c>
      <c r="BD5" s="1289" t="s">
        <v>1966</v>
      </c>
      <c r="BE5" s="1285" t="s">
        <v>704</v>
      </c>
      <c r="BF5" s="1280" t="s">
        <v>705</v>
      </c>
      <c r="BG5" s="817">
        <f>SUBTOTAL(9,BG$6:BG756)</f>
        <v>36549.58</v>
      </c>
      <c r="BH5" s="1282" t="s">
        <v>707</v>
      </c>
      <c r="BI5" s="817">
        <f>SUBTOTAL(9,BI$6:BI756)</f>
        <v>353.91999999999996</v>
      </c>
      <c r="BJ5" s="1297" t="s">
        <v>709</v>
      </c>
      <c r="BK5" s="817">
        <f>SUBTOTAL(9,BK$6:BK756)</f>
        <v>0</v>
      </c>
      <c r="BL5" s="1299" t="s">
        <v>711</v>
      </c>
      <c r="BM5" s="1301" t="s">
        <v>712</v>
      </c>
      <c r="BN5" s="1303" t="s">
        <v>713</v>
      </c>
      <c r="BO5" s="1305" t="s">
        <v>714</v>
      </c>
      <c r="BP5" s="818">
        <f>SUBTOTAL(9,BP$6:BP756)</f>
        <v>0</v>
      </c>
      <c r="BQ5" s="1309" t="s">
        <v>716</v>
      </c>
      <c r="BR5" s="822">
        <f>SUBTOTAL(9,BR$6:BR756)</f>
        <v>0</v>
      </c>
      <c r="BS5" s="1311" t="s">
        <v>1086</v>
      </c>
      <c r="BT5" s="821">
        <f>SUBTOTAL(9,BT$6:BT756)</f>
        <v>0</v>
      </c>
      <c r="BU5" s="1299" t="s">
        <v>711</v>
      </c>
      <c r="BV5" s="1301" t="s">
        <v>712</v>
      </c>
      <c r="BW5" s="1301" t="s">
        <v>713</v>
      </c>
      <c r="BX5" s="1280" t="s">
        <v>718</v>
      </c>
      <c r="BY5" s="818">
        <f>SUBTOTAL(9,BY$6:BY756)</f>
        <v>0</v>
      </c>
      <c r="BZ5" s="1309" t="s">
        <v>720</v>
      </c>
      <c r="CA5" s="819">
        <f>SUBTOTAL(9,CA$6:CA756)</f>
        <v>0</v>
      </c>
      <c r="CB5" s="538"/>
      <c r="CC5" s="587">
        <f>SUBTOTAL(9,CC$6:CC756)</f>
        <v>0</v>
      </c>
      <c r="CD5" s="587">
        <f>SUBTOTAL(9,CD$6:CD756)</f>
        <v>0</v>
      </c>
      <c r="CE5" s="587">
        <f>SUBTOTAL(9,CE$6:CE756)</f>
        <v>182.47</v>
      </c>
      <c r="CF5" s="587">
        <f>SUBTOTAL(9,CF$6:CF756)</f>
        <v>0</v>
      </c>
      <c r="CG5" s="587">
        <f>SUBTOTAL(9,CG$6:CG756)</f>
        <v>848.88</v>
      </c>
      <c r="CH5" s="587">
        <f>SUBTOTAL(9,CH$6:CH756)</f>
        <v>0</v>
      </c>
      <c r="CI5" s="587">
        <f>SUBTOTAL(9,CI$6:CI756)</f>
        <v>0</v>
      </c>
      <c r="CJ5" s="587">
        <f>SUBTOTAL(9,CJ$6:CJ756)</f>
        <v>0</v>
      </c>
      <c r="CK5" s="587">
        <f>SUBTOTAL(9,CK$6:CK756)</f>
        <v>1385.27</v>
      </c>
      <c r="CL5" s="1284" t="s">
        <v>1969</v>
      </c>
      <c r="CM5" s="1284"/>
      <c r="CN5" s="1284"/>
      <c r="CO5" s="538"/>
      <c r="CP5" s="1313" t="s">
        <v>729</v>
      </c>
      <c r="CQ5" s="1295" t="s">
        <v>730</v>
      </c>
      <c r="CR5" s="1295" t="s">
        <v>731</v>
      </c>
      <c r="CS5" s="1295" t="s">
        <v>732</v>
      </c>
      <c r="CT5" s="1295" t="s">
        <v>733</v>
      </c>
      <c r="CU5" s="1295" t="s">
        <v>1475</v>
      </c>
      <c r="CV5" s="1290" t="s">
        <v>734</v>
      </c>
      <c r="CW5" s="1295" t="s">
        <v>735</v>
      </c>
      <c r="CX5" s="1295" t="s">
        <v>736</v>
      </c>
      <c r="CY5" s="1295" t="s">
        <v>737</v>
      </c>
      <c r="CZ5" s="1342" t="s">
        <v>738</v>
      </c>
      <c r="DA5" s="844"/>
      <c r="DB5" s="1344" t="s">
        <v>1182</v>
      </c>
      <c r="DC5" s="1346" t="s">
        <v>1261</v>
      </c>
      <c r="DD5" s="1346" t="s">
        <v>1228</v>
      </c>
      <c r="DE5" s="1307" t="s">
        <v>739</v>
      </c>
      <c r="DF5" s="1307" t="s">
        <v>740</v>
      </c>
      <c r="DG5" s="1307" t="s">
        <v>741</v>
      </c>
      <c r="DH5" s="1307" t="s">
        <v>2098</v>
      </c>
      <c r="DI5" s="1307" t="s">
        <v>2099</v>
      </c>
      <c r="DJ5" s="1307" t="s">
        <v>2100</v>
      </c>
      <c r="DK5" s="1307" t="s">
        <v>2101</v>
      </c>
      <c r="DL5" s="1307" t="s">
        <v>2104</v>
      </c>
      <c r="DM5" s="1307" t="s">
        <v>2103</v>
      </c>
      <c r="DN5" s="1316" t="s">
        <v>2102</v>
      </c>
      <c r="DO5" s="844"/>
      <c r="DP5" s="1322" t="s">
        <v>1951</v>
      </c>
      <c r="DQ5" s="1322"/>
      <c r="DR5" s="1322"/>
      <c r="DS5" s="1322"/>
      <c r="DT5" s="1322"/>
      <c r="DU5" s="1322"/>
      <c r="DV5" s="1322"/>
      <c r="DW5" s="1323" t="s">
        <v>1952</v>
      </c>
      <c r="DX5" s="1324"/>
      <c r="DY5" s="1324"/>
      <c r="DZ5" s="1324"/>
      <c r="EA5" s="1324"/>
      <c r="EB5" s="1324"/>
      <c r="EC5" s="1324"/>
      <c r="ED5" s="1325"/>
      <c r="EE5" s="1326" t="s">
        <v>1565</v>
      </c>
      <c r="EF5" s="1326" t="s">
        <v>1868</v>
      </c>
      <c r="EG5" s="1326" t="s">
        <v>1865</v>
      </c>
      <c r="EH5" s="1328" t="s">
        <v>1753</v>
      </c>
      <c r="EI5" s="1318" t="s">
        <v>743</v>
      </c>
      <c r="EJ5" s="844"/>
      <c r="EK5" s="1320" t="s">
        <v>742</v>
      </c>
      <c r="EL5" s="534"/>
    </row>
    <row r="6" spans="1:142" s="536" customFormat="1" ht="47.15" customHeight="1" x14ac:dyDescent="0.35">
      <c r="A6" s="1335"/>
      <c r="B6" s="1333"/>
      <c r="C6" s="1337"/>
      <c r="D6" s="1333"/>
      <c r="E6" s="1337"/>
      <c r="F6" s="1337"/>
      <c r="G6" s="1337"/>
      <c r="H6" s="1337"/>
      <c r="I6" s="1337"/>
      <c r="J6" s="1337"/>
      <c r="K6" s="1337"/>
      <c r="L6" s="1331"/>
      <c r="M6" s="1331"/>
      <c r="N6" s="1333"/>
      <c r="O6" s="1337"/>
      <c r="P6" s="1337"/>
      <c r="Q6" s="1337"/>
      <c r="R6" s="1337"/>
      <c r="S6" s="845" t="s">
        <v>693</v>
      </c>
      <c r="T6" s="1341"/>
      <c r="U6" s="846" t="s">
        <v>695</v>
      </c>
      <c r="V6" s="840" t="s">
        <v>1260</v>
      </c>
      <c r="W6" s="840" t="s">
        <v>697</v>
      </c>
      <c r="X6" s="841" t="s">
        <v>2295</v>
      </c>
      <c r="Y6" s="1279"/>
      <c r="Z6" s="862" t="s">
        <v>2296</v>
      </c>
      <c r="AA6" s="841" t="s">
        <v>2297</v>
      </c>
      <c r="AB6" s="1279"/>
      <c r="AC6" s="862" t="s">
        <v>2298</v>
      </c>
      <c r="AD6" s="841" t="s">
        <v>2299</v>
      </c>
      <c r="AE6" s="1279"/>
      <c r="AF6" s="862" t="s">
        <v>2300</v>
      </c>
      <c r="AG6" s="840" t="s">
        <v>1258</v>
      </c>
      <c r="AH6" s="840" t="s">
        <v>1181</v>
      </c>
      <c r="AI6" s="840" t="s">
        <v>1880</v>
      </c>
      <c r="AJ6" s="840" t="s">
        <v>1881</v>
      </c>
      <c r="AK6" s="840" t="s">
        <v>702</v>
      </c>
      <c r="AL6" s="841" t="s">
        <v>1257</v>
      </c>
      <c r="AM6" s="538"/>
      <c r="AN6" s="1339"/>
      <c r="AO6" s="589" t="s">
        <v>1813</v>
      </c>
      <c r="AP6" s="590" t="s">
        <v>1812</v>
      </c>
      <c r="AQ6" s="589" t="s">
        <v>1814</v>
      </c>
      <c r="AR6" s="1294"/>
      <c r="AS6" s="1292"/>
      <c r="AT6" s="590" t="s">
        <v>703</v>
      </c>
      <c r="AU6" s="1292"/>
      <c r="AV6" s="590" t="s">
        <v>703</v>
      </c>
      <c r="AW6" s="1292"/>
      <c r="AX6" s="590" t="s">
        <v>703</v>
      </c>
      <c r="AY6" s="538"/>
      <c r="AZ6" s="1288"/>
      <c r="BA6" s="1290"/>
      <c r="BB6" s="1290"/>
      <c r="BC6" s="1290"/>
      <c r="BD6" s="1290"/>
      <c r="BE6" s="1286"/>
      <c r="BF6" s="1281"/>
      <c r="BG6" s="847" t="s">
        <v>706</v>
      </c>
      <c r="BH6" s="1283"/>
      <c r="BI6" s="847" t="s">
        <v>708</v>
      </c>
      <c r="BJ6" s="1298"/>
      <c r="BK6" s="847" t="s">
        <v>710</v>
      </c>
      <c r="BL6" s="1300"/>
      <c r="BM6" s="1302"/>
      <c r="BN6" s="1304"/>
      <c r="BO6" s="1306"/>
      <c r="BP6" s="848" t="s">
        <v>715</v>
      </c>
      <c r="BQ6" s="1310"/>
      <c r="BR6" s="849" t="s">
        <v>717</v>
      </c>
      <c r="BS6" s="1312"/>
      <c r="BT6" s="850" t="s">
        <v>1087</v>
      </c>
      <c r="BU6" s="1300"/>
      <c r="BV6" s="1302"/>
      <c r="BW6" s="1302"/>
      <c r="BX6" s="1281"/>
      <c r="BY6" s="848" t="s">
        <v>719</v>
      </c>
      <c r="BZ6" s="1310"/>
      <c r="CA6" s="820" t="s">
        <v>721</v>
      </c>
      <c r="CB6" s="538"/>
      <c r="CC6" s="846" t="s">
        <v>722</v>
      </c>
      <c r="CD6" s="840" t="s">
        <v>723</v>
      </c>
      <c r="CE6" s="840" t="s">
        <v>724</v>
      </c>
      <c r="CF6" s="840" t="s">
        <v>725</v>
      </c>
      <c r="CG6" s="840" t="s">
        <v>726</v>
      </c>
      <c r="CH6" s="840" t="s">
        <v>727</v>
      </c>
      <c r="CI6" s="840" t="s">
        <v>1879</v>
      </c>
      <c r="CJ6" s="840" t="s">
        <v>1476</v>
      </c>
      <c r="CK6" s="841" t="s">
        <v>728</v>
      </c>
      <c r="CL6" s="589" t="s">
        <v>1813</v>
      </c>
      <c r="CM6" s="590" t="s">
        <v>1812</v>
      </c>
      <c r="CN6" s="589" t="s">
        <v>1814</v>
      </c>
      <c r="CO6" s="538"/>
      <c r="CP6" s="1314"/>
      <c r="CQ6" s="1296"/>
      <c r="CR6" s="1296"/>
      <c r="CS6" s="1296"/>
      <c r="CT6" s="1296"/>
      <c r="CU6" s="1296"/>
      <c r="CV6" s="1315"/>
      <c r="CW6" s="1296"/>
      <c r="CX6" s="1296"/>
      <c r="CY6" s="1296"/>
      <c r="CZ6" s="1343"/>
      <c r="DA6" s="539"/>
      <c r="DB6" s="1345"/>
      <c r="DC6" s="1347"/>
      <c r="DD6" s="1347"/>
      <c r="DE6" s="1308"/>
      <c r="DF6" s="1308"/>
      <c r="DG6" s="1308"/>
      <c r="DH6" s="1308"/>
      <c r="DI6" s="1308"/>
      <c r="DJ6" s="1308"/>
      <c r="DK6" s="1308"/>
      <c r="DL6" s="1308"/>
      <c r="DM6" s="1308"/>
      <c r="DN6" s="1317"/>
      <c r="DO6" s="539"/>
      <c r="DP6" s="591" t="s">
        <v>1866</v>
      </c>
      <c r="DQ6" s="591" t="s">
        <v>1522</v>
      </c>
      <c r="DR6" s="591" t="s">
        <v>1561</v>
      </c>
      <c r="DS6" s="591" t="s">
        <v>1864</v>
      </c>
      <c r="DT6" s="591" t="s">
        <v>1863</v>
      </c>
      <c r="DU6" s="591" t="s">
        <v>1973</v>
      </c>
      <c r="DV6" s="591" t="s">
        <v>1874</v>
      </c>
      <c r="DW6" s="591" t="s">
        <v>1866</v>
      </c>
      <c r="DX6" s="591" t="s">
        <v>1562</v>
      </c>
      <c r="DY6" s="591" t="s">
        <v>1563</v>
      </c>
      <c r="DZ6" s="591" t="s">
        <v>1564</v>
      </c>
      <c r="EA6" s="591" t="s">
        <v>1871</v>
      </c>
      <c r="EB6" s="591" t="s">
        <v>1872</v>
      </c>
      <c r="EC6" s="591" t="s">
        <v>1972</v>
      </c>
      <c r="ED6" s="591" t="s">
        <v>1873</v>
      </c>
      <c r="EE6" s="1327"/>
      <c r="EF6" s="1327"/>
      <c r="EG6" s="1327"/>
      <c r="EH6" s="1329"/>
      <c r="EI6" s="1319"/>
      <c r="EJ6" s="539"/>
      <c r="EK6" s="1321"/>
      <c r="EL6" s="535"/>
    </row>
    <row r="7" spans="1:142" x14ac:dyDescent="0.25">
      <c r="A7" s="863" t="s">
        <v>2459</v>
      </c>
      <c r="B7" s="434" t="s">
        <v>2287</v>
      </c>
      <c r="C7" s="863" t="s">
        <v>2487</v>
      </c>
      <c r="D7" s="434" t="s">
        <v>2292</v>
      </c>
      <c r="E7" s="864" t="s">
        <v>744</v>
      </c>
      <c r="F7" s="434"/>
      <c r="G7" s="863" t="s">
        <v>1031</v>
      </c>
      <c r="H7" s="864" t="s">
        <v>2458</v>
      </c>
      <c r="I7" s="864" t="s">
        <v>2516</v>
      </c>
      <c r="J7" s="863" t="s">
        <v>2517</v>
      </c>
      <c r="K7" s="863" t="s">
        <v>2580</v>
      </c>
      <c r="L7" s="865">
        <v>46113</v>
      </c>
      <c r="M7" s="865">
        <v>46113</v>
      </c>
      <c r="N7" s="434"/>
      <c r="O7" s="864"/>
      <c r="P7" s="864"/>
      <c r="Q7" s="863"/>
      <c r="R7" s="863"/>
      <c r="S7" s="863"/>
      <c r="T7" s="863" t="s">
        <v>44</v>
      </c>
      <c r="U7" s="866">
        <v>0</v>
      </c>
      <c r="V7" s="866">
        <v>0</v>
      </c>
      <c r="W7" s="866">
        <v>0</v>
      </c>
      <c r="X7" s="866">
        <v>36</v>
      </c>
      <c r="Y7" s="866">
        <v>15</v>
      </c>
      <c r="Z7" s="866">
        <f>ROUND(X7*Y7%,2)</f>
        <v>5.4</v>
      </c>
      <c r="AA7" s="866">
        <v>0</v>
      </c>
      <c r="AB7" s="866">
        <v>5</v>
      </c>
      <c r="AC7" s="866">
        <f>ROUND(AA7*AB7%,2)</f>
        <v>0</v>
      </c>
      <c r="AD7" s="866"/>
      <c r="AE7" s="866">
        <v>8</v>
      </c>
      <c r="AF7" s="866">
        <f>ROUND(AD7*AE7%,2)</f>
        <v>0</v>
      </c>
      <c r="AG7" s="866">
        <v>0</v>
      </c>
      <c r="AH7" s="866">
        <v>0</v>
      </c>
      <c r="AI7" s="866">
        <v>0</v>
      </c>
      <c r="AJ7" s="866">
        <v>0</v>
      </c>
      <c r="AK7" s="866">
        <f>ROUND(SUM(U7:X7)+SUM(Z7:AA7)+SUM(AC7:AD7)+SUM(AF7:AJ7),2)</f>
        <v>41.4</v>
      </c>
      <c r="AL7" s="866">
        <v>0</v>
      </c>
      <c r="AM7" s="434"/>
      <c r="AN7" s="863"/>
      <c r="AO7" s="863"/>
      <c r="AP7" s="863"/>
      <c r="AQ7" s="863"/>
      <c r="AR7" s="434" t="s">
        <v>1241</v>
      </c>
      <c r="AS7" s="867">
        <v>510</v>
      </c>
      <c r="AT7" s="866">
        <f>IF(OR(AS7=545, AS7=518),($AK7-$Z7-$AC7-$AF7),IF(AND(AS7&gt;515,AS7&lt;518),($W7),IF(AND(AS7&gt;509,AS7&lt;516),$X7,IF(AS7=541,$U7,IF(AS7=542,$V7+SUM($AG7:$AJ7),IF(AS7=533,$AD7,IF(AS7=550,$AA7,0)))))))</f>
        <v>36</v>
      </c>
      <c r="AU7" s="867">
        <v>0</v>
      </c>
      <c r="AV7" s="866">
        <f>IF(OR(AU7=545, AU7=518),($AK7-$Z7-$AC7-$AF7),IF(AND(AU7&gt;515,AU7&lt;518),($W7),IF(AND(AU7&gt;509,AU7&lt;516),$X7,IF(AU7=541,$U7,IF(AU7=542,$V7+SUM($AG7:$AJ7),IF(AU7=533,$AD7,IF(AU7=550,$AA7,0)))))))</f>
        <v>0</v>
      </c>
      <c r="AW7" s="867">
        <v>542</v>
      </c>
      <c r="AX7" s="866">
        <f>IF(OR(AW7=545, AW7=518),($AK7-$Z7-$AC7-$AF7),IF(AND(AW7&gt;515,AW7&lt;518),($W7),IF(AND(AW7&gt;509,AW7&lt;516),$X7,IF(AW7=541,$U7,IF(AW7=542,$V7+SUM($AG7:$AJ7),IF(AW7=533,$AD7,IF(AW7=550,$AA7,0)))))))</f>
        <v>0</v>
      </c>
      <c r="AY7" s="434"/>
      <c r="AZ7" s="866"/>
      <c r="BA7" s="864"/>
      <c r="BB7" s="864"/>
      <c r="BC7" s="863"/>
      <c r="BD7" s="863"/>
      <c r="BE7" s="868"/>
      <c r="BF7" s="869">
        <v>332</v>
      </c>
      <c r="BG7" s="866">
        <f>SUM(U7:X7)-V7+AA7+AD7</f>
        <v>36</v>
      </c>
      <c r="BH7" s="870">
        <f>IF(ISERROR(VLOOKUP(BF7,Parametros!$C:$J,8,0)),0,VLOOKUP(BF7,Parametros!$C:$J,8,0))</f>
        <v>0</v>
      </c>
      <c r="BI7" s="866">
        <f>IF(ISERROR(ROUND((BG7*BH7),2)),0,ROUND((BG7*BH7),2))</f>
        <v>0</v>
      </c>
      <c r="BJ7" s="871"/>
      <c r="BK7" s="866">
        <v>0</v>
      </c>
      <c r="BL7" s="434"/>
      <c r="BM7" s="866">
        <v>0</v>
      </c>
      <c r="BN7" s="866">
        <v>0</v>
      </c>
      <c r="BO7" s="869"/>
      <c r="BP7" s="866">
        <f>SUM(U7:X7)-V7+AA7+AD7-BG7</f>
        <v>0</v>
      </c>
      <c r="BQ7" s="870">
        <f>IF(ISERROR(VLOOKUP(BO7,Parametros!$C:$J,8,0)),0,VLOOKUP(BO7,Parametros!$C:$J,8,0))</f>
        <v>0</v>
      </c>
      <c r="BR7" s="866">
        <f>IF(ISERROR(ROUND((BP7*BQ7),2)),0,ROUND((BP7*BQ7),2))</f>
        <v>0</v>
      </c>
      <c r="BS7" s="871"/>
      <c r="BT7" s="866">
        <v>0</v>
      </c>
      <c r="BU7" s="434"/>
      <c r="BV7" s="866">
        <v>0</v>
      </c>
      <c r="BW7" s="866">
        <v>0</v>
      </c>
      <c r="BX7" s="869"/>
      <c r="BY7" s="866">
        <f>SUM(U7:X7)-V7+AA7+AD7-BG7-BP7</f>
        <v>0</v>
      </c>
      <c r="BZ7" s="870">
        <f>IF(ISERROR(VLOOKUP(BX7,Parametros!$C:$J,8,0)),0,VLOOKUP(BX7,Parametros!$C:$J,8,0))</f>
        <v>0</v>
      </c>
      <c r="CA7" s="866">
        <f>IF(ISERROR(ROUND((BY7*BZ7),2)),0,ROUND((BY7*BZ7),2))</f>
        <v>0</v>
      </c>
      <c r="CB7" s="434"/>
      <c r="CC7" s="866">
        <v>0</v>
      </c>
      <c r="CD7" s="866">
        <v>0</v>
      </c>
      <c r="CE7" s="866">
        <v>0</v>
      </c>
      <c r="CF7" s="866">
        <v>0</v>
      </c>
      <c r="CG7" s="866">
        <v>0</v>
      </c>
      <c r="CH7" s="866">
        <v>0</v>
      </c>
      <c r="CI7" s="866">
        <v>0</v>
      </c>
      <c r="CJ7" s="866">
        <v>0</v>
      </c>
      <c r="CK7" s="866">
        <f>+BI7+BR7+CA7+SUM(CC7:CJ7)</f>
        <v>0</v>
      </c>
      <c r="CL7" s="863"/>
      <c r="CM7" s="863"/>
      <c r="CN7" s="863"/>
      <c r="CO7" s="434"/>
      <c r="CP7" s="434" t="s">
        <v>2282</v>
      </c>
      <c r="CQ7" s="434" t="s">
        <v>57</v>
      </c>
      <c r="CR7" s="434"/>
      <c r="CS7" s="434" t="s">
        <v>2283</v>
      </c>
      <c r="CT7" s="434"/>
      <c r="CU7" s="434"/>
      <c r="CV7" s="863"/>
      <c r="CW7" s="434"/>
      <c r="CX7" s="867"/>
      <c r="CY7" s="867"/>
      <c r="CZ7" s="867"/>
      <c r="DA7" s="434"/>
      <c r="DB7" s="867">
        <f>IF(ISNUMBER(M7),MONTH(M7),0)</f>
        <v>4</v>
      </c>
      <c r="DC7" s="872" t="str">
        <f t="shared" ref="DC7:DC68" si="0">IF(ISNUMBER(M7),IF(ISERROR(HLOOKUP(MONTH(M7),meses_104,1,0)),"NO","SI"),"NO")</f>
        <v>SI</v>
      </c>
      <c r="DD7" s="872" t="str">
        <f t="shared" ref="DD7:DD68" si="1">IF(ISNUMBER(M7),IF(ISERROR(HLOOKUP(MONTH(M7),meses_103,1,0)),"NO","SI"),"NO")</f>
        <v>SI</v>
      </c>
      <c r="DE7" s="866">
        <f>IF(ISBLANK(G7),0,IF(VALUE(LEFT(G7,2))=4,0,AT7))</f>
        <v>36</v>
      </c>
      <c r="DF7" s="866">
        <f>IF(ISBLANK(G7),0,IF(VALUE(LEFT(G7,2))=4,0,AV7))</f>
        <v>0</v>
      </c>
      <c r="DG7" s="866">
        <f>IF(ISBLANK(G7),0,IF(VALUE(LEFT(G7,2))=4,0,AX7))</f>
        <v>0</v>
      </c>
      <c r="DH7" s="866">
        <f>SUM(U7:W7)+SUM(AG7:AJ7)</f>
        <v>0</v>
      </c>
      <c r="DI7" s="866">
        <f>ROUND((IF(AS7=545,(Z7+AC7+AF7),0)+IF(AU7=545,(Z7+AC7+AF7),0)+IF(AW7=545,(Z7+AC7+AF7),0)),2)</f>
        <v>0</v>
      </c>
      <c r="DJ7" s="866">
        <f>ROUND((IF(AS7=512,Z7,0)+IF(AU7=512,Z7,0)+IF(AW7=512,Z7,0)),2)</f>
        <v>0</v>
      </c>
      <c r="DK7" s="866">
        <f>Z7+AC7+AF7-DI7-DJ7</f>
        <v>5.4</v>
      </c>
      <c r="DL7" s="866">
        <f>SUM(CC7:CH7)+CJ7</f>
        <v>0</v>
      </c>
      <c r="DM7" s="866">
        <f>CI7</f>
        <v>0</v>
      </c>
      <c r="DN7" s="866">
        <f>BI7+BR7+CA7</f>
        <v>0</v>
      </c>
      <c r="DO7" s="434"/>
      <c r="DP7" s="863"/>
      <c r="DQ7" s="864" t="s">
        <v>2284</v>
      </c>
      <c r="DR7" s="864" t="s">
        <v>2285</v>
      </c>
      <c r="DS7" s="863"/>
      <c r="DT7" s="863"/>
      <c r="DU7" s="863"/>
      <c r="DV7" s="863"/>
      <c r="DW7" s="863"/>
      <c r="DX7" s="864" t="s">
        <v>1501</v>
      </c>
      <c r="DY7" s="864" t="s">
        <v>2286</v>
      </c>
      <c r="DZ7" s="864"/>
      <c r="EA7" s="863"/>
      <c r="EB7" s="863"/>
      <c r="EC7" s="863"/>
      <c r="ED7" s="863"/>
      <c r="EE7" s="866">
        <v>0</v>
      </c>
      <c r="EF7" s="866">
        <v>0</v>
      </c>
      <c r="EG7" s="866">
        <v>0</v>
      </c>
      <c r="EH7" s="863"/>
      <c r="EI7" s="434"/>
      <c r="EJ7" s="434"/>
      <c r="EK7" s="863"/>
    </row>
    <row r="8" spans="1:142" x14ac:dyDescent="0.25">
      <c r="A8" s="863" t="s">
        <v>2460</v>
      </c>
      <c r="B8" s="434" t="s">
        <v>2287</v>
      </c>
      <c r="C8" s="863" t="s">
        <v>2488</v>
      </c>
      <c r="D8" s="434" t="s">
        <v>2292</v>
      </c>
      <c r="E8" s="864" t="s">
        <v>744</v>
      </c>
      <c r="F8" s="434"/>
      <c r="G8" s="863" t="s">
        <v>1031</v>
      </c>
      <c r="H8" s="864" t="s">
        <v>8</v>
      </c>
      <c r="I8" s="864" t="s">
        <v>8</v>
      </c>
      <c r="J8" s="863" t="s">
        <v>2518</v>
      </c>
      <c r="K8" s="863" t="s">
        <v>2581</v>
      </c>
      <c r="L8" s="865">
        <v>46113</v>
      </c>
      <c r="M8" s="865">
        <v>46113</v>
      </c>
      <c r="N8" s="434"/>
      <c r="O8" s="864"/>
      <c r="P8" s="864"/>
      <c r="Q8" s="863"/>
      <c r="R8" s="863"/>
      <c r="S8" s="863"/>
      <c r="T8" s="863" t="s">
        <v>44</v>
      </c>
      <c r="U8" s="866">
        <v>0</v>
      </c>
      <c r="V8" s="866">
        <v>0</v>
      </c>
      <c r="W8" s="866">
        <v>0</v>
      </c>
      <c r="X8" s="866">
        <v>500</v>
      </c>
      <c r="Y8" s="866">
        <v>15</v>
      </c>
      <c r="Z8" s="866">
        <f t="shared" ref="Z8:Z9" si="2">ROUND(X8*Y8%,2)</f>
        <v>75</v>
      </c>
      <c r="AA8" s="866">
        <v>0</v>
      </c>
      <c r="AB8" s="866">
        <v>5</v>
      </c>
      <c r="AC8" s="866">
        <f t="shared" ref="AC8:AC9" si="3">ROUND(AA8*AB8%,2)</f>
        <v>0</v>
      </c>
      <c r="AD8" s="866"/>
      <c r="AE8" s="866">
        <v>8</v>
      </c>
      <c r="AF8" s="866">
        <f t="shared" ref="AF8:AF9" si="4">ROUND(AD8*AE8%,2)</f>
        <v>0</v>
      </c>
      <c r="AG8" s="866">
        <v>0</v>
      </c>
      <c r="AH8" s="866">
        <v>0</v>
      </c>
      <c r="AI8" s="866">
        <v>0</v>
      </c>
      <c r="AJ8" s="866">
        <v>0</v>
      </c>
      <c r="AK8" s="866">
        <f t="shared" ref="AK8:AK9" si="5">ROUND(SUM(U8:X8)+SUM(Z8:AA8)+SUM(AC8:AD8)+SUM(AF8:AJ8),2)</f>
        <v>575</v>
      </c>
      <c r="AL8" s="866">
        <v>0</v>
      </c>
      <c r="AM8" s="434"/>
      <c r="AN8" s="863"/>
      <c r="AO8" s="863"/>
      <c r="AP8" s="863"/>
      <c r="AQ8" s="863"/>
      <c r="AR8" s="434" t="s">
        <v>1241</v>
      </c>
      <c r="AS8" s="867">
        <v>510</v>
      </c>
      <c r="AT8" s="866">
        <f t="shared" ref="AT8:AT9" si="6">IF(OR(AS8=545, AS8=518),($AK8-$Z8-$AC8-$AF8),IF(AND(AS8&gt;515,AS8&lt;518),($W8),IF(AND(AS8&gt;509,AS8&lt;516),$X8,IF(AS8=541,$U8,IF(AS8=542,$V8+SUM($AG8:$AJ8),IF(AS8=533,$AD8,IF(AS8=550,$AA8,0)))))))</f>
        <v>500</v>
      </c>
      <c r="AU8" s="867">
        <v>0</v>
      </c>
      <c r="AV8" s="866">
        <f t="shared" ref="AV8:AV9" si="7">IF(OR(AU8=545, AU8=518),($AK8-$Z8-$AC8-$AF8),IF(AND(AU8&gt;515,AU8&lt;518),($W8),IF(AND(AU8&gt;509,AU8&lt;516),$X8,IF(AU8=541,$U8,IF(AU8=542,$V8+SUM($AG8:$AJ8),IF(AU8=533,$AD8,IF(AU8=550,$AA8,0)))))))</f>
        <v>0</v>
      </c>
      <c r="AW8" s="867">
        <v>542</v>
      </c>
      <c r="AX8" s="866">
        <f t="shared" ref="AX8:AX9" si="8">IF(OR(AW8=545, AW8=518),($AK8-$Z8-$AC8-$AF8),IF(AND(AW8&gt;515,AW8&lt;518),($W8),IF(AND(AW8&gt;509,AW8&lt;516),$X8,IF(AW8=541,$U8,IF(AW8=542,$V8+SUM($AG8:$AJ8),IF(AW8=533,$AD8,IF(AW8=550,$AA8,0)))))))</f>
        <v>0</v>
      </c>
      <c r="AY8" s="434"/>
      <c r="AZ8" s="866" t="s">
        <v>2890</v>
      </c>
      <c r="BA8" s="864" t="s">
        <v>2444</v>
      </c>
      <c r="BB8" s="864" t="s">
        <v>8</v>
      </c>
      <c r="BC8" s="863" t="s">
        <v>2879</v>
      </c>
      <c r="BD8" s="863" t="s">
        <v>2880</v>
      </c>
      <c r="BE8" s="868">
        <v>46113</v>
      </c>
      <c r="BF8" s="869">
        <v>332</v>
      </c>
      <c r="BG8" s="866">
        <f t="shared" ref="BG8:BG9" si="9">SUM(U8:X8)-V8+AA8+AD8</f>
        <v>500</v>
      </c>
      <c r="BH8" s="870">
        <f>IF(ISERROR(VLOOKUP(BF8,Parametros!$C:$J,8,0)),0,VLOOKUP(BF8,Parametros!$C:$J,8,0))</f>
        <v>0</v>
      </c>
      <c r="BI8" s="866">
        <f t="shared" ref="BI8:BI9" si="10">IF(ISERROR(ROUND((BG8*BH8),2)),0,ROUND((BG8*BH8),2))</f>
        <v>0</v>
      </c>
      <c r="BJ8" s="871"/>
      <c r="BK8" s="866">
        <v>0</v>
      </c>
      <c r="BL8" s="434"/>
      <c r="BM8" s="866">
        <v>0</v>
      </c>
      <c r="BN8" s="866">
        <v>0</v>
      </c>
      <c r="BO8" s="869"/>
      <c r="BP8" s="866">
        <f t="shared" ref="BP8:BP9" si="11">SUM(U8:X8)-V8+AA8+AD8-BG8</f>
        <v>0</v>
      </c>
      <c r="BQ8" s="870">
        <f>IF(ISERROR(VLOOKUP(BO8,Parametros!$C:$J,8,0)),0,VLOOKUP(BO8,Parametros!$C:$J,8,0))</f>
        <v>0</v>
      </c>
      <c r="BR8" s="866">
        <f t="shared" ref="BR8:BR9" si="12">IF(ISERROR(ROUND((BP8*BQ8),2)),0,ROUND((BP8*BQ8),2))</f>
        <v>0</v>
      </c>
      <c r="BS8" s="871"/>
      <c r="BT8" s="866">
        <v>0</v>
      </c>
      <c r="BU8" s="434"/>
      <c r="BV8" s="866">
        <v>0</v>
      </c>
      <c r="BW8" s="866">
        <v>0</v>
      </c>
      <c r="BX8" s="869"/>
      <c r="BY8" s="866">
        <f t="shared" ref="BY8:BY9" si="13">SUM(U8:X8)-V8+AA8+AD8-BG8-BP8</f>
        <v>0</v>
      </c>
      <c r="BZ8" s="870">
        <f>IF(ISERROR(VLOOKUP(BX8,Parametros!$C:$J,8,0)),0,VLOOKUP(BX8,Parametros!$C:$J,8,0))</f>
        <v>0</v>
      </c>
      <c r="CA8" s="866">
        <f t="shared" ref="CA8:CA9" si="14">IF(ISERROR(ROUND((BY8*BZ8),2)),0,ROUND((BY8*BZ8),2))</f>
        <v>0</v>
      </c>
      <c r="CB8" s="434"/>
      <c r="CC8" s="866">
        <v>0</v>
      </c>
      <c r="CD8" s="866">
        <v>0</v>
      </c>
      <c r="CE8" s="866">
        <v>0</v>
      </c>
      <c r="CF8" s="866">
        <v>0</v>
      </c>
      <c r="CG8" s="866">
        <v>52.5</v>
      </c>
      <c r="CH8" s="866">
        <v>0</v>
      </c>
      <c r="CI8" s="866">
        <v>0</v>
      </c>
      <c r="CJ8" s="866">
        <v>0</v>
      </c>
      <c r="CK8" s="866">
        <f t="shared" ref="CK8:CK9" si="15">+BI8+BR8+CA8+SUM(CC8:CJ8)</f>
        <v>52.5</v>
      </c>
      <c r="CL8" s="863"/>
      <c r="CM8" s="863"/>
      <c r="CN8" s="863"/>
      <c r="CO8" s="434"/>
      <c r="CP8" s="434" t="s">
        <v>2282</v>
      </c>
      <c r="CQ8" s="434" t="s">
        <v>76</v>
      </c>
      <c r="CR8" s="434"/>
      <c r="CS8" s="434" t="s">
        <v>2283</v>
      </c>
      <c r="CT8" s="434"/>
      <c r="CU8" s="434"/>
      <c r="CV8" s="863"/>
      <c r="CW8" s="434"/>
      <c r="CX8" s="867"/>
      <c r="CY8" s="867"/>
      <c r="CZ8" s="867"/>
      <c r="DA8" s="434"/>
      <c r="DB8" s="867">
        <f t="shared" ref="DB8:DB9" si="16">IF(ISNUMBER(M8),MONTH(M8),0)</f>
        <v>4</v>
      </c>
      <c r="DC8" s="872" t="str">
        <f t="shared" si="0"/>
        <v>SI</v>
      </c>
      <c r="DD8" s="872" t="str">
        <f t="shared" si="1"/>
        <v>SI</v>
      </c>
      <c r="DE8" s="866">
        <f t="shared" ref="DE8:DE9" si="17">IF(ISBLANK(G8),0,IF(VALUE(LEFT(G8,2))=4,0,AT8))</f>
        <v>500</v>
      </c>
      <c r="DF8" s="866">
        <f t="shared" ref="DF8:DF9" si="18">IF(ISBLANK(G8),0,IF(VALUE(LEFT(G8,2))=4,0,AV8))</f>
        <v>0</v>
      </c>
      <c r="DG8" s="866">
        <f t="shared" ref="DG8:DG9" si="19">IF(ISBLANK(G8),0,IF(VALUE(LEFT(G8,2))=4,0,AX8))</f>
        <v>0</v>
      </c>
      <c r="DH8" s="866">
        <f t="shared" ref="DH8:DH9" si="20">SUM(U8:W8)+SUM(AG8:AJ8)</f>
        <v>0</v>
      </c>
      <c r="DI8" s="866">
        <f t="shared" ref="DI8:DI9" si="21">ROUND((IF(AS8=545,(Z8+AC8+AF8),0)+IF(AU8=545,(Z8+AC8+AF8),0)+IF(AW8=545,(Z8+AC8+AF8),0)),2)</f>
        <v>0</v>
      </c>
      <c r="DJ8" s="866">
        <f t="shared" ref="DJ8:DJ9" si="22">ROUND((IF(AS8=512,Z8,0)+IF(AU8=512,Z8,0)+IF(AW8=512,Z8,0)),2)</f>
        <v>0</v>
      </c>
      <c r="DK8" s="866">
        <f t="shared" ref="DK8:DK9" si="23">Z8+AC8+AF8-DI8-DJ8</f>
        <v>75</v>
      </c>
      <c r="DL8" s="866">
        <f t="shared" ref="DL8:DL9" si="24">SUM(CC8:CH8)+CJ8</f>
        <v>52.5</v>
      </c>
      <c r="DM8" s="866">
        <f t="shared" ref="DM8:DM9" si="25">CI8</f>
        <v>0</v>
      </c>
      <c r="DN8" s="866">
        <f t="shared" ref="DN8:DN9" si="26">BI8+BR8+CA8</f>
        <v>0</v>
      </c>
      <c r="DO8" s="434"/>
      <c r="DP8" s="863"/>
      <c r="DQ8" s="864" t="s">
        <v>2284</v>
      </c>
      <c r="DR8" s="864" t="s">
        <v>2285</v>
      </c>
      <c r="DS8" s="863"/>
      <c r="DT8" s="863"/>
      <c r="DU8" s="863"/>
      <c r="DV8" s="863"/>
      <c r="DW8" s="863"/>
      <c r="DX8" s="864" t="s">
        <v>1501</v>
      </c>
      <c r="DY8" s="864" t="s">
        <v>2286</v>
      </c>
      <c r="DZ8" s="864"/>
      <c r="EA8" s="863"/>
      <c r="EB8" s="863"/>
      <c r="EC8" s="863"/>
      <c r="ED8" s="863"/>
      <c r="EE8" s="866">
        <v>0</v>
      </c>
      <c r="EF8" s="866">
        <v>0</v>
      </c>
      <c r="EG8" s="866">
        <v>0</v>
      </c>
      <c r="EH8" s="863"/>
      <c r="EI8" s="434"/>
      <c r="EJ8" s="434"/>
      <c r="EK8" s="863"/>
    </row>
    <row r="9" spans="1:142" x14ac:dyDescent="0.25">
      <c r="A9" s="863" t="s">
        <v>2460</v>
      </c>
      <c r="B9" s="434" t="s">
        <v>2287</v>
      </c>
      <c r="C9" s="863" t="s">
        <v>2488</v>
      </c>
      <c r="D9" s="434" t="s">
        <v>2292</v>
      </c>
      <c r="E9" s="864" t="s">
        <v>744</v>
      </c>
      <c r="F9" s="434"/>
      <c r="G9" s="863" t="s">
        <v>1031</v>
      </c>
      <c r="H9" s="864" t="s">
        <v>8</v>
      </c>
      <c r="I9" s="864" t="s">
        <v>8</v>
      </c>
      <c r="J9" s="863" t="s">
        <v>2519</v>
      </c>
      <c r="K9" s="863" t="s">
        <v>2582</v>
      </c>
      <c r="L9" s="865">
        <v>46113</v>
      </c>
      <c r="M9" s="865">
        <v>46113</v>
      </c>
      <c r="N9" s="434"/>
      <c r="O9" s="864"/>
      <c r="P9" s="864"/>
      <c r="Q9" s="863"/>
      <c r="R9" s="863"/>
      <c r="S9" s="863"/>
      <c r="T9" s="863" t="s">
        <v>44</v>
      </c>
      <c r="U9" s="866">
        <v>0</v>
      </c>
      <c r="V9" s="866">
        <v>0</v>
      </c>
      <c r="W9" s="866">
        <v>0</v>
      </c>
      <c r="X9" s="866">
        <v>1599.5</v>
      </c>
      <c r="Y9" s="866">
        <v>15</v>
      </c>
      <c r="Z9" s="866">
        <f t="shared" si="2"/>
        <v>239.93</v>
      </c>
      <c r="AA9" s="866">
        <v>0</v>
      </c>
      <c r="AB9" s="866">
        <v>5</v>
      </c>
      <c r="AC9" s="866">
        <f t="shared" si="3"/>
        <v>0</v>
      </c>
      <c r="AD9" s="866"/>
      <c r="AE9" s="866">
        <v>8</v>
      </c>
      <c r="AF9" s="866">
        <f t="shared" si="4"/>
        <v>0</v>
      </c>
      <c r="AG9" s="866">
        <v>0</v>
      </c>
      <c r="AH9" s="866">
        <v>0</v>
      </c>
      <c r="AI9" s="866">
        <v>0</v>
      </c>
      <c r="AJ9" s="866">
        <v>0</v>
      </c>
      <c r="AK9" s="866">
        <f t="shared" si="5"/>
        <v>1839.43</v>
      </c>
      <c r="AL9" s="866">
        <v>0</v>
      </c>
      <c r="AM9" s="434"/>
      <c r="AN9" s="863"/>
      <c r="AO9" s="863"/>
      <c r="AP9" s="863"/>
      <c r="AQ9" s="863"/>
      <c r="AR9" s="434" t="s">
        <v>1241</v>
      </c>
      <c r="AS9" s="867">
        <v>510</v>
      </c>
      <c r="AT9" s="866">
        <f t="shared" si="6"/>
        <v>1599.5</v>
      </c>
      <c r="AU9" s="867">
        <v>0</v>
      </c>
      <c r="AV9" s="866">
        <f t="shared" si="7"/>
        <v>0</v>
      </c>
      <c r="AW9" s="867">
        <v>542</v>
      </c>
      <c r="AX9" s="866">
        <f t="shared" si="8"/>
        <v>0</v>
      </c>
      <c r="AY9" s="434"/>
      <c r="AZ9" s="866" t="s">
        <v>2890</v>
      </c>
      <c r="BA9" s="864" t="s">
        <v>2444</v>
      </c>
      <c r="BB9" s="864" t="s">
        <v>8</v>
      </c>
      <c r="BC9" s="863" t="s">
        <v>2881</v>
      </c>
      <c r="BD9" s="863" t="s">
        <v>2882</v>
      </c>
      <c r="BE9" s="868">
        <v>46113</v>
      </c>
      <c r="BF9" s="869">
        <v>332</v>
      </c>
      <c r="BG9" s="866">
        <f t="shared" si="9"/>
        <v>1599.5</v>
      </c>
      <c r="BH9" s="870">
        <f>IF(ISERROR(VLOOKUP(BF9,Parametros!$C:$J,8,0)),0,VLOOKUP(BF9,Parametros!$C:$J,8,0))</f>
        <v>0</v>
      </c>
      <c r="BI9" s="866">
        <f t="shared" si="10"/>
        <v>0</v>
      </c>
      <c r="BJ9" s="871"/>
      <c r="BK9" s="866">
        <v>0</v>
      </c>
      <c r="BL9" s="434"/>
      <c r="BM9" s="866">
        <v>0</v>
      </c>
      <c r="BN9" s="866">
        <v>0</v>
      </c>
      <c r="BO9" s="869"/>
      <c r="BP9" s="866">
        <f t="shared" si="11"/>
        <v>0</v>
      </c>
      <c r="BQ9" s="870">
        <f>IF(ISERROR(VLOOKUP(BO9,Parametros!$C:$J,8,0)),0,VLOOKUP(BO9,Parametros!$C:$J,8,0))</f>
        <v>0</v>
      </c>
      <c r="BR9" s="866">
        <f t="shared" si="12"/>
        <v>0</v>
      </c>
      <c r="BS9" s="871"/>
      <c r="BT9" s="866">
        <v>0</v>
      </c>
      <c r="BU9" s="434"/>
      <c r="BV9" s="866">
        <v>0</v>
      </c>
      <c r="BW9" s="866">
        <v>0</v>
      </c>
      <c r="BX9" s="869"/>
      <c r="BY9" s="866">
        <f t="shared" si="13"/>
        <v>0</v>
      </c>
      <c r="BZ9" s="870">
        <f>IF(ISERROR(VLOOKUP(BX9,Parametros!$C:$J,8,0)),0,VLOOKUP(BX9,Parametros!$C:$J,8,0))</f>
        <v>0</v>
      </c>
      <c r="CA9" s="866">
        <f t="shared" si="14"/>
        <v>0</v>
      </c>
      <c r="CB9" s="434"/>
      <c r="CC9" s="866">
        <v>0</v>
      </c>
      <c r="CD9" s="866">
        <v>0</v>
      </c>
      <c r="CE9" s="866">
        <v>0</v>
      </c>
      <c r="CF9" s="866">
        <v>0</v>
      </c>
      <c r="CG9" s="866">
        <v>167.95</v>
      </c>
      <c r="CH9" s="866">
        <v>0</v>
      </c>
      <c r="CI9" s="866">
        <v>0</v>
      </c>
      <c r="CJ9" s="866">
        <v>0</v>
      </c>
      <c r="CK9" s="866">
        <f t="shared" si="15"/>
        <v>167.95</v>
      </c>
      <c r="CL9" s="863"/>
      <c r="CM9" s="863"/>
      <c r="CN9" s="863"/>
      <c r="CO9" s="434"/>
      <c r="CP9" s="434" t="s">
        <v>2282</v>
      </c>
      <c r="CQ9" s="434" t="s">
        <v>76</v>
      </c>
      <c r="CR9" s="434"/>
      <c r="CS9" s="434" t="s">
        <v>2283</v>
      </c>
      <c r="CT9" s="434"/>
      <c r="CU9" s="434"/>
      <c r="CV9" s="863"/>
      <c r="CW9" s="434"/>
      <c r="CX9" s="867"/>
      <c r="CY9" s="867"/>
      <c r="CZ9" s="867"/>
      <c r="DA9" s="434"/>
      <c r="DB9" s="867">
        <f t="shared" si="16"/>
        <v>4</v>
      </c>
      <c r="DC9" s="872" t="str">
        <f t="shared" si="0"/>
        <v>SI</v>
      </c>
      <c r="DD9" s="872" t="str">
        <f t="shared" si="1"/>
        <v>SI</v>
      </c>
      <c r="DE9" s="866">
        <f t="shared" si="17"/>
        <v>1599.5</v>
      </c>
      <c r="DF9" s="866">
        <f t="shared" si="18"/>
        <v>0</v>
      </c>
      <c r="DG9" s="866">
        <f t="shared" si="19"/>
        <v>0</v>
      </c>
      <c r="DH9" s="866">
        <f t="shared" si="20"/>
        <v>0</v>
      </c>
      <c r="DI9" s="866">
        <f t="shared" si="21"/>
        <v>0</v>
      </c>
      <c r="DJ9" s="866">
        <f t="shared" si="22"/>
        <v>0</v>
      </c>
      <c r="DK9" s="866">
        <f t="shared" si="23"/>
        <v>239.93</v>
      </c>
      <c r="DL9" s="866">
        <f t="shared" si="24"/>
        <v>167.95</v>
      </c>
      <c r="DM9" s="866">
        <f t="shared" si="25"/>
        <v>0</v>
      </c>
      <c r="DN9" s="866">
        <f t="shared" si="26"/>
        <v>0</v>
      </c>
      <c r="DO9" s="434"/>
      <c r="DP9" s="863"/>
      <c r="DQ9" s="864" t="s">
        <v>2284</v>
      </c>
      <c r="DR9" s="864" t="s">
        <v>2285</v>
      </c>
      <c r="DS9" s="863"/>
      <c r="DT9" s="863"/>
      <c r="DU9" s="863"/>
      <c r="DV9" s="863"/>
      <c r="DW9" s="863"/>
      <c r="DX9" s="864" t="s">
        <v>1501</v>
      </c>
      <c r="DY9" s="864" t="s">
        <v>2286</v>
      </c>
      <c r="DZ9" s="864"/>
      <c r="EA9" s="863"/>
      <c r="EB9" s="863"/>
      <c r="EC9" s="863"/>
      <c r="ED9" s="863"/>
      <c r="EE9" s="866">
        <v>0</v>
      </c>
      <c r="EF9" s="866">
        <v>0</v>
      </c>
      <c r="EG9" s="866">
        <v>0</v>
      </c>
      <c r="EH9" s="863"/>
      <c r="EI9" s="434"/>
      <c r="EJ9" s="434"/>
      <c r="EK9" s="863"/>
    </row>
    <row r="10" spans="1:142" x14ac:dyDescent="0.25">
      <c r="A10" s="863" t="s">
        <v>2460</v>
      </c>
      <c r="B10" s="434" t="s">
        <v>2287</v>
      </c>
      <c r="C10" s="863" t="s">
        <v>2488</v>
      </c>
      <c r="D10" s="434" t="s">
        <v>2292</v>
      </c>
      <c r="E10" s="864" t="s">
        <v>744</v>
      </c>
      <c r="F10" s="434"/>
      <c r="G10" s="863" t="s">
        <v>1031</v>
      </c>
      <c r="H10" s="864" t="s">
        <v>8</v>
      </c>
      <c r="I10" s="864" t="s">
        <v>8</v>
      </c>
      <c r="J10" s="863" t="s">
        <v>2520</v>
      </c>
      <c r="K10" s="863" t="s">
        <v>2583</v>
      </c>
      <c r="L10" s="865">
        <v>46113</v>
      </c>
      <c r="M10" s="865">
        <v>46113</v>
      </c>
      <c r="N10" s="434"/>
      <c r="O10" s="864"/>
      <c r="P10" s="864"/>
      <c r="Q10" s="863"/>
      <c r="R10" s="863"/>
      <c r="S10" s="863"/>
      <c r="T10" s="863" t="s">
        <v>44</v>
      </c>
      <c r="U10" s="866">
        <v>0</v>
      </c>
      <c r="V10" s="866">
        <v>0</v>
      </c>
      <c r="W10" s="866">
        <v>0</v>
      </c>
      <c r="X10" s="866">
        <v>910</v>
      </c>
      <c r="Y10" s="866">
        <v>15</v>
      </c>
      <c r="Z10" s="866">
        <f t="shared" ref="Z10:Z65" si="27">ROUND(X10*Y10%,2)</f>
        <v>136.5</v>
      </c>
      <c r="AA10" s="866">
        <v>0</v>
      </c>
      <c r="AB10" s="866">
        <v>5</v>
      </c>
      <c r="AC10" s="866">
        <f t="shared" ref="AC10:AC65" si="28">ROUND(AA10*AB10%,2)</f>
        <v>0</v>
      </c>
      <c r="AD10" s="866"/>
      <c r="AE10" s="866">
        <v>8</v>
      </c>
      <c r="AF10" s="866">
        <f t="shared" ref="AF10:AF65" si="29">ROUND(AD10*AE10%,2)</f>
        <v>0</v>
      </c>
      <c r="AG10" s="866">
        <v>0</v>
      </c>
      <c r="AH10" s="866">
        <v>0</v>
      </c>
      <c r="AI10" s="866">
        <v>0</v>
      </c>
      <c r="AJ10" s="866">
        <v>0</v>
      </c>
      <c r="AK10" s="866">
        <f t="shared" ref="AK10:AK65" si="30">ROUND(SUM(U10:X10)+SUM(Z10:AA10)+SUM(AC10:AD10)+SUM(AF10:AJ10),2)</f>
        <v>1046.5</v>
      </c>
      <c r="AL10" s="866">
        <v>0</v>
      </c>
      <c r="AM10" s="434"/>
      <c r="AN10" s="863"/>
      <c r="AO10" s="863"/>
      <c r="AP10" s="863"/>
      <c r="AQ10" s="863"/>
      <c r="AR10" s="434" t="s">
        <v>1241</v>
      </c>
      <c r="AS10" s="867">
        <v>510</v>
      </c>
      <c r="AT10" s="866">
        <f t="shared" ref="AT10:AT65" si="31">IF(OR(AS10=545, AS10=518),($AK10-$Z10-$AC10-$AF10),IF(AND(AS10&gt;515,AS10&lt;518),($W10),IF(AND(AS10&gt;509,AS10&lt;516),$X10,IF(AS10=541,$U10,IF(AS10=542,$V10+SUM($AG10:$AJ10),IF(AS10=533,$AD10,IF(AS10=550,$AA10,0)))))))</f>
        <v>910</v>
      </c>
      <c r="AU10" s="867">
        <v>0</v>
      </c>
      <c r="AV10" s="866">
        <f t="shared" ref="AV10:AV65" si="32">IF(OR(AU10=545, AU10=518),($AK10-$Z10-$AC10-$AF10),IF(AND(AU10&gt;515,AU10&lt;518),($W10),IF(AND(AU10&gt;509,AU10&lt;516),$X10,IF(AU10=541,$U10,IF(AU10=542,$V10+SUM($AG10:$AJ10),IF(AU10=533,$AD10,IF(AU10=550,$AA10,0)))))))</f>
        <v>0</v>
      </c>
      <c r="AW10" s="867">
        <v>542</v>
      </c>
      <c r="AX10" s="866">
        <f t="shared" ref="AX10:AX65" si="33">IF(OR(AW10=545, AW10=518),($AK10-$Z10-$AC10-$AF10),IF(AND(AW10&gt;515,AW10&lt;518),($W10),IF(AND(AW10&gt;509,AW10&lt;516),$X10,IF(AW10=541,$U10,IF(AW10=542,$V10+SUM($AG10:$AJ10),IF(AW10=533,$AD10,IF(AW10=550,$AA10,0)))))))</f>
        <v>0</v>
      </c>
      <c r="AY10" s="434"/>
      <c r="AZ10" s="866" t="s">
        <v>2890</v>
      </c>
      <c r="BA10" s="864" t="s">
        <v>2444</v>
      </c>
      <c r="BB10" s="864" t="s">
        <v>8</v>
      </c>
      <c r="BC10" s="863" t="s">
        <v>2883</v>
      </c>
      <c r="BD10" s="863" t="s">
        <v>2885</v>
      </c>
      <c r="BE10" s="868">
        <v>46113</v>
      </c>
      <c r="BF10" s="869">
        <v>332</v>
      </c>
      <c r="BG10" s="866">
        <f t="shared" ref="BG10:BG65" si="34">SUM(U10:X10)-V10+AA10+AD10</f>
        <v>910</v>
      </c>
      <c r="BH10" s="870">
        <f>IF(ISERROR(VLOOKUP(BF10,Parametros!$C:$J,8,0)),0,VLOOKUP(BF10,Parametros!$C:$J,8,0))</f>
        <v>0</v>
      </c>
      <c r="BI10" s="866">
        <f t="shared" ref="BI10:BI65" si="35">IF(ISERROR(ROUND((BG10*BH10),2)),0,ROUND((BG10*BH10),2))</f>
        <v>0</v>
      </c>
      <c r="BJ10" s="871"/>
      <c r="BK10" s="866">
        <v>0</v>
      </c>
      <c r="BL10" s="434"/>
      <c r="BM10" s="866">
        <v>0</v>
      </c>
      <c r="BN10" s="866">
        <v>0</v>
      </c>
      <c r="BO10" s="869"/>
      <c r="BP10" s="866">
        <f t="shared" ref="BP10:BP65" si="36">SUM(U10:X10)-V10+AA10+AD10-BG10</f>
        <v>0</v>
      </c>
      <c r="BQ10" s="870">
        <f>IF(ISERROR(VLOOKUP(BO10,Parametros!$C:$J,8,0)),0,VLOOKUP(BO10,Parametros!$C:$J,8,0))</f>
        <v>0</v>
      </c>
      <c r="BR10" s="866">
        <f t="shared" ref="BR10:BR65" si="37">IF(ISERROR(ROUND((BP10*BQ10),2)),0,ROUND((BP10*BQ10),2))</f>
        <v>0</v>
      </c>
      <c r="BS10" s="871"/>
      <c r="BT10" s="866">
        <v>0</v>
      </c>
      <c r="BU10" s="434"/>
      <c r="BV10" s="866">
        <v>0</v>
      </c>
      <c r="BW10" s="866">
        <v>0</v>
      </c>
      <c r="BX10" s="869"/>
      <c r="BY10" s="866">
        <f t="shared" ref="BY10:BY65" si="38">SUM(U10:X10)-V10+AA10+AD10-BG10-BP10</f>
        <v>0</v>
      </c>
      <c r="BZ10" s="870">
        <f>IF(ISERROR(VLOOKUP(BX10,Parametros!$C:$J,8,0)),0,VLOOKUP(BX10,Parametros!$C:$J,8,0))</f>
        <v>0</v>
      </c>
      <c r="CA10" s="866">
        <f t="shared" ref="CA10:CA65" si="39">IF(ISERROR(ROUND((BY10*BZ10),2)),0,ROUND((BY10*BZ10),2))</f>
        <v>0</v>
      </c>
      <c r="CB10" s="434"/>
      <c r="CC10" s="866">
        <v>0</v>
      </c>
      <c r="CD10" s="866">
        <v>0</v>
      </c>
      <c r="CE10" s="866">
        <v>0</v>
      </c>
      <c r="CF10" s="866">
        <v>0</v>
      </c>
      <c r="CG10" s="866">
        <v>95.55</v>
      </c>
      <c r="CH10" s="866">
        <v>0</v>
      </c>
      <c r="CI10" s="866">
        <v>0</v>
      </c>
      <c r="CJ10" s="866">
        <v>0</v>
      </c>
      <c r="CK10" s="866">
        <f t="shared" ref="CK10:CK65" si="40">+BI10+BR10+CA10+SUM(CC10:CJ10)</f>
        <v>95.55</v>
      </c>
      <c r="CL10" s="863"/>
      <c r="CM10" s="863"/>
      <c r="CN10" s="863"/>
      <c r="CO10" s="434"/>
      <c r="CP10" s="434" t="s">
        <v>2282</v>
      </c>
      <c r="CQ10" s="434" t="s">
        <v>76</v>
      </c>
      <c r="CR10" s="434"/>
      <c r="CS10" s="434" t="s">
        <v>2283</v>
      </c>
      <c r="CT10" s="434"/>
      <c r="CU10" s="434"/>
      <c r="CV10" s="863"/>
      <c r="CW10" s="434"/>
      <c r="CX10" s="867"/>
      <c r="CY10" s="867"/>
      <c r="CZ10" s="867"/>
      <c r="DA10" s="434"/>
      <c r="DB10" s="867">
        <f t="shared" ref="DB10:DB65" si="41">IF(ISNUMBER(M10),MONTH(M10),0)</f>
        <v>4</v>
      </c>
      <c r="DC10" s="872" t="str">
        <f t="shared" si="0"/>
        <v>SI</v>
      </c>
      <c r="DD10" s="872" t="str">
        <f t="shared" si="1"/>
        <v>SI</v>
      </c>
      <c r="DE10" s="866">
        <f t="shared" ref="DE10:DE65" si="42">IF(ISBLANK(G10),0,IF(VALUE(LEFT(G10,2))=4,0,AT10))</f>
        <v>910</v>
      </c>
      <c r="DF10" s="866">
        <f t="shared" ref="DF10:DF65" si="43">IF(ISBLANK(G10),0,IF(VALUE(LEFT(G10,2))=4,0,AV10))</f>
        <v>0</v>
      </c>
      <c r="DG10" s="866">
        <f t="shared" ref="DG10:DG65" si="44">IF(ISBLANK(G10),0,IF(VALUE(LEFT(G10,2))=4,0,AX10))</f>
        <v>0</v>
      </c>
      <c r="DH10" s="866">
        <f t="shared" ref="DH10:DH65" si="45">SUM(U10:W10)+SUM(AG10:AJ10)</f>
        <v>0</v>
      </c>
      <c r="DI10" s="866">
        <f t="shared" ref="DI10:DI65" si="46">ROUND((IF(AS10=545,(Z10+AC10+AF10),0)+IF(AU10=545,(Z10+AC10+AF10),0)+IF(AW10=545,(Z10+AC10+AF10),0)),2)</f>
        <v>0</v>
      </c>
      <c r="DJ10" s="866">
        <f t="shared" ref="DJ10:DJ65" si="47">ROUND((IF(AS10=512,Z10,0)+IF(AU10=512,Z10,0)+IF(AW10=512,Z10,0)),2)</f>
        <v>0</v>
      </c>
      <c r="DK10" s="866">
        <f t="shared" ref="DK10:DK65" si="48">Z10+AC10+AF10-DI10-DJ10</f>
        <v>136.5</v>
      </c>
      <c r="DL10" s="866">
        <f t="shared" ref="DL10:DL65" si="49">SUM(CC10:CH10)+CJ10</f>
        <v>95.55</v>
      </c>
      <c r="DM10" s="866">
        <f t="shared" ref="DM10:DM65" si="50">CI10</f>
        <v>0</v>
      </c>
      <c r="DN10" s="866">
        <f t="shared" ref="DN10:DN65" si="51">BI10+BR10+CA10</f>
        <v>0</v>
      </c>
      <c r="DO10" s="434"/>
      <c r="DP10" s="863"/>
      <c r="DQ10" s="864" t="s">
        <v>2284</v>
      </c>
      <c r="DR10" s="864" t="s">
        <v>2285</v>
      </c>
      <c r="DS10" s="863"/>
      <c r="DT10" s="863"/>
      <c r="DU10" s="863"/>
      <c r="DV10" s="863"/>
      <c r="DW10" s="863"/>
      <c r="DX10" s="864" t="s">
        <v>1501</v>
      </c>
      <c r="DY10" s="864" t="s">
        <v>2286</v>
      </c>
      <c r="DZ10" s="864"/>
      <c r="EA10" s="863"/>
      <c r="EB10" s="863"/>
      <c r="EC10" s="863"/>
      <c r="ED10" s="863"/>
      <c r="EE10" s="866">
        <v>0</v>
      </c>
      <c r="EF10" s="866">
        <v>0</v>
      </c>
      <c r="EG10" s="866">
        <v>0</v>
      </c>
      <c r="EH10" s="863"/>
      <c r="EI10" s="434"/>
      <c r="EJ10" s="434"/>
      <c r="EK10" s="863"/>
    </row>
    <row r="11" spans="1:142" x14ac:dyDescent="0.25">
      <c r="A11" s="863" t="s">
        <v>2460</v>
      </c>
      <c r="B11" s="434" t="s">
        <v>2287</v>
      </c>
      <c r="C11" s="863" t="s">
        <v>2488</v>
      </c>
      <c r="D11" s="434" t="s">
        <v>2292</v>
      </c>
      <c r="E11" s="864" t="s">
        <v>744</v>
      </c>
      <c r="F11" s="434"/>
      <c r="G11" s="863" t="s">
        <v>1031</v>
      </c>
      <c r="H11" s="864" t="s">
        <v>8</v>
      </c>
      <c r="I11" s="864" t="s">
        <v>8</v>
      </c>
      <c r="J11" s="863" t="s">
        <v>2521</v>
      </c>
      <c r="K11" s="863" t="s">
        <v>2584</v>
      </c>
      <c r="L11" s="865">
        <v>46113</v>
      </c>
      <c r="M11" s="865">
        <v>46113</v>
      </c>
      <c r="N11" s="434"/>
      <c r="O11" s="864"/>
      <c r="P11" s="864"/>
      <c r="Q11" s="863"/>
      <c r="R11" s="863"/>
      <c r="S11" s="863"/>
      <c r="T11" s="863" t="s">
        <v>44</v>
      </c>
      <c r="U11" s="866">
        <v>0</v>
      </c>
      <c r="V11" s="866">
        <v>0</v>
      </c>
      <c r="W11" s="866">
        <v>0</v>
      </c>
      <c r="X11" s="866">
        <v>3675</v>
      </c>
      <c r="Y11" s="866">
        <v>15</v>
      </c>
      <c r="Z11" s="866">
        <f t="shared" si="27"/>
        <v>551.25</v>
      </c>
      <c r="AA11" s="866">
        <v>0</v>
      </c>
      <c r="AB11" s="866">
        <v>5</v>
      </c>
      <c r="AC11" s="866">
        <f t="shared" si="28"/>
        <v>0</v>
      </c>
      <c r="AD11" s="866"/>
      <c r="AE11" s="866">
        <v>8</v>
      </c>
      <c r="AF11" s="866">
        <f t="shared" si="29"/>
        <v>0</v>
      </c>
      <c r="AG11" s="866">
        <v>0</v>
      </c>
      <c r="AH11" s="866">
        <v>0</v>
      </c>
      <c r="AI11" s="866">
        <v>0</v>
      </c>
      <c r="AJ11" s="866">
        <v>0</v>
      </c>
      <c r="AK11" s="866">
        <f t="shared" ref="AK11" si="52">ROUND(SUM(U11:X11)+SUM(Z11:AA11)+SUM(AC11:AD11)+SUM(AF11:AJ11),2)</f>
        <v>4226.25</v>
      </c>
      <c r="AL11" s="866">
        <v>0</v>
      </c>
      <c r="AM11" s="434"/>
      <c r="AN11" s="863"/>
      <c r="AO11" s="863"/>
      <c r="AP11" s="863"/>
      <c r="AQ11" s="863"/>
      <c r="AR11" s="434" t="s">
        <v>1241</v>
      </c>
      <c r="AS11" s="867">
        <v>510</v>
      </c>
      <c r="AT11" s="866">
        <f t="shared" si="31"/>
        <v>3675</v>
      </c>
      <c r="AU11" s="867">
        <v>0</v>
      </c>
      <c r="AV11" s="866">
        <f t="shared" si="32"/>
        <v>0</v>
      </c>
      <c r="AW11" s="867">
        <v>542</v>
      </c>
      <c r="AX11" s="866">
        <f t="shared" si="33"/>
        <v>0</v>
      </c>
      <c r="AY11" s="434"/>
      <c r="AZ11" s="866" t="s">
        <v>2890</v>
      </c>
      <c r="BA11" s="864" t="s">
        <v>2444</v>
      </c>
      <c r="BB11" s="864" t="s">
        <v>8</v>
      </c>
      <c r="BC11" s="863" t="s">
        <v>2886</v>
      </c>
      <c r="BD11" s="863" t="s">
        <v>2887</v>
      </c>
      <c r="BE11" s="868">
        <v>46113</v>
      </c>
      <c r="BF11" s="869">
        <v>332</v>
      </c>
      <c r="BG11" s="866">
        <f t="shared" si="34"/>
        <v>3675</v>
      </c>
      <c r="BH11" s="870">
        <f>IF(ISERROR(VLOOKUP(BF11,Parametros!$C:$J,8,0)),0,VLOOKUP(BF11,Parametros!$C:$J,8,0))</f>
        <v>0</v>
      </c>
      <c r="BI11" s="866">
        <f t="shared" si="35"/>
        <v>0</v>
      </c>
      <c r="BJ11" s="871"/>
      <c r="BK11" s="866">
        <v>0</v>
      </c>
      <c r="BL11" s="434"/>
      <c r="BM11" s="866">
        <v>0</v>
      </c>
      <c r="BN11" s="866">
        <v>0</v>
      </c>
      <c r="BO11" s="869"/>
      <c r="BP11" s="866">
        <f t="shared" si="36"/>
        <v>0</v>
      </c>
      <c r="BQ11" s="870">
        <f>IF(ISERROR(VLOOKUP(BO11,Parametros!$C:$J,8,0)),0,VLOOKUP(BO11,Parametros!$C:$J,8,0))</f>
        <v>0</v>
      </c>
      <c r="BR11" s="866">
        <f t="shared" si="37"/>
        <v>0</v>
      </c>
      <c r="BS11" s="871"/>
      <c r="BT11" s="866">
        <v>0</v>
      </c>
      <c r="BU11" s="434"/>
      <c r="BV11" s="866">
        <v>0</v>
      </c>
      <c r="BW11" s="866">
        <v>0</v>
      </c>
      <c r="BX11" s="869"/>
      <c r="BY11" s="866">
        <f t="shared" si="38"/>
        <v>0</v>
      </c>
      <c r="BZ11" s="870">
        <f>IF(ISERROR(VLOOKUP(BX11,Parametros!$C:$J,8,0)),0,VLOOKUP(BX11,Parametros!$C:$J,8,0))</f>
        <v>0</v>
      </c>
      <c r="CA11" s="866">
        <f t="shared" si="39"/>
        <v>0</v>
      </c>
      <c r="CB11" s="434"/>
      <c r="CC11" s="866">
        <v>0</v>
      </c>
      <c r="CD11" s="866">
        <v>0</v>
      </c>
      <c r="CE11" s="866">
        <v>0</v>
      </c>
      <c r="CF11" s="866">
        <v>0</v>
      </c>
      <c r="CG11" s="866">
        <v>385.88</v>
      </c>
      <c r="CH11" s="866">
        <v>0</v>
      </c>
      <c r="CI11" s="866">
        <v>0</v>
      </c>
      <c r="CJ11" s="866">
        <v>0</v>
      </c>
      <c r="CK11" s="866">
        <f t="shared" si="40"/>
        <v>385.88</v>
      </c>
      <c r="CL11" s="863"/>
      <c r="CM11" s="863"/>
      <c r="CN11" s="863"/>
      <c r="CO11" s="434"/>
      <c r="CP11" s="434" t="s">
        <v>2282</v>
      </c>
      <c r="CQ11" s="434" t="s">
        <v>76</v>
      </c>
      <c r="CR11" s="434"/>
      <c r="CS11" s="434" t="s">
        <v>2283</v>
      </c>
      <c r="CT11" s="434"/>
      <c r="CU11" s="434"/>
      <c r="CV11" s="863"/>
      <c r="CW11" s="434"/>
      <c r="CX11" s="867"/>
      <c r="CY11" s="867"/>
      <c r="CZ11" s="867"/>
      <c r="DA11" s="434"/>
      <c r="DB11" s="867">
        <f t="shared" si="41"/>
        <v>4</v>
      </c>
      <c r="DC11" s="872" t="str">
        <f t="shared" ref="DC11:DC32" si="53">IF(ISNUMBER(M11),IF(ISERROR(HLOOKUP(MONTH(M11),meses_104,1,0)),"NO","SI"),"NO")</f>
        <v>SI</v>
      </c>
      <c r="DD11" s="872" t="str">
        <f t="shared" ref="DD11:DD32" si="54">IF(ISNUMBER(M11),IF(ISERROR(HLOOKUP(MONTH(M11),meses_103,1,0)),"NO","SI"),"NO")</f>
        <v>SI</v>
      </c>
      <c r="DE11" s="866">
        <f t="shared" si="42"/>
        <v>3675</v>
      </c>
      <c r="DF11" s="866">
        <f t="shared" si="43"/>
        <v>0</v>
      </c>
      <c r="DG11" s="866">
        <f t="shared" si="44"/>
        <v>0</v>
      </c>
      <c r="DH11" s="866">
        <f t="shared" si="45"/>
        <v>0</v>
      </c>
      <c r="DI11" s="866">
        <f t="shared" si="46"/>
        <v>0</v>
      </c>
      <c r="DJ11" s="866">
        <f t="shared" si="47"/>
        <v>0</v>
      </c>
      <c r="DK11" s="866">
        <f t="shared" si="48"/>
        <v>551.25</v>
      </c>
      <c r="DL11" s="866">
        <f t="shared" si="49"/>
        <v>385.88</v>
      </c>
      <c r="DM11" s="866">
        <f t="shared" si="50"/>
        <v>0</v>
      </c>
      <c r="DN11" s="866">
        <f t="shared" si="51"/>
        <v>0</v>
      </c>
      <c r="DO11" s="434"/>
      <c r="DP11" s="863"/>
      <c r="DQ11" s="864" t="s">
        <v>2284</v>
      </c>
      <c r="DR11" s="864" t="s">
        <v>2285</v>
      </c>
      <c r="DS11" s="863"/>
      <c r="DT11" s="863"/>
      <c r="DU11" s="863"/>
      <c r="DV11" s="863"/>
      <c r="DW11" s="863"/>
      <c r="DX11" s="864" t="s">
        <v>1501</v>
      </c>
      <c r="DY11" s="864" t="s">
        <v>2286</v>
      </c>
      <c r="DZ11" s="864"/>
      <c r="EA11" s="863"/>
      <c r="EB11" s="863"/>
      <c r="EC11" s="863"/>
      <c r="ED11" s="863"/>
      <c r="EE11" s="866">
        <v>0</v>
      </c>
      <c r="EF11" s="866">
        <v>0</v>
      </c>
      <c r="EG11" s="866">
        <v>0</v>
      </c>
      <c r="EH11" s="863"/>
      <c r="EI11" s="434"/>
      <c r="EJ11" s="434"/>
      <c r="EK11" s="863"/>
    </row>
    <row r="12" spans="1:142" x14ac:dyDescent="0.25">
      <c r="A12" s="863" t="s">
        <v>2461</v>
      </c>
      <c r="B12" s="434" t="s">
        <v>2287</v>
      </c>
      <c r="C12" s="863" t="s">
        <v>2489</v>
      </c>
      <c r="D12" s="434" t="s">
        <v>2292</v>
      </c>
      <c r="E12" s="864" t="s">
        <v>744</v>
      </c>
      <c r="F12" s="434"/>
      <c r="G12" s="863" t="s">
        <v>1031</v>
      </c>
      <c r="H12" s="864" t="s">
        <v>8</v>
      </c>
      <c r="I12" s="864" t="s">
        <v>8</v>
      </c>
      <c r="J12" s="863" t="s">
        <v>2522</v>
      </c>
      <c r="K12" s="863" t="s">
        <v>2585</v>
      </c>
      <c r="L12" s="865">
        <v>46113</v>
      </c>
      <c r="M12" s="865">
        <v>46113</v>
      </c>
      <c r="N12" s="434"/>
      <c r="O12" s="864"/>
      <c r="P12" s="864"/>
      <c r="Q12" s="863"/>
      <c r="R12" s="863"/>
      <c r="S12" s="863"/>
      <c r="T12" s="863" t="s">
        <v>44</v>
      </c>
      <c r="U12" s="866">
        <v>0</v>
      </c>
      <c r="V12" s="866">
        <v>0</v>
      </c>
      <c r="W12" s="866">
        <v>0</v>
      </c>
      <c r="X12" s="866">
        <v>92.6</v>
      </c>
      <c r="Y12" s="866">
        <v>15</v>
      </c>
      <c r="Z12" s="866">
        <f t="shared" ref="Z12:Z32" si="55">ROUND(X12*Y12%,2)</f>
        <v>13.89</v>
      </c>
      <c r="AA12" s="866">
        <v>0</v>
      </c>
      <c r="AB12" s="866">
        <v>5</v>
      </c>
      <c r="AC12" s="866">
        <f t="shared" ref="AC12:AC32" si="56">ROUND(AA12*AB12%,2)</f>
        <v>0</v>
      </c>
      <c r="AD12" s="866"/>
      <c r="AE12" s="866">
        <v>8</v>
      </c>
      <c r="AF12" s="866">
        <f t="shared" ref="AF12:AF32" si="57">ROUND(AD12*AE12%,2)</f>
        <v>0</v>
      </c>
      <c r="AG12" s="866">
        <v>0</v>
      </c>
      <c r="AH12" s="866">
        <v>0</v>
      </c>
      <c r="AI12" s="866">
        <v>0</v>
      </c>
      <c r="AJ12" s="866">
        <v>0</v>
      </c>
      <c r="AK12" s="866">
        <f t="shared" ref="AK12" si="58">ROUND(SUM(U12:X12)+SUM(Z12:AA12)+SUM(AC12:AD12)+SUM(AF12:AJ12),2)</f>
        <v>106.49</v>
      </c>
      <c r="AL12" s="866">
        <v>0</v>
      </c>
      <c r="AM12" s="434"/>
      <c r="AN12" s="863"/>
      <c r="AO12" s="863"/>
      <c r="AP12" s="863"/>
      <c r="AQ12" s="863"/>
      <c r="AR12" s="434" t="s">
        <v>1241</v>
      </c>
      <c r="AS12" s="867">
        <v>510</v>
      </c>
      <c r="AT12" s="866">
        <f t="shared" ref="AT12:AT32" si="59">IF(OR(AS12=545, AS12=518),($AK12-$Z12-$AC12-$AF12),IF(AND(AS12&gt;515,AS12&lt;518),($W12),IF(AND(AS12&gt;509,AS12&lt;516),$X12,IF(AS12=541,$U12,IF(AS12=542,$V12+SUM($AG12:$AJ12),IF(AS12=533,$AD12,IF(AS12=550,$AA12,0)))))))</f>
        <v>92.6</v>
      </c>
      <c r="AU12" s="867">
        <v>0</v>
      </c>
      <c r="AV12" s="866">
        <f t="shared" ref="AV12:AV32" si="60">IF(OR(AU12=545, AU12=518),($AK12-$Z12-$AC12-$AF12),IF(AND(AU12&gt;515,AU12&lt;518),($W12),IF(AND(AU12&gt;509,AU12&lt;516),$X12,IF(AU12=541,$U12,IF(AU12=542,$V12+SUM($AG12:$AJ12),IF(AU12=533,$AD12,IF(AU12=550,$AA12,0)))))))</f>
        <v>0</v>
      </c>
      <c r="AW12" s="867">
        <v>542</v>
      </c>
      <c r="AX12" s="866">
        <f t="shared" ref="AX12:AX32" si="61">IF(OR(AW12=545, AW12=518),($AK12-$Z12-$AC12-$AF12),IF(AND(AW12&gt;515,AW12&lt;518),($W12),IF(AND(AW12&gt;509,AW12&lt;516),$X12,IF(AW12=541,$U12,IF(AW12=542,$V12+SUM($AG12:$AJ12),IF(AW12=533,$AD12,IF(AW12=550,$AA12,0)))))))</f>
        <v>0</v>
      </c>
      <c r="AY12" s="434"/>
      <c r="AZ12" s="866"/>
      <c r="BA12" s="864"/>
      <c r="BB12" s="864"/>
      <c r="BC12" s="863"/>
      <c r="BD12" s="863"/>
      <c r="BE12" s="868"/>
      <c r="BF12" s="869">
        <v>332</v>
      </c>
      <c r="BG12" s="866">
        <f t="shared" ref="BG12:BG32" si="62">SUM(U12:X12)-V12+AA12+AD12</f>
        <v>92.6</v>
      </c>
      <c r="BH12" s="870">
        <f>IF(ISERROR(VLOOKUP(BF12,Parametros!$C:$J,8,0)),0,VLOOKUP(BF12,Parametros!$C:$J,8,0))</f>
        <v>0</v>
      </c>
      <c r="BI12" s="866">
        <f t="shared" ref="BI12:BI32" si="63">IF(ISERROR(ROUND((BG12*BH12),2)),0,ROUND((BG12*BH12),2))</f>
        <v>0</v>
      </c>
      <c r="BJ12" s="871"/>
      <c r="BK12" s="866">
        <v>0</v>
      </c>
      <c r="BL12" s="434"/>
      <c r="BM12" s="866">
        <v>0</v>
      </c>
      <c r="BN12" s="866">
        <v>0</v>
      </c>
      <c r="BO12" s="869"/>
      <c r="BP12" s="866">
        <f t="shared" ref="BP12:BP32" si="64">SUM(U12:X12)-V12+AA12+AD12-BG12</f>
        <v>0</v>
      </c>
      <c r="BQ12" s="870">
        <f>IF(ISERROR(VLOOKUP(BO12,Parametros!$C:$J,8,0)),0,VLOOKUP(BO12,Parametros!$C:$J,8,0))</f>
        <v>0</v>
      </c>
      <c r="BR12" s="866">
        <f t="shared" ref="BR12:BR32" si="65">IF(ISERROR(ROUND((BP12*BQ12),2)),0,ROUND((BP12*BQ12),2))</f>
        <v>0</v>
      </c>
      <c r="BS12" s="871"/>
      <c r="BT12" s="866">
        <v>0</v>
      </c>
      <c r="BU12" s="434"/>
      <c r="BV12" s="866">
        <v>0</v>
      </c>
      <c r="BW12" s="866">
        <v>0</v>
      </c>
      <c r="BX12" s="869"/>
      <c r="BY12" s="866">
        <f t="shared" ref="BY12:BY32" si="66">SUM(U12:X12)-V12+AA12+AD12-BG12-BP12</f>
        <v>0</v>
      </c>
      <c r="BZ12" s="870">
        <f>IF(ISERROR(VLOOKUP(BX12,Parametros!$C:$J,8,0)),0,VLOOKUP(BX12,Parametros!$C:$J,8,0))</f>
        <v>0</v>
      </c>
      <c r="CA12" s="866">
        <f t="shared" ref="CA12:CA32" si="67">IF(ISERROR(ROUND((BY12*BZ12),2)),0,ROUND((BY12*BZ12),2))</f>
        <v>0</v>
      </c>
      <c r="CB12" s="434"/>
      <c r="CC12" s="866">
        <v>0</v>
      </c>
      <c r="CD12" s="866">
        <v>0</v>
      </c>
      <c r="CE12" s="866">
        <v>0</v>
      </c>
      <c r="CF12" s="866">
        <v>0</v>
      </c>
      <c r="CG12" s="866">
        <v>0</v>
      </c>
      <c r="CH12" s="866">
        <v>0</v>
      </c>
      <c r="CI12" s="866">
        <v>0</v>
      </c>
      <c r="CJ12" s="866">
        <v>0</v>
      </c>
      <c r="CK12" s="866">
        <f t="shared" ref="CK12:CK32" si="68">+BI12+BR12+CA12+SUM(CC12:CJ12)</f>
        <v>0</v>
      </c>
      <c r="CL12" s="863"/>
      <c r="CM12" s="863"/>
      <c r="CN12" s="863"/>
      <c r="CO12" s="434"/>
      <c r="CP12" s="434" t="s">
        <v>2282</v>
      </c>
      <c r="CQ12" s="434" t="s">
        <v>57</v>
      </c>
      <c r="CR12" s="434"/>
      <c r="CS12" s="434" t="s">
        <v>2283</v>
      </c>
      <c r="CT12" s="434"/>
      <c r="CU12" s="434"/>
      <c r="CV12" s="863"/>
      <c r="CW12" s="434"/>
      <c r="CX12" s="867"/>
      <c r="CY12" s="867"/>
      <c r="CZ12" s="867"/>
      <c r="DA12" s="434"/>
      <c r="DB12" s="867">
        <f t="shared" ref="DB12:DB32" si="69">IF(ISNUMBER(M12),MONTH(M12),0)</f>
        <v>4</v>
      </c>
      <c r="DC12" s="872" t="str">
        <f t="shared" si="53"/>
        <v>SI</v>
      </c>
      <c r="DD12" s="872" t="str">
        <f t="shared" si="54"/>
        <v>SI</v>
      </c>
      <c r="DE12" s="866">
        <f t="shared" ref="DE12:DE32" si="70">IF(ISBLANK(G12),0,IF(VALUE(LEFT(G12,2))=4,0,AT12))</f>
        <v>92.6</v>
      </c>
      <c r="DF12" s="866">
        <f t="shared" ref="DF12:DF32" si="71">IF(ISBLANK(G12),0,IF(VALUE(LEFT(G12,2))=4,0,AV12))</f>
        <v>0</v>
      </c>
      <c r="DG12" s="866">
        <f t="shared" ref="DG12:DG32" si="72">IF(ISBLANK(G12),0,IF(VALUE(LEFT(G12,2))=4,0,AX12))</f>
        <v>0</v>
      </c>
      <c r="DH12" s="866">
        <f t="shared" ref="DH12:DH32" si="73">SUM(U12:W12)+SUM(AG12:AJ12)</f>
        <v>0</v>
      </c>
      <c r="DI12" s="866">
        <f t="shared" ref="DI12:DI32" si="74">ROUND((IF(AS12=545,(Z12+AC12+AF12),0)+IF(AU12=545,(Z12+AC12+AF12),0)+IF(AW12=545,(Z12+AC12+AF12),0)),2)</f>
        <v>0</v>
      </c>
      <c r="DJ12" s="866">
        <f t="shared" ref="DJ12:DJ32" si="75">ROUND((IF(AS12=512,Z12,0)+IF(AU12=512,Z12,0)+IF(AW12=512,Z12,0)),2)</f>
        <v>0</v>
      </c>
      <c r="DK12" s="866">
        <f t="shared" ref="DK12:DK32" si="76">Z12+AC12+AF12-DI12-DJ12</f>
        <v>13.89</v>
      </c>
      <c r="DL12" s="866">
        <f t="shared" ref="DL12:DL32" si="77">SUM(CC12:CH12)+CJ12</f>
        <v>0</v>
      </c>
      <c r="DM12" s="866">
        <f t="shared" ref="DM12:DM32" si="78">CI12</f>
        <v>0</v>
      </c>
      <c r="DN12" s="866">
        <f t="shared" ref="DN12:DN32" si="79">BI12+BR12+CA12</f>
        <v>0</v>
      </c>
      <c r="DO12" s="434"/>
      <c r="DP12" s="863"/>
      <c r="DQ12" s="864" t="s">
        <v>2284</v>
      </c>
      <c r="DR12" s="864" t="s">
        <v>2285</v>
      </c>
      <c r="DS12" s="863"/>
      <c r="DT12" s="863"/>
      <c r="DU12" s="863"/>
      <c r="DV12" s="863"/>
      <c r="DW12" s="863"/>
      <c r="DX12" s="864" t="s">
        <v>1501</v>
      </c>
      <c r="DY12" s="864" t="s">
        <v>2286</v>
      </c>
      <c r="DZ12" s="864"/>
      <c r="EA12" s="863"/>
      <c r="EB12" s="863"/>
      <c r="EC12" s="863"/>
      <c r="ED12" s="863"/>
      <c r="EE12" s="866">
        <v>0</v>
      </c>
      <c r="EF12" s="866">
        <v>0</v>
      </c>
      <c r="EG12" s="866">
        <v>0</v>
      </c>
      <c r="EH12" s="863"/>
      <c r="EI12" s="434"/>
      <c r="EJ12" s="434"/>
      <c r="EK12" s="863"/>
    </row>
    <row r="13" spans="1:142" x14ac:dyDescent="0.25">
      <c r="A13" s="863" t="s">
        <v>2460</v>
      </c>
      <c r="B13" s="434" t="s">
        <v>2287</v>
      </c>
      <c r="C13" s="863" t="s">
        <v>2488</v>
      </c>
      <c r="D13" s="434" t="s">
        <v>2292</v>
      </c>
      <c r="E13" s="864" t="s">
        <v>744</v>
      </c>
      <c r="F13" s="434"/>
      <c r="G13" s="863" t="s">
        <v>1031</v>
      </c>
      <c r="H13" s="864" t="s">
        <v>8</v>
      </c>
      <c r="I13" s="864" t="s">
        <v>8</v>
      </c>
      <c r="J13" s="863" t="s">
        <v>2523</v>
      </c>
      <c r="K13" s="863" t="s">
        <v>2586</v>
      </c>
      <c r="L13" s="865">
        <v>46113</v>
      </c>
      <c r="M13" s="865">
        <v>46113</v>
      </c>
      <c r="N13" s="434"/>
      <c r="O13" s="864"/>
      <c r="P13" s="864"/>
      <c r="Q13" s="863"/>
      <c r="R13" s="863"/>
      <c r="S13" s="863"/>
      <c r="T13" s="863" t="s">
        <v>44</v>
      </c>
      <c r="U13" s="866">
        <v>0</v>
      </c>
      <c r="V13" s="866">
        <v>0</v>
      </c>
      <c r="W13" s="866">
        <v>0</v>
      </c>
      <c r="X13" s="866">
        <v>1400</v>
      </c>
      <c r="Y13" s="866">
        <v>15</v>
      </c>
      <c r="Z13" s="866">
        <f t="shared" si="55"/>
        <v>210</v>
      </c>
      <c r="AA13" s="866">
        <v>0</v>
      </c>
      <c r="AB13" s="866">
        <v>5</v>
      </c>
      <c r="AC13" s="866">
        <f t="shared" si="56"/>
        <v>0</v>
      </c>
      <c r="AD13" s="866"/>
      <c r="AE13" s="866">
        <v>8</v>
      </c>
      <c r="AF13" s="866">
        <f t="shared" si="57"/>
        <v>0</v>
      </c>
      <c r="AG13" s="866">
        <v>0</v>
      </c>
      <c r="AH13" s="866">
        <v>0</v>
      </c>
      <c r="AI13" s="866">
        <v>0</v>
      </c>
      <c r="AJ13" s="866">
        <v>0</v>
      </c>
      <c r="AK13" s="866">
        <f t="shared" ref="AK13" si="80">ROUND(SUM(U13:X13)+SUM(Z13:AA13)+SUM(AC13:AD13)+SUM(AF13:AJ13),2)</f>
        <v>1610</v>
      </c>
      <c r="AL13" s="866">
        <v>0</v>
      </c>
      <c r="AM13" s="434"/>
      <c r="AN13" s="863"/>
      <c r="AO13" s="863"/>
      <c r="AP13" s="863"/>
      <c r="AQ13" s="863"/>
      <c r="AR13" s="434" t="s">
        <v>1241</v>
      </c>
      <c r="AS13" s="867">
        <v>510</v>
      </c>
      <c r="AT13" s="866">
        <f t="shared" si="59"/>
        <v>1400</v>
      </c>
      <c r="AU13" s="867">
        <v>0</v>
      </c>
      <c r="AV13" s="866">
        <f t="shared" si="60"/>
        <v>0</v>
      </c>
      <c r="AW13" s="867">
        <v>542</v>
      </c>
      <c r="AX13" s="866">
        <f t="shared" si="61"/>
        <v>0</v>
      </c>
      <c r="AY13" s="434"/>
      <c r="AZ13" s="866" t="s">
        <v>2890</v>
      </c>
      <c r="BA13" s="864" t="s">
        <v>2444</v>
      </c>
      <c r="BB13" s="864" t="s">
        <v>8</v>
      </c>
      <c r="BC13" s="863" t="s">
        <v>2888</v>
      </c>
      <c r="BD13" s="863" t="s">
        <v>2889</v>
      </c>
      <c r="BE13" s="868">
        <v>46113</v>
      </c>
      <c r="BF13" s="869">
        <v>332</v>
      </c>
      <c r="BG13" s="866">
        <f t="shared" si="62"/>
        <v>1400</v>
      </c>
      <c r="BH13" s="870">
        <f>IF(ISERROR(VLOOKUP(BF13,Parametros!$C:$J,8,0)),0,VLOOKUP(BF13,Parametros!$C:$J,8,0))</f>
        <v>0</v>
      </c>
      <c r="BI13" s="866">
        <f t="shared" si="63"/>
        <v>0</v>
      </c>
      <c r="BJ13" s="871"/>
      <c r="BK13" s="866">
        <v>0</v>
      </c>
      <c r="BL13" s="434"/>
      <c r="BM13" s="866">
        <v>0</v>
      </c>
      <c r="BN13" s="866">
        <v>0</v>
      </c>
      <c r="BO13" s="869"/>
      <c r="BP13" s="866">
        <f t="shared" si="64"/>
        <v>0</v>
      </c>
      <c r="BQ13" s="870">
        <f>IF(ISERROR(VLOOKUP(BO13,Parametros!$C:$J,8,0)),0,VLOOKUP(BO13,Parametros!$C:$J,8,0))</f>
        <v>0</v>
      </c>
      <c r="BR13" s="866">
        <f t="shared" si="65"/>
        <v>0</v>
      </c>
      <c r="BS13" s="871"/>
      <c r="BT13" s="866">
        <v>0</v>
      </c>
      <c r="BU13" s="434"/>
      <c r="BV13" s="866">
        <v>0</v>
      </c>
      <c r="BW13" s="866">
        <v>0</v>
      </c>
      <c r="BX13" s="869"/>
      <c r="BY13" s="866">
        <f t="shared" si="66"/>
        <v>0</v>
      </c>
      <c r="BZ13" s="870">
        <f>IF(ISERROR(VLOOKUP(BX13,Parametros!$C:$J,8,0)),0,VLOOKUP(BX13,Parametros!$C:$J,8,0))</f>
        <v>0</v>
      </c>
      <c r="CA13" s="866">
        <f t="shared" si="67"/>
        <v>0</v>
      </c>
      <c r="CB13" s="434"/>
      <c r="CC13" s="866">
        <v>0</v>
      </c>
      <c r="CD13" s="866">
        <v>0</v>
      </c>
      <c r="CE13" s="866">
        <v>0</v>
      </c>
      <c r="CF13" s="866">
        <v>0</v>
      </c>
      <c r="CG13" s="866">
        <v>147</v>
      </c>
      <c r="CH13" s="866">
        <v>0</v>
      </c>
      <c r="CI13" s="866">
        <v>0</v>
      </c>
      <c r="CJ13" s="866">
        <v>0</v>
      </c>
      <c r="CK13" s="866">
        <f t="shared" si="68"/>
        <v>147</v>
      </c>
      <c r="CL13" s="863"/>
      <c r="CM13" s="863"/>
      <c r="CN13" s="863"/>
      <c r="CO13" s="434"/>
      <c r="CP13" s="434" t="s">
        <v>2282</v>
      </c>
      <c r="CQ13" s="434" t="s">
        <v>76</v>
      </c>
      <c r="CR13" s="434"/>
      <c r="CS13" s="434" t="s">
        <v>2283</v>
      </c>
      <c r="CT13" s="434"/>
      <c r="CU13" s="434"/>
      <c r="CV13" s="863"/>
      <c r="CW13" s="434"/>
      <c r="CX13" s="867"/>
      <c r="CY13" s="867"/>
      <c r="CZ13" s="867"/>
      <c r="DA13" s="434"/>
      <c r="DB13" s="867">
        <f t="shared" si="69"/>
        <v>4</v>
      </c>
      <c r="DC13" s="872" t="str">
        <f t="shared" si="53"/>
        <v>SI</v>
      </c>
      <c r="DD13" s="872" t="str">
        <f t="shared" si="54"/>
        <v>SI</v>
      </c>
      <c r="DE13" s="866">
        <f t="shared" si="70"/>
        <v>1400</v>
      </c>
      <c r="DF13" s="866">
        <f t="shared" si="71"/>
        <v>0</v>
      </c>
      <c r="DG13" s="866">
        <f t="shared" si="72"/>
        <v>0</v>
      </c>
      <c r="DH13" s="866">
        <f t="shared" si="73"/>
        <v>0</v>
      </c>
      <c r="DI13" s="866">
        <f t="shared" si="74"/>
        <v>0</v>
      </c>
      <c r="DJ13" s="866">
        <f t="shared" si="75"/>
        <v>0</v>
      </c>
      <c r="DK13" s="866">
        <f t="shared" si="76"/>
        <v>210</v>
      </c>
      <c r="DL13" s="866">
        <f t="shared" si="77"/>
        <v>147</v>
      </c>
      <c r="DM13" s="866">
        <f t="shared" si="78"/>
        <v>0</v>
      </c>
      <c r="DN13" s="866">
        <f t="shared" si="79"/>
        <v>0</v>
      </c>
      <c r="DO13" s="434"/>
      <c r="DP13" s="863"/>
      <c r="DQ13" s="864" t="s">
        <v>2284</v>
      </c>
      <c r="DR13" s="864" t="s">
        <v>2285</v>
      </c>
      <c r="DS13" s="863"/>
      <c r="DT13" s="863"/>
      <c r="DU13" s="863"/>
      <c r="DV13" s="863"/>
      <c r="DW13" s="863"/>
      <c r="DX13" s="864" t="s">
        <v>1501</v>
      </c>
      <c r="DY13" s="864" t="s">
        <v>2286</v>
      </c>
      <c r="DZ13" s="864"/>
      <c r="EA13" s="863"/>
      <c r="EB13" s="863"/>
      <c r="EC13" s="863"/>
      <c r="ED13" s="863"/>
      <c r="EE13" s="866">
        <v>0</v>
      </c>
      <c r="EF13" s="866">
        <v>0</v>
      </c>
      <c r="EG13" s="866">
        <v>0</v>
      </c>
      <c r="EH13" s="863"/>
      <c r="EI13" s="434"/>
      <c r="EJ13" s="434"/>
      <c r="EK13" s="863"/>
    </row>
    <row r="14" spans="1:142" x14ac:dyDescent="0.25">
      <c r="A14" s="863" t="s">
        <v>2462</v>
      </c>
      <c r="B14" s="434" t="s">
        <v>2287</v>
      </c>
      <c r="C14" s="863" t="s">
        <v>2490</v>
      </c>
      <c r="D14" s="434" t="s">
        <v>2292</v>
      </c>
      <c r="E14" s="864" t="s">
        <v>744</v>
      </c>
      <c r="F14" s="434"/>
      <c r="G14" s="863" t="s">
        <v>1031</v>
      </c>
      <c r="H14" s="864" t="s">
        <v>8</v>
      </c>
      <c r="I14" s="864" t="s">
        <v>2444</v>
      </c>
      <c r="J14" s="863" t="s">
        <v>2524</v>
      </c>
      <c r="K14" s="863" t="s">
        <v>2587</v>
      </c>
      <c r="L14" s="865">
        <v>46117</v>
      </c>
      <c r="M14" s="865">
        <v>46117</v>
      </c>
      <c r="N14" s="434"/>
      <c r="O14" s="864"/>
      <c r="P14" s="864"/>
      <c r="Q14" s="863"/>
      <c r="R14" s="863"/>
      <c r="S14" s="863"/>
      <c r="T14" s="863" t="s">
        <v>44</v>
      </c>
      <c r="U14" s="866">
        <v>0</v>
      </c>
      <c r="V14" s="866">
        <v>0</v>
      </c>
      <c r="W14" s="866">
        <v>0</v>
      </c>
      <c r="X14" s="866">
        <v>12.5</v>
      </c>
      <c r="Y14" s="866">
        <v>15</v>
      </c>
      <c r="Z14" s="866">
        <f t="shared" si="55"/>
        <v>1.88</v>
      </c>
      <c r="AA14" s="866">
        <v>0</v>
      </c>
      <c r="AB14" s="866">
        <v>5</v>
      </c>
      <c r="AC14" s="866">
        <f t="shared" si="56"/>
        <v>0</v>
      </c>
      <c r="AD14" s="866"/>
      <c r="AE14" s="866">
        <v>8</v>
      </c>
      <c r="AF14" s="866">
        <f t="shared" si="57"/>
        <v>0</v>
      </c>
      <c r="AG14" s="866">
        <v>0</v>
      </c>
      <c r="AH14" s="866">
        <v>0</v>
      </c>
      <c r="AI14" s="866">
        <v>0</v>
      </c>
      <c r="AJ14" s="866">
        <v>0</v>
      </c>
      <c r="AK14" s="866">
        <f t="shared" ref="AK14" si="81">ROUND(SUM(U14:X14)+SUM(Z14:AA14)+SUM(AC14:AD14)+SUM(AF14:AJ14),2)</f>
        <v>14.38</v>
      </c>
      <c r="AL14" s="866">
        <v>0</v>
      </c>
      <c r="AM14" s="434"/>
      <c r="AN14" s="863"/>
      <c r="AO14" s="863"/>
      <c r="AP14" s="863"/>
      <c r="AQ14" s="863"/>
      <c r="AR14" s="434" t="s">
        <v>1241</v>
      </c>
      <c r="AS14" s="867">
        <v>510</v>
      </c>
      <c r="AT14" s="866">
        <f t="shared" si="59"/>
        <v>12.5</v>
      </c>
      <c r="AU14" s="867">
        <v>0</v>
      </c>
      <c r="AV14" s="866">
        <f t="shared" si="60"/>
        <v>0</v>
      </c>
      <c r="AW14" s="867">
        <v>542</v>
      </c>
      <c r="AX14" s="866">
        <f t="shared" si="61"/>
        <v>0</v>
      </c>
      <c r="AY14" s="434"/>
      <c r="AZ14" s="866"/>
      <c r="BA14" s="864"/>
      <c r="BB14" s="864"/>
      <c r="BC14" s="863"/>
      <c r="BD14" s="863"/>
      <c r="BE14" s="868"/>
      <c r="BF14" s="869">
        <v>332</v>
      </c>
      <c r="BG14" s="866">
        <f t="shared" si="62"/>
        <v>12.5</v>
      </c>
      <c r="BH14" s="870">
        <f>IF(ISERROR(VLOOKUP(BF14,Parametros!$C:$J,8,0)),0,VLOOKUP(BF14,Parametros!$C:$J,8,0))</f>
        <v>0</v>
      </c>
      <c r="BI14" s="866">
        <f t="shared" si="63"/>
        <v>0</v>
      </c>
      <c r="BJ14" s="871"/>
      <c r="BK14" s="866">
        <v>0</v>
      </c>
      <c r="BL14" s="434"/>
      <c r="BM14" s="866">
        <v>0</v>
      </c>
      <c r="BN14" s="866">
        <v>0</v>
      </c>
      <c r="BO14" s="869"/>
      <c r="BP14" s="866">
        <f t="shared" si="64"/>
        <v>0</v>
      </c>
      <c r="BQ14" s="870">
        <f>IF(ISERROR(VLOOKUP(BO14,Parametros!$C:$J,8,0)),0,VLOOKUP(BO14,Parametros!$C:$J,8,0))</f>
        <v>0</v>
      </c>
      <c r="BR14" s="866">
        <f t="shared" si="65"/>
        <v>0</v>
      </c>
      <c r="BS14" s="871"/>
      <c r="BT14" s="866">
        <v>0</v>
      </c>
      <c r="BU14" s="434"/>
      <c r="BV14" s="866">
        <v>0</v>
      </c>
      <c r="BW14" s="866">
        <v>0</v>
      </c>
      <c r="BX14" s="869"/>
      <c r="BY14" s="866">
        <f t="shared" si="66"/>
        <v>0</v>
      </c>
      <c r="BZ14" s="870">
        <f>IF(ISERROR(VLOOKUP(BX14,Parametros!$C:$J,8,0)),0,VLOOKUP(BX14,Parametros!$C:$J,8,0))</f>
        <v>0</v>
      </c>
      <c r="CA14" s="866">
        <f t="shared" si="67"/>
        <v>0</v>
      </c>
      <c r="CB14" s="434"/>
      <c r="CC14" s="866">
        <v>0</v>
      </c>
      <c r="CD14" s="866">
        <v>0</v>
      </c>
      <c r="CE14" s="866">
        <v>0</v>
      </c>
      <c r="CF14" s="866">
        <v>0</v>
      </c>
      <c r="CG14" s="866">
        <v>0</v>
      </c>
      <c r="CH14" s="866">
        <v>0</v>
      </c>
      <c r="CI14" s="866">
        <v>0</v>
      </c>
      <c r="CJ14" s="866">
        <v>0</v>
      </c>
      <c r="CK14" s="866">
        <f t="shared" si="68"/>
        <v>0</v>
      </c>
      <c r="CL14" s="863"/>
      <c r="CM14" s="863"/>
      <c r="CN14" s="863"/>
      <c r="CO14" s="434"/>
      <c r="CP14" s="434" t="s">
        <v>2282</v>
      </c>
      <c r="CQ14" s="434" t="s">
        <v>57</v>
      </c>
      <c r="CR14" s="434"/>
      <c r="CS14" s="434" t="s">
        <v>2283</v>
      </c>
      <c r="CT14" s="434"/>
      <c r="CU14" s="434"/>
      <c r="CV14" s="863"/>
      <c r="CW14" s="434"/>
      <c r="CX14" s="867"/>
      <c r="CY14" s="867"/>
      <c r="CZ14" s="867"/>
      <c r="DA14" s="434"/>
      <c r="DB14" s="867">
        <f t="shared" si="69"/>
        <v>4</v>
      </c>
      <c r="DC14" s="872" t="str">
        <f t="shared" si="53"/>
        <v>SI</v>
      </c>
      <c r="DD14" s="872" t="str">
        <f t="shared" si="54"/>
        <v>SI</v>
      </c>
      <c r="DE14" s="866">
        <f t="shared" si="70"/>
        <v>12.5</v>
      </c>
      <c r="DF14" s="866">
        <f t="shared" si="71"/>
        <v>0</v>
      </c>
      <c r="DG14" s="866">
        <f t="shared" si="72"/>
        <v>0</v>
      </c>
      <c r="DH14" s="866">
        <f t="shared" si="73"/>
        <v>0</v>
      </c>
      <c r="DI14" s="866">
        <f t="shared" si="74"/>
        <v>0</v>
      </c>
      <c r="DJ14" s="866">
        <f t="shared" si="75"/>
        <v>0</v>
      </c>
      <c r="DK14" s="866">
        <f t="shared" si="76"/>
        <v>1.88</v>
      </c>
      <c r="DL14" s="866">
        <f t="shared" si="77"/>
        <v>0</v>
      </c>
      <c r="DM14" s="866">
        <f t="shared" si="78"/>
        <v>0</v>
      </c>
      <c r="DN14" s="866">
        <f t="shared" si="79"/>
        <v>0</v>
      </c>
      <c r="DO14" s="434"/>
      <c r="DP14" s="863"/>
      <c r="DQ14" s="864" t="s">
        <v>2284</v>
      </c>
      <c r="DR14" s="864" t="s">
        <v>2285</v>
      </c>
      <c r="DS14" s="863"/>
      <c r="DT14" s="863"/>
      <c r="DU14" s="863"/>
      <c r="DV14" s="863"/>
      <c r="DW14" s="863"/>
      <c r="DX14" s="864" t="s">
        <v>1501</v>
      </c>
      <c r="DY14" s="864" t="s">
        <v>2286</v>
      </c>
      <c r="DZ14" s="864"/>
      <c r="EA14" s="863"/>
      <c r="EB14" s="863"/>
      <c r="EC14" s="863"/>
      <c r="ED14" s="863"/>
      <c r="EE14" s="866">
        <v>0</v>
      </c>
      <c r="EF14" s="866">
        <v>0</v>
      </c>
      <c r="EG14" s="866">
        <v>0</v>
      </c>
      <c r="EH14" s="863"/>
      <c r="EI14" s="434"/>
      <c r="EJ14" s="434"/>
      <c r="EK14" s="863"/>
    </row>
    <row r="15" spans="1:142" x14ac:dyDescent="0.25">
      <c r="A15" s="863" t="s">
        <v>2463</v>
      </c>
      <c r="B15" s="434" t="s">
        <v>2287</v>
      </c>
      <c r="C15" s="863" t="s">
        <v>2491</v>
      </c>
      <c r="D15" s="434" t="s">
        <v>2292</v>
      </c>
      <c r="E15" s="864" t="s">
        <v>744</v>
      </c>
      <c r="F15" s="434"/>
      <c r="G15" s="863" t="s">
        <v>1031</v>
      </c>
      <c r="H15" s="864" t="s">
        <v>8</v>
      </c>
      <c r="I15" s="864" t="s">
        <v>2452</v>
      </c>
      <c r="J15" s="863" t="s">
        <v>2525</v>
      </c>
      <c r="K15" s="863" t="s">
        <v>2588</v>
      </c>
      <c r="L15" s="865">
        <v>46118</v>
      </c>
      <c r="M15" s="865">
        <v>46118</v>
      </c>
      <c r="N15" s="434"/>
      <c r="O15" s="864"/>
      <c r="P15" s="864"/>
      <c r="Q15" s="863"/>
      <c r="R15" s="863"/>
      <c r="S15" s="863"/>
      <c r="T15" s="863" t="s">
        <v>44</v>
      </c>
      <c r="U15" s="866">
        <v>0</v>
      </c>
      <c r="V15" s="866">
        <v>0</v>
      </c>
      <c r="W15" s="866">
        <v>0</v>
      </c>
      <c r="X15" s="866">
        <v>795</v>
      </c>
      <c r="Y15" s="866">
        <v>15</v>
      </c>
      <c r="Z15" s="866">
        <f t="shared" si="55"/>
        <v>119.25</v>
      </c>
      <c r="AA15" s="866">
        <v>0</v>
      </c>
      <c r="AB15" s="866">
        <v>5</v>
      </c>
      <c r="AC15" s="866">
        <f t="shared" si="56"/>
        <v>0</v>
      </c>
      <c r="AD15" s="866"/>
      <c r="AE15" s="866">
        <v>8</v>
      </c>
      <c r="AF15" s="866">
        <f t="shared" si="57"/>
        <v>0</v>
      </c>
      <c r="AG15" s="866">
        <v>0</v>
      </c>
      <c r="AH15" s="866">
        <v>0</v>
      </c>
      <c r="AI15" s="866">
        <v>0</v>
      </c>
      <c r="AJ15" s="866">
        <v>0</v>
      </c>
      <c r="AK15" s="866">
        <f t="shared" ref="AK15" si="82">ROUND(SUM(U15:X15)+SUM(Z15:AA15)+SUM(AC15:AD15)+SUM(AF15:AJ15),2)</f>
        <v>914.25</v>
      </c>
      <c r="AL15" s="866">
        <v>0</v>
      </c>
      <c r="AM15" s="434"/>
      <c r="AN15" s="863"/>
      <c r="AO15" s="863"/>
      <c r="AP15" s="863"/>
      <c r="AQ15" s="863"/>
      <c r="AR15" s="434" t="s">
        <v>1241</v>
      </c>
      <c r="AS15" s="867">
        <v>510</v>
      </c>
      <c r="AT15" s="866">
        <f t="shared" si="59"/>
        <v>795</v>
      </c>
      <c r="AU15" s="867">
        <v>0</v>
      </c>
      <c r="AV15" s="866">
        <f t="shared" si="60"/>
        <v>0</v>
      </c>
      <c r="AW15" s="867">
        <v>542</v>
      </c>
      <c r="AX15" s="866">
        <f t="shared" si="61"/>
        <v>0</v>
      </c>
      <c r="AY15" s="434"/>
      <c r="AZ15" s="866" t="s">
        <v>2890</v>
      </c>
      <c r="BA15" s="864" t="s">
        <v>2444</v>
      </c>
      <c r="BB15" s="864" t="s">
        <v>8</v>
      </c>
      <c r="BC15" s="863" t="s">
        <v>2898</v>
      </c>
      <c r="BD15" s="863" t="s">
        <v>2899</v>
      </c>
      <c r="BE15" s="868">
        <v>46128</v>
      </c>
      <c r="BF15" s="869">
        <v>309</v>
      </c>
      <c r="BG15" s="866">
        <f t="shared" si="62"/>
        <v>795</v>
      </c>
      <c r="BH15" s="870">
        <v>0.03</v>
      </c>
      <c r="BI15" s="866">
        <f t="shared" si="63"/>
        <v>23.85</v>
      </c>
      <c r="BJ15" s="871"/>
      <c r="BK15" s="866">
        <v>0</v>
      </c>
      <c r="BL15" s="434"/>
      <c r="BM15" s="866">
        <v>0</v>
      </c>
      <c r="BN15" s="866">
        <v>0</v>
      </c>
      <c r="BO15" s="869"/>
      <c r="BP15" s="866">
        <f t="shared" si="64"/>
        <v>0</v>
      </c>
      <c r="BQ15" s="870">
        <f>IF(ISERROR(VLOOKUP(BO15,Parametros!$C:$J,8,0)),0,VLOOKUP(BO15,Parametros!$C:$J,8,0))</f>
        <v>0</v>
      </c>
      <c r="BR15" s="866">
        <f t="shared" si="65"/>
        <v>0</v>
      </c>
      <c r="BS15" s="871"/>
      <c r="BT15" s="866">
        <v>0</v>
      </c>
      <c r="BU15" s="434"/>
      <c r="BV15" s="866">
        <v>0</v>
      </c>
      <c r="BW15" s="866">
        <v>0</v>
      </c>
      <c r="BX15" s="869"/>
      <c r="BY15" s="866">
        <f t="shared" si="66"/>
        <v>0</v>
      </c>
      <c r="BZ15" s="870">
        <f>IF(ISERROR(VLOOKUP(BX15,Parametros!$C:$J,8,0)),0,VLOOKUP(BX15,Parametros!$C:$J,8,0))</f>
        <v>0</v>
      </c>
      <c r="CA15" s="866">
        <f t="shared" si="67"/>
        <v>0</v>
      </c>
      <c r="CB15" s="434"/>
      <c r="CC15" s="866">
        <v>0</v>
      </c>
      <c r="CD15" s="866">
        <v>0</v>
      </c>
      <c r="CE15" s="866">
        <v>0</v>
      </c>
      <c r="CF15" s="866">
        <v>0</v>
      </c>
      <c r="CG15" s="866">
        <v>0</v>
      </c>
      <c r="CH15" s="866">
        <v>0</v>
      </c>
      <c r="CI15" s="866">
        <v>0</v>
      </c>
      <c r="CJ15" s="866">
        <v>0</v>
      </c>
      <c r="CK15" s="866">
        <f t="shared" si="68"/>
        <v>23.85</v>
      </c>
      <c r="CL15" s="863"/>
      <c r="CM15" s="863"/>
      <c r="CN15" s="863"/>
      <c r="CO15" s="434"/>
      <c r="CP15" s="434" t="s">
        <v>2282</v>
      </c>
      <c r="CQ15" s="434" t="s">
        <v>76</v>
      </c>
      <c r="CR15" s="434"/>
      <c r="CS15" s="434" t="s">
        <v>2283</v>
      </c>
      <c r="CT15" s="434"/>
      <c r="CU15" s="434"/>
      <c r="CV15" s="863"/>
      <c r="CW15" s="434"/>
      <c r="CX15" s="867"/>
      <c r="CY15" s="867"/>
      <c r="CZ15" s="867"/>
      <c r="DA15" s="434"/>
      <c r="DB15" s="867">
        <f t="shared" si="69"/>
        <v>4</v>
      </c>
      <c r="DC15" s="872" t="str">
        <f t="shared" si="53"/>
        <v>SI</v>
      </c>
      <c r="DD15" s="872" t="str">
        <f t="shared" si="54"/>
        <v>SI</v>
      </c>
      <c r="DE15" s="866">
        <f t="shared" si="70"/>
        <v>795</v>
      </c>
      <c r="DF15" s="866">
        <f t="shared" si="71"/>
        <v>0</v>
      </c>
      <c r="DG15" s="866">
        <f t="shared" si="72"/>
        <v>0</v>
      </c>
      <c r="DH15" s="866">
        <f t="shared" si="73"/>
        <v>0</v>
      </c>
      <c r="DI15" s="866">
        <f t="shared" si="74"/>
        <v>0</v>
      </c>
      <c r="DJ15" s="866">
        <f t="shared" si="75"/>
        <v>0</v>
      </c>
      <c r="DK15" s="866">
        <f t="shared" si="76"/>
        <v>119.25</v>
      </c>
      <c r="DL15" s="866">
        <f t="shared" si="77"/>
        <v>0</v>
      </c>
      <c r="DM15" s="866">
        <f t="shared" si="78"/>
        <v>0</v>
      </c>
      <c r="DN15" s="866">
        <f t="shared" si="79"/>
        <v>23.85</v>
      </c>
      <c r="DO15" s="434"/>
      <c r="DP15" s="863"/>
      <c r="DQ15" s="864" t="s">
        <v>2284</v>
      </c>
      <c r="DR15" s="864" t="s">
        <v>2285</v>
      </c>
      <c r="DS15" s="863"/>
      <c r="DT15" s="863"/>
      <c r="DU15" s="863"/>
      <c r="DV15" s="863"/>
      <c r="DW15" s="863"/>
      <c r="DX15" s="864" t="s">
        <v>1501</v>
      </c>
      <c r="DY15" s="864" t="s">
        <v>2286</v>
      </c>
      <c r="DZ15" s="864"/>
      <c r="EA15" s="863"/>
      <c r="EB15" s="863"/>
      <c r="EC15" s="863"/>
      <c r="ED15" s="863"/>
      <c r="EE15" s="866">
        <v>0</v>
      </c>
      <c r="EF15" s="866">
        <v>0</v>
      </c>
      <c r="EG15" s="866">
        <v>0</v>
      </c>
      <c r="EH15" s="863"/>
      <c r="EI15" s="434"/>
      <c r="EJ15" s="434"/>
      <c r="EK15" s="863"/>
    </row>
    <row r="16" spans="1:142" x14ac:dyDescent="0.25">
      <c r="A16" s="863" t="s">
        <v>2464</v>
      </c>
      <c r="B16" s="434" t="s">
        <v>2287</v>
      </c>
      <c r="C16" s="863" t="s">
        <v>2492</v>
      </c>
      <c r="D16" s="434" t="s">
        <v>1789</v>
      </c>
      <c r="E16" s="864" t="s">
        <v>744</v>
      </c>
      <c r="F16" s="434"/>
      <c r="G16" s="863" t="s">
        <v>1031</v>
      </c>
      <c r="H16" s="864" t="s">
        <v>2444</v>
      </c>
      <c r="I16" s="864" t="s">
        <v>2446</v>
      </c>
      <c r="J16" s="863" t="s">
        <v>2526</v>
      </c>
      <c r="K16" s="863" t="s">
        <v>2589</v>
      </c>
      <c r="L16" s="865">
        <v>46118</v>
      </c>
      <c r="M16" s="865">
        <v>46118</v>
      </c>
      <c r="N16" s="434"/>
      <c r="O16" s="864"/>
      <c r="P16" s="864"/>
      <c r="Q16" s="863"/>
      <c r="R16" s="863"/>
      <c r="S16" s="863"/>
      <c r="T16" s="863" t="s">
        <v>44</v>
      </c>
      <c r="U16" s="866">
        <v>0</v>
      </c>
      <c r="V16" s="866">
        <v>0</v>
      </c>
      <c r="W16" s="866">
        <v>0</v>
      </c>
      <c r="X16" s="866">
        <v>29.14</v>
      </c>
      <c r="Y16" s="866">
        <v>15</v>
      </c>
      <c r="Z16" s="866">
        <f t="shared" si="55"/>
        <v>4.37</v>
      </c>
      <c r="AA16" s="866">
        <v>0</v>
      </c>
      <c r="AB16" s="866">
        <v>5</v>
      </c>
      <c r="AC16" s="866">
        <f t="shared" si="56"/>
        <v>0</v>
      </c>
      <c r="AD16" s="866"/>
      <c r="AE16" s="866">
        <v>8</v>
      </c>
      <c r="AF16" s="866">
        <f t="shared" si="57"/>
        <v>0</v>
      </c>
      <c r="AG16" s="866">
        <v>0</v>
      </c>
      <c r="AH16" s="866">
        <v>0</v>
      </c>
      <c r="AI16" s="866">
        <v>0</v>
      </c>
      <c r="AJ16" s="866">
        <v>0</v>
      </c>
      <c r="AK16" s="866">
        <f t="shared" ref="AK16" si="83">ROUND(SUM(U16:X16)+SUM(Z16:AA16)+SUM(AC16:AD16)+SUM(AF16:AJ16),2)</f>
        <v>33.51</v>
      </c>
      <c r="AL16" s="866">
        <v>0</v>
      </c>
      <c r="AM16" s="434"/>
      <c r="AN16" s="863"/>
      <c r="AO16" s="863"/>
      <c r="AP16" s="863"/>
      <c r="AQ16" s="863"/>
      <c r="AR16" s="434" t="s">
        <v>1241</v>
      </c>
      <c r="AS16" s="867">
        <v>510</v>
      </c>
      <c r="AT16" s="866">
        <f t="shared" si="59"/>
        <v>29.14</v>
      </c>
      <c r="AU16" s="867">
        <v>0</v>
      </c>
      <c r="AV16" s="866">
        <f t="shared" si="60"/>
        <v>0</v>
      </c>
      <c r="AW16" s="867">
        <v>542</v>
      </c>
      <c r="AX16" s="866">
        <f t="shared" si="61"/>
        <v>0</v>
      </c>
      <c r="AY16" s="434"/>
      <c r="AZ16" s="866"/>
      <c r="BA16" s="864"/>
      <c r="BB16" s="864"/>
      <c r="BC16" s="863"/>
      <c r="BD16" s="863"/>
      <c r="BE16" s="868"/>
      <c r="BF16" s="869">
        <v>332</v>
      </c>
      <c r="BG16" s="866">
        <f t="shared" si="62"/>
        <v>29.14</v>
      </c>
      <c r="BH16" s="870">
        <f>IF(ISERROR(VLOOKUP(BF16,Parametros!$C:$J,8,0)),0,VLOOKUP(BF16,Parametros!$C:$J,8,0))</f>
        <v>0</v>
      </c>
      <c r="BI16" s="866">
        <f t="shared" si="63"/>
        <v>0</v>
      </c>
      <c r="BJ16" s="871"/>
      <c r="BK16" s="866">
        <v>0</v>
      </c>
      <c r="BL16" s="434"/>
      <c r="BM16" s="866">
        <v>0</v>
      </c>
      <c r="BN16" s="866">
        <v>0</v>
      </c>
      <c r="BO16" s="869"/>
      <c r="BP16" s="866">
        <f t="shared" si="64"/>
        <v>0</v>
      </c>
      <c r="BQ16" s="870">
        <f>IF(ISERROR(VLOOKUP(BO16,Parametros!$C:$J,8,0)),0,VLOOKUP(BO16,Parametros!$C:$J,8,0))</f>
        <v>0</v>
      </c>
      <c r="BR16" s="866">
        <f t="shared" si="65"/>
        <v>0</v>
      </c>
      <c r="BS16" s="871"/>
      <c r="BT16" s="866">
        <v>0</v>
      </c>
      <c r="BU16" s="434"/>
      <c r="BV16" s="866">
        <v>0</v>
      </c>
      <c r="BW16" s="866">
        <v>0</v>
      </c>
      <c r="BX16" s="869"/>
      <c r="BY16" s="866">
        <f t="shared" si="66"/>
        <v>0</v>
      </c>
      <c r="BZ16" s="870">
        <f>IF(ISERROR(VLOOKUP(BX16,Parametros!$C:$J,8,0)),0,VLOOKUP(BX16,Parametros!$C:$J,8,0))</f>
        <v>0</v>
      </c>
      <c r="CA16" s="866">
        <f t="shared" si="67"/>
        <v>0</v>
      </c>
      <c r="CB16" s="434"/>
      <c r="CC16" s="866">
        <v>0</v>
      </c>
      <c r="CD16" s="866">
        <v>0</v>
      </c>
      <c r="CE16" s="866">
        <v>0</v>
      </c>
      <c r="CF16" s="866">
        <v>0</v>
      </c>
      <c r="CG16" s="866">
        <v>0</v>
      </c>
      <c r="CH16" s="866">
        <v>0</v>
      </c>
      <c r="CI16" s="866">
        <v>0</v>
      </c>
      <c r="CJ16" s="866">
        <v>0</v>
      </c>
      <c r="CK16" s="866">
        <f t="shared" si="68"/>
        <v>0</v>
      </c>
      <c r="CL16" s="863"/>
      <c r="CM16" s="863"/>
      <c r="CN16" s="863"/>
      <c r="CO16" s="434"/>
      <c r="CP16" s="434" t="s">
        <v>2282</v>
      </c>
      <c r="CQ16" s="434" t="s">
        <v>57</v>
      </c>
      <c r="CR16" s="434"/>
      <c r="CS16" s="434" t="s">
        <v>2283</v>
      </c>
      <c r="CT16" s="434"/>
      <c r="CU16" s="434"/>
      <c r="CV16" s="863"/>
      <c r="CW16" s="434"/>
      <c r="CX16" s="867"/>
      <c r="CY16" s="867"/>
      <c r="CZ16" s="867"/>
      <c r="DA16" s="434"/>
      <c r="DB16" s="867">
        <f t="shared" si="69"/>
        <v>4</v>
      </c>
      <c r="DC16" s="872" t="str">
        <f t="shared" si="53"/>
        <v>SI</v>
      </c>
      <c r="DD16" s="872" t="str">
        <f t="shared" si="54"/>
        <v>SI</v>
      </c>
      <c r="DE16" s="866">
        <f t="shared" si="70"/>
        <v>29.14</v>
      </c>
      <c r="DF16" s="866">
        <f t="shared" si="71"/>
        <v>0</v>
      </c>
      <c r="DG16" s="866">
        <f t="shared" si="72"/>
        <v>0</v>
      </c>
      <c r="DH16" s="866">
        <f t="shared" si="73"/>
        <v>0</v>
      </c>
      <c r="DI16" s="866">
        <f t="shared" si="74"/>
        <v>0</v>
      </c>
      <c r="DJ16" s="866">
        <f t="shared" si="75"/>
        <v>0</v>
      </c>
      <c r="DK16" s="866">
        <f t="shared" si="76"/>
        <v>4.37</v>
      </c>
      <c r="DL16" s="866">
        <f t="shared" si="77"/>
        <v>0</v>
      </c>
      <c r="DM16" s="866">
        <f t="shared" si="78"/>
        <v>0</v>
      </c>
      <c r="DN16" s="866">
        <f t="shared" si="79"/>
        <v>0</v>
      </c>
      <c r="DO16" s="434"/>
      <c r="DP16" s="863"/>
      <c r="DQ16" s="864" t="s">
        <v>2284</v>
      </c>
      <c r="DR16" s="864" t="s">
        <v>2285</v>
      </c>
      <c r="DS16" s="863"/>
      <c r="DT16" s="863"/>
      <c r="DU16" s="863"/>
      <c r="DV16" s="863"/>
      <c r="DW16" s="863"/>
      <c r="DX16" s="864" t="s">
        <v>1501</v>
      </c>
      <c r="DY16" s="864" t="s">
        <v>2286</v>
      </c>
      <c r="DZ16" s="864"/>
      <c r="EA16" s="863"/>
      <c r="EB16" s="863"/>
      <c r="EC16" s="863"/>
      <c r="ED16" s="863"/>
      <c r="EE16" s="866">
        <v>0</v>
      </c>
      <c r="EF16" s="866">
        <v>0</v>
      </c>
      <c r="EG16" s="866">
        <v>0</v>
      </c>
      <c r="EH16" s="863"/>
      <c r="EI16" s="434"/>
      <c r="EJ16" s="434"/>
      <c r="EK16" s="863"/>
    </row>
    <row r="17" spans="1:141" x14ac:dyDescent="0.25">
      <c r="A17" s="863" t="s">
        <v>2465</v>
      </c>
      <c r="B17" s="434" t="s">
        <v>2287</v>
      </c>
      <c r="C17" s="863" t="s">
        <v>2493</v>
      </c>
      <c r="D17" s="434" t="s">
        <v>1789</v>
      </c>
      <c r="E17" s="864" t="s">
        <v>744</v>
      </c>
      <c r="F17" s="434"/>
      <c r="G17" s="863" t="s">
        <v>1031</v>
      </c>
      <c r="H17" s="864" t="s">
        <v>8</v>
      </c>
      <c r="I17" s="864" t="s">
        <v>2448</v>
      </c>
      <c r="J17" s="863" t="s">
        <v>2527</v>
      </c>
      <c r="K17" s="863" t="s">
        <v>2590</v>
      </c>
      <c r="L17" s="865">
        <v>46119</v>
      </c>
      <c r="M17" s="865">
        <v>46119</v>
      </c>
      <c r="N17" s="434"/>
      <c r="O17" s="864"/>
      <c r="P17" s="864"/>
      <c r="Q17" s="863"/>
      <c r="R17" s="863"/>
      <c r="S17" s="863"/>
      <c r="T17" s="863" t="s">
        <v>44</v>
      </c>
      <c r="U17" s="866">
        <v>0</v>
      </c>
      <c r="V17" s="866">
        <v>0</v>
      </c>
      <c r="W17" s="866">
        <v>0</v>
      </c>
      <c r="X17" s="866">
        <v>9.0299999999999994</v>
      </c>
      <c r="Y17" s="866">
        <v>15</v>
      </c>
      <c r="Z17" s="866">
        <f t="shared" si="55"/>
        <v>1.35</v>
      </c>
      <c r="AA17" s="866">
        <v>0</v>
      </c>
      <c r="AB17" s="866">
        <v>5</v>
      </c>
      <c r="AC17" s="866">
        <f t="shared" si="56"/>
        <v>0</v>
      </c>
      <c r="AD17" s="866"/>
      <c r="AE17" s="866">
        <v>8</v>
      </c>
      <c r="AF17" s="866">
        <f t="shared" si="57"/>
        <v>0</v>
      </c>
      <c r="AG17" s="866">
        <v>0</v>
      </c>
      <c r="AH17" s="866">
        <v>0</v>
      </c>
      <c r="AI17" s="866">
        <v>0</v>
      </c>
      <c r="AJ17" s="866">
        <v>0</v>
      </c>
      <c r="AK17" s="866">
        <f t="shared" ref="AK17" si="84">ROUND(SUM(U17:X17)+SUM(Z17:AA17)+SUM(AC17:AD17)+SUM(AF17:AJ17),2)</f>
        <v>10.38</v>
      </c>
      <c r="AL17" s="866">
        <v>0</v>
      </c>
      <c r="AM17" s="434"/>
      <c r="AN17" s="863"/>
      <c r="AO17" s="863"/>
      <c r="AP17" s="863"/>
      <c r="AQ17" s="863"/>
      <c r="AR17" s="434" t="s">
        <v>1241</v>
      </c>
      <c r="AS17" s="867">
        <v>510</v>
      </c>
      <c r="AT17" s="866">
        <f t="shared" si="59"/>
        <v>9.0299999999999994</v>
      </c>
      <c r="AU17" s="867">
        <v>0</v>
      </c>
      <c r="AV17" s="866">
        <f t="shared" si="60"/>
        <v>0</v>
      </c>
      <c r="AW17" s="867">
        <v>542</v>
      </c>
      <c r="AX17" s="866">
        <f t="shared" si="61"/>
        <v>0</v>
      </c>
      <c r="AY17" s="434"/>
      <c r="AZ17" s="866"/>
      <c r="BA17" s="864"/>
      <c r="BB17" s="864"/>
      <c r="BC17" s="863"/>
      <c r="BD17" s="863"/>
      <c r="BE17" s="868"/>
      <c r="BF17" s="869">
        <v>332</v>
      </c>
      <c r="BG17" s="866">
        <f t="shared" si="62"/>
        <v>9.0299999999999994</v>
      </c>
      <c r="BH17" s="870">
        <f>IF(ISERROR(VLOOKUP(BF17,Parametros!$C:$J,8,0)),0,VLOOKUP(BF17,Parametros!$C:$J,8,0))</f>
        <v>0</v>
      </c>
      <c r="BI17" s="866">
        <f t="shared" si="63"/>
        <v>0</v>
      </c>
      <c r="BJ17" s="871"/>
      <c r="BK17" s="866">
        <v>0</v>
      </c>
      <c r="BL17" s="434"/>
      <c r="BM17" s="866">
        <v>0</v>
      </c>
      <c r="BN17" s="866">
        <v>0</v>
      </c>
      <c r="BO17" s="869"/>
      <c r="BP17" s="866">
        <f t="shared" si="64"/>
        <v>0</v>
      </c>
      <c r="BQ17" s="870">
        <f>IF(ISERROR(VLOOKUP(BO17,Parametros!$C:$J,8,0)),0,VLOOKUP(BO17,Parametros!$C:$J,8,0))</f>
        <v>0</v>
      </c>
      <c r="BR17" s="866">
        <f t="shared" si="65"/>
        <v>0</v>
      </c>
      <c r="BS17" s="871"/>
      <c r="BT17" s="866">
        <v>0</v>
      </c>
      <c r="BU17" s="434"/>
      <c r="BV17" s="866">
        <v>0</v>
      </c>
      <c r="BW17" s="866">
        <v>0</v>
      </c>
      <c r="BX17" s="869"/>
      <c r="BY17" s="866">
        <f t="shared" si="66"/>
        <v>0</v>
      </c>
      <c r="BZ17" s="870">
        <f>IF(ISERROR(VLOOKUP(BX17,Parametros!$C:$J,8,0)),0,VLOOKUP(BX17,Parametros!$C:$J,8,0))</f>
        <v>0</v>
      </c>
      <c r="CA17" s="866">
        <f t="shared" si="67"/>
        <v>0</v>
      </c>
      <c r="CB17" s="434"/>
      <c r="CC17" s="866">
        <v>0</v>
      </c>
      <c r="CD17" s="866">
        <v>0</v>
      </c>
      <c r="CE17" s="866">
        <v>0</v>
      </c>
      <c r="CF17" s="866">
        <v>0</v>
      </c>
      <c r="CG17" s="866">
        <v>0</v>
      </c>
      <c r="CH17" s="866">
        <v>0</v>
      </c>
      <c r="CI17" s="866">
        <v>0</v>
      </c>
      <c r="CJ17" s="866">
        <v>0</v>
      </c>
      <c r="CK17" s="866">
        <f t="shared" si="68"/>
        <v>0</v>
      </c>
      <c r="CL17" s="863"/>
      <c r="CM17" s="863"/>
      <c r="CN17" s="863"/>
      <c r="CO17" s="434"/>
      <c r="CP17" s="434" t="s">
        <v>2282</v>
      </c>
      <c r="CQ17" s="434" t="s">
        <v>57</v>
      </c>
      <c r="CR17" s="434"/>
      <c r="CS17" s="434" t="s">
        <v>2283</v>
      </c>
      <c r="CT17" s="434"/>
      <c r="CU17" s="434"/>
      <c r="CV17" s="863"/>
      <c r="CW17" s="434"/>
      <c r="CX17" s="867"/>
      <c r="CY17" s="867"/>
      <c r="CZ17" s="867"/>
      <c r="DA17" s="434"/>
      <c r="DB17" s="867">
        <f t="shared" si="69"/>
        <v>4</v>
      </c>
      <c r="DC17" s="872" t="str">
        <f t="shared" si="53"/>
        <v>SI</v>
      </c>
      <c r="DD17" s="872" t="str">
        <f t="shared" si="54"/>
        <v>SI</v>
      </c>
      <c r="DE17" s="866">
        <f t="shared" si="70"/>
        <v>9.0299999999999994</v>
      </c>
      <c r="DF17" s="866">
        <f t="shared" si="71"/>
        <v>0</v>
      </c>
      <c r="DG17" s="866">
        <f t="shared" si="72"/>
        <v>0</v>
      </c>
      <c r="DH17" s="866">
        <f t="shared" si="73"/>
        <v>0</v>
      </c>
      <c r="DI17" s="866">
        <f t="shared" si="74"/>
        <v>0</v>
      </c>
      <c r="DJ17" s="866">
        <f t="shared" si="75"/>
        <v>0</v>
      </c>
      <c r="DK17" s="866">
        <f t="shared" si="76"/>
        <v>1.35</v>
      </c>
      <c r="DL17" s="866">
        <f t="shared" si="77"/>
        <v>0</v>
      </c>
      <c r="DM17" s="866">
        <f t="shared" si="78"/>
        <v>0</v>
      </c>
      <c r="DN17" s="866">
        <f t="shared" si="79"/>
        <v>0</v>
      </c>
      <c r="DO17" s="434"/>
      <c r="DP17" s="863"/>
      <c r="DQ17" s="864" t="s">
        <v>2284</v>
      </c>
      <c r="DR17" s="864" t="s">
        <v>2285</v>
      </c>
      <c r="DS17" s="863"/>
      <c r="DT17" s="863"/>
      <c r="DU17" s="863"/>
      <c r="DV17" s="863"/>
      <c r="DW17" s="863"/>
      <c r="DX17" s="864" t="s">
        <v>1501</v>
      </c>
      <c r="DY17" s="864" t="s">
        <v>2286</v>
      </c>
      <c r="DZ17" s="864"/>
      <c r="EA17" s="863"/>
      <c r="EB17" s="863"/>
      <c r="EC17" s="863"/>
      <c r="ED17" s="863"/>
      <c r="EE17" s="866">
        <v>0</v>
      </c>
      <c r="EF17" s="866">
        <v>0</v>
      </c>
      <c r="EG17" s="866">
        <v>0</v>
      </c>
      <c r="EH17" s="863"/>
      <c r="EI17" s="434"/>
      <c r="EJ17" s="434"/>
      <c r="EK17" s="863"/>
    </row>
    <row r="18" spans="1:141" x14ac:dyDescent="0.25">
      <c r="A18" s="863" t="s">
        <v>2466</v>
      </c>
      <c r="B18" s="434" t="s">
        <v>2287</v>
      </c>
      <c r="C18" s="863" t="s">
        <v>2494</v>
      </c>
      <c r="D18" s="434" t="s">
        <v>1789</v>
      </c>
      <c r="E18" s="864" t="s">
        <v>744</v>
      </c>
      <c r="F18" s="434"/>
      <c r="G18" s="863" t="s">
        <v>1031</v>
      </c>
      <c r="H18" s="864" t="s">
        <v>8</v>
      </c>
      <c r="I18" s="864" t="s">
        <v>2443</v>
      </c>
      <c r="J18" s="863" t="s">
        <v>2528</v>
      </c>
      <c r="K18" s="863" t="s">
        <v>2591</v>
      </c>
      <c r="L18" s="865">
        <v>46119</v>
      </c>
      <c r="M18" s="865">
        <v>46119</v>
      </c>
      <c r="N18" s="434"/>
      <c r="O18" s="864"/>
      <c r="P18" s="864"/>
      <c r="Q18" s="863"/>
      <c r="R18" s="863"/>
      <c r="S18" s="863"/>
      <c r="T18" s="863" t="s">
        <v>44</v>
      </c>
      <c r="U18" s="866">
        <v>0</v>
      </c>
      <c r="V18" s="866">
        <v>0</v>
      </c>
      <c r="W18" s="866">
        <v>0</v>
      </c>
      <c r="X18" s="866">
        <v>10.35</v>
      </c>
      <c r="Y18" s="866">
        <v>15</v>
      </c>
      <c r="Z18" s="866">
        <f t="shared" si="55"/>
        <v>1.55</v>
      </c>
      <c r="AA18" s="866">
        <v>0</v>
      </c>
      <c r="AB18" s="866">
        <v>5</v>
      </c>
      <c r="AC18" s="866">
        <f t="shared" si="56"/>
        <v>0</v>
      </c>
      <c r="AD18" s="866"/>
      <c r="AE18" s="866">
        <v>8</v>
      </c>
      <c r="AF18" s="866">
        <f t="shared" si="57"/>
        <v>0</v>
      </c>
      <c r="AG18" s="866">
        <v>0</v>
      </c>
      <c r="AH18" s="866">
        <v>0</v>
      </c>
      <c r="AI18" s="866">
        <v>0</v>
      </c>
      <c r="AJ18" s="866">
        <v>0</v>
      </c>
      <c r="AK18" s="866">
        <f t="shared" ref="AK18" si="85">ROUND(SUM(U18:X18)+SUM(Z18:AA18)+SUM(AC18:AD18)+SUM(AF18:AJ18),2)</f>
        <v>11.9</v>
      </c>
      <c r="AL18" s="866">
        <v>0</v>
      </c>
      <c r="AM18" s="434"/>
      <c r="AN18" s="863"/>
      <c r="AO18" s="863"/>
      <c r="AP18" s="863"/>
      <c r="AQ18" s="863"/>
      <c r="AR18" s="434" t="s">
        <v>1241</v>
      </c>
      <c r="AS18" s="867">
        <v>510</v>
      </c>
      <c r="AT18" s="866">
        <f t="shared" si="59"/>
        <v>10.35</v>
      </c>
      <c r="AU18" s="867">
        <v>0</v>
      </c>
      <c r="AV18" s="866">
        <f t="shared" si="60"/>
        <v>0</v>
      </c>
      <c r="AW18" s="867">
        <v>542</v>
      </c>
      <c r="AX18" s="866">
        <f t="shared" si="61"/>
        <v>0</v>
      </c>
      <c r="AY18" s="434"/>
      <c r="AZ18" s="866"/>
      <c r="BA18" s="864"/>
      <c r="BB18" s="864"/>
      <c r="BC18" s="863"/>
      <c r="BD18" s="863"/>
      <c r="BE18" s="868"/>
      <c r="BF18" s="869">
        <v>332</v>
      </c>
      <c r="BG18" s="866">
        <f t="shared" si="62"/>
        <v>10.35</v>
      </c>
      <c r="BH18" s="870">
        <f>IF(ISERROR(VLOOKUP(BF18,Parametros!$C:$J,8,0)),0,VLOOKUP(BF18,Parametros!$C:$J,8,0))</f>
        <v>0</v>
      </c>
      <c r="BI18" s="866">
        <f t="shared" si="63"/>
        <v>0</v>
      </c>
      <c r="BJ18" s="871"/>
      <c r="BK18" s="866">
        <v>0</v>
      </c>
      <c r="BL18" s="434"/>
      <c r="BM18" s="866">
        <v>0</v>
      </c>
      <c r="BN18" s="866">
        <v>0</v>
      </c>
      <c r="BO18" s="869"/>
      <c r="BP18" s="866">
        <f t="shared" si="64"/>
        <v>0</v>
      </c>
      <c r="BQ18" s="870">
        <f>IF(ISERROR(VLOOKUP(BO18,Parametros!$C:$J,8,0)),0,VLOOKUP(BO18,Parametros!$C:$J,8,0))</f>
        <v>0</v>
      </c>
      <c r="BR18" s="866">
        <f t="shared" si="65"/>
        <v>0</v>
      </c>
      <c r="BS18" s="871"/>
      <c r="BT18" s="866">
        <v>0</v>
      </c>
      <c r="BU18" s="434"/>
      <c r="BV18" s="866">
        <v>0</v>
      </c>
      <c r="BW18" s="866">
        <v>0</v>
      </c>
      <c r="BX18" s="869"/>
      <c r="BY18" s="866">
        <f t="shared" si="66"/>
        <v>0</v>
      </c>
      <c r="BZ18" s="870">
        <f>IF(ISERROR(VLOOKUP(BX18,Parametros!$C:$J,8,0)),0,VLOOKUP(BX18,Parametros!$C:$J,8,0))</f>
        <v>0</v>
      </c>
      <c r="CA18" s="866">
        <f t="shared" si="67"/>
        <v>0</v>
      </c>
      <c r="CB18" s="434"/>
      <c r="CC18" s="866">
        <v>0</v>
      </c>
      <c r="CD18" s="866">
        <v>0</v>
      </c>
      <c r="CE18" s="866">
        <v>0</v>
      </c>
      <c r="CF18" s="866">
        <v>0</v>
      </c>
      <c r="CG18" s="866">
        <v>0</v>
      </c>
      <c r="CH18" s="866">
        <v>0</v>
      </c>
      <c r="CI18" s="866">
        <v>0</v>
      </c>
      <c r="CJ18" s="866">
        <v>0</v>
      </c>
      <c r="CK18" s="866">
        <f t="shared" si="68"/>
        <v>0</v>
      </c>
      <c r="CL18" s="863"/>
      <c r="CM18" s="863"/>
      <c r="CN18" s="863"/>
      <c r="CO18" s="434"/>
      <c r="CP18" s="434" t="s">
        <v>2282</v>
      </c>
      <c r="CQ18" s="434" t="s">
        <v>57</v>
      </c>
      <c r="CR18" s="434"/>
      <c r="CS18" s="434" t="s">
        <v>2283</v>
      </c>
      <c r="CT18" s="434"/>
      <c r="CU18" s="434"/>
      <c r="CV18" s="863"/>
      <c r="CW18" s="434"/>
      <c r="CX18" s="867"/>
      <c r="CY18" s="867"/>
      <c r="CZ18" s="867"/>
      <c r="DA18" s="434"/>
      <c r="DB18" s="867">
        <f t="shared" si="69"/>
        <v>4</v>
      </c>
      <c r="DC18" s="872" t="str">
        <f t="shared" si="53"/>
        <v>SI</v>
      </c>
      <c r="DD18" s="872" t="str">
        <f t="shared" si="54"/>
        <v>SI</v>
      </c>
      <c r="DE18" s="866">
        <f t="shared" si="70"/>
        <v>10.35</v>
      </c>
      <c r="DF18" s="866">
        <f t="shared" si="71"/>
        <v>0</v>
      </c>
      <c r="DG18" s="866">
        <f t="shared" si="72"/>
        <v>0</v>
      </c>
      <c r="DH18" s="866">
        <f t="shared" si="73"/>
        <v>0</v>
      </c>
      <c r="DI18" s="866">
        <f t="shared" si="74"/>
        <v>0</v>
      </c>
      <c r="DJ18" s="866">
        <f t="shared" si="75"/>
        <v>0</v>
      </c>
      <c r="DK18" s="866">
        <f t="shared" si="76"/>
        <v>1.55</v>
      </c>
      <c r="DL18" s="866">
        <f t="shared" si="77"/>
        <v>0</v>
      </c>
      <c r="DM18" s="866">
        <f t="shared" si="78"/>
        <v>0</v>
      </c>
      <c r="DN18" s="866">
        <f t="shared" si="79"/>
        <v>0</v>
      </c>
      <c r="DO18" s="434"/>
      <c r="DP18" s="863"/>
      <c r="DQ18" s="864" t="s">
        <v>2284</v>
      </c>
      <c r="DR18" s="864" t="s">
        <v>2285</v>
      </c>
      <c r="DS18" s="863"/>
      <c r="DT18" s="863"/>
      <c r="DU18" s="863"/>
      <c r="DV18" s="863"/>
      <c r="DW18" s="863"/>
      <c r="DX18" s="864" t="s">
        <v>1501</v>
      </c>
      <c r="DY18" s="864" t="s">
        <v>2286</v>
      </c>
      <c r="DZ18" s="864"/>
      <c r="EA18" s="863"/>
      <c r="EB18" s="863"/>
      <c r="EC18" s="863"/>
      <c r="ED18" s="863"/>
      <c r="EE18" s="866">
        <v>0</v>
      </c>
      <c r="EF18" s="866">
        <v>0</v>
      </c>
      <c r="EG18" s="866">
        <v>0</v>
      </c>
      <c r="EH18" s="863"/>
      <c r="EI18" s="434"/>
      <c r="EJ18" s="434"/>
      <c r="EK18" s="863"/>
    </row>
    <row r="19" spans="1:141" x14ac:dyDescent="0.25">
      <c r="A19" s="863" t="s">
        <v>2467</v>
      </c>
      <c r="B19" s="434" t="s">
        <v>2287</v>
      </c>
      <c r="C19" s="863" t="s">
        <v>2495</v>
      </c>
      <c r="D19" s="434" t="s">
        <v>2292</v>
      </c>
      <c r="E19" s="864" t="s">
        <v>744</v>
      </c>
      <c r="F19" s="434"/>
      <c r="G19" s="863" t="s">
        <v>1031</v>
      </c>
      <c r="H19" s="864" t="s">
        <v>8</v>
      </c>
      <c r="I19" s="864" t="s">
        <v>2452</v>
      </c>
      <c r="J19" s="863" t="s">
        <v>2529</v>
      </c>
      <c r="K19" s="863" t="s">
        <v>2592</v>
      </c>
      <c r="L19" s="865">
        <v>46120</v>
      </c>
      <c r="M19" s="865">
        <v>46120</v>
      </c>
      <c r="N19" s="434"/>
      <c r="O19" s="864"/>
      <c r="P19" s="864"/>
      <c r="Q19" s="863"/>
      <c r="R19" s="863"/>
      <c r="S19" s="863"/>
      <c r="T19" s="863" t="s">
        <v>44</v>
      </c>
      <c r="U19" s="866">
        <v>0</v>
      </c>
      <c r="V19" s="866">
        <v>0</v>
      </c>
      <c r="W19" s="866">
        <v>0</v>
      </c>
      <c r="X19" s="866">
        <v>21.74</v>
      </c>
      <c r="Y19" s="866">
        <v>15</v>
      </c>
      <c r="Z19" s="866">
        <f t="shared" si="55"/>
        <v>3.26</v>
      </c>
      <c r="AA19" s="866">
        <v>0</v>
      </c>
      <c r="AB19" s="866">
        <v>5</v>
      </c>
      <c r="AC19" s="866">
        <f t="shared" si="56"/>
        <v>0</v>
      </c>
      <c r="AD19" s="866"/>
      <c r="AE19" s="866">
        <v>8</v>
      </c>
      <c r="AF19" s="866">
        <f t="shared" si="57"/>
        <v>0</v>
      </c>
      <c r="AG19" s="866">
        <v>0</v>
      </c>
      <c r="AH19" s="866">
        <v>0</v>
      </c>
      <c r="AI19" s="866">
        <v>0</v>
      </c>
      <c r="AJ19" s="866">
        <v>0</v>
      </c>
      <c r="AK19" s="866">
        <f t="shared" ref="AK19" si="86">ROUND(SUM(U19:X19)+SUM(Z19:AA19)+SUM(AC19:AD19)+SUM(AF19:AJ19),2)</f>
        <v>25</v>
      </c>
      <c r="AL19" s="866">
        <v>0</v>
      </c>
      <c r="AM19" s="434"/>
      <c r="AN19" s="863"/>
      <c r="AO19" s="863"/>
      <c r="AP19" s="863"/>
      <c r="AQ19" s="863"/>
      <c r="AR19" s="434" t="s">
        <v>1241</v>
      </c>
      <c r="AS19" s="867">
        <v>510</v>
      </c>
      <c r="AT19" s="866">
        <f t="shared" si="59"/>
        <v>21.74</v>
      </c>
      <c r="AU19" s="867">
        <v>0</v>
      </c>
      <c r="AV19" s="866">
        <f t="shared" si="60"/>
        <v>0</v>
      </c>
      <c r="AW19" s="867">
        <v>542</v>
      </c>
      <c r="AX19" s="866">
        <f t="shared" si="61"/>
        <v>0</v>
      </c>
      <c r="AY19" s="434"/>
      <c r="AZ19" s="866"/>
      <c r="BA19" s="864"/>
      <c r="BB19" s="864"/>
      <c r="BC19" s="863"/>
      <c r="BD19" s="863"/>
      <c r="BE19" s="868"/>
      <c r="BF19" s="869">
        <v>332</v>
      </c>
      <c r="BG19" s="866">
        <f t="shared" si="62"/>
        <v>21.74</v>
      </c>
      <c r="BH19" s="870">
        <f>IF(ISERROR(VLOOKUP(BF19,Parametros!$C:$J,8,0)),0,VLOOKUP(BF19,Parametros!$C:$J,8,0))</f>
        <v>0</v>
      </c>
      <c r="BI19" s="866">
        <f t="shared" si="63"/>
        <v>0</v>
      </c>
      <c r="BJ19" s="871"/>
      <c r="BK19" s="866">
        <v>0</v>
      </c>
      <c r="BL19" s="434"/>
      <c r="BM19" s="866">
        <v>0</v>
      </c>
      <c r="BN19" s="866">
        <v>0</v>
      </c>
      <c r="BO19" s="869"/>
      <c r="BP19" s="866">
        <f t="shared" si="64"/>
        <v>0</v>
      </c>
      <c r="BQ19" s="870">
        <f>IF(ISERROR(VLOOKUP(BO19,Parametros!$C:$J,8,0)),0,VLOOKUP(BO19,Parametros!$C:$J,8,0))</f>
        <v>0</v>
      </c>
      <c r="BR19" s="866">
        <f t="shared" si="65"/>
        <v>0</v>
      </c>
      <c r="BS19" s="871"/>
      <c r="BT19" s="866">
        <v>0</v>
      </c>
      <c r="BU19" s="434"/>
      <c r="BV19" s="866">
        <v>0</v>
      </c>
      <c r="BW19" s="866">
        <v>0</v>
      </c>
      <c r="BX19" s="869"/>
      <c r="BY19" s="866">
        <f t="shared" si="66"/>
        <v>0</v>
      </c>
      <c r="BZ19" s="870">
        <f>IF(ISERROR(VLOOKUP(BX19,Parametros!$C:$J,8,0)),0,VLOOKUP(BX19,Parametros!$C:$J,8,0))</f>
        <v>0</v>
      </c>
      <c r="CA19" s="866">
        <f t="shared" si="67"/>
        <v>0</v>
      </c>
      <c r="CB19" s="434"/>
      <c r="CC19" s="866">
        <v>0</v>
      </c>
      <c r="CD19" s="866">
        <v>0</v>
      </c>
      <c r="CE19" s="866">
        <v>0</v>
      </c>
      <c r="CF19" s="866">
        <v>0</v>
      </c>
      <c r="CG19" s="866">
        <v>0</v>
      </c>
      <c r="CH19" s="866">
        <v>0</v>
      </c>
      <c r="CI19" s="866">
        <v>0</v>
      </c>
      <c r="CJ19" s="866">
        <v>0</v>
      </c>
      <c r="CK19" s="866">
        <f t="shared" si="68"/>
        <v>0</v>
      </c>
      <c r="CL19" s="863"/>
      <c r="CM19" s="863"/>
      <c r="CN19" s="863"/>
      <c r="CO19" s="434"/>
      <c r="CP19" s="434" t="s">
        <v>2282</v>
      </c>
      <c r="CQ19" s="434" t="s">
        <v>57</v>
      </c>
      <c r="CR19" s="434"/>
      <c r="CS19" s="434" t="s">
        <v>2283</v>
      </c>
      <c r="CT19" s="434"/>
      <c r="CU19" s="434"/>
      <c r="CV19" s="863"/>
      <c r="CW19" s="434"/>
      <c r="CX19" s="867"/>
      <c r="CY19" s="867"/>
      <c r="CZ19" s="867"/>
      <c r="DA19" s="434"/>
      <c r="DB19" s="867">
        <f t="shared" si="69"/>
        <v>4</v>
      </c>
      <c r="DC19" s="872" t="str">
        <f t="shared" si="53"/>
        <v>SI</v>
      </c>
      <c r="DD19" s="872" t="str">
        <f t="shared" si="54"/>
        <v>SI</v>
      </c>
      <c r="DE19" s="866">
        <f t="shared" si="70"/>
        <v>21.74</v>
      </c>
      <c r="DF19" s="866">
        <f t="shared" si="71"/>
        <v>0</v>
      </c>
      <c r="DG19" s="866">
        <f t="shared" si="72"/>
        <v>0</v>
      </c>
      <c r="DH19" s="866">
        <f t="shared" si="73"/>
        <v>0</v>
      </c>
      <c r="DI19" s="866">
        <f t="shared" si="74"/>
        <v>0</v>
      </c>
      <c r="DJ19" s="866">
        <f t="shared" si="75"/>
        <v>0</v>
      </c>
      <c r="DK19" s="866">
        <f t="shared" si="76"/>
        <v>3.26</v>
      </c>
      <c r="DL19" s="866">
        <f t="shared" si="77"/>
        <v>0</v>
      </c>
      <c r="DM19" s="866">
        <f t="shared" si="78"/>
        <v>0</v>
      </c>
      <c r="DN19" s="866">
        <f t="shared" si="79"/>
        <v>0</v>
      </c>
      <c r="DO19" s="434"/>
      <c r="DP19" s="863"/>
      <c r="DQ19" s="864" t="s">
        <v>2284</v>
      </c>
      <c r="DR19" s="864" t="s">
        <v>2285</v>
      </c>
      <c r="DS19" s="863"/>
      <c r="DT19" s="863"/>
      <c r="DU19" s="863"/>
      <c r="DV19" s="863"/>
      <c r="DW19" s="863"/>
      <c r="DX19" s="864" t="s">
        <v>1501</v>
      </c>
      <c r="DY19" s="864" t="s">
        <v>2286</v>
      </c>
      <c r="DZ19" s="864"/>
      <c r="EA19" s="863"/>
      <c r="EB19" s="863"/>
      <c r="EC19" s="863"/>
      <c r="ED19" s="863"/>
      <c r="EE19" s="866">
        <v>0</v>
      </c>
      <c r="EF19" s="866">
        <v>0</v>
      </c>
      <c r="EG19" s="866">
        <v>0</v>
      </c>
      <c r="EH19" s="863"/>
      <c r="EI19" s="434"/>
      <c r="EJ19" s="434"/>
      <c r="EK19" s="863"/>
    </row>
    <row r="20" spans="1:141" x14ac:dyDescent="0.25">
      <c r="A20" s="863" t="s">
        <v>2468</v>
      </c>
      <c r="B20" s="434" t="s">
        <v>2287</v>
      </c>
      <c r="C20" s="863" t="s">
        <v>2496</v>
      </c>
      <c r="D20" s="434" t="s">
        <v>2292</v>
      </c>
      <c r="E20" s="864" t="s">
        <v>744</v>
      </c>
      <c r="F20" s="434"/>
      <c r="G20" s="863" t="s">
        <v>1031</v>
      </c>
      <c r="H20" s="864" t="s">
        <v>2444</v>
      </c>
      <c r="I20" s="864" t="s">
        <v>2530</v>
      </c>
      <c r="J20" s="863" t="s">
        <v>2531</v>
      </c>
      <c r="K20" s="863" t="s">
        <v>2593</v>
      </c>
      <c r="L20" s="865">
        <v>46120</v>
      </c>
      <c r="M20" s="865">
        <v>46120</v>
      </c>
      <c r="N20" s="434"/>
      <c r="O20" s="864"/>
      <c r="P20" s="864"/>
      <c r="Q20" s="863"/>
      <c r="R20" s="863"/>
      <c r="S20" s="863"/>
      <c r="T20" s="863" t="s">
        <v>44</v>
      </c>
      <c r="U20" s="866">
        <v>0</v>
      </c>
      <c r="V20" s="866">
        <v>0</v>
      </c>
      <c r="W20" s="866">
        <v>0</v>
      </c>
      <c r="X20" s="866">
        <v>29.52</v>
      </c>
      <c r="Y20" s="866">
        <v>15</v>
      </c>
      <c r="Z20" s="866">
        <f t="shared" si="55"/>
        <v>4.43</v>
      </c>
      <c r="AA20" s="866">
        <v>0</v>
      </c>
      <c r="AB20" s="866">
        <v>5</v>
      </c>
      <c r="AC20" s="866">
        <f t="shared" si="56"/>
        <v>0</v>
      </c>
      <c r="AD20" s="866"/>
      <c r="AE20" s="866">
        <v>8</v>
      </c>
      <c r="AF20" s="866">
        <f t="shared" si="57"/>
        <v>0</v>
      </c>
      <c r="AG20" s="866">
        <v>0</v>
      </c>
      <c r="AH20" s="866">
        <v>0</v>
      </c>
      <c r="AI20" s="866">
        <v>0</v>
      </c>
      <c r="AJ20" s="866">
        <v>0</v>
      </c>
      <c r="AK20" s="866">
        <f t="shared" ref="AK20" si="87">ROUND(SUM(U20:X20)+SUM(Z20:AA20)+SUM(AC20:AD20)+SUM(AF20:AJ20),2)</f>
        <v>33.950000000000003</v>
      </c>
      <c r="AL20" s="866">
        <v>0</v>
      </c>
      <c r="AM20" s="434"/>
      <c r="AN20" s="863"/>
      <c r="AO20" s="863"/>
      <c r="AP20" s="863"/>
      <c r="AQ20" s="863"/>
      <c r="AR20" s="434" t="s">
        <v>1241</v>
      </c>
      <c r="AS20" s="867">
        <v>510</v>
      </c>
      <c r="AT20" s="866">
        <f t="shared" si="59"/>
        <v>29.52</v>
      </c>
      <c r="AU20" s="867">
        <v>0</v>
      </c>
      <c r="AV20" s="866">
        <f t="shared" si="60"/>
        <v>0</v>
      </c>
      <c r="AW20" s="867">
        <v>542</v>
      </c>
      <c r="AX20" s="866">
        <f t="shared" si="61"/>
        <v>0</v>
      </c>
      <c r="AY20" s="434"/>
      <c r="AZ20" s="866"/>
      <c r="BA20" s="864"/>
      <c r="BB20" s="864"/>
      <c r="BC20" s="863"/>
      <c r="BD20" s="863"/>
      <c r="BE20" s="868"/>
      <c r="BF20" s="869">
        <v>332</v>
      </c>
      <c r="BG20" s="866">
        <f t="shared" si="62"/>
        <v>29.52</v>
      </c>
      <c r="BH20" s="870">
        <f>IF(ISERROR(VLOOKUP(BF20,Parametros!$C:$J,8,0)),0,VLOOKUP(BF20,Parametros!$C:$J,8,0))</f>
        <v>0</v>
      </c>
      <c r="BI20" s="866">
        <f t="shared" si="63"/>
        <v>0</v>
      </c>
      <c r="BJ20" s="871"/>
      <c r="BK20" s="866">
        <v>0</v>
      </c>
      <c r="BL20" s="434"/>
      <c r="BM20" s="866">
        <v>0</v>
      </c>
      <c r="BN20" s="866">
        <v>0</v>
      </c>
      <c r="BO20" s="869"/>
      <c r="BP20" s="866">
        <f t="shared" si="64"/>
        <v>0</v>
      </c>
      <c r="BQ20" s="870">
        <f>IF(ISERROR(VLOOKUP(BO20,Parametros!$C:$J,8,0)),0,VLOOKUP(BO20,Parametros!$C:$J,8,0))</f>
        <v>0</v>
      </c>
      <c r="BR20" s="866">
        <f t="shared" si="65"/>
        <v>0</v>
      </c>
      <c r="BS20" s="871"/>
      <c r="BT20" s="866">
        <v>0</v>
      </c>
      <c r="BU20" s="434"/>
      <c r="BV20" s="866">
        <v>0</v>
      </c>
      <c r="BW20" s="866">
        <v>0</v>
      </c>
      <c r="BX20" s="869"/>
      <c r="BY20" s="866">
        <f t="shared" si="66"/>
        <v>0</v>
      </c>
      <c r="BZ20" s="870">
        <f>IF(ISERROR(VLOOKUP(BX20,Parametros!$C:$J,8,0)),0,VLOOKUP(BX20,Parametros!$C:$J,8,0))</f>
        <v>0</v>
      </c>
      <c r="CA20" s="866">
        <f t="shared" si="67"/>
        <v>0</v>
      </c>
      <c r="CB20" s="434"/>
      <c r="CC20" s="866">
        <v>0</v>
      </c>
      <c r="CD20" s="866">
        <v>0</v>
      </c>
      <c r="CE20" s="866">
        <v>0</v>
      </c>
      <c r="CF20" s="866">
        <v>0</v>
      </c>
      <c r="CG20" s="866">
        <v>0</v>
      </c>
      <c r="CH20" s="866">
        <v>0</v>
      </c>
      <c r="CI20" s="866">
        <v>0</v>
      </c>
      <c r="CJ20" s="866">
        <v>0</v>
      </c>
      <c r="CK20" s="866">
        <f t="shared" si="68"/>
        <v>0</v>
      </c>
      <c r="CL20" s="863"/>
      <c r="CM20" s="863"/>
      <c r="CN20" s="863"/>
      <c r="CO20" s="434"/>
      <c r="CP20" s="434" t="s">
        <v>2282</v>
      </c>
      <c r="CQ20" s="434" t="s">
        <v>57</v>
      </c>
      <c r="CR20" s="434"/>
      <c r="CS20" s="434" t="s">
        <v>2283</v>
      </c>
      <c r="CT20" s="434"/>
      <c r="CU20" s="434"/>
      <c r="CV20" s="863"/>
      <c r="CW20" s="434"/>
      <c r="CX20" s="867"/>
      <c r="CY20" s="867"/>
      <c r="CZ20" s="867"/>
      <c r="DA20" s="434"/>
      <c r="DB20" s="867">
        <f t="shared" si="69"/>
        <v>4</v>
      </c>
      <c r="DC20" s="872" t="str">
        <f t="shared" si="53"/>
        <v>SI</v>
      </c>
      <c r="DD20" s="872" t="str">
        <f t="shared" si="54"/>
        <v>SI</v>
      </c>
      <c r="DE20" s="866">
        <f t="shared" si="70"/>
        <v>29.52</v>
      </c>
      <c r="DF20" s="866">
        <f t="shared" si="71"/>
        <v>0</v>
      </c>
      <c r="DG20" s="866">
        <f t="shared" si="72"/>
        <v>0</v>
      </c>
      <c r="DH20" s="866">
        <f t="shared" si="73"/>
        <v>0</v>
      </c>
      <c r="DI20" s="866">
        <f t="shared" si="74"/>
        <v>0</v>
      </c>
      <c r="DJ20" s="866">
        <f t="shared" si="75"/>
        <v>0</v>
      </c>
      <c r="DK20" s="866">
        <f t="shared" si="76"/>
        <v>4.43</v>
      </c>
      <c r="DL20" s="866">
        <f t="shared" si="77"/>
        <v>0</v>
      </c>
      <c r="DM20" s="866">
        <f t="shared" si="78"/>
        <v>0</v>
      </c>
      <c r="DN20" s="866">
        <f t="shared" si="79"/>
        <v>0</v>
      </c>
      <c r="DO20" s="434"/>
      <c r="DP20" s="863"/>
      <c r="DQ20" s="864" t="s">
        <v>2284</v>
      </c>
      <c r="DR20" s="864" t="s">
        <v>2285</v>
      </c>
      <c r="DS20" s="863"/>
      <c r="DT20" s="863"/>
      <c r="DU20" s="863"/>
      <c r="DV20" s="863"/>
      <c r="DW20" s="863"/>
      <c r="DX20" s="864" t="s">
        <v>1501</v>
      </c>
      <c r="DY20" s="864" t="s">
        <v>2286</v>
      </c>
      <c r="DZ20" s="864"/>
      <c r="EA20" s="863"/>
      <c r="EB20" s="863"/>
      <c r="EC20" s="863"/>
      <c r="ED20" s="863"/>
      <c r="EE20" s="866">
        <v>0</v>
      </c>
      <c r="EF20" s="866">
        <v>0</v>
      </c>
      <c r="EG20" s="866">
        <v>0</v>
      </c>
      <c r="EH20" s="863"/>
      <c r="EI20" s="434"/>
      <c r="EJ20" s="434"/>
      <c r="EK20" s="863"/>
    </row>
    <row r="21" spans="1:141" x14ac:dyDescent="0.25">
      <c r="A21" s="863" t="s">
        <v>2469</v>
      </c>
      <c r="B21" s="434" t="s">
        <v>2287</v>
      </c>
      <c r="C21" s="863" t="s">
        <v>2497</v>
      </c>
      <c r="D21" s="434" t="s">
        <v>2292</v>
      </c>
      <c r="E21" s="864" t="s">
        <v>744</v>
      </c>
      <c r="F21" s="434"/>
      <c r="G21" s="863" t="s">
        <v>1031</v>
      </c>
      <c r="H21" s="864" t="s">
        <v>1230</v>
      </c>
      <c r="I21" s="864" t="s">
        <v>2458</v>
      </c>
      <c r="J21" s="863" t="s">
        <v>2532</v>
      </c>
      <c r="K21" s="863" t="s">
        <v>2594</v>
      </c>
      <c r="L21" s="865">
        <v>46120</v>
      </c>
      <c r="M21" s="865">
        <v>46120</v>
      </c>
      <c r="N21" s="434"/>
      <c r="O21" s="864"/>
      <c r="P21" s="864"/>
      <c r="Q21" s="863"/>
      <c r="R21" s="863"/>
      <c r="S21" s="863"/>
      <c r="T21" s="863" t="s">
        <v>44</v>
      </c>
      <c r="U21" s="866">
        <v>0</v>
      </c>
      <c r="V21" s="866">
        <v>0</v>
      </c>
      <c r="W21" s="866">
        <v>0</v>
      </c>
      <c r="X21" s="866">
        <v>145.11000000000001</v>
      </c>
      <c r="Y21" s="866">
        <v>15</v>
      </c>
      <c r="Z21" s="866">
        <f t="shared" si="55"/>
        <v>21.77</v>
      </c>
      <c r="AA21" s="866">
        <v>0</v>
      </c>
      <c r="AB21" s="866">
        <v>5</v>
      </c>
      <c r="AC21" s="866">
        <f t="shared" si="56"/>
        <v>0</v>
      </c>
      <c r="AD21" s="866"/>
      <c r="AE21" s="866">
        <v>8</v>
      </c>
      <c r="AF21" s="866">
        <f t="shared" si="57"/>
        <v>0</v>
      </c>
      <c r="AG21" s="866">
        <v>0</v>
      </c>
      <c r="AH21" s="866">
        <v>0</v>
      </c>
      <c r="AI21" s="866">
        <v>0</v>
      </c>
      <c r="AJ21" s="866">
        <v>0</v>
      </c>
      <c r="AK21" s="866">
        <f t="shared" ref="AK21" si="88">ROUND(SUM(U21:X21)+SUM(Z21:AA21)+SUM(AC21:AD21)+SUM(AF21:AJ21),2)</f>
        <v>166.88</v>
      </c>
      <c r="AL21" s="866">
        <v>0</v>
      </c>
      <c r="AM21" s="434"/>
      <c r="AN21" s="863"/>
      <c r="AO21" s="863"/>
      <c r="AP21" s="863"/>
      <c r="AQ21" s="863"/>
      <c r="AR21" s="434" t="s">
        <v>1241</v>
      </c>
      <c r="AS21" s="867">
        <v>510</v>
      </c>
      <c r="AT21" s="866">
        <f t="shared" si="59"/>
        <v>145.11000000000001</v>
      </c>
      <c r="AU21" s="867">
        <v>0</v>
      </c>
      <c r="AV21" s="866">
        <f t="shared" si="60"/>
        <v>0</v>
      </c>
      <c r="AW21" s="867">
        <v>542</v>
      </c>
      <c r="AX21" s="866">
        <f t="shared" si="61"/>
        <v>0</v>
      </c>
      <c r="AY21" s="434"/>
      <c r="AZ21" s="866"/>
      <c r="BA21" s="864"/>
      <c r="BB21" s="864"/>
      <c r="BC21" s="863"/>
      <c r="BD21" s="863"/>
      <c r="BE21" s="868"/>
      <c r="BF21" s="869">
        <v>332</v>
      </c>
      <c r="BG21" s="866">
        <f t="shared" si="62"/>
        <v>145.11000000000001</v>
      </c>
      <c r="BH21" s="870">
        <f>IF(ISERROR(VLOOKUP(BF21,Parametros!$C:$J,8,0)),0,VLOOKUP(BF21,Parametros!$C:$J,8,0))</f>
        <v>0</v>
      </c>
      <c r="BI21" s="866">
        <f t="shared" si="63"/>
        <v>0</v>
      </c>
      <c r="BJ21" s="871"/>
      <c r="BK21" s="866">
        <v>0</v>
      </c>
      <c r="BL21" s="434"/>
      <c r="BM21" s="866">
        <v>0</v>
      </c>
      <c r="BN21" s="866">
        <v>0</v>
      </c>
      <c r="BO21" s="869"/>
      <c r="BP21" s="866">
        <f t="shared" si="64"/>
        <v>0</v>
      </c>
      <c r="BQ21" s="870">
        <f>IF(ISERROR(VLOOKUP(BO21,Parametros!$C:$J,8,0)),0,VLOOKUP(BO21,Parametros!$C:$J,8,0))</f>
        <v>0</v>
      </c>
      <c r="BR21" s="866">
        <f t="shared" si="65"/>
        <v>0</v>
      </c>
      <c r="BS21" s="871"/>
      <c r="BT21" s="866">
        <v>0</v>
      </c>
      <c r="BU21" s="434"/>
      <c r="BV21" s="866">
        <v>0</v>
      </c>
      <c r="BW21" s="866">
        <v>0</v>
      </c>
      <c r="BX21" s="869"/>
      <c r="BY21" s="866">
        <f t="shared" si="66"/>
        <v>0</v>
      </c>
      <c r="BZ21" s="870">
        <f>IF(ISERROR(VLOOKUP(BX21,Parametros!$C:$J,8,0)),0,VLOOKUP(BX21,Parametros!$C:$J,8,0))</f>
        <v>0</v>
      </c>
      <c r="CA21" s="866">
        <f t="shared" si="67"/>
        <v>0</v>
      </c>
      <c r="CB21" s="434"/>
      <c r="CC21" s="866">
        <v>0</v>
      </c>
      <c r="CD21" s="866">
        <v>0</v>
      </c>
      <c r="CE21" s="866">
        <v>0</v>
      </c>
      <c r="CF21" s="866">
        <v>0</v>
      </c>
      <c r="CG21" s="866">
        <v>0</v>
      </c>
      <c r="CH21" s="866">
        <v>0</v>
      </c>
      <c r="CI21" s="866">
        <v>0</v>
      </c>
      <c r="CJ21" s="866">
        <v>0</v>
      </c>
      <c r="CK21" s="866">
        <f t="shared" si="68"/>
        <v>0</v>
      </c>
      <c r="CL21" s="863"/>
      <c r="CM21" s="863"/>
      <c r="CN21" s="863"/>
      <c r="CO21" s="434"/>
      <c r="CP21" s="434" t="s">
        <v>2282</v>
      </c>
      <c r="CQ21" s="434" t="s">
        <v>57</v>
      </c>
      <c r="CR21" s="434"/>
      <c r="CS21" s="434" t="s">
        <v>2283</v>
      </c>
      <c r="CT21" s="434"/>
      <c r="CU21" s="434"/>
      <c r="CV21" s="863"/>
      <c r="CW21" s="434"/>
      <c r="CX21" s="867"/>
      <c r="CY21" s="867"/>
      <c r="CZ21" s="867"/>
      <c r="DA21" s="434"/>
      <c r="DB21" s="867">
        <f t="shared" si="69"/>
        <v>4</v>
      </c>
      <c r="DC21" s="872" t="str">
        <f t="shared" si="53"/>
        <v>SI</v>
      </c>
      <c r="DD21" s="872" t="str">
        <f t="shared" si="54"/>
        <v>SI</v>
      </c>
      <c r="DE21" s="866">
        <f t="shared" si="70"/>
        <v>145.11000000000001</v>
      </c>
      <c r="DF21" s="866">
        <f t="shared" si="71"/>
        <v>0</v>
      </c>
      <c r="DG21" s="866">
        <f t="shared" si="72"/>
        <v>0</v>
      </c>
      <c r="DH21" s="866">
        <f t="shared" si="73"/>
        <v>0</v>
      </c>
      <c r="DI21" s="866">
        <f t="shared" si="74"/>
        <v>0</v>
      </c>
      <c r="DJ21" s="866">
        <f t="shared" si="75"/>
        <v>0</v>
      </c>
      <c r="DK21" s="866">
        <f t="shared" si="76"/>
        <v>21.77</v>
      </c>
      <c r="DL21" s="866">
        <f t="shared" si="77"/>
        <v>0</v>
      </c>
      <c r="DM21" s="866">
        <f t="shared" si="78"/>
        <v>0</v>
      </c>
      <c r="DN21" s="866">
        <f t="shared" si="79"/>
        <v>0</v>
      </c>
      <c r="DO21" s="434"/>
      <c r="DP21" s="863"/>
      <c r="DQ21" s="864" t="s">
        <v>2284</v>
      </c>
      <c r="DR21" s="864" t="s">
        <v>2285</v>
      </c>
      <c r="DS21" s="863"/>
      <c r="DT21" s="863"/>
      <c r="DU21" s="863"/>
      <c r="DV21" s="863"/>
      <c r="DW21" s="863"/>
      <c r="DX21" s="864" t="s">
        <v>1501</v>
      </c>
      <c r="DY21" s="864" t="s">
        <v>2286</v>
      </c>
      <c r="DZ21" s="864"/>
      <c r="EA21" s="863"/>
      <c r="EB21" s="863"/>
      <c r="EC21" s="863"/>
      <c r="ED21" s="863"/>
      <c r="EE21" s="866">
        <v>0</v>
      </c>
      <c r="EF21" s="866">
        <v>0</v>
      </c>
      <c r="EG21" s="866">
        <v>0</v>
      </c>
      <c r="EH21" s="863"/>
      <c r="EI21" s="434"/>
      <c r="EJ21" s="434"/>
      <c r="EK21" s="863"/>
    </row>
    <row r="22" spans="1:141" x14ac:dyDescent="0.25">
      <c r="A22" s="863" t="s">
        <v>2469</v>
      </c>
      <c r="B22" s="434" t="s">
        <v>2287</v>
      </c>
      <c r="C22" s="863" t="s">
        <v>2498</v>
      </c>
      <c r="D22" s="434" t="s">
        <v>2292</v>
      </c>
      <c r="E22" s="864" t="s">
        <v>744</v>
      </c>
      <c r="F22" s="434"/>
      <c r="G22" s="863" t="s">
        <v>1031</v>
      </c>
      <c r="H22" s="864" t="s">
        <v>2533</v>
      </c>
      <c r="I22" s="864" t="s">
        <v>2458</v>
      </c>
      <c r="J22" s="863" t="s">
        <v>2534</v>
      </c>
      <c r="K22" s="863" t="s">
        <v>2595</v>
      </c>
      <c r="L22" s="865">
        <v>46120</v>
      </c>
      <c r="M22" s="865">
        <v>46120</v>
      </c>
      <c r="N22" s="434"/>
      <c r="O22" s="864"/>
      <c r="P22" s="864"/>
      <c r="Q22" s="863"/>
      <c r="R22" s="863"/>
      <c r="S22" s="863"/>
      <c r="T22" s="863" t="s">
        <v>44</v>
      </c>
      <c r="U22" s="866">
        <v>0</v>
      </c>
      <c r="V22" s="866">
        <v>0</v>
      </c>
      <c r="W22" s="866">
        <v>0</v>
      </c>
      <c r="X22" s="866">
        <v>75.7</v>
      </c>
      <c r="Y22" s="866">
        <v>15</v>
      </c>
      <c r="Z22" s="866">
        <f t="shared" si="55"/>
        <v>11.36</v>
      </c>
      <c r="AA22" s="866">
        <v>0</v>
      </c>
      <c r="AB22" s="866">
        <v>5</v>
      </c>
      <c r="AC22" s="866">
        <f t="shared" si="56"/>
        <v>0</v>
      </c>
      <c r="AD22" s="866"/>
      <c r="AE22" s="866">
        <v>8</v>
      </c>
      <c r="AF22" s="866">
        <f t="shared" si="57"/>
        <v>0</v>
      </c>
      <c r="AG22" s="866">
        <v>0</v>
      </c>
      <c r="AH22" s="866">
        <v>0</v>
      </c>
      <c r="AI22" s="866">
        <v>0</v>
      </c>
      <c r="AJ22" s="866">
        <v>0</v>
      </c>
      <c r="AK22" s="866">
        <f t="shared" ref="AK22" si="89">ROUND(SUM(U22:X22)+SUM(Z22:AA22)+SUM(AC22:AD22)+SUM(AF22:AJ22),2)</f>
        <v>87.06</v>
      </c>
      <c r="AL22" s="866">
        <v>0</v>
      </c>
      <c r="AM22" s="434"/>
      <c r="AN22" s="863"/>
      <c r="AO22" s="863"/>
      <c r="AP22" s="863"/>
      <c r="AQ22" s="863"/>
      <c r="AR22" s="434" t="s">
        <v>1241</v>
      </c>
      <c r="AS22" s="867">
        <v>510</v>
      </c>
      <c r="AT22" s="866">
        <f t="shared" si="59"/>
        <v>75.7</v>
      </c>
      <c r="AU22" s="867">
        <v>0</v>
      </c>
      <c r="AV22" s="866">
        <f t="shared" si="60"/>
        <v>0</v>
      </c>
      <c r="AW22" s="867">
        <v>542</v>
      </c>
      <c r="AX22" s="866">
        <f t="shared" si="61"/>
        <v>0</v>
      </c>
      <c r="AY22" s="434"/>
      <c r="AZ22" s="866"/>
      <c r="BA22" s="864"/>
      <c r="BB22" s="864"/>
      <c r="BC22" s="863"/>
      <c r="BD22" s="863"/>
      <c r="BE22" s="868"/>
      <c r="BF22" s="869">
        <v>332</v>
      </c>
      <c r="BG22" s="866">
        <f t="shared" si="62"/>
        <v>75.7</v>
      </c>
      <c r="BH22" s="870">
        <f>IF(ISERROR(VLOOKUP(BF22,Parametros!$C:$J,8,0)),0,VLOOKUP(BF22,Parametros!$C:$J,8,0))</f>
        <v>0</v>
      </c>
      <c r="BI22" s="866">
        <f t="shared" si="63"/>
        <v>0</v>
      </c>
      <c r="BJ22" s="871"/>
      <c r="BK22" s="866">
        <v>0</v>
      </c>
      <c r="BL22" s="434"/>
      <c r="BM22" s="866">
        <v>0</v>
      </c>
      <c r="BN22" s="866">
        <v>0</v>
      </c>
      <c r="BO22" s="869"/>
      <c r="BP22" s="866">
        <f t="shared" si="64"/>
        <v>0</v>
      </c>
      <c r="BQ22" s="870">
        <f>IF(ISERROR(VLOOKUP(BO22,Parametros!$C:$J,8,0)),0,VLOOKUP(BO22,Parametros!$C:$J,8,0))</f>
        <v>0</v>
      </c>
      <c r="BR22" s="866">
        <f t="shared" si="65"/>
        <v>0</v>
      </c>
      <c r="BS22" s="871"/>
      <c r="BT22" s="866">
        <v>0</v>
      </c>
      <c r="BU22" s="434"/>
      <c r="BV22" s="866">
        <v>0</v>
      </c>
      <c r="BW22" s="866">
        <v>0</v>
      </c>
      <c r="BX22" s="869"/>
      <c r="BY22" s="866">
        <f t="shared" si="66"/>
        <v>0</v>
      </c>
      <c r="BZ22" s="870">
        <f>IF(ISERROR(VLOOKUP(BX22,Parametros!$C:$J,8,0)),0,VLOOKUP(BX22,Parametros!$C:$J,8,0))</f>
        <v>0</v>
      </c>
      <c r="CA22" s="866">
        <f t="shared" si="67"/>
        <v>0</v>
      </c>
      <c r="CB22" s="434"/>
      <c r="CC22" s="866">
        <v>0</v>
      </c>
      <c r="CD22" s="866">
        <v>0</v>
      </c>
      <c r="CE22" s="866">
        <v>0</v>
      </c>
      <c r="CF22" s="866">
        <v>0</v>
      </c>
      <c r="CG22" s="866">
        <v>0</v>
      </c>
      <c r="CH22" s="866">
        <v>0</v>
      </c>
      <c r="CI22" s="866">
        <v>0</v>
      </c>
      <c r="CJ22" s="866">
        <v>0</v>
      </c>
      <c r="CK22" s="866">
        <f t="shared" si="68"/>
        <v>0</v>
      </c>
      <c r="CL22" s="863"/>
      <c r="CM22" s="863"/>
      <c r="CN22" s="863"/>
      <c r="CO22" s="434"/>
      <c r="CP22" s="434" t="s">
        <v>2282</v>
      </c>
      <c r="CQ22" s="434" t="s">
        <v>57</v>
      </c>
      <c r="CR22" s="434"/>
      <c r="CS22" s="434" t="s">
        <v>2283</v>
      </c>
      <c r="CT22" s="434"/>
      <c r="CU22" s="434"/>
      <c r="CV22" s="863"/>
      <c r="CW22" s="434"/>
      <c r="CX22" s="867"/>
      <c r="CY22" s="867"/>
      <c r="CZ22" s="867"/>
      <c r="DA22" s="434"/>
      <c r="DB22" s="867">
        <f t="shared" si="69"/>
        <v>4</v>
      </c>
      <c r="DC22" s="872" t="str">
        <f t="shared" si="53"/>
        <v>SI</v>
      </c>
      <c r="DD22" s="872" t="str">
        <f t="shared" si="54"/>
        <v>SI</v>
      </c>
      <c r="DE22" s="866">
        <f t="shared" si="70"/>
        <v>75.7</v>
      </c>
      <c r="DF22" s="866">
        <f t="shared" si="71"/>
        <v>0</v>
      </c>
      <c r="DG22" s="866">
        <f t="shared" si="72"/>
        <v>0</v>
      </c>
      <c r="DH22" s="866">
        <f t="shared" si="73"/>
        <v>0</v>
      </c>
      <c r="DI22" s="866">
        <f t="shared" si="74"/>
        <v>0</v>
      </c>
      <c r="DJ22" s="866">
        <f t="shared" si="75"/>
        <v>0</v>
      </c>
      <c r="DK22" s="866">
        <f t="shared" si="76"/>
        <v>11.36</v>
      </c>
      <c r="DL22" s="866">
        <f t="shared" si="77"/>
        <v>0</v>
      </c>
      <c r="DM22" s="866">
        <f t="shared" si="78"/>
        <v>0</v>
      </c>
      <c r="DN22" s="866">
        <f t="shared" si="79"/>
        <v>0</v>
      </c>
      <c r="DO22" s="434"/>
      <c r="DP22" s="863"/>
      <c r="DQ22" s="864" t="s">
        <v>2284</v>
      </c>
      <c r="DR22" s="864" t="s">
        <v>2285</v>
      </c>
      <c r="DS22" s="863"/>
      <c r="DT22" s="863"/>
      <c r="DU22" s="863"/>
      <c r="DV22" s="863"/>
      <c r="DW22" s="863"/>
      <c r="DX22" s="864" t="s">
        <v>1501</v>
      </c>
      <c r="DY22" s="864" t="s">
        <v>2286</v>
      </c>
      <c r="DZ22" s="864"/>
      <c r="EA22" s="863"/>
      <c r="EB22" s="863"/>
      <c r="EC22" s="863"/>
      <c r="ED22" s="863"/>
      <c r="EE22" s="866">
        <v>0</v>
      </c>
      <c r="EF22" s="866">
        <v>0</v>
      </c>
      <c r="EG22" s="866">
        <v>0</v>
      </c>
      <c r="EH22" s="863"/>
      <c r="EI22" s="434"/>
      <c r="EJ22" s="434"/>
      <c r="EK22" s="863"/>
    </row>
    <row r="23" spans="1:141" x14ac:dyDescent="0.25">
      <c r="A23" s="863" t="s">
        <v>2470</v>
      </c>
      <c r="B23" s="434" t="s">
        <v>2287</v>
      </c>
      <c r="C23" s="863" t="s">
        <v>2499</v>
      </c>
      <c r="D23" s="434" t="s">
        <v>2292</v>
      </c>
      <c r="E23" s="864" t="s">
        <v>744</v>
      </c>
      <c r="F23" s="434"/>
      <c r="G23" s="863" t="s">
        <v>1031</v>
      </c>
      <c r="H23" s="864" t="s">
        <v>2447</v>
      </c>
      <c r="I23" s="864" t="s">
        <v>2442</v>
      </c>
      <c r="J23" s="863" t="s">
        <v>2535</v>
      </c>
      <c r="K23" s="863" t="s">
        <v>2596</v>
      </c>
      <c r="L23" s="865">
        <v>46120</v>
      </c>
      <c r="M23" s="865">
        <v>46120</v>
      </c>
      <c r="N23" s="434"/>
      <c r="O23" s="864"/>
      <c r="P23" s="864"/>
      <c r="Q23" s="863"/>
      <c r="R23" s="863"/>
      <c r="S23" s="863"/>
      <c r="T23" s="863" t="s">
        <v>44</v>
      </c>
      <c r="U23" s="866">
        <v>0</v>
      </c>
      <c r="V23" s="866">
        <v>0</v>
      </c>
      <c r="W23" s="866">
        <v>0</v>
      </c>
      <c r="X23" s="866">
        <v>17.55</v>
      </c>
      <c r="Y23" s="866">
        <v>15</v>
      </c>
      <c r="Z23" s="866">
        <f t="shared" si="55"/>
        <v>2.63</v>
      </c>
      <c r="AA23" s="866">
        <v>0</v>
      </c>
      <c r="AB23" s="866">
        <v>5</v>
      </c>
      <c r="AC23" s="866">
        <f t="shared" si="56"/>
        <v>0</v>
      </c>
      <c r="AD23" s="866"/>
      <c r="AE23" s="866">
        <v>8</v>
      </c>
      <c r="AF23" s="866">
        <f t="shared" si="57"/>
        <v>0</v>
      </c>
      <c r="AG23" s="866">
        <v>0</v>
      </c>
      <c r="AH23" s="866">
        <v>0</v>
      </c>
      <c r="AI23" s="866">
        <v>0</v>
      </c>
      <c r="AJ23" s="866">
        <v>0</v>
      </c>
      <c r="AK23" s="866">
        <f t="shared" ref="AK23" si="90">ROUND(SUM(U23:X23)+SUM(Z23:AA23)+SUM(AC23:AD23)+SUM(AF23:AJ23),2)</f>
        <v>20.18</v>
      </c>
      <c r="AL23" s="866">
        <v>0</v>
      </c>
      <c r="AM23" s="434"/>
      <c r="AN23" s="863"/>
      <c r="AO23" s="863"/>
      <c r="AP23" s="863"/>
      <c r="AQ23" s="863"/>
      <c r="AR23" s="434" t="s">
        <v>1241</v>
      </c>
      <c r="AS23" s="867">
        <v>510</v>
      </c>
      <c r="AT23" s="866">
        <f t="shared" si="59"/>
        <v>17.55</v>
      </c>
      <c r="AU23" s="867">
        <v>0</v>
      </c>
      <c r="AV23" s="866">
        <f t="shared" si="60"/>
        <v>0</v>
      </c>
      <c r="AW23" s="867">
        <v>542</v>
      </c>
      <c r="AX23" s="866">
        <f t="shared" si="61"/>
        <v>0</v>
      </c>
      <c r="AY23" s="434"/>
      <c r="AZ23" s="866"/>
      <c r="BA23" s="864"/>
      <c r="BB23" s="864"/>
      <c r="BC23" s="863"/>
      <c r="BD23" s="863"/>
      <c r="BE23" s="868"/>
      <c r="BF23" s="869">
        <v>332</v>
      </c>
      <c r="BG23" s="866">
        <f t="shared" si="62"/>
        <v>17.55</v>
      </c>
      <c r="BH23" s="870">
        <f>IF(ISERROR(VLOOKUP(BF23,Parametros!$C:$J,8,0)),0,VLOOKUP(BF23,Parametros!$C:$J,8,0))</f>
        <v>0</v>
      </c>
      <c r="BI23" s="866">
        <f t="shared" si="63"/>
        <v>0</v>
      </c>
      <c r="BJ23" s="871"/>
      <c r="BK23" s="866">
        <v>0</v>
      </c>
      <c r="BL23" s="434"/>
      <c r="BM23" s="866">
        <v>0</v>
      </c>
      <c r="BN23" s="866">
        <v>0</v>
      </c>
      <c r="BO23" s="869"/>
      <c r="BP23" s="866">
        <f t="shared" si="64"/>
        <v>0</v>
      </c>
      <c r="BQ23" s="870">
        <f>IF(ISERROR(VLOOKUP(BO23,Parametros!$C:$J,8,0)),0,VLOOKUP(BO23,Parametros!$C:$J,8,0))</f>
        <v>0</v>
      </c>
      <c r="BR23" s="866">
        <f t="shared" si="65"/>
        <v>0</v>
      </c>
      <c r="BS23" s="871"/>
      <c r="BT23" s="866">
        <v>0</v>
      </c>
      <c r="BU23" s="434"/>
      <c r="BV23" s="866">
        <v>0</v>
      </c>
      <c r="BW23" s="866">
        <v>0</v>
      </c>
      <c r="BX23" s="869"/>
      <c r="BY23" s="866">
        <f t="shared" si="66"/>
        <v>0</v>
      </c>
      <c r="BZ23" s="870">
        <f>IF(ISERROR(VLOOKUP(BX23,Parametros!$C:$J,8,0)),0,VLOOKUP(BX23,Parametros!$C:$J,8,0))</f>
        <v>0</v>
      </c>
      <c r="CA23" s="866">
        <f t="shared" si="67"/>
        <v>0</v>
      </c>
      <c r="CB23" s="434"/>
      <c r="CC23" s="866">
        <v>0</v>
      </c>
      <c r="CD23" s="866">
        <v>0</v>
      </c>
      <c r="CE23" s="866">
        <v>0</v>
      </c>
      <c r="CF23" s="866">
        <v>0</v>
      </c>
      <c r="CG23" s="866">
        <v>0</v>
      </c>
      <c r="CH23" s="866">
        <v>0</v>
      </c>
      <c r="CI23" s="866">
        <v>0</v>
      </c>
      <c r="CJ23" s="866">
        <v>0</v>
      </c>
      <c r="CK23" s="866">
        <f t="shared" si="68"/>
        <v>0</v>
      </c>
      <c r="CL23" s="863"/>
      <c r="CM23" s="863"/>
      <c r="CN23" s="863"/>
      <c r="CO23" s="434"/>
      <c r="CP23" s="434" t="s">
        <v>2282</v>
      </c>
      <c r="CQ23" s="434" t="s">
        <v>57</v>
      </c>
      <c r="CR23" s="434"/>
      <c r="CS23" s="434" t="s">
        <v>2283</v>
      </c>
      <c r="CT23" s="434"/>
      <c r="CU23" s="434"/>
      <c r="CV23" s="863"/>
      <c r="CW23" s="434"/>
      <c r="CX23" s="867"/>
      <c r="CY23" s="867"/>
      <c r="CZ23" s="867"/>
      <c r="DA23" s="434"/>
      <c r="DB23" s="867">
        <f t="shared" si="69"/>
        <v>4</v>
      </c>
      <c r="DC23" s="872" t="str">
        <f t="shared" si="53"/>
        <v>SI</v>
      </c>
      <c r="DD23" s="872" t="str">
        <f t="shared" si="54"/>
        <v>SI</v>
      </c>
      <c r="DE23" s="866">
        <f t="shared" si="70"/>
        <v>17.55</v>
      </c>
      <c r="DF23" s="866">
        <f t="shared" si="71"/>
        <v>0</v>
      </c>
      <c r="DG23" s="866">
        <f t="shared" si="72"/>
        <v>0</v>
      </c>
      <c r="DH23" s="866">
        <f t="shared" si="73"/>
        <v>0</v>
      </c>
      <c r="DI23" s="866">
        <f t="shared" si="74"/>
        <v>0</v>
      </c>
      <c r="DJ23" s="866">
        <f t="shared" si="75"/>
        <v>0</v>
      </c>
      <c r="DK23" s="866">
        <f t="shared" si="76"/>
        <v>2.63</v>
      </c>
      <c r="DL23" s="866">
        <f t="shared" si="77"/>
        <v>0</v>
      </c>
      <c r="DM23" s="866">
        <f t="shared" si="78"/>
        <v>0</v>
      </c>
      <c r="DN23" s="866">
        <f t="shared" si="79"/>
        <v>0</v>
      </c>
      <c r="DO23" s="434"/>
      <c r="DP23" s="863"/>
      <c r="DQ23" s="864" t="s">
        <v>2284</v>
      </c>
      <c r="DR23" s="864" t="s">
        <v>2285</v>
      </c>
      <c r="DS23" s="863"/>
      <c r="DT23" s="863"/>
      <c r="DU23" s="863"/>
      <c r="DV23" s="863"/>
      <c r="DW23" s="863"/>
      <c r="DX23" s="864" t="s">
        <v>1501</v>
      </c>
      <c r="DY23" s="864" t="s">
        <v>2286</v>
      </c>
      <c r="DZ23" s="864"/>
      <c r="EA23" s="863"/>
      <c r="EB23" s="863"/>
      <c r="EC23" s="863"/>
      <c r="ED23" s="863"/>
      <c r="EE23" s="866">
        <v>0</v>
      </c>
      <c r="EF23" s="866">
        <v>0</v>
      </c>
      <c r="EG23" s="866">
        <v>0</v>
      </c>
      <c r="EH23" s="863"/>
      <c r="EI23" s="434"/>
      <c r="EJ23" s="434"/>
      <c r="EK23" s="863"/>
    </row>
    <row r="24" spans="1:141" x14ac:dyDescent="0.25">
      <c r="A24" s="863" t="s">
        <v>2471</v>
      </c>
      <c r="B24" s="434" t="s">
        <v>2287</v>
      </c>
      <c r="C24" s="863" t="s">
        <v>2500</v>
      </c>
      <c r="D24" s="434" t="s">
        <v>2292</v>
      </c>
      <c r="E24" s="864" t="s">
        <v>744</v>
      </c>
      <c r="F24" s="434"/>
      <c r="G24" s="863" t="s">
        <v>1031</v>
      </c>
      <c r="H24" s="864" t="s">
        <v>2446</v>
      </c>
      <c r="I24" s="864" t="s">
        <v>8</v>
      </c>
      <c r="J24" s="863" t="s">
        <v>2536</v>
      </c>
      <c r="K24" s="863" t="s">
        <v>2597</v>
      </c>
      <c r="L24" s="865">
        <v>46121</v>
      </c>
      <c r="M24" s="865">
        <v>46121</v>
      </c>
      <c r="N24" s="434"/>
      <c r="O24" s="864"/>
      <c r="P24" s="864"/>
      <c r="Q24" s="863"/>
      <c r="R24" s="863"/>
      <c r="S24" s="863"/>
      <c r="T24" s="863" t="s">
        <v>44</v>
      </c>
      <c r="U24" s="866">
        <v>0</v>
      </c>
      <c r="V24" s="866">
        <v>0</v>
      </c>
      <c r="W24" s="866">
        <v>0</v>
      </c>
      <c r="X24" s="866">
        <v>8760</v>
      </c>
      <c r="Y24" s="866">
        <v>15</v>
      </c>
      <c r="Z24" s="866">
        <f t="shared" si="55"/>
        <v>1314</v>
      </c>
      <c r="AA24" s="866">
        <v>0</v>
      </c>
      <c r="AB24" s="866">
        <v>5</v>
      </c>
      <c r="AC24" s="866">
        <f t="shared" si="56"/>
        <v>0</v>
      </c>
      <c r="AD24" s="866"/>
      <c r="AE24" s="866">
        <v>8</v>
      </c>
      <c r="AF24" s="866">
        <f t="shared" si="57"/>
        <v>0</v>
      </c>
      <c r="AG24" s="866">
        <v>0</v>
      </c>
      <c r="AH24" s="866">
        <v>0</v>
      </c>
      <c r="AI24" s="866">
        <v>0</v>
      </c>
      <c r="AJ24" s="866">
        <v>0</v>
      </c>
      <c r="AK24" s="866">
        <f t="shared" ref="AK24" si="91">ROUND(SUM(U24:X24)+SUM(Z24:AA24)+SUM(AC24:AD24)+SUM(AF24:AJ24),2)</f>
        <v>10074</v>
      </c>
      <c r="AL24" s="866">
        <v>0</v>
      </c>
      <c r="AM24" s="434"/>
      <c r="AN24" s="863"/>
      <c r="AO24" s="863"/>
      <c r="AP24" s="863"/>
      <c r="AQ24" s="863"/>
      <c r="AR24" s="434" t="s">
        <v>1241</v>
      </c>
      <c r="AS24" s="867">
        <v>510</v>
      </c>
      <c r="AT24" s="866">
        <f t="shared" si="59"/>
        <v>8760</v>
      </c>
      <c r="AU24" s="867">
        <v>0</v>
      </c>
      <c r="AV24" s="866">
        <f t="shared" si="60"/>
        <v>0</v>
      </c>
      <c r="AW24" s="867">
        <v>542</v>
      </c>
      <c r="AX24" s="866">
        <f t="shared" si="61"/>
        <v>0</v>
      </c>
      <c r="AY24" s="434"/>
      <c r="AZ24" s="866"/>
      <c r="BA24" s="864"/>
      <c r="BB24" s="864"/>
      <c r="BC24" s="863"/>
      <c r="BD24" s="863"/>
      <c r="BE24" s="868"/>
      <c r="BF24" s="869">
        <v>332</v>
      </c>
      <c r="BG24" s="866">
        <f t="shared" si="62"/>
        <v>8760</v>
      </c>
      <c r="BH24" s="870">
        <f>IF(ISERROR(VLOOKUP(BF24,Parametros!$C:$J,8,0)),0,VLOOKUP(BF24,Parametros!$C:$J,8,0))</f>
        <v>0</v>
      </c>
      <c r="BI24" s="866">
        <f t="shared" si="63"/>
        <v>0</v>
      </c>
      <c r="BJ24" s="871"/>
      <c r="BK24" s="866">
        <v>0</v>
      </c>
      <c r="BL24" s="434"/>
      <c r="BM24" s="866">
        <v>0</v>
      </c>
      <c r="BN24" s="866">
        <v>0</v>
      </c>
      <c r="BO24" s="869"/>
      <c r="BP24" s="866">
        <f t="shared" si="64"/>
        <v>0</v>
      </c>
      <c r="BQ24" s="870">
        <f>IF(ISERROR(VLOOKUP(BO24,Parametros!$C:$J,8,0)),0,VLOOKUP(BO24,Parametros!$C:$J,8,0))</f>
        <v>0</v>
      </c>
      <c r="BR24" s="866">
        <f t="shared" si="65"/>
        <v>0</v>
      </c>
      <c r="BS24" s="871"/>
      <c r="BT24" s="866">
        <v>0</v>
      </c>
      <c r="BU24" s="434"/>
      <c r="BV24" s="866">
        <v>0</v>
      </c>
      <c r="BW24" s="866">
        <v>0</v>
      </c>
      <c r="BX24" s="869"/>
      <c r="BY24" s="866">
        <f t="shared" si="66"/>
        <v>0</v>
      </c>
      <c r="BZ24" s="870">
        <f>IF(ISERROR(VLOOKUP(BX24,Parametros!$C:$J,8,0)),0,VLOOKUP(BX24,Parametros!$C:$J,8,0))</f>
        <v>0</v>
      </c>
      <c r="CA24" s="866">
        <f t="shared" si="67"/>
        <v>0</v>
      </c>
      <c r="CB24" s="434"/>
      <c r="CC24" s="866">
        <v>0</v>
      </c>
      <c r="CD24" s="866">
        <v>0</v>
      </c>
      <c r="CE24" s="866">
        <v>0</v>
      </c>
      <c r="CF24" s="866">
        <v>0</v>
      </c>
      <c r="CG24" s="866">
        <v>0</v>
      </c>
      <c r="CH24" s="866">
        <v>0</v>
      </c>
      <c r="CI24" s="866">
        <v>0</v>
      </c>
      <c r="CJ24" s="866">
        <v>0</v>
      </c>
      <c r="CK24" s="866">
        <f t="shared" si="68"/>
        <v>0</v>
      </c>
      <c r="CL24" s="863"/>
      <c r="CM24" s="863"/>
      <c r="CN24" s="863"/>
      <c r="CO24" s="434"/>
      <c r="CP24" s="434" t="s">
        <v>2282</v>
      </c>
      <c r="CQ24" s="434" t="s">
        <v>76</v>
      </c>
      <c r="CR24" s="434"/>
      <c r="CS24" s="434" t="s">
        <v>2283</v>
      </c>
      <c r="CT24" s="434"/>
      <c r="CU24" s="434"/>
      <c r="CV24" s="863"/>
      <c r="CW24" s="434"/>
      <c r="CX24" s="867"/>
      <c r="CY24" s="867"/>
      <c r="CZ24" s="867"/>
      <c r="DA24" s="434"/>
      <c r="DB24" s="867">
        <f t="shared" si="69"/>
        <v>4</v>
      </c>
      <c r="DC24" s="872" t="str">
        <f t="shared" si="53"/>
        <v>SI</v>
      </c>
      <c r="DD24" s="872" t="str">
        <f t="shared" si="54"/>
        <v>SI</v>
      </c>
      <c r="DE24" s="866">
        <f t="shared" si="70"/>
        <v>8760</v>
      </c>
      <c r="DF24" s="866">
        <f t="shared" si="71"/>
        <v>0</v>
      </c>
      <c r="DG24" s="866">
        <f t="shared" si="72"/>
        <v>0</v>
      </c>
      <c r="DH24" s="866">
        <f t="shared" si="73"/>
        <v>0</v>
      </c>
      <c r="DI24" s="866">
        <f t="shared" si="74"/>
        <v>0</v>
      </c>
      <c r="DJ24" s="866">
        <f t="shared" si="75"/>
        <v>0</v>
      </c>
      <c r="DK24" s="866">
        <f t="shared" si="76"/>
        <v>1314</v>
      </c>
      <c r="DL24" s="866">
        <f t="shared" si="77"/>
        <v>0</v>
      </c>
      <c r="DM24" s="866">
        <f t="shared" si="78"/>
        <v>0</v>
      </c>
      <c r="DN24" s="866">
        <f t="shared" si="79"/>
        <v>0</v>
      </c>
      <c r="DO24" s="434"/>
      <c r="DP24" s="863"/>
      <c r="DQ24" s="864" t="s">
        <v>2284</v>
      </c>
      <c r="DR24" s="864" t="s">
        <v>2285</v>
      </c>
      <c r="DS24" s="863"/>
      <c r="DT24" s="863"/>
      <c r="DU24" s="863"/>
      <c r="DV24" s="863"/>
      <c r="DW24" s="863"/>
      <c r="DX24" s="864" t="s">
        <v>1501</v>
      </c>
      <c r="DY24" s="864" t="s">
        <v>2286</v>
      </c>
      <c r="DZ24" s="864"/>
      <c r="EA24" s="863"/>
      <c r="EB24" s="863"/>
      <c r="EC24" s="863"/>
      <c r="ED24" s="863"/>
      <c r="EE24" s="866">
        <v>0</v>
      </c>
      <c r="EF24" s="866">
        <v>0</v>
      </c>
      <c r="EG24" s="866">
        <v>0</v>
      </c>
      <c r="EH24" s="863"/>
      <c r="EI24" s="434"/>
      <c r="EJ24" s="434"/>
      <c r="EK24" s="863"/>
    </row>
    <row r="25" spans="1:141" x14ac:dyDescent="0.25">
      <c r="A25" s="863" t="s">
        <v>2472</v>
      </c>
      <c r="B25" s="434" t="s">
        <v>2287</v>
      </c>
      <c r="C25" s="863" t="s">
        <v>2501</v>
      </c>
      <c r="D25" s="434" t="s">
        <v>2292</v>
      </c>
      <c r="E25" s="864" t="s">
        <v>744</v>
      </c>
      <c r="F25" s="434"/>
      <c r="G25" s="863" t="s">
        <v>1031</v>
      </c>
      <c r="H25" s="864" t="s">
        <v>8</v>
      </c>
      <c r="I25" s="864" t="s">
        <v>2452</v>
      </c>
      <c r="J25" s="863" t="s">
        <v>2537</v>
      </c>
      <c r="K25" s="863" t="s">
        <v>2598</v>
      </c>
      <c r="L25" s="865">
        <v>46121</v>
      </c>
      <c r="M25" s="865">
        <v>46121</v>
      </c>
      <c r="N25" s="434"/>
      <c r="O25" s="864"/>
      <c r="P25" s="864"/>
      <c r="Q25" s="863"/>
      <c r="R25" s="863"/>
      <c r="S25" s="863"/>
      <c r="T25" s="863" t="s">
        <v>44</v>
      </c>
      <c r="U25" s="866">
        <v>0</v>
      </c>
      <c r="V25" s="866">
        <v>0</v>
      </c>
      <c r="W25" s="866">
        <v>0</v>
      </c>
      <c r="X25" s="866">
        <v>219</v>
      </c>
      <c r="Y25" s="866">
        <v>15</v>
      </c>
      <c r="Z25" s="866">
        <f t="shared" si="55"/>
        <v>32.85</v>
      </c>
      <c r="AA25" s="866">
        <v>0</v>
      </c>
      <c r="AB25" s="866">
        <v>5</v>
      </c>
      <c r="AC25" s="866">
        <f t="shared" si="56"/>
        <v>0</v>
      </c>
      <c r="AD25" s="866"/>
      <c r="AE25" s="866">
        <v>8</v>
      </c>
      <c r="AF25" s="866">
        <f t="shared" si="57"/>
        <v>0</v>
      </c>
      <c r="AG25" s="866">
        <v>0</v>
      </c>
      <c r="AH25" s="866">
        <v>0</v>
      </c>
      <c r="AI25" s="866">
        <v>0</v>
      </c>
      <c r="AJ25" s="866">
        <v>0</v>
      </c>
      <c r="AK25" s="866">
        <f t="shared" ref="AK25" si="92">ROUND(SUM(U25:X25)+SUM(Z25:AA25)+SUM(AC25:AD25)+SUM(AF25:AJ25),2)</f>
        <v>251.85</v>
      </c>
      <c r="AL25" s="866">
        <v>0</v>
      </c>
      <c r="AM25" s="434"/>
      <c r="AN25" s="863"/>
      <c r="AO25" s="863"/>
      <c r="AP25" s="863"/>
      <c r="AQ25" s="863"/>
      <c r="AR25" s="434" t="s">
        <v>1241</v>
      </c>
      <c r="AS25" s="867">
        <v>510</v>
      </c>
      <c r="AT25" s="866">
        <f t="shared" si="59"/>
        <v>219</v>
      </c>
      <c r="AU25" s="867">
        <v>0</v>
      </c>
      <c r="AV25" s="866">
        <f t="shared" si="60"/>
        <v>0</v>
      </c>
      <c r="AW25" s="867">
        <v>542</v>
      </c>
      <c r="AX25" s="866">
        <f t="shared" si="61"/>
        <v>0</v>
      </c>
      <c r="AY25" s="434"/>
      <c r="AZ25" s="866" t="s">
        <v>2890</v>
      </c>
      <c r="BA25" s="864" t="s">
        <v>2444</v>
      </c>
      <c r="BB25" s="864" t="s">
        <v>8</v>
      </c>
      <c r="BC25" s="863" t="s">
        <v>2884</v>
      </c>
      <c r="BD25" s="863" t="s">
        <v>2897</v>
      </c>
      <c r="BE25" s="868">
        <v>46121</v>
      </c>
      <c r="BF25" s="869">
        <v>312</v>
      </c>
      <c r="BG25" s="866">
        <f t="shared" si="62"/>
        <v>219</v>
      </c>
      <c r="BH25" s="870">
        <f>IF(ISERROR(VLOOKUP(BF25,Parametros!$C:$J,8,0)),0,VLOOKUP(BF25,Parametros!$C:$J,8,0))</f>
        <v>0.02</v>
      </c>
      <c r="BI25" s="866">
        <f t="shared" si="63"/>
        <v>4.38</v>
      </c>
      <c r="BJ25" s="871"/>
      <c r="BK25" s="866">
        <v>0</v>
      </c>
      <c r="BL25" s="434"/>
      <c r="BM25" s="866">
        <v>0</v>
      </c>
      <c r="BN25" s="866">
        <v>0</v>
      </c>
      <c r="BO25" s="869"/>
      <c r="BP25" s="866">
        <f t="shared" si="64"/>
        <v>0</v>
      </c>
      <c r="BQ25" s="870">
        <f>IF(ISERROR(VLOOKUP(BO25,Parametros!$C:$J,8,0)),0,VLOOKUP(BO25,Parametros!$C:$J,8,0))</f>
        <v>0</v>
      </c>
      <c r="BR25" s="866">
        <f t="shared" si="65"/>
        <v>0</v>
      </c>
      <c r="BS25" s="871"/>
      <c r="BT25" s="866">
        <v>0</v>
      </c>
      <c r="BU25" s="434"/>
      <c r="BV25" s="866">
        <v>0</v>
      </c>
      <c r="BW25" s="866">
        <v>0</v>
      </c>
      <c r="BX25" s="869"/>
      <c r="BY25" s="866">
        <f t="shared" si="66"/>
        <v>0</v>
      </c>
      <c r="BZ25" s="870">
        <f>IF(ISERROR(VLOOKUP(BX25,Parametros!$C:$J,8,0)),0,VLOOKUP(BX25,Parametros!$C:$J,8,0))</f>
        <v>0</v>
      </c>
      <c r="CA25" s="866">
        <f t="shared" si="67"/>
        <v>0</v>
      </c>
      <c r="CB25" s="434"/>
      <c r="CC25" s="866">
        <v>0</v>
      </c>
      <c r="CD25" s="866">
        <v>0</v>
      </c>
      <c r="CE25" s="866">
        <v>0</v>
      </c>
      <c r="CF25" s="866">
        <v>0</v>
      </c>
      <c r="CG25" s="866">
        <v>0</v>
      </c>
      <c r="CH25" s="866">
        <v>0</v>
      </c>
      <c r="CI25" s="866">
        <v>0</v>
      </c>
      <c r="CJ25" s="866">
        <v>0</v>
      </c>
      <c r="CK25" s="866">
        <f t="shared" si="68"/>
        <v>4.38</v>
      </c>
      <c r="CL25" s="863"/>
      <c r="CM25" s="863"/>
      <c r="CN25" s="863"/>
      <c r="CO25" s="434"/>
      <c r="CP25" s="434" t="s">
        <v>2282</v>
      </c>
      <c r="CQ25" s="434" t="s">
        <v>57</v>
      </c>
      <c r="CR25" s="434"/>
      <c r="CS25" s="434" t="s">
        <v>2283</v>
      </c>
      <c r="CT25" s="434"/>
      <c r="CU25" s="434"/>
      <c r="CV25" s="863"/>
      <c r="CW25" s="434"/>
      <c r="CX25" s="867"/>
      <c r="CY25" s="867"/>
      <c r="CZ25" s="867"/>
      <c r="DA25" s="434"/>
      <c r="DB25" s="867">
        <f t="shared" si="69"/>
        <v>4</v>
      </c>
      <c r="DC25" s="872" t="str">
        <f t="shared" si="53"/>
        <v>SI</v>
      </c>
      <c r="DD25" s="872" t="str">
        <f t="shared" si="54"/>
        <v>SI</v>
      </c>
      <c r="DE25" s="866">
        <f t="shared" si="70"/>
        <v>219</v>
      </c>
      <c r="DF25" s="866">
        <f t="shared" si="71"/>
        <v>0</v>
      </c>
      <c r="DG25" s="866">
        <f t="shared" si="72"/>
        <v>0</v>
      </c>
      <c r="DH25" s="866">
        <f t="shared" si="73"/>
        <v>0</v>
      </c>
      <c r="DI25" s="866">
        <f t="shared" si="74"/>
        <v>0</v>
      </c>
      <c r="DJ25" s="866">
        <f t="shared" si="75"/>
        <v>0</v>
      </c>
      <c r="DK25" s="866">
        <f t="shared" si="76"/>
        <v>32.85</v>
      </c>
      <c r="DL25" s="866">
        <f t="shared" si="77"/>
        <v>0</v>
      </c>
      <c r="DM25" s="866">
        <f t="shared" si="78"/>
        <v>0</v>
      </c>
      <c r="DN25" s="866">
        <f t="shared" si="79"/>
        <v>4.38</v>
      </c>
      <c r="DO25" s="434"/>
      <c r="DP25" s="863"/>
      <c r="DQ25" s="864" t="s">
        <v>2284</v>
      </c>
      <c r="DR25" s="864" t="s">
        <v>2285</v>
      </c>
      <c r="DS25" s="863"/>
      <c r="DT25" s="863"/>
      <c r="DU25" s="863"/>
      <c r="DV25" s="863"/>
      <c r="DW25" s="863"/>
      <c r="DX25" s="864" t="s">
        <v>1501</v>
      </c>
      <c r="DY25" s="864" t="s">
        <v>2286</v>
      </c>
      <c r="DZ25" s="864"/>
      <c r="EA25" s="863"/>
      <c r="EB25" s="863"/>
      <c r="EC25" s="863"/>
      <c r="ED25" s="863"/>
      <c r="EE25" s="866">
        <v>0</v>
      </c>
      <c r="EF25" s="866">
        <v>0</v>
      </c>
      <c r="EG25" s="866">
        <v>0</v>
      </c>
      <c r="EH25" s="863"/>
      <c r="EI25" s="434"/>
      <c r="EJ25" s="434"/>
      <c r="EK25" s="863"/>
    </row>
    <row r="26" spans="1:141" x14ac:dyDescent="0.25">
      <c r="A26" s="863" t="s">
        <v>2473</v>
      </c>
      <c r="B26" s="434" t="s">
        <v>2287</v>
      </c>
      <c r="C26" s="863" t="s">
        <v>2502</v>
      </c>
      <c r="D26" s="434" t="s">
        <v>2292</v>
      </c>
      <c r="E26" s="864" t="s">
        <v>744</v>
      </c>
      <c r="F26" s="434"/>
      <c r="G26" s="863" t="s">
        <v>1031</v>
      </c>
      <c r="H26" s="864" t="s">
        <v>8</v>
      </c>
      <c r="I26" s="864" t="s">
        <v>8</v>
      </c>
      <c r="J26" s="863" t="s">
        <v>2538</v>
      </c>
      <c r="K26" s="863" t="s">
        <v>2599</v>
      </c>
      <c r="L26" s="865">
        <v>46121</v>
      </c>
      <c r="M26" s="865">
        <v>46121</v>
      </c>
      <c r="N26" s="434"/>
      <c r="O26" s="864"/>
      <c r="P26" s="864"/>
      <c r="Q26" s="863"/>
      <c r="R26" s="863"/>
      <c r="S26" s="863"/>
      <c r="T26" s="863" t="s">
        <v>44</v>
      </c>
      <c r="U26" s="866">
        <v>0</v>
      </c>
      <c r="V26" s="866">
        <v>0</v>
      </c>
      <c r="W26" s="866">
        <v>63.96</v>
      </c>
      <c r="X26" s="866">
        <v>0</v>
      </c>
      <c r="Y26" s="866">
        <v>15</v>
      </c>
      <c r="Z26" s="866">
        <f t="shared" si="55"/>
        <v>0</v>
      </c>
      <c r="AA26" s="866">
        <v>0</v>
      </c>
      <c r="AB26" s="866">
        <v>5</v>
      </c>
      <c r="AC26" s="866">
        <f t="shared" si="56"/>
        <v>0</v>
      </c>
      <c r="AD26" s="866"/>
      <c r="AE26" s="866">
        <v>8</v>
      </c>
      <c r="AF26" s="866">
        <f t="shared" si="57"/>
        <v>0</v>
      </c>
      <c r="AG26" s="866">
        <v>0</v>
      </c>
      <c r="AH26" s="866">
        <v>0</v>
      </c>
      <c r="AI26" s="866">
        <v>0</v>
      </c>
      <c r="AJ26" s="866">
        <v>0</v>
      </c>
      <c r="AK26" s="866">
        <f t="shared" ref="AK26" si="93">ROUND(SUM(U26:X26)+SUM(Z26:AA26)+SUM(AC26:AD26)+SUM(AF26:AJ26),2)</f>
        <v>63.96</v>
      </c>
      <c r="AL26" s="866">
        <v>0</v>
      </c>
      <c r="AM26" s="434"/>
      <c r="AN26" s="863"/>
      <c r="AO26" s="863"/>
      <c r="AP26" s="863"/>
      <c r="AQ26" s="863"/>
      <c r="AR26" s="434" t="s">
        <v>1241</v>
      </c>
      <c r="AS26" s="867">
        <v>510</v>
      </c>
      <c r="AT26" s="866">
        <f t="shared" si="59"/>
        <v>0</v>
      </c>
      <c r="AU26" s="867">
        <v>0</v>
      </c>
      <c r="AV26" s="866">
        <f t="shared" si="60"/>
        <v>0</v>
      </c>
      <c r="AW26" s="867">
        <v>542</v>
      </c>
      <c r="AX26" s="866">
        <f t="shared" si="61"/>
        <v>0</v>
      </c>
      <c r="AY26" s="434"/>
      <c r="AZ26" s="866"/>
      <c r="BA26" s="864"/>
      <c r="BB26" s="864"/>
      <c r="BC26" s="863"/>
      <c r="BD26" s="863"/>
      <c r="BE26" s="868"/>
      <c r="BF26" s="869">
        <v>332</v>
      </c>
      <c r="BG26" s="866">
        <f t="shared" si="62"/>
        <v>63.96</v>
      </c>
      <c r="BH26" s="870">
        <f>IF(ISERROR(VLOOKUP(BF26,Parametros!$C:$J,8,0)),0,VLOOKUP(BF26,Parametros!$C:$J,8,0))</f>
        <v>0</v>
      </c>
      <c r="BI26" s="866">
        <f t="shared" si="63"/>
        <v>0</v>
      </c>
      <c r="BJ26" s="871"/>
      <c r="BK26" s="866">
        <v>0</v>
      </c>
      <c r="BL26" s="434"/>
      <c r="BM26" s="866">
        <v>0</v>
      </c>
      <c r="BN26" s="866">
        <v>0</v>
      </c>
      <c r="BO26" s="869"/>
      <c r="BP26" s="866">
        <f t="shared" si="64"/>
        <v>0</v>
      </c>
      <c r="BQ26" s="870">
        <f>IF(ISERROR(VLOOKUP(BO26,Parametros!$C:$J,8,0)),0,VLOOKUP(BO26,Parametros!$C:$J,8,0))</f>
        <v>0</v>
      </c>
      <c r="BR26" s="866">
        <f t="shared" si="65"/>
        <v>0</v>
      </c>
      <c r="BS26" s="871"/>
      <c r="BT26" s="866">
        <v>0</v>
      </c>
      <c r="BU26" s="434"/>
      <c r="BV26" s="866">
        <v>0</v>
      </c>
      <c r="BW26" s="866">
        <v>0</v>
      </c>
      <c r="BX26" s="869"/>
      <c r="BY26" s="866">
        <f t="shared" si="66"/>
        <v>0</v>
      </c>
      <c r="BZ26" s="870">
        <f>IF(ISERROR(VLOOKUP(BX26,Parametros!$C:$J,8,0)),0,VLOOKUP(BX26,Parametros!$C:$J,8,0))</f>
        <v>0</v>
      </c>
      <c r="CA26" s="866">
        <f t="shared" si="67"/>
        <v>0</v>
      </c>
      <c r="CB26" s="434"/>
      <c r="CC26" s="866">
        <v>0</v>
      </c>
      <c r="CD26" s="866">
        <v>0</v>
      </c>
      <c r="CE26" s="866">
        <v>0</v>
      </c>
      <c r="CF26" s="866">
        <v>0</v>
      </c>
      <c r="CG26" s="866">
        <v>0</v>
      </c>
      <c r="CH26" s="866">
        <v>0</v>
      </c>
      <c r="CI26" s="866">
        <v>0</v>
      </c>
      <c r="CJ26" s="866">
        <v>0</v>
      </c>
      <c r="CK26" s="866">
        <f t="shared" si="68"/>
        <v>0</v>
      </c>
      <c r="CL26" s="863"/>
      <c r="CM26" s="863"/>
      <c r="CN26" s="863"/>
      <c r="CO26" s="434"/>
      <c r="CP26" s="434" t="s">
        <v>2282</v>
      </c>
      <c r="CQ26" s="434" t="s">
        <v>57</v>
      </c>
      <c r="CR26" s="434"/>
      <c r="CS26" s="434" t="s">
        <v>2283</v>
      </c>
      <c r="CT26" s="434"/>
      <c r="CU26" s="434"/>
      <c r="CV26" s="863"/>
      <c r="CW26" s="434"/>
      <c r="CX26" s="867"/>
      <c r="CY26" s="867"/>
      <c r="CZ26" s="867"/>
      <c r="DA26" s="434"/>
      <c r="DB26" s="867">
        <f t="shared" si="69"/>
        <v>4</v>
      </c>
      <c r="DC26" s="872" t="str">
        <f t="shared" si="53"/>
        <v>SI</v>
      </c>
      <c r="DD26" s="872" t="str">
        <f t="shared" si="54"/>
        <v>SI</v>
      </c>
      <c r="DE26" s="866">
        <f t="shared" si="70"/>
        <v>0</v>
      </c>
      <c r="DF26" s="866">
        <f t="shared" si="71"/>
        <v>0</v>
      </c>
      <c r="DG26" s="866">
        <f t="shared" si="72"/>
        <v>0</v>
      </c>
      <c r="DH26" s="866">
        <f t="shared" si="73"/>
        <v>63.96</v>
      </c>
      <c r="DI26" s="866">
        <f t="shared" si="74"/>
        <v>0</v>
      </c>
      <c r="DJ26" s="866">
        <f t="shared" si="75"/>
        <v>0</v>
      </c>
      <c r="DK26" s="866">
        <f t="shared" si="76"/>
        <v>0</v>
      </c>
      <c r="DL26" s="866">
        <f t="shared" si="77"/>
        <v>0</v>
      </c>
      <c r="DM26" s="866">
        <f t="shared" si="78"/>
        <v>0</v>
      </c>
      <c r="DN26" s="866">
        <f t="shared" si="79"/>
        <v>0</v>
      </c>
      <c r="DO26" s="434"/>
      <c r="DP26" s="863"/>
      <c r="DQ26" s="864" t="s">
        <v>2284</v>
      </c>
      <c r="DR26" s="864" t="s">
        <v>2285</v>
      </c>
      <c r="DS26" s="863"/>
      <c r="DT26" s="863"/>
      <c r="DU26" s="863"/>
      <c r="DV26" s="863"/>
      <c r="DW26" s="863"/>
      <c r="DX26" s="864" t="s">
        <v>1501</v>
      </c>
      <c r="DY26" s="864" t="s">
        <v>2286</v>
      </c>
      <c r="DZ26" s="864"/>
      <c r="EA26" s="863"/>
      <c r="EB26" s="863"/>
      <c r="EC26" s="863"/>
      <c r="ED26" s="863"/>
      <c r="EE26" s="866">
        <v>0</v>
      </c>
      <c r="EF26" s="866">
        <v>0</v>
      </c>
      <c r="EG26" s="866">
        <v>0</v>
      </c>
      <c r="EH26" s="863"/>
      <c r="EI26" s="434"/>
      <c r="EJ26" s="434"/>
      <c r="EK26" s="863"/>
    </row>
    <row r="27" spans="1:141" x14ac:dyDescent="0.25">
      <c r="A27" s="863" t="s">
        <v>2465</v>
      </c>
      <c r="B27" s="434" t="s">
        <v>2287</v>
      </c>
      <c r="C27" s="863" t="s">
        <v>2493</v>
      </c>
      <c r="D27" s="434" t="s">
        <v>1789</v>
      </c>
      <c r="E27" s="864" t="s">
        <v>744</v>
      </c>
      <c r="F27" s="434"/>
      <c r="G27" s="863" t="s">
        <v>1031</v>
      </c>
      <c r="H27" s="864" t="s">
        <v>8</v>
      </c>
      <c r="I27" s="864" t="s">
        <v>2448</v>
      </c>
      <c r="J27" s="863" t="s">
        <v>2539</v>
      </c>
      <c r="K27" s="863" t="s">
        <v>2600</v>
      </c>
      <c r="L27" s="865">
        <v>46121</v>
      </c>
      <c r="M27" s="865">
        <v>46121</v>
      </c>
      <c r="N27" s="434"/>
      <c r="O27" s="864"/>
      <c r="P27" s="864"/>
      <c r="Q27" s="863"/>
      <c r="R27" s="863"/>
      <c r="S27" s="863"/>
      <c r="T27" s="863" t="s">
        <v>44</v>
      </c>
      <c r="U27" s="866">
        <v>0</v>
      </c>
      <c r="V27" s="866">
        <v>0</v>
      </c>
      <c r="W27" s="866">
        <v>0</v>
      </c>
      <c r="X27" s="866">
        <v>13.5</v>
      </c>
      <c r="Y27" s="866">
        <v>15</v>
      </c>
      <c r="Z27" s="866">
        <f t="shared" si="55"/>
        <v>2.0299999999999998</v>
      </c>
      <c r="AA27" s="866">
        <v>0</v>
      </c>
      <c r="AB27" s="866">
        <v>5</v>
      </c>
      <c r="AC27" s="866">
        <f t="shared" si="56"/>
        <v>0</v>
      </c>
      <c r="AD27" s="866"/>
      <c r="AE27" s="866">
        <v>8</v>
      </c>
      <c r="AF27" s="866">
        <f t="shared" si="57"/>
        <v>0</v>
      </c>
      <c r="AG27" s="866">
        <v>0</v>
      </c>
      <c r="AH27" s="866">
        <v>0</v>
      </c>
      <c r="AI27" s="866">
        <v>0</v>
      </c>
      <c r="AJ27" s="866">
        <v>0</v>
      </c>
      <c r="AK27" s="866">
        <f t="shared" ref="AK27" si="94">ROUND(SUM(U27:X27)+SUM(Z27:AA27)+SUM(AC27:AD27)+SUM(AF27:AJ27),2)</f>
        <v>15.53</v>
      </c>
      <c r="AL27" s="866">
        <v>0</v>
      </c>
      <c r="AM27" s="434"/>
      <c r="AN27" s="863"/>
      <c r="AO27" s="863"/>
      <c r="AP27" s="863"/>
      <c r="AQ27" s="863"/>
      <c r="AR27" s="434" t="s">
        <v>1241</v>
      </c>
      <c r="AS27" s="867">
        <v>510</v>
      </c>
      <c r="AT27" s="866">
        <f t="shared" si="59"/>
        <v>13.5</v>
      </c>
      <c r="AU27" s="867">
        <v>0</v>
      </c>
      <c r="AV27" s="866">
        <f t="shared" si="60"/>
        <v>0</v>
      </c>
      <c r="AW27" s="867">
        <v>542</v>
      </c>
      <c r="AX27" s="866">
        <f t="shared" si="61"/>
        <v>0</v>
      </c>
      <c r="AY27" s="434"/>
      <c r="AZ27" s="866"/>
      <c r="BA27" s="864"/>
      <c r="BB27" s="864"/>
      <c r="BC27" s="863"/>
      <c r="BD27" s="863"/>
      <c r="BE27" s="868"/>
      <c r="BF27" s="869">
        <v>332</v>
      </c>
      <c r="BG27" s="866">
        <f t="shared" si="62"/>
        <v>13.5</v>
      </c>
      <c r="BH27" s="870">
        <f>IF(ISERROR(VLOOKUP(BF27,Parametros!$C:$J,8,0)),0,VLOOKUP(BF27,Parametros!$C:$J,8,0))</f>
        <v>0</v>
      </c>
      <c r="BI27" s="866">
        <f t="shared" si="63"/>
        <v>0</v>
      </c>
      <c r="BJ27" s="871"/>
      <c r="BK27" s="866">
        <v>0</v>
      </c>
      <c r="BL27" s="434"/>
      <c r="BM27" s="866">
        <v>0</v>
      </c>
      <c r="BN27" s="866">
        <v>0</v>
      </c>
      <c r="BO27" s="869"/>
      <c r="BP27" s="866">
        <f t="shared" si="64"/>
        <v>0</v>
      </c>
      <c r="BQ27" s="870">
        <f>IF(ISERROR(VLOOKUP(BO27,Parametros!$C:$J,8,0)),0,VLOOKUP(BO27,Parametros!$C:$J,8,0))</f>
        <v>0</v>
      </c>
      <c r="BR27" s="866">
        <f t="shared" si="65"/>
        <v>0</v>
      </c>
      <c r="BS27" s="871"/>
      <c r="BT27" s="866">
        <v>0</v>
      </c>
      <c r="BU27" s="434"/>
      <c r="BV27" s="866">
        <v>0</v>
      </c>
      <c r="BW27" s="866">
        <v>0</v>
      </c>
      <c r="BX27" s="869"/>
      <c r="BY27" s="866">
        <f t="shared" si="66"/>
        <v>0</v>
      </c>
      <c r="BZ27" s="870">
        <f>IF(ISERROR(VLOOKUP(BX27,Parametros!$C:$J,8,0)),0,VLOOKUP(BX27,Parametros!$C:$J,8,0))</f>
        <v>0</v>
      </c>
      <c r="CA27" s="866">
        <f t="shared" si="67"/>
        <v>0</v>
      </c>
      <c r="CB27" s="434"/>
      <c r="CC27" s="866">
        <v>0</v>
      </c>
      <c r="CD27" s="866">
        <v>0</v>
      </c>
      <c r="CE27" s="866">
        <v>0</v>
      </c>
      <c r="CF27" s="866">
        <v>0</v>
      </c>
      <c r="CG27" s="866">
        <v>0</v>
      </c>
      <c r="CH27" s="866">
        <v>0</v>
      </c>
      <c r="CI27" s="866">
        <v>0</v>
      </c>
      <c r="CJ27" s="866">
        <v>0</v>
      </c>
      <c r="CK27" s="866">
        <f t="shared" si="68"/>
        <v>0</v>
      </c>
      <c r="CL27" s="863"/>
      <c r="CM27" s="863"/>
      <c r="CN27" s="863"/>
      <c r="CO27" s="434"/>
      <c r="CP27" s="434" t="s">
        <v>2282</v>
      </c>
      <c r="CQ27" s="434" t="s">
        <v>57</v>
      </c>
      <c r="CR27" s="434"/>
      <c r="CS27" s="434" t="s">
        <v>2283</v>
      </c>
      <c r="CT27" s="434"/>
      <c r="CU27" s="434"/>
      <c r="CV27" s="863"/>
      <c r="CW27" s="434"/>
      <c r="CX27" s="867"/>
      <c r="CY27" s="867"/>
      <c r="CZ27" s="867"/>
      <c r="DA27" s="434"/>
      <c r="DB27" s="867">
        <f t="shared" si="69"/>
        <v>4</v>
      </c>
      <c r="DC27" s="872" t="str">
        <f t="shared" si="53"/>
        <v>SI</v>
      </c>
      <c r="DD27" s="872" t="str">
        <f t="shared" si="54"/>
        <v>SI</v>
      </c>
      <c r="DE27" s="866">
        <f t="shared" si="70"/>
        <v>13.5</v>
      </c>
      <c r="DF27" s="866">
        <f t="shared" si="71"/>
        <v>0</v>
      </c>
      <c r="DG27" s="866">
        <f t="shared" si="72"/>
        <v>0</v>
      </c>
      <c r="DH27" s="866">
        <f t="shared" si="73"/>
        <v>0</v>
      </c>
      <c r="DI27" s="866">
        <f t="shared" si="74"/>
        <v>0</v>
      </c>
      <c r="DJ27" s="866">
        <f t="shared" si="75"/>
        <v>0</v>
      </c>
      <c r="DK27" s="866">
        <f t="shared" si="76"/>
        <v>2.0299999999999998</v>
      </c>
      <c r="DL27" s="866">
        <f t="shared" si="77"/>
        <v>0</v>
      </c>
      <c r="DM27" s="866">
        <f t="shared" si="78"/>
        <v>0</v>
      </c>
      <c r="DN27" s="866">
        <f t="shared" si="79"/>
        <v>0</v>
      </c>
      <c r="DO27" s="434"/>
      <c r="DP27" s="863"/>
      <c r="DQ27" s="864" t="s">
        <v>2284</v>
      </c>
      <c r="DR27" s="864" t="s">
        <v>2285</v>
      </c>
      <c r="DS27" s="863"/>
      <c r="DT27" s="863"/>
      <c r="DU27" s="863"/>
      <c r="DV27" s="863"/>
      <c r="DW27" s="863"/>
      <c r="DX27" s="864" t="s">
        <v>1501</v>
      </c>
      <c r="DY27" s="864" t="s">
        <v>2286</v>
      </c>
      <c r="DZ27" s="864"/>
      <c r="EA27" s="863"/>
      <c r="EB27" s="863"/>
      <c r="EC27" s="863"/>
      <c r="ED27" s="863"/>
      <c r="EE27" s="866">
        <v>0</v>
      </c>
      <c r="EF27" s="866">
        <v>0</v>
      </c>
      <c r="EG27" s="866">
        <v>0</v>
      </c>
      <c r="EH27" s="863"/>
      <c r="EI27" s="434"/>
      <c r="EJ27" s="434"/>
      <c r="EK27" s="863"/>
    </row>
    <row r="28" spans="1:141" x14ac:dyDescent="0.25">
      <c r="A28" s="863" t="s">
        <v>2474</v>
      </c>
      <c r="B28" s="434" t="s">
        <v>2287</v>
      </c>
      <c r="C28" s="863" t="s">
        <v>2503</v>
      </c>
      <c r="D28" s="434" t="s">
        <v>1789</v>
      </c>
      <c r="E28" s="864" t="s">
        <v>744</v>
      </c>
      <c r="F28" s="434"/>
      <c r="G28" s="863" t="s">
        <v>1031</v>
      </c>
      <c r="H28" s="864" t="s">
        <v>2452</v>
      </c>
      <c r="I28" s="864" t="s">
        <v>2450</v>
      </c>
      <c r="J28" s="863" t="s">
        <v>2540</v>
      </c>
      <c r="K28" s="863" t="s">
        <v>2601</v>
      </c>
      <c r="L28" s="865">
        <v>46122</v>
      </c>
      <c r="M28" s="865">
        <v>46122</v>
      </c>
      <c r="N28" s="434"/>
      <c r="O28" s="864"/>
      <c r="P28" s="864"/>
      <c r="Q28" s="863"/>
      <c r="R28" s="863"/>
      <c r="S28" s="863"/>
      <c r="T28" s="863" t="s">
        <v>44</v>
      </c>
      <c r="U28" s="866">
        <v>0</v>
      </c>
      <c r="V28" s="866">
        <v>0</v>
      </c>
      <c r="W28" s="866">
        <v>0</v>
      </c>
      <c r="X28" s="866">
        <v>81.739999999999995</v>
      </c>
      <c r="Y28" s="866">
        <v>15</v>
      </c>
      <c r="Z28" s="866">
        <f t="shared" si="55"/>
        <v>12.26</v>
      </c>
      <c r="AA28" s="866">
        <v>0</v>
      </c>
      <c r="AB28" s="866">
        <v>5</v>
      </c>
      <c r="AC28" s="866">
        <f t="shared" si="56"/>
        <v>0</v>
      </c>
      <c r="AD28" s="866"/>
      <c r="AE28" s="866">
        <v>8</v>
      </c>
      <c r="AF28" s="866">
        <f t="shared" si="57"/>
        <v>0</v>
      </c>
      <c r="AG28" s="866">
        <v>0</v>
      </c>
      <c r="AH28" s="866">
        <v>0</v>
      </c>
      <c r="AI28" s="866">
        <v>0</v>
      </c>
      <c r="AJ28" s="866">
        <v>0</v>
      </c>
      <c r="AK28" s="866">
        <f t="shared" ref="AK28" si="95">ROUND(SUM(U28:X28)+SUM(Z28:AA28)+SUM(AC28:AD28)+SUM(AF28:AJ28),2)</f>
        <v>94</v>
      </c>
      <c r="AL28" s="866">
        <v>0</v>
      </c>
      <c r="AM28" s="434"/>
      <c r="AN28" s="863"/>
      <c r="AO28" s="863"/>
      <c r="AP28" s="863"/>
      <c r="AQ28" s="863"/>
      <c r="AR28" s="434" t="s">
        <v>1241</v>
      </c>
      <c r="AS28" s="867">
        <v>510</v>
      </c>
      <c r="AT28" s="866">
        <f t="shared" si="59"/>
        <v>81.739999999999995</v>
      </c>
      <c r="AU28" s="867">
        <v>0</v>
      </c>
      <c r="AV28" s="866">
        <f t="shared" si="60"/>
        <v>0</v>
      </c>
      <c r="AW28" s="867">
        <v>542</v>
      </c>
      <c r="AX28" s="866">
        <f t="shared" si="61"/>
        <v>0</v>
      </c>
      <c r="AY28" s="434"/>
      <c r="AZ28" s="866"/>
      <c r="BA28" s="864"/>
      <c r="BB28" s="864"/>
      <c r="BC28" s="863"/>
      <c r="BD28" s="863"/>
      <c r="BE28" s="868"/>
      <c r="BF28" s="869">
        <v>332</v>
      </c>
      <c r="BG28" s="866">
        <f t="shared" si="62"/>
        <v>81.739999999999995</v>
      </c>
      <c r="BH28" s="870">
        <f>IF(ISERROR(VLOOKUP(BF28,Parametros!$C:$J,8,0)),0,VLOOKUP(BF28,Parametros!$C:$J,8,0))</f>
        <v>0</v>
      </c>
      <c r="BI28" s="866">
        <f t="shared" si="63"/>
        <v>0</v>
      </c>
      <c r="BJ28" s="871"/>
      <c r="BK28" s="866">
        <v>0</v>
      </c>
      <c r="BL28" s="434"/>
      <c r="BM28" s="866">
        <v>0</v>
      </c>
      <c r="BN28" s="866">
        <v>0</v>
      </c>
      <c r="BO28" s="869"/>
      <c r="BP28" s="866">
        <f t="shared" si="64"/>
        <v>0</v>
      </c>
      <c r="BQ28" s="870">
        <f>IF(ISERROR(VLOOKUP(BO28,Parametros!$C:$J,8,0)),0,VLOOKUP(BO28,Parametros!$C:$J,8,0))</f>
        <v>0</v>
      </c>
      <c r="BR28" s="866">
        <f t="shared" si="65"/>
        <v>0</v>
      </c>
      <c r="BS28" s="871"/>
      <c r="BT28" s="866">
        <v>0</v>
      </c>
      <c r="BU28" s="434"/>
      <c r="BV28" s="866">
        <v>0</v>
      </c>
      <c r="BW28" s="866">
        <v>0</v>
      </c>
      <c r="BX28" s="869"/>
      <c r="BY28" s="866">
        <f t="shared" si="66"/>
        <v>0</v>
      </c>
      <c r="BZ28" s="870">
        <f>IF(ISERROR(VLOOKUP(BX28,Parametros!$C:$J,8,0)),0,VLOOKUP(BX28,Parametros!$C:$J,8,0))</f>
        <v>0</v>
      </c>
      <c r="CA28" s="866">
        <f t="shared" si="67"/>
        <v>0</v>
      </c>
      <c r="CB28" s="434"/>
      <c r="CC28" s="866">
        <v>0</v>
      </c>
      <c r="CD28" s="866">
        <v>0</v>
      </c>
      <c r="CE28" s="866">
        <v>0</v>
      </c>
      <c r="CF28" s="866">
        <v>0</v>
      </c>
      <c r="CG28" s="866">
        <v>0</v>
      </c>
      <c r="CH28" s="866">
        <v>0</v>
      </c>
      <c r="CI28" s="866">
        <v>0</v>
      </c>
      <c r="CJ28" s="866">
        <v>0</v>
      </c>
      <c r="CK28" s="866">
        <f t="shared" si="68"/>
        <v>0</v>
      </c>
      <c r="CL28" s="863"/>
      <c r="CM28" s="863"/>
      <c r="CN28" s="863"/>
      <c r="CO28" s="434"/>
      <c r="CP28" s="434" t="s">
        <v>2282</v>
      </c>
      <c r="CQ28" s="434" t="s">
        <v>57</v>
      </c>
      <c r="CR28" s="434"/>
      <c r="CS28" s="434" t="s">
        <v>2283</v>
      </c>
      <c r="CT28" s="434"/>
      <c r="CU28" s="434"/>
      <c r="CV28" s="863"/>
      <c r="CW28" s="434"/>
      <c r="CX28" s="867"/>
      <c r="CY28" s="867"/>
      <c r="CZ28" s="867"/>
      <c r="DA28" s="434"/>
      <c r="DB28" s="867">
        <f t="shared" si="69"/>
        <v>4</v>
      </c>
      <c r="DC28" s="872" t="str">
        <f t="shared" si="53"/>
        <v>SI</v>
      </c>
      <c r="DD28" s="872" t="str">
        <f t="shared" si="54"/>
        <v>SI</v>
      </c>
      <c r="DE28" s="866">
        <f t="shared" si="70"/>
        <v>81.739999999999995</v>
      </c>
      <c r="DF28" s="866">
        <f t="shared" si="71"/>
        <v>0</v>
      </c>
      <c r="DG28" s="866">
        <f t="shared" si="72"/>
        <v>0</v>
      </c>
      <c r="DH28" s="866">
        <f t="shared" si="73"/>
        <v>0</v>
      </c>
      <c r="DI28" s="866">
        <f t="shared" si="74"/>
        <v>0</v>
      </c>
      <c r="DJ28" s="866">
        <f t="shared" si="75"/>
        <v>0</v>
      </c>
      <c r="DK28" s="866">
        <f t="shared" si="76"/>
        <v>12.26</v>
      </c>
      <c r="DL28" s="866">
        <f t="shared" si="77"/>
        <v>0</v>
      </c>
      <c r="DM28" s="866">
        <f t="shared" si="78"/>
        <v>0</v>
      </c>
      <c r="DN28" s="866">
        <f t="shared" si="79"/>
        <v>0</v>
      </c>
      <c r="DO28" s="434"/>
      <c r="DP28" s="863"/>
      <c r="DQ28" s="864" t="s">
        <v>2284</v>
      </c>
      <c r="DR28" s="864" t="s">
        <v>2285</v>
      </c>
      <c r="DS28" s="863"/>
      <c r="DT28" s="863"/>
      <c r="DU28" s="863"/>
      <c r="DV28" s="863"/>
      <c r="DW28" s="863"/>
      <c r="DX28" s="864" t="s">
        <v>1501</v>
      </c>
      <c r="DY28" s="864" t="s">
        <v>2286</v>
      </c>
      <c r="DZ28" s="864"/>
      <c r="EA28" s="863"/>
      <c r="EB28" s="863"/>
      <c r="EC28" s="863"/>
      <c r="ED28" s="863"/>
      <c r="EE28" s="866">
        <v>0</v>
      </c>
      <c r="EF28" s="866">
        <v>0</v>
      </c>
      <c r="EG28" s="866">
        <v>0</v>
      </c>
      <c r="EH28" s="863"/>
      <c r="EI28" s="434"/>
      <c r="EJ28" s="434"/>
      <c r="EK28" s="863"/>
    </row>
    <row r="29" spans="1:141" x14ac:dyDescent="0.25">
      <c r="A29" s="863" t="s">
        <v>2475</v>
      </c>
      <c r="B29" s="434" t="s">
        <v>2287</v>
      </c>
      <c r="C29" s="863" t="s">
        <v>2504</v>
      </c>
      <c r="D29" s="434" t="s">
        <v>2292</v>
      </c>
      <c r="E29" s="864" t="s">
        <v>744</v>
      </c>
      <c r="F29" s="434"/>
      <c r="G29" s="863" t="s">
        <v>1031</v>
      </c>
      <c r="H29" s="864" t="s">
        <v>2457</v>
      </c>
      <c r="I29" s="864" t="s">
        <v>2448</v>
      </c>
      <c r="J29" s="863" t="s">
        <v>2541</v>
      </c>
      <c r="K29" s="863" t="s">
        <v>2602</v>
      </c>
      <c r="L29" s="865">
        <v>46123</v>
      </c>
      <c r="M29" s="865">
        <v>46123</v>
      </c>
      <c r="N29" s="434"/>
      <c r="O29" s="864"/>
      <c r="P29" s="864"/>
      <c r="Q29" s="863"/>
      <c r="R29" s="863"/>
      <c r="S29" s="863"/>
      <c r="T29" s="863" t="s">
        <v>44</v>
      </c>
      <c r="U29" s="866">
        <v>0</v>
      </c>
      <c r="V29" s="866">
        <v>0</v>
      </c>
      <c r="W29" s="866">
        <v>0</v>
      </c>
      <c r="X29" s="866">
        <v>176.12</v>
      </c>
      <c r="Y29" s="866">
        <v>15</v>
      </c>
      <c r="Z29" s="866">
        <f t="shared" si="55"/>
        <v>26.42</v>
      </c>
      <c r="AA29" s="866">
        <v>0</v>
      </c>
      <c r="AB29" s="866">
        <v>5</v>
      </c>
      <c r="AC29" s="866">
        <f t="shared" si="56"/>
        <v>0</v>
      </c>
      <c r="AD29" s="866"/>
      <c r="AE29" s="866">
        <v>8</v>
      </c>
      <c r="AF29" s="866">
        <f t="shared" si="57"/>
        <v>0</v>
      </c>
      <c r="AG29" s="866">
        <v>0</v>
      </c>
      <c r="AH29" s="866">
        <v>0</v>
      </c>
      <c r="AI29" s="866">
        <v>0</v>
      </c>
      <c r="AJ29" s="866">
        <v>0</v>
      </c>
      <c r="AK29" s="866">
        <f t="shared" ref="AK29" si="96">ROUND(SUM(U29:X29)+SUM(Z29:AA29)+SUM(AC29:AD29)+SUM(AF29:AJ29),2)</f>
        <v>202.54</v>
      </c>
      <c r="AL29" s="866">
        <v>0</v>
      </c>
      <c r="AM29" s="434"/>
      <c r="AN29" s="863"/>
      <c r="AO29" s="863"/>
      <c r="AP29" s="863"/>
      <c r="AQ29" s="863"/>
      <c r="AR29" s="434" t="s">
        <v>1241</v>
      </c>
      <c r="AS29" s="867">
        <v>510</v>
      </c>
      <c r="AT29" s="866">
        <f t="shared" si="59"/>
        <v>176.12</v>
      </c>
      <c r="AU29" s="867">
        <v>0</v>
      </c>
      <c r="AV29" s="866">
        <f t="shared" si="60"/>
        <v>0</v>
      </c>
      <c r="AW29" s="867">
        <v>542</v>
      </c>
      <c r="AX29" s="866">
        <f t="shared" si="61"/>
        <v>0</v>
      </c>
      <c r="AY29" s="434"/>
      <c r="AZ29" s="866"/>
      <c r="BA29" s="864"/>
      <c r="BB29" s="864"/>
      <c r="BC29" s="863"/>
      <c r="BD29" s="863"/>
      <c r="BE29" s="868"/>
      <c r="BF29" s="869">
        <v>332</v>
      </c>
      <c r="BG29" s="866">
        <f t="shared" si="62"/>
        <v>176.12</v>
      </c>
      <c r="BH29" s="870">
        <f>IF(ISERROR(VLOOKUP(BF29,Parametros!$C:$J,8,0)),0,VLOOKUP(BF29,Parametros!$C:$J,8,0))</f>
        <v>0</v>
      </c>
      <c r="BI29" s="866">
        <f t="shared" si="63"/>
        <v>0</v>
      </c>
      <c r="BJ29" s="871"/>
      <c r="BK29" s="866">
        <v>0</v>
      </c>
      <c r="BL29" s="434"/>
      <c r="BM29" s="866">
        <v>0</v>
      </c>
      <c r="BN29" s="866">
        <v>0</v>
      </c>
      <c r="BO29" s="869"/>
      <c r="BP29" s="866">
        <f t="shared" si="64"/>
        <v>0</v>
      </c>
      <c r="BQ29" s="870">
        <f>IF(ISERROR(VLOOKUP(BO29,Parametros!$C:$J,8,0)),0,VLOOKUP(BO29,Parametros!$C:$J,8,0))</f>
        <v>0</v>
      </c>
      <c r="BR29" s="866">
        <f t="shared" si="65"/>
        <v>0</v>
      </c>
      <c r="BS29" s="871"/>
      <c r="BT29" s="866">
        <v>0</v>
      </c>
      <c r="BU29" s="434"/>
      <c r="BV29" s="866">
        <v>0</v>
      </c>
      <c r="BW29" s="866">
        <v>0</v>
      </c>
      <c r="BX29" s="869"/>
      <c r="BY29" s="866">
        <f t="shared" si="66"/>
        <v>0</v>
      </c>
      <c r="BZ29" s="870">
        <f>IF(ISERROR(VLOOKUP(BX29,Parametros!$C:$J,8,0)),0,VLOOKUP(BX29,Parametros!$C:$J,8,0))</f>
        <v>0</v>
      </c>
      <c r="CA29" s="866">
        <f t="shared" si="67"/>
        <v>0</v>
      </c>
      <c r="CB29" s="434"/>
      <c r="CC29" s="866">
        <v>0</v>
      </c>
      <c r="CD29" s="866">
        <v>0</v>
      </c>
      <c r="CE29" s="866">
        <v>0</v>
      </c>
      <c r="CF29" s="866">
        <v>0</v>
      </c>
      <c r="CG29" s="866">
        <v>0</v>
      </c>
      <c r="CH29" s="866">
        <v>0</v>
      </c>
      <c r="CI29" s="866">
        <v>0</v>
      </c>
      <c r="CJ29" s="866">
        <v>0</v>
      </c>
      <c r="CK29" s="866">
        <f t="shared" si="68"/>
        <v>0</v>
      </c>
      <c r="CL29" s="863"/>
      <c r="CM29" s="863"/>
      <c r="CN29" s="863"/>
      <c r="CO29" s="434"/>
      <c r="CP29" s="434" t="s">
        <v>2282</v>
      </c>
      <c r="CQ29" s="434" t="s">
        <v>57</v>
      </c>
      <c r="CR29" s="434"/>
      <c r="CS29" s="434" t="s">
        <v>2283</v>
      </c>
      <c r="CT29" s="434"/>
      <c r="CU29" s="434"/>
      <c r="CV29" s="863"/>
      <c r="CW29" s="434"/>
      <c r="CX29" s="867"/>
      <c r="CY29" s="867"/>
      <c r="CZ29" s="867"/>
      <c r="DA29" s="434"/>
      <c r="DB29" s="867">
        <f t="shared" si="69"/>
        <v>4</v>
      </c>
      <c r="DC29" s="872" t="str">
        <f t="shared" si="53"/>
        <v>SI</v>
      </c>
      <c r="DD29" s="872" t="str">
        <f t="shared" si="54"/>
        <v>SI</v>
      </c>
      <c r="DE29" s="866">
        <f t="shared" si="70"/>
        <v>176.12</v>
      </c>
      <c r="DF29" s="866">
        <f t="shared" si="71"/>
        <v>0</v>
      </c>
      <c r="DG29" s="866">
        <f t="shared" si="72"/>
        <v>0</v>
      </c>
      <c r="DH29" s="866">
        <f t="shared" si="73"/>
        <v>0</v>
      </c>
      <c r="DI29" s="866">
        <f t="shared" si="74"/>
        <v>0</v>
      </c>
      <c r="DJ29" s="866">
        <f t="shared" si="75"/>
        <v>0</v>
      </c>
      <c r="DK29" s="866">
        <f t="shared" si="76"/>
        <v>26.42</v>
      </c>
      <c r="DL29" s="866">
        <f t="shared" si="77"/>
        <v>0</v>
      </c>
      <c r="DM29" s="866">
        <f t="shared" si="78"/>
        <v>0</v>
      </c>
      <c r="DN29" s="866">
        <f t="shared" si="79"/>
        <v>0</v>
      </c>
      <c r="DO29" s="434"/>
      <c r="DP29" s="863"/>
      <c r="DQ29" s="864" t="s">
        <v>2284</v>
      </c>
      <c r="DR29" s="864" t="s">
        <v>2285</v>
      </c>
      <c r="DS29" s="863"/>
      <c r="DT29" s="863"/>
      <c r="DU29" s="863"/>
      <c r="DV29" s="863"/>
      <c r="DW29" s="863"/>
      <c r="DX29" s="864" t="s">
        <v>1501</v>
      </c>
      <c r="DY29" s="864" t="s">
        <v>2286</v>
      </c>
      <c r="DZ29" s="864"/>
      <c r="EA29" s="863"/>
      <c r="EB29" s="863"/>
      <c r="EC29" s="863"/>
      <c r="ED29" s="863"/>
      <c r="EE29" s="866">
        <v>0</v>
      </c>
      <c r="EF29" s="866">
        <v>0</v>
      </c>
      <c r="EG29" s="866">
        <v>0</v>
      </c>
      <c r="EH29" s="863"/>
      <c r="EI29" s="434"/>
      <c r="EJ29" s="434"/>
      <c r="EK29" s="863"/>
    </row>
    <row r="30" spans="1:141" x14ac:dyDescent="0.25">
      <c r="A30" s="863" t="s">
        <v>2476</v>
      </c>
      <c r="B30" s="434" t="s">
        <v>2287</v>
      </c>
      <c r="C30" s="863" t="s">
        <v>2505</v>
      </c>
      <c r="D30" s="434" t="s">
        <v>2292</v>
      </c>
      <c r="E30" s="864" t="s">
        <v>744</v>
      </c>
      <c r="F30" s="434"/>
      <c r="G30" s="863" t="s">
        <v>1031</v>
      </c>
      <c r="H30" s="864" t="s">
        <v>8</v>
      </c>
      <c r="I30" s="864" t="s">
        <v>2542</v>
      </c>
      <c r="J30" s="863" t="s">
        <v>2543</v>
      </c>
      <c r="K30" s="863" t="s">
        <v>2603</v>
      </c>
      <c r="L30" s="865">
        <v>46123</v>
      </c>
      <c r="M30" s="865">
        <v>46123</v>
      </c>
      <c r="N30" s="434"/>
      <c r="O30" s="864"/>
      <c r="P30" s="864"/>
      <c r="Q30" s="863"/>
      <c r="R30" s="863"/>
      <c r="S30" s="863"/>
      <c r="T30" s="863" t="s">
        <v>44</v>
      </c>
      <c r="U30" s="866">
        <v>0</v>
      </c>
      <c r="V30" s="866">
        <v>0</v>
      </c>
      <c r="W30" s="866">
        <v>0</v>
      </c>
      <c r="X30" s="866">
        <v>5.87</v>
      </c>
      <c r="Y30" s="866">
        <v>15</v>
      </c>
      <c r="Z30" s="866">
        <f t="shared" si="55"/>
        <v>0.88</v>
      </c>
      <c r="AA30" s="866">
        <v>24.29</v>
      </c>
      <c r="AB30" s="866">
        <v>5</v>
      </c>
      <c r="AC30" s="866">
        <f t="shared" si="56"/>
        <v>1.21</v>
      </c>
      <c r="AD30" s="866"/>
      <c r="AE30" s="866">
        <v>8</v>
      </c>
      <c r="AF30" s="866">
        <f t="shared" si="57"/>
        <v>0</v>
      </c>
      <c r="AG30" s="866">
        <v>0</v>
      </c>
      <c r="AH30" s="866">
        <v>0</v>
      </c>
      <c r="AI30" s="866">
        <v>0</v>
      </c>
      <c r="AJ30" s="866">
        <v>0</v>
      </c>
      <c r="AK30" s="866">
        <f t="shared" ref="AK30" si="97">ROUND(SUM(U30:X30)+SUM(Z30:AA30)+SUM(AC30:AD30)+SUM(AF30:AJ30),2)</f>
        <v>32.25</v>
      </c>
      <c r="AL30" s="866">
        <v>0</v>
      </c>
      <c r="AM30" s="434"/>
      <c r="AN30" s="863"/>
      <c r="AO30" s="863"/>
      <c r="AP30" s="863"/>
      <c r="AQ30" s="863"/>
      <c r="AR30" s="434" t="s">
        <v>1241</v>
      </c>
      <c r="AS30" s="867">
        <v>510</v>
      </c>
      <c r="AT30" s="866">
        <f t="shared" si="59"/>
        <v>5.87</v>
      </c>
      <c r="AU30" s="867">
        <v>0</v>
      </c>
      <c r="AV30" s="866">
        <f t="shared" si="60"/>
        <v>0</v>
      </c>
      <c r="AW30" s="867">
        <v>542</v>
      </c>
      <c r="AX30" s="866">
        <f t="shared" si="61"/>
        <v>0</v>
      </c>
      <c r="AY30" s="434"/>
      <c r="AZ30" s="866"/>
      <c r="BA30" s="864"/>
      <c r="BB30" s="864"/>
      <c r="BC30" s="863"/>
      <c r="BD30" s="863"/>
      <c r="BE30" s="868"/>
      <c r="BF30" s="869">
        <v>332</v>
      </c>
      <c r="BG30" s="866">
        <f t="shared" si="62"/>
        <v>30.16</v>
      </c>
      <c r="BH30" s="870">
        <f>IF(ISERROR(VLOOKUP(BF30,Parametros!$C:$J,8,0)),0,VLOOKUP(BF30,Parametros!$C:$J,8,0))</f>
        <v>0</v>
      </c>
      <c r="BI30" s="866">
        <f t="shared" si="63"/>
        <v>0</v>
      </c>
      <c r="BJ30" s="871"/>
      <c r="BK30" s="866">
        <v>0</v>
      </c>
      <c r="BL30" s="434"/>
      <c r="BM30" s="866">
        <v>0</v>
      </c>
      <c r="BN30" s="866">
        <v>0</v>
      </c>
      <c r="BO30" s="869"/>
      <c r="BP30" s="866">
        <f t="shared" si="64"/>
        <v>0</v>
      </c>
      <c r="BQ30" s="870">
        <f>IF(ISERROR(VLOOKUP(BO30,Parametros!$C:$J,8,0)),0,VLOOKUP(BO30,Parametros!$C:$J,8,0))</f>
        <v>0</v>
      </c>
      <c r="BR30" s="866">
        <f t="shared" si="65"/>
        <v>0</v>
      </c>
      <c r="BS30" s="871"/>
      <c r="BT30" s="866">
        <v>0</v>
      </c>
      <c r="BU30" s="434"/>
      <c r="BV30" s="866">
        <v>0</v>
      </c>
      <c r="BW30" s="866">
        <v>0</v>
      </c>
      <c r="BX30" s="869"/>
      <c r="BY30" s="866">
        <f t="shared" si="66"/>
        <v>0</v>
      </c>
      <c r="BZ30" s="870">
        <f>IF(ISERROR(VLOOKUP(BX30,Parametros!$C:$J,8,0)),0,VLOOKUP(BX30,Parametros!$C:$J,8,0))</f>
        <v>0</v>
      </c>
      <c r="CA30" s="866">
        <f t="shared" si="67"/>
        <v>0</v>
      </c>
      <c r="CB30" s="434"/>
      <c r="CC30" s="866">
        <v>0</v>
      </c>
      <c r="CD30" s="866">
        <v>0</v>
      </c>
      <c r="CE30" s="866">
        <v>0</v>
      </c>
      <c r="CF30" s="866">
        <v>0</v>
      </c>
      <c r="CG30" s="866">
        <v>0</v>
      </c>
      <c r="CH30" s="866">
        <v>0</v>
      </c>
      <c r="CI30" s="866">
        <v>0</v>
      </c>
      <c r="CJ30" s="866">
        <v>0</v>
      </c>
      <c r="CK30" s="866">
        <f t="shared" si="68"/>
        <v>0</v>
      </c>
      <c r="CL30" s="863"/>
      <c r="CM30" s="863"/>
      <c r="CN30" s="863"/>
      <c r="CO30" s="434"/>
      <c r="CP30" s="434" t="s">
        <v>2282</v>
      </c>
      <c r="CQ30" s="434" t="s">
        <v>57</v>
      </c>
      <c r="CR30" s="434"/>
      <c r="CS30" s="434" t="s">
        <v>2283</v>
      </c>
      <c r="CT30" s="434"/>
      <c r="CU30" s="434"/>
      <c r="CV30" s="863"/>
      <c r="CW30" s="434"/>
      <c r="CX30" s="867"/>
      <c r="CY30" s="867"/>
      <c r="CZ30" s="867"/>
      <c r="DA30" s="434"/>
      <c r="DB30" s="867">
        <f t="shared" si="69"/>
        <v>4</v>
      </c>
      <c r="DC30" s="872" t="str">
        <f t="shared" si="53"/>
        <v>SI</v>
      </c>
      <c r="DD30" s="872" t="str">
        <f t="shared" si="54"/>
        <v>SI</v>
      </c>
      <c r="DE30" s="866">
        <f t="shared" si="70"/>
        <v>5.87</v>
      </c>
      <c r="DF30" s="866">
        <f t="shared" si="71"/>
        <v>0</v>
      </c>
      <c r="DG30" s="866">
        <f t="shared" si="72"/>
        <v>0</v>
      </c>
      <c r="DH30" s="866">
        <f t="shared" si="73"/>
        <v>0</v>
      </c>
      <c r="DI30" s="866">
        <f t="shared" si="74"/>
        <v>0</v>
      </c>
      <c r="DJ30" s="866">
        <f t="shared" si="75"/>
        <v>0</v>
      </c>
      <c r="DK30" s="866">
        <f t="shared" si="76"/>
        <v>2.09</v>
      </c>
      <c r="DL30" s="866">
        <f t="shared" si="77"/>
        <v>0</v>
      </c>
      <c r="DM30" s="866">
        <f t="shared" si="78"/>
        <v>0</v>
      </c>
      <c r="DN30" s="866">
        <f t="shared" si="79"/>
        <v>0</v>
      </c>
      <c r="DO30" s="434"/>
      <c r="DP30" s="863"/>
      <c r="DQ30" s="864" t="s">
        <v>2284</v>
      </c>
      <c r="DR30" s="864" t="s">
        <v>2285</v>
      </c>
      <c r="DS30" s="863"/>
      <c r="DT30" s="863"/>
      <c r="DU30" s="863"/>
      <c r="DV30" s="863"/>
      <c r="DW30" s="863"/>
      <c r="DX30" s="864" t="s">
        <v>1501</v>
      </c>
      <c r="DY30" s="864" t="s">
        <v>2286</v>
      </c>
      <c r="DZ30" s="864"/>
      <c r="EA30" s="863"/>
      <c r="EB30" s="863"/>
      <c r="EC30" s="863"/>
      <c r="ED30" s="863"/>
      <c r="EE30" s="866">
        <v>0</v>
      </c>
      <c r="EF30" s="866">
        <v>0</v>
      </c>
      <c r="EG30" s="866">
        <v>0</v>
      </c>
      <c r="EH30" s="863"/>
      <c r="EI30" s="434"/>
      <c r="EJ30" s="434"/>
      <c r="EK30" s="863"/>
    </row>
    <row r="31" spans="1:141" x14ac:dyDescent="0.25">
      <c r="A31" s="863" t="s">
        <v>2475</v>
      </c>
      <c r="B31" s="434" t="s">
        <v>2287</v>
      </c>
      <c r="C31" s="863" t="s">
        <v>2504</v>
      </c>
      <c r="D31" s="434" t="s">
        <v>2292</v>
      </c>
      <c r="E31" s="864" t="s">
        <v>744</v>
      </c>
      <c r="F31" s="434"/>
      <c r="G31" s="863" t="s">
        <v>1031</v>
      </c>
      <c r="H31" s="864" t="s">
        <v>2457</v>
      </c>
      <c r="I31" s="864" t="s">
        <v>2448</v>
      </c>
      <c r="J31" s="863" t="s">
        <v>2544</v>
      </c>
      <c r="K31" s="863" t="s">
        <v>2604</v>
      </c>
      <c r="L31" s="865">
        <v>46123</v>
      </c>
      <c r="M31" s="865">
        <v>46123</v>
      </c>
      <c r="N31" s="434"/>
      <c r="O31" s="864"/>
      <c r="P31" s="864"/>
      <c r="Q31" s="863"/>
      <c r="R31" s="863"/>
      <c r="S31" s="863"/>
      <c r="T31" s="863" t="s">
        <v>44</v>
      </c>
      <c r="U31" s="866">
        <v>0</v>
      </c>
      <c r="V31" s="866">
        <v>0</v>
      </c>
      <c r="W31" s="866">
        <v>0</v>
      </c>
      <c r="X31" s="866">
        <v>2.17</v>
      </c>
      <c r="Y31" s="866">
        <v>15</v>
      </c>
      <c r="Z31" s="866">
        <f t="shared" si="55"/>
        <v>0.33</v>
      </c>
      <c r="AA31" s="866">
        <v>0</v>
      </c>
      <c r="AB31" s="866">
        <v>5</v>
      </c>
      <c r="AC31" s="866">
        <f t="shared" si="56"/>
        <v>0</v>
      </c>
      <c r="AD31" s="866"/>
      <c r="AE31" s="866">
        <v>8</v>
      </c>
      <c r="AF31" s="866">
        <f t="shared" si="57"/>
        <v>0</v>
      </c>
      <c r="AG31" s="866">
        <v>0</v>
      </c>
      <c r="AH31" s="866">
        <v>0</v>
      </c>
      <c r="AI31" s="866">
        <v>0</v>
      </c>
      <c r="AJ31" s="866">
        <v>0</v>
      </c>
      <c r="AK31" s="866">
        <f t="shared" ref="AK31" si="98">ROUND(SUM(U31:X31)+SUM(Z31:AA31)+SUM(AC31:AD31)+SUM(AF31:AJ31),2)</f>
        <v>2.5</v>
      </c>
      <c r="AL31" s="866">
        <v>0</v>
      </c>
      <c r="AM31" s="434"/>
      <c r="AN31" s="863"/>
      <c r="AO31" s="863"/>
      <c r="AP31" s="863"/>
      <c r="AQ31" s="863"/>
      <c r="AR31" s="434" t="s">
        <v>1241</v>
      </c>
      <c r="AS31" s="867">
        <v>510</v>
      </c>
      <c r="AT31" s="866">
        <f t="shared" si="59"/>
        <v>2.17</v>
      </c>
      <c r="AU31" s="867">
        <v>0</v>
      </c>
      <c r="AV31" s="866">
        <f t="shared" si="60"/>
        <v>0</v>
      </c>
      <c r="AW31" s="867">
        <v>542</v>
      </c>
      <c r="AX31" s="866">
        <f t="shared" si="61"/>
        <v>0</v>
      </c>
      <c r="AY31" s="434"/>
      <c r="AZ31" s="866"/>
      <c r="BA31" s="864"/>
      <c r="BB31" s="864"/>
      <c r="BC31" s="863"/>
      <c r="BD31" s="863"/>
      <c r="BE31" s="868"/>
      <c r="BF31" s="869">
        <v>332</v>
      </c>
      <c r="BG31" s="866">
        <f t="shared" si="62"/>
        <v>2.17</v>
      </c>
      <c r="BH31" s="870">
        <f>IF(ISERROR(VLOOKUP(BF31,Parametros!$C:$J,8,0)),0,VLOOKUP(BF31,Parametros!$C:$J,8,0))</f>
        <v>0</v>
      </c>
      <c r="BI31" s="866">
        <f t="shared" si="63"/>
        <v>0</v>
      </c>
      <c r="BJ31" s="871"/>
      <c r="BK31" s="866">
        <v>0</v>
      </c>
      <c r="BL31" s="434"/>
      <c r="BM31" s="866">
        <v>0</v>
      </c>
      <c r="BN31" s="866">
        <v>0</v>
      </c>
      <c r="BO31" s="869"/>
      <c r="BP31" s="866">
        <f t="shared" si="64"/>
        <v>0</v>
      </c>
      <c r="BQ31" s="870">
        <f>IF(ISERROR(VLOOKUP(BO31,Parametros!$C:$J,8,0)),0,VLOOKUP(BO31,Parametros!$C:$J,8,0))</f>
        <v>0</v>
      </c>
      <c r="BR31" s="866">
        <f t="shared" si="65"/>
        <v>0</v>
      </c>
      <c r="BS31" s="871"/>
      <c r="BT31" s="866">
        <v>0</v>
      </c>
      <c r="BU31" s="434"/>
      <c r="BV31" s="866">
        <v>0</v>
      </c>
      <c r="BW31" s="866">
        <v>0</v>
      </c>
      <c r="BX31" s="869"/>
      <c r="BY31" s="866">
        <f t="shared" si="66"/>
        <v>0</v>
      </c>
      <c r="BZ31" s="870">
        <f>IF(ISERROR(VLOOKUP(BX31,Parametros!$C:$J,8,0)),0,VLOOKUP(BX31,Parametros!$C:$J,8,0))</f>
        <v>0</v>
      </c>
      <c r="CA31" s="866">
        <f t="shared" si="67"/>
        <v>0</v>
      </c>
      <c r="CB31" s="434"/>
      <c r="CC31" s="866">
        <v>0</v>
      </c>
      <c r="CD31" s="866">
        <v>0</v>
      </c>
      <c r="CE31" s="866">
        <v>0</v>
      </c>
      <c r="CF31" s="866">
        <v>0</v>
      </c>
      <c r="CG31" s="866">
        <v>0</v>
      </c>
      <c r="CH31" s="866">
        <v>0</v>
      </c>
      <c r="CI31" s="866">
        <v>0</v>
      </c>
      <c r="CJ31" s="866">
        <v>0</v>
      </c>
      <c r="CK31" s="866">
        <f t="shared" si="68"/>
        <v>0</v>
      </c>
      <c r="CL31" s="863"/>
      <c r="CM31" s="863"/>
      <c r="CN31" s="863"/>
      <c r="CO31" s="434"/>
      <c r="CP31" s="434" t="s">
        <v>2282</v>
      </c>
      <c r="CQ31" s="434" t="s">
        <v>57</v>
      </c>
      <c r="CR31" s="434"/>
      <c r="CS31" s="434" t="s">
        <v>2283</v>
      </c>
      <c r="CT31" s="434"/>
      <c r="CU31" s="434"/>
      <c r="CV31" s="863"/>
      <c r="CW31" s="434"/>
      <c r="CX31" s="867"/>
      <c r="CY31" s="867"/>
      <c r="CZ31" s="867"/>
      <c r="DA31" s="434"/>
      <c r="DB31" s="867">
        <f t="shared" si="69"/>
        <v>4</v>
      </c>
      <c r="DC31" s="872" t="str">
        <f t="shared" si="53"/>
        <v>SI</v>
      </c>
      <c r="DD31" s="872" t="str">
        <f t="shared" si="54"/>
        <v>SI</v>
      </c>
      <c r="DE31" s="866">
        <f t="shared" si="70"/>
        <v>2.17</v>
      </c>
      <c r="DF31" s="866">
        <f t="shared" si="71"/>
        <v>0</v>
      </c>
      <c r="DG31" s="866">
        <f t="shared" si="72"/>
        <v>0</v>
      </c>
      <c r="DH31" s="866">
        <f t="shared" si="73"/>
        <v>0</v>
      </c>
      <c r="DI31" s="866">
        <f t="shared" si="74"/>
        <v>0</v>
      </c>
      <c r="DJ31" s="866">
        <f t="shared" si="75"/>
        <v>0</v>
      </c>
      <c r="DK31" s="866">
        <f t="shared" si="76"/>
        <v>0.33</v>
      </c>
      <c r="DL31" s="866">
        <f t="shared" si="77"/>
        <v>0</v>
      </c>
      <c r="DM31" s="866">
        <f t="shared" si="78"/>
        <v>0</v>
      </c>
      <c r="DN31" s="866">
        <f t="shared" si="79"/>
        <v>0</v>
      </c>
      <c r="DO31" s="434"/>
      <c r="DP31" s="863"/>
      <c r="DQ31" s="864" t="s">
        <v>2284</v>
      </c>
      <c r="DR31" s="864" t="s">
        <v>2285</v>
      </c>
      <c r="DS31" s="863"/>
      <c r="DT31" s="863"/>
      <c r="DU31" s="863"/>
      <c r="DV31" s="863"/>
      <c r="DW31" s="863"/>
      <c r="DX31" s="864" t="s">
        <v>1501</v>
      </c>
      <c r="DY31" s="864" t="s">
        <v>2286</v>
      </c>
      <c r="DZ31" s="864"/>
      <c r="EA31" s="863"/>
      <c r="EB31" s="863"/>
      <c r="EC31" s="863"/>
      <c r="ED31" s="863"/>
      <c r="EE31" s="866">
        <v>0</v>
      </c>
      <c r="EF31" s="866">
        <v>0</v>
      </c>
      <c r="EG31" s="866">
        <v>0</v>
      </c>
      <c r="EH31" s="863"/>
      <c r="EI31" s="434"/>
      <c r="EJ31" s="434"/>
      <c r="EK31" s="863"/>
    </row>
    <row r="32" spans="1:141" x14ac:dyDescent="0.25">
      <c r="A32" s="863" t="s">
        <v>2464</v>
      </c>
      <c r="B32" s="434" t="s">
        <v>2287</v>
      </c>
      <c r="C32" s="863" t="s">
        <v>2492</v>
      </c>
      <c r="D32" s="434" t="s">
        <v>1789</v>
      </c>
      <c r="E32" s="864" t="s">
        <v>744</v>
      </c>
      <c r="F32" s="434"/>
      <c r="G32" s="863" t="s">
        <v>1031</v>
      </c>
      <c r="H32" s="864" t="s">
        <v>2444</v>
      </c>
      <c r="I32" s="864" t="s">
        <v>2446</v>
      </c>
      <c r="J32" s="863" t="s">
        <v>2545</v>
      </c>
      <c r="K32" s="863" t="s">
        <v>2605</v>
      </c>
      <c r="L32" s="865">
        <v>46125</v>
      </c>
      <c r="M32" s="865">
        <v>46125</v>
      </c>
      <c r="N32" s="434"/>
      <c r="O32" s="864"/>
      <c r="P32" s="864"/>
      <c r="Q32" s="863"/>
      <c r="R32" s="863"/>
      <c r="S32" s="863"/>
      <c r="T32" s="863" t="s">
        <v>44</v>
      </c>
      <c r="U32" s="866">
        <v>0</v>
      </c>
      <c r="V32" s="866">
        <v>0</v>
      </c>
      <c r="W32" s="866">
        <v>0</v>
      </c>
      <c r="X32" s="866">
        <v>2.83</v>
      </c>
      <c r="Y32" s="866">
        <v>15</v>
      </c>
      <c r="Z32" s="866">
        <f t="shared" si="55"/>
        <v>0.42</v>
      </c>
      <c r="AA32" s="866">
        <v>0</v>
      </c>
      <c r="AB32" s="866">
        <v>5</v>
      </c>
      <c r="AC32" s="866">
        <f t="shared" si="56"/>
        <v>0</v>
      </c>
      <c r="AD32" s="866"/>
      <c r="AE32" s="866">
        <v>8</v>
      </c>
      <c r="AF32" s="866">
        <f t="shared" si="57"/>
        <v>0</v>
      </c>
      <c r="AG32" s="866">
        <v>0</v>
      </c>
      <c r="AH32" s="866">
        <v>0</v>
      </c>
      <c r="AI32" s="866">
        <v>0</v>
      </c>
      <c r="AJ32" s="866">
        <v>0</v>
      </c>
      <c r="AK32" s="866">
        <f t="shared" ref="AK32" si="99">ROUND(SUM(U32:X32)+SUM(Z32:AA32)+SUM(AC32:AD32)+SUM(AF32:AJ32),2)</f>
        <v>3.25</v>
      </c>
      <c r="AL32" s="866">
        <v>0</v>
      </c>
      <c r="AM32" s="434"/>
      <c r="AN32" s="863"/>
      <c r="AO32" s="863"/>
      <c r="AP32" s="863"/>
      <c r="AQ32" s="863"/>
      <c r="AR32" s="434" t="s">
        <v>1241</v>
      </c>
      <c r="AS32" s="867">
        <v>510</v>
      </c>
      <c r="AT32" s="866">
        <f t="shared" si="59"/>
        <v>2.83</v>
      </c>
      <c r="AU32" s="867">
        <v>0</v>
      </c>
      <c r="AV32" s="866">
        <f t="shared" si="60"/>
        <v>0</v>
      </c>
      <c r="AW32" s="867">
        <v>542</v>
      </c>
      <c r="AX32" s="866">
        <f t="shared" si="61"/>
        <v>0</v>
      </c>
      <c r="AY32" s="434"/>
      <c r="AZ32" s="866"/>
      <c r="BA32" s="864"/>
      <c r="BB32" s="864"/>
      <c r="BC32" s="863"/>
      <c r="BD32" s="863"/>
      <c r="BE32" s="868"/>
      <c r="BF32" s="869">
        <v>332</v>
      </c>
      <c r="BG32" s="866">
        <f t="shared" si="62"/>
        <v>2.83</v>
      </c>
      <c r="BH32" s="870">
        <f>IF(ISERROR(VLOOKUP(BF32,Parametros!$C:$J,8,0)),0,VLOOKUP(BF32,Parametros!$C:$J,8,0))</f>
        <v>0</v>
      </c>
      <c r="BI32" s="866">
        <f t="shared" si="63"/>
        <v>0</v>
      </c>
      <c r="BJ32" s="871"/>
      <c r="BK32" s="866">
        <v>0</v>
      </c>
      <c r="BL32" s="434"/>
      <c r="BM32" s="866">
        <v>0</v>
      </c>
      <c r="BN32" s="866">
        <v>0</v>
      </c>
      <c r="BO32" s="869"/>
      <c r="BP32" s="866">
        <f t="shared" si="64"/>
        <v>0</v>
      </c>
      <c r="BQ32" s="870">
        <f>IF(ISERROR(VLOOKUP(BO32,Parametros!$C:$J,8,0)),0,VLOOKUP(BO32,Parametros!$C:$J,8,0))</f>
        <v>0</v>
      </c>
      <c r="BR32" s="866">
        <f t="shared" si="65"/>
        <v>0</v>
      </c>
      <c r="BS32" s="871"/>
      <c r="BT32" s="866">
        <v>0</v>
      </c>
      <c r="BU32" s="434"/>
      <c r="BV32" s="866">
        <v>0</v>
      </c>
      <c r="BW32" s="866">
        <v>0</v>
      </c>
      <c r="BX32" s="869"/>
      <c r="BY32" s="866">
        <f t="shared" si="66"/>
        <v>0</v>
      </c>
      <c r="BZ32" s="870">
        <f>IF(ISERROR(VLOOKUP(BX32,Parametros!$C:$J,8,0)),0,VLOOKUP(BX32,Parametros!$C:$J,8,0))</f>
        <v>0</v>
      </c>
      <c r="CA32" s="866">
        <f t="shared" si="67"/>
        <v>0</v>
      </c>
      <c r="CB32" s="434"/>
      <c r="CC32" s="866">
        <v>0</v>
      </c>
      <c r="CD32" s="866">
        <v>0</v>
      </c>
      <c r="CE32" s="866">
        <v>0</v>
      </c>
      <c r="CF32" s="866">
        <v>0</v>
      </c>
      <c r="CG32" s="866">
        <v>0</v>
      </c>
      <c r="CH32" s="866">
        <v>0</v>
      </c>
      <c r="CI32" s="866">
        <v>0</v>
      </c>
      <c r="CJ32" s="866">
        <v>0</v>
      </c>
      <c r="CK32" s="866">
        <f t="shared" si="68"/>
        <v>0</v>
      </c>
      <c r="CL32" s="863"/>
      <c r="CM32" s="863"/>
      <c r="CN32" s="863"/>
      <c r="CO32" s="434"/>
      <c r="CP32" s="434" t="s">
        <v>2282</v>
      </c>
      <c r="CQ32" s="434" t="s">
        <v>57</v>
      </c>
      <c r="CR32" s="434"/>
      <c r="CS32" s="434" t="s">
        <v>2283</v>
      </c>
      <c r="CT32" s="434"/>
      <c r="CU32" s="434"/>
      <c r="CV32" s="863"/>
      <c r="CW32" s="434"/>
      <c r="CX32" s="867"/>
      <c r="CY32" s="867"/>
      <c r="CZ32" s="867"/>
      <c r="DA32" s="434"/>
      <c r="DB32" s="867">
        <f t="shared" si="69"/>
        <v>4</v>
      </c>
      <c r="DC32" s="872" t="str">
        <f t="shared" si="53"/>
        <v>SI</v>
      </c>
      <c r="DD32" s="872" t="str">
        <f t="shared" si="54"/>
        <v>SI</v>
      </c>
      <c r="DE32" s="866">
        <f t="shared" si="70"/>
        <v>2.83</v>
      </c>
      <c r="DF32" s="866">
        <f t="shared" si="71"/>
        <v>0</v>
      </c>
      <c r="DG32" s="866">
        <f t="shared" si="72"/>
        <v>0</v>
      </c>
      <c r="DH32" s="866">
        <f t="shared" si="73"/>
        <v>0</v>
      </c>
      <c r="DI32" s="866">
        <f t="shared" si="74"/>
        <v>0</v>
      </c>
      <c r="DJ32" s="866">
        <f t="shared" si="75"/>
        <v>0</v>
      </c>
      <c r="DK32" s="866">
        <f t="shared" si="76"/>
        <v>0.42</v>
      </c>
      <c r="DL32" s="866">
        <f t="shared" si="77"/>
        <v>0</v>
      </c>
      <c r="DM32" s="866">
        <f t="shared" si="78"/>
        <v>0</v>
      </c>
      <c r="DN32" s="866">
        <f t="shared" si="79"/>
        <v>0</v>
      </c>
      <c r="DO32" s="434"/>
      <c r="DP32" s="863"/>
      <c r="DQ32" s="864" t="s">
        <v>2284</v>
      </c>
      <c r="DR32" s="864" t="s">
        <v>2285</v>
      </c>
      <c r="DS32" s="863"/>
      <c r="DT32" s="863"/>
      <c r="DU32" s="863"/>
      <c r="DV32" s="863"/>
      <c r="DW32" s="863"/>
      <c r="DX32" s="864" t="s">
        <v>1501</v>
      </c>
      <c r="DY32" s="864" t="s">
        <v>2286</v>
      </c>
      <c r="DZ32" s="864"/>
      <c r="EA32" s="863"/>
      <c r="EB32" s="863"/>
      <c r="EC32" s="863"/>
      <c r="ED32" s="863"/>
      <c r="EE32" s="866">
        <v>0</v>
      </c>
      <c r="EF32" s="866">
        <v>0</v>
      </c>
      <c r="EG32" s="866">
        <v>0</v>
      </c>
      <c r="EH32" s="863"/>
      <c r="EI32" s="434"/>
      <c r="EJ32" s="434"/>
      <c r="EK32" s="863"/>
    </row>
    <row r="33" spans="1:141" x14ac:dyDescent="0.25">
      <c r="A33" s="863" t="s">
        <v>2477</v>
      </c>
      <c r="B33" s="434" t="s">
        <v>2287</v>
      </c>
      <c r="C33" s="863" t="s">
        <v>2506</v>
      </c>
      <c r="D33" s="434" t="s">
        <v>2292</v>
      </c>
      <c r="E33" s="864" t="s">
        <v>744</v>
      </c>
      <c r="F33" s="434"/>
      <c r="G33" s="863" t="s">
        <v>1031</v>
      </c>
      <c r="H33" s="864" t="s">
        <v>2452</v>
      </c>
      <c r="I33" s="864" t="s">
        <v>8</v>
      </c>
      <c r="J33" s="863" t="s">
        <v>2546</v>
      </c>
      <c r="K33" s="863" t="s">
        <v>2606</v>
      </c>
      <c r="L33" s="865">
        <v>46126</v>
      </c>
      <c r="M33" s="865">
        <v>46126</v>
      </c>
      <c r="N33" s="434"/>
      <c r="O33" s="864"/>
      <c r="P33" s="864"/>
      <c r="Q33" s="863"/>
      <c r="R33" s="863"/>
      <c r="S33" s="863"/>
      <c r="T33" s="863" t="s">
        <v>44</v>
      </c>
      <c r="U33" s="866">
        <v>0</v>
      </c>
      <c r="V33" s="866">
        <v>0</v>
      </c>
      <c r="W33" s="866">
        <v>0</v>
      </c>
      <c r="X33" s="866">
        <v>1193.8800000000001</v>
      </c>
      <c r="Y33" s="866">
        <v>15</v>
      </c>
      <c r="Z33" s="866">
        <f t="shared" si="27"/>
        <v>179.08</v>
      </c>
      <c r="AA33" s="866">
        <v>0</v>
      </c>
      <c r="AB33" s="866">
        <v>5</v>
      </c>
      <c r="AC33" s="866">
        <f t="shared" si="28"/>
        <v>0</v>
      </c>
      <c r="AD33" s="866"/>
      <c r="AE33" s="866">
        <v>8</v>
      </c>
      <c r="AF33" s="866">
        <f t="shared" si="29"/>
        <v>0</v>
      </c>
      <c r="AG33" s="866">
        <v>0</v>
      </c>
      <c r="AH33" s="866">
        <v>0</v>
      </c>
      <c r="AI33" s="866">
        <v>0</v>
      </c>
      <c r="AJ33" s="866">
        <v>0</v>
      </c>
      <c r="AK33" s="866">
        <f t="shared" si="30"/>
        <v>1372.96</v>
      </c>
      <c r="AL33" s="866">
        <v>0</v>
      </c>
      <c r="AM33" s="434"/>
      <c r="AN33" s="863"/>
      <c r="AO33" s="863"/>
      <c r="AP33" s="863"/>
      <c r="AQ33" s="863"/>
      <c r="AR33" s="434" t="s">
        <v>1241</v>
      </c>
      <c r="AS33" s="867">
        <v>510</v>
      </c>
      <c r="AT33" s="866">
        <f t="shared" si="31"/>
        <v>1193.8800000000001</v>
      </c>
      <c r="AU33" s="867">
        <v>0</v>
      </c>
      <c r="AV33" s="866">
        <f t="shared" si="32"/>
        <v>0</v>
      </c>
      <c r="AW33" s="867">
        <v>542</v>
      </c>
      <c r="AX33" s="866">
        <f t="shared" si="33"/>
        <v>0</v>
      </c>
      <c r="AY33" s="434"/>
      <c r="AZ33" s="866" t="s">
        <v>2890</v>
      </c>
      <c r="BA33" s="864" t="s">
        <v>2444</v>
      </c>
      <c r="BB33" s="864" t="s">
        <v>8</v>
      </c>
      <c r="BC33" s="863" t="s">
        <v>2891</v>
      </c>
      <c r="BD33" s="863" t="s">
        <v>2892</v>
      </c>
      <c r="BE33" s="868">
        <v>46127</v>
      </c>
      <c r="BF33" s="869">
        <v>312</v>
      </c>
      <c r="BG33" s="866">
        <f t="shared" si="34"/>
        <v>1193.8800000000001</v>
      </c>
      <c r="BH33" s="870">
        <f>IF(ISERROR(VLOOKUP(BF33,Parametros!$C:$J,8,0)),0,VLOOKUP(BF33,Parametros!$C:$J,8,0))</f>
        <v>0.02</v>
      </c>
      <c r="BI33" s="866">
        <f t="shared" si="35"/>
        <v>23.88</v>
      </c>
      <c r="BJ33" s="871"/>
      <c r="BK33" s="866">
        <v>0</v>
      </c>
      <c r="BL33" s="434"/>
      <c r="BM33" s="866">
        <v>0</v>
      </c>
      <c r="BN33" s="866">
        <v>0</v>
      </c>
      <c r="BO33" s="869"/>
      <c r="BP33" s="866">
        <f t="shared" si="36"/>
        <v>0</v>
      </c>
      <c r="BQ33" s="870">
        <f>IF(ISERROR(VLOOKUP(BO33,Parametros!$C:$J,8,0)),0,VLOOKUP(BO33,Parametros!$C:$J,8,0))</f>
        <v>0</v>
      </c>
      <c r="BR33" s="866">
        <f t="shared" si="37"/>
        <v>0</v>
      </c>
      <c r="BS33" s="871"/>
      <c r="BT33" s="866">
        <v>0</v>
      </c>
      <c r="BU33" s="434"/>
      <c r="BV33" s="866">
        <v>0</v>
      </c>
      <c r="BW33" s="866">
        <v>0</v>
      </c>
      <c r="BX33" s="869"/>
      <c r="BY33" s="866">
        <f t="shared" si="38"/>
        <v>0</v>
      </c>
      <c r="BZ33" s="870">
        <f>IF(ISERROR(VLOOKUP(BX33,Parametros!$C:$J,8,0)),0,VLOOKUP(BX33,Parametros!$C:$J,8,0))</f>
        <v>0</v>
      </c>
      <c r="CA33" s="866">
        <f t="shared" si="39"/>
        <v>0</v>
      </c>
      <c r="CB33" s="434"/>
      <c r="CC33" s="866">
        <v>0</v>
      </c>
      <c r="CD33" s="866">
        <v>0</v>
      </c>
      <c r="CE33" s="866">
        <v>0</v>
      </c>
      <c r="CF33" s="866">
        <v>0</v>
      </c>
      <c r="CG33" s="866">
        <v>0</v>
      </c>
      <c r="CH33" s="866">
        <v>0</v>
      </c>
      <c r="CI33" s="866">
        <v>0</v>
      </c>
      <c r="CJ33" s="866">
        <v>0</v>
      </c>
      <c r="CK33" s="866">
        <f t="shared" si="40"/>
        <v>23.88</v>
      </c>
      <c r="CL33" s="863"/>
      <c r="CM33" s="863"/>
      <c r="CN33" s="863"/>
      <c r="CO33" s="434"/>
      <c r="CP33" s="434" t="s">
        <v>2282</v>
      </c>
      <c r="CQ33" s="434" t="s">
        <v>76</v>
      </c>
      <c r="CR33" s="434"/>
      <c r="CS33" s="434" t="s">
        <v>2283</v>
      </c>
      <c r="CT33" s="434"/>
      <c r="CU33" s="434"/>
      <c r="CV33" s="863"/>
      <c r="CW33" s="434"/>
      <c r="CX33" s="867"/>
      <c r="CY33" s="867"/>
      <c r="CZ33" s="867"/>
      <c r="DA33" s="434"/>
      <c r="DB33" s="867">
        <f t="shared" si="41"/>
        <v>4</v>
      </c>
      <c r="DC33" s="872" t="str">
        <f t="shared" si="0"/>
        <v>SI</v>
      </c>
      <c r="DD33" s="872" t="str">
        <f t="shared" si="1"/>
        <v>SI</v>
      </c>
      <c r="DE33" s="866">
        <f t="shared" si="42"/>
        <v>1193.8800000000001</v>
      </c>
      <c r="DF33" s="866">
        <f t="shared" si="43"/>
        <v>0</v>
      </c>
      <c r="DG33" s="866">
        <f t="shared" si="44"/>
        <v>0</v>
      </c>
      <c r="DH33" s="866">
        <f t="shared" si="45"/>
        <v>0</v>
      </c>
      <c r="DI33" s="866">
        <f t="shared" si="46"/>
        <v>0</v>
      </c>
      <c r="DJ33" s="866">
        <f t="shared" si="47"/>
        <v>0</v>
      </c>
      <c r="DK33" s="866">
        <f t="shared" si="48"/>
        <v>179.08</v>
      </c>
      <c r="DL33" s="866">
        <f t="shared" si="49"/>
        <v>0</v>
      </c>
      <c r="DM33" s="866">
        <f t="shared" si="50"/>
        <v>0</v>
      </c>
      <c r="DN33" s="866">
        <f t="shared" si="51"/>
        <v>23.88</v>
      </c>
      <c r="DO33" s="434"/>
      <c r="DP33" s="863"/>
      <c r="DQ33" s="864" t="s">
        <v>2284</v>
      </c>
      <c r="DR33" s="864" t="s">
        <v>2285</v>
      </c>
      <c r="DS33" s="863"/>
      <c r="DT33" s="863"/>
      <c r="DU33" s="863"/>
      <c r="DV33" s="863"/>
      <c r="DW33" s="863"/>
      <c r="DX33" s="864" t="s">
        <v>1501</v>
      </c>
      <c r="DY33" s="864" t="s">
        <v>2286</v>
      </c>
      <c r="DZ33" s="864"/>
      <c r="EA33" s="863"/>
      <c r="EB33" s="863"/>
      <c r="EC33" s="863"/>
      <c r="ED33" s="863"/>
      <c r="EE33" s="866">
        <v>0</v>
      </c>
      <c r="EF33" s="866">
        <v>0</v>
      </c>
      <c r="EG33" s="866">
        <v>0</v>
      </c>
      <c r="EH33" s="863"/>
      <c r="EI33" s="434"/>
      <c r="EJ33" s="434"/>
      <c r="EK33" s="863"/>
    </row>
    <row r="34" spans="1:141" x14ac:dyDescent="0.25">
      <c r="A34" s="863" t="s">
        <v>2477</v>
      </c>
      <c r="B34" s="434" t="s">
        <v>2287</v>
      </c>
      <c r="C34" s="863" t="s">
        <v>2506</v>
      </c>
      <c r="D34" s="434" t="s">
        <v>2292</v>
      </c>
      <c r="E34" s="864" t="s">
        <v>744</v>
      </c>
      <c r="F34" s="434"/>
      <c r="G34" s="863" t="s">
        <v>1031</v>
      </c>
      <c r="H34" s="864" t="s">
        <v>2442</v>
      </c>
      <c r="I34" s="864" t="s">
        <v>8</v>
      </c>
      <c r="J34" s="863" t="s">
        <v>2547</v>
      </c>
      <c r="K34" s="863" t="s">
        <v>2607</v>
      </c>
      <c r="L34" s="865">
        <v>46126</v>
      </c>
      <c r="M34" s="865">
        <v>46126</v>
      </c>
      <c r="N34" s="434"/>
      <c r="O34" s="864"/>
      <c r="P34" s="864"/>
      <c r="Q34" s="863"/>
      <c r="R34" s="863"/>
      <c r="S34" s="863"/>
      <c r="T34" s="863" t="s">
        <v>44</v>
      </c>
      <c r="U34" s="866">
        <v>0</v>
      </c>
      <c r="V34" s="866">
        <v>0</v>
      </c>
      <c r="W34" s="866">
        <v>0</v>
      </c>
      <c r="X34" s="866">
        <v>198.08</v>
      </c>
      <c r="Y34" s="866">
        <v>15</v>
      </c>
      <c r="Z34" s="866">
        <f t="shared" si="27"/>
        <v>29.71</v>
      </c>
      <c r="AA34" s="866">
        <v>0</v>
      </c>
      <c r="AB34" s="866">
        <v>5</v>
      </c>
      <c r="AC34" s="866">
        <f t="shared" si="28"/>
        <v>0</v>
      </c>
      <c r="AD34" s="866"/>
      <c r="AE34" s="866">
        <v>8</v>
      </c>
      <c r="AF34" s="866">
        <f t="shared" si="29"/>
        <v>0</v>
      </c>
      <c r="AG34" s="866">
        <v>0</v>
      </c>
      <c r="AH34" s="866">
        <v>0</v>
      </c>
      <c r="AI34" s="866">
        <v>0</v>
      </c>
      <c r="AJ34" s="866">
        <v>0</v>
      </c>
      <c r="AK34" s="866">
        <f t="shared" si="30"/>
        <v>227.79</v>
      </c>
      <c r="AL34" s="866">
        <v>0</v>
      </c>
      <c r="AM34" s="434"/>
      <c r="AN34" s="863"/>
      <c r="AO34" s="863"/>
      <c r="AP34" s="863"/>
      <c r="AQ34" s="863"/>
      <c r="AR34" s="434" t="s">
        <v>1241</v>
      </c>
      <c r="AS34" s="867">
        <v>510</v>
      </c>
      <c r="AT34" s="866">
        <f t="shared" si="31"/>
        <v>198.08</v>
      </c>
      <c r="AU34" s="867">
        <v>0</v>
      </c>
      <c r="AV34" s="866">
        <f t="shared" si="32"/>
        <v>0</v>
      </c>
      <c r="AW34" s="867">
        <v>542</v>
      </c>
      <c r="AX34" s="866">
        <f t="shared" si="33"/>
        <v>0</v>
      </c>
      <c r="AY34" s="434"/>
      <c r="AZ34" s="866" t="s">
        <v>2890</v>
      </c>
      <c r="BA34" s="864" t="s">
        <v>2444</v>
      </c>
      <c r="BB34" s="864" t="s">
        <v>8</v>
      </c>
      <c r="BC34" s="863" t="s">
        <v>2893</v>
      </c>
      <c r="BD34" s="863" t="s">
        <v>2894</v>
      </c>
      <c r="BE34" s="868">
        <v>46127</v>
      </c>
      <c r="BF34" s="869">
        <v>312</v>
      </c>
      <c r="BG34" s="866">
        <f t="shared" si="34"/>
        <v>198.08</v>
      </c>
      <c r="BH34" s="870">
        <f>IF(ISERROR(VLOOKUP(BF34,Parametros!$C:$J,8,0)),0,VLOOKUP(BF34,Parametros!$C:$J,8,0))</f>
        <v>0.02</v>
      </c>
      <c r="BI34" s="866">
        <f t="shared" si="35"/>
        <v>3.96</v>
      </c>
      <c r="BJ34" s="871"/>
      <c r="BK34" s="866">
        <v>0</v>
      </c>
      <c r="BL34" s="434"/>
      <c r="BM34" s="866">
        <v>0</v>
      </c>
      <c r="BN34" s="866">
        <v>0</v>
      </c>
      <c r="BO34" s="869"/>
      <c r="BP34" s="866">
        <f t="shared" si="36"/>
        <v>0</v>
      </c>
      <c r="BQ34" s="870">
        <f>IF(ISERROR(VLOOKUP(BO34,Parametros!$C:$J,8,0)),0,VLOOKUP(BO34,Parametros!$C:$J,8,0))</f>
        <v>0</v>
      </c>
      <c r="BR34" s="866">
        <f t="shared" si="37"/>
        <v>0</v>
      </c>
      <c r="BS34" s="871"/>
      <c r="BT34" s="866">
        <v>0</v>
      </c>
      <c r="BU34" s="434"/>
      <c r="BV34" s="866">
        <v>0</v>
      </c>
      <c r="BW34" s="866">
        <v>0</v>
      </c>
      <c r="BX34" s="869"/>
      <c r="BY34" s="866">
        <f t="shared" si="38"/>
        <v>0</v>
      </c>
      <c r="BZ34" s="870">
        <f>IF(ISERROR(VLOOKUP(BX34,Parametros!$C:$J,8,0)),0,VLOOKUP(BX34,Parametros!$C:$J,8,0))</f>
        <v>0</v>
      </c>
      <c r="CA34" s="866">
        <f t="shared" si="39"/>
        <v>0</v>
      </c>
      <c r="CB34" s="434"/>
      <c r="CC34" s="866">
        <v>0</v>
      </c>
      <c r="CD34" s="866">
        <v>0</v>
      </c>
      <c r="CE34" s="866">
        <v>0</v>
      </c>
      <c r="CF34" s="866">
        <v>0</v>
      </c>
      <c r="CG34" s="866">
        <v>0</v>
      </c>
      <c r="CH34" s="866">
        <v>0</v>
      </c>
      <c r="CI34" s="866">
        <v>0</v>
      </c>
      <c r="CJ34" s="866">
        <v>0</v>
      </c>
      <c r="CK34" s="866">
        <f t="shared" si="40"/>
        <v>3.96</v>
      </c>
      <c r="CL34" s="863"/>
      <c r="CM34" s="863"/>
      <c r="CN34" s="863"/>
      <c r="CO34" s="434"/>
      <c r="CP34" s="434" t="s">
        <v>2282</v>
      </c>
      <c r="CQ34" s="434" t="s">
        <v>57</v>
      </c>
      <c r="CR34" s="434"/>
      <c r="CS34" s="434" t="s">
        <v>2283</v>
      </c>
      <c r="CT34" s="434"/>
      <c r="CU34" s="434"/>
      <c r="CV34" s="863"/>
      <c r="CW34" s="434"/>
      <c r="CX34" s="867"/>
      <c r="CY34" s="867"/>
      <c r="CZ34" s="867"/>
      <c r="DA34" s="434"/>
      <c r="DB34" s="867">
        <f t="shared" si="41"/>
        <v>4</v>
      </c>
      <c r="DC34" s="872" t="str">
        <f t="shared" si="0"/>
        <v>SI</v>
      </c>
      <c r="DD34" s="872" t="str">
        <f t="shared" si="1"/>
        <v>SI</v>
      </c>
      <c r="DE34" s="866">
        <f t="shared" si="42"/>
        <v>198.08</v>
      </c>
      <c r="DF34" s="866">
        <f t="shared" si="43"/>
        <v>0</v>
      </c>
      <c r="DG34" s="866">
        <f t="shared" si="44"/>
        <v>0</v>
      </c>
      <c r="DH34" s="866">
        <f t="shared" si="45"/>
        <v>0</v>
      </c>
      <c r="DI34" s="866">
        <f t="shared" si="46"/>
        <v>0</v>
      </c>
      <c r="DJ34" s="866">
        <f t="shared" si="47"/>
        <v>0</v>
      </c>
      <c r="DK34" s="866">
        <f t="shared" si="48"/>
        <v>29.71</v>
      </c>
      <c r="DL34" s="866">
        <f t="shared" si="49"/>
        <v>0</v>
      </c>
      <c r="DM34" s="866">
        <f t="shared" si="50"/>
        <v>0</v>
      </c>
      <c r="DN34" s="866">
        <f t="shared" si="51"/>
        <v>3.96</v>
      </c>
      <c r="DO34" s="434"/>
      <c r="DP34" s="863"/>
      <c r="DQ34" s="864" t="s">
        <v>2284</v>
      </c>
      <c r="DR34" s="864" t="s">
        <v>2285</v>
      </c>
      <c r="DS34" s="863"/>
      <c r="DT34" s="863"/>
      <c r="DU34" s="863"/>
      <c r="DV34" s="863"/>
      <c r="DW34" s="863"/>
      <c r="DX34" s="864" t="s">
        <v>1501</v>
      </c>
      <c r="DY34" s="864" t="s">
        <v>2286</v>
      </c>
      <c r="DZ34" s="864"/>
      <c r="EA34" s="863"/>
      <c r="EB34" s="863"/>
      <c r="EC34" s="863"/>
      <c r="ED34" s="863"/>
      <c r="EE34" s="866">
        <v>0</v>
      </c>
      <c r="EF34" s="866">
        <v>0</v>
      </c>
      <c r="EG34" s="866">
        <v>0</v>
      </c>
      <c r="EH34" s="863"/>
      <c r="EI34" s="434"/>
      <c r="EJ34" s="434"/>
      <c r="EK34" s="863"/>
    </row>
    <row r="35" spans="1:141" x14ac:dyDescent="0.25">
      <c r="A35" s="863" t="s">
        <v>2464</v>
      </c>
      <c r="B35" s="434" t="s">
        <v>2287</v>
      </c>
      <c r="C35" s="863" t="s">
        <v>2492</v>
      </c>
      <c r="D35" s="434" t="s">
        <v>1789</v>
      </c>
      <c r="E35" s="864" t="s">
        <v>744</v>
      </c>
      <c r="F35" s="434"/>
      <c r="G35" s="863" t="s">
        <v>1031</v>
      </c>
      <c r="H35" s="864" t="s">
        <v>2444</v>
      </c>
      <c r="I35" s="864" t="s">
        <v>2446</v>
      </c>
      <c r="J35" s="863" t="s">
        <v>2548</v>
      </c>
      <c r="K35" s="863" t="s">
        <v>2608</v>
      </c>
      <c r="L35" s="865">
        <v>46127</v>
      </c>
      <c r="M35" s="865">
        <v>46127</v>
      </c>
      <c r="N35" s="434"/>
      <c r="O35" s="864"/>
      <c r="P35" s="864"/>
      <c r="Q35" s="863"/>
      <c r="R35" s="863"/>
      <c r="S35" s="863"/>
      <c r="T35" s="863" t="s">
        <v>44</v>
      </c>
      <c r="U35" s="866">
        <v>0</v>
      </c>
      <c r="V35" s="866">
        <v>0</v>
      </c>
      <c r="W35" s="866">
        <v>0</v>
      </c>
      <c r="X35" s="866">
        <v>1.0900000000000001</v>
      </c>
      <c r="Y35" s="866">
        <v>15</v>
      </c>
      <c r="Z35" s="866">
        <f t="shared" si="27"/>
        <v>0.16</v>
      </c>
      <c r="AA35" s="866">
        <v>0</v>
      </c>
      <c r="AB35" s="866">
        <v>5</v>
      </c>
      <c r="AC35" s="866">
        <f t="shared" si="28"/>
        <v>0</v>
      </c>
      <c r="AD35" s="866"/>
      <c r="AE35" s="866">
        <v>8</v>
      </c>
      <c r="AF35" s="866">
        <f t="shared" si="29"/>
        <v>0</v>
      </c>
      <c r="AG35" s="866">
        <v>0</v>
      </c>
      <c r="AH35" s="866">
        <v>0</v>
      </c>
      <c r="AI35" s="866">
        <v>0</v>
      </c>
      <c r="AJ35" s="866">
        <v>0</v>
      </c>
      <c r="AK35" s="866">
        <f t="shared" si="30"/>
        <v>1.25</v>
      </c>
      <c r="AL35" s="866">
        <v>0</v>
      </c>
      <c r="AM35" s="434"/>
      <c r="AN35" s="863"/>
      <c r="AO35" s="863"/>
      <c r="AP35" s="863"/>
      <c r="AQ35" s="863"/>
      <c r="AR35" s="434" t="s">
        <v>1241</v>
      </c>
      <c r="AS35" s="867">
        <v>510</v>
      </c>
      <c r="AT35" s="866">
        <f t="shared" si="31"/>
        <v>1.0900000000000001</v>
      </c>
      <c r="AU35" s="867">
        <v>0</v>
      </c>
      <c r="AV35" s="866">
        <f t="shared" si="32"/>
        <v>0</v>
      </c>
      <c r="AW35" s="867">
        <v>542</v>
      </c>
      <c r="AX35" s="866">
        <f t="shared" si="33"/>
        <v>0</v>
      </c>
      <c r="AY35" s="434"/>
      <c r="AZ35" s="866"/>
      <c r="BA35" s="864"/>
      <c r="BB35" s="864"/>
      <c r="BC35" s="863"/>
      <c r="BD35" s="863"/>
      <c r="BE35" s="868"/>
      <c r="BF35" s="869">
        <v>332</v>
      </c>
      <c r="BG35" s="866">
        <f t="shared" si="34"/>
        <v>1.0900000000000001</v>
      </c>
      <c r="BH35" s="870">
        <f>IF(ISERROR(VLOOKUP(BF35,Parametros!$C:$J,8,0)),0,VLOOKUP(BF35,Parametros!$C:$J,8,0))</f>
        <v>0</v>
      </c>
      <c r="BI35" s="866">
        <f t="shared" si="35"/>
        <v>0</v>
      </c>
      <c r="BJ35" s="871"/>
      <c r="BK35" s="866">
        <v>0</v>
      </c>
      <c r="BL35" s="434"/>
      <c r="BM35" s="866">
        <v>0</v>
      </c>
      <c r="BN35" s="866">
        <v>0</v>
      </c>
      <c r="BO35" s="869"/>
      <c r="BP35" s="866">
        <f t="shared" si="36"/>
        <v>0</v>
      </c>
      <c r="BQ35" s="870">
        <f>IF(ISERROR(VLOOKUP(BO35,Parametros!$C:$J,8,0)),0,VLOOKUP(BO35,Parametros!$C:$J,8,0))</f>
        <v>0</v>
      </c>
      <c r="BR35" s="866">
        <f t="shared" si="37"/>
        <v>0</v>
      </c>
      <c r="BS35" s="871"/>
      <c r="BT35" s="866">
        <v>0</v>
      </c>
      <c r="BU35" s="434"/>
      <c r="BV35" s="866">
        <v>0</v>
      </c>
      <c r="BW35" s="866">
        <v>0</v>
      </c>
      <c r="BX35" s="869"/>
      <c r="BY35" s="866">
        <f t="shared" si="38"/>
        <v>0</v>
      </c>
      <c r="BZ35" s="870">
        <f>IF(ISERROR(VLOOKUP(BX35,Parametros!$C:$J,8,0)),0,VLOOKUP(BX35,Parametros!$C:$J,8,0))</f>
        <v>0</v>
      </c>
      <c r="CA35" s="866">
        <f t="shared" si="39"/>
        <v>0</v>
      </c>
      <c r="CB35" s="434"/>
      <c r="CC35" s="866">
        <v>0</v>
      </c>
      <c r="CD35" s="866">
        <v>0</v>
      </c>
      <c r="CE35" s="866">
        <v>0</v>
      </c>
      <c r="CF35" s="866">
        <v>0</v>
      </c>
      <c r="CG35" s="866">
        <v>0</v>
      </c>
      <c r="CH35" s="866">
        <v>0</v>
      </c>
      <c r="CI35" s="866">
        <v>0</v>
      </c>
      <c r="CJ35" s="866">
        <v>0</v>
      </c>
      <c r="CK35" s="866">
        <f t="shared" si="40"/>
        <v>0</v>
      </c>
      <c r="CL35" s="863"/>
      <c r="CM35" s="863"/>
      <c r="CN35" s="863"/>
      <c r="CO35" s="434"/>
      <c r="CP35" s="434" t="s">
        <v>2282</v>
      </c>
      <c r="CQ35" s="434" t="s">
        <v>57</v>
      </c>
      <c r="CR35" s="434"/>
      <c r="CS35" s="434" t="s">
        <v>2283</v>
      </c>
      <c r="CT35" s="434"/>
      <c r="CU35" s="434"/>
      <c r="CV35" s="863"/>
      <c r="CW35" s="434"/>
      <c r="CX35" s="867"/>
      <c r="CY35" s="867"/>
      <c r="CZ35" s="867"/>
      <c r="DA35" s="434"/>
      <c r="DB35" s="867">
        <f t="shared" si="41"/>
        <v>4</v>
      </c>
      <c r="DC35" s="872" t="str">
        <f t="shared" si="0"/>
        <v>SI</v>
      </c>
      <c r="DD35" s="872" t="str">
        <f t="shared" si="1"/>
        <v>SI</v>
      </c>
      <c r="DE35" s="866">
        <f t="shared" si="42"/>
        <v>1.0900000000000001</v>
      </c>
      <c r="DF35" s="866">
        <f t="shared" si="43"/>
        <v>0</v>
      </c>
      <c r="DG35" s="866">
        <f t="shared" si="44"/>
        <v>0</v>
      </c>
      <c r="DH35" s="866">
        <f t="shared" si="45"/>
        <v>0</v>
      </c>
      <c r="DI35" s="866">
        <f t="shared" si="46"/>
        <v>0</v>
      </c>
      <c r="DJ35" s="866">
        <f t="shared" si="47"/>
        <v>0</v>
      </c>
      <c r="DK35" s="866">
        <f t="shared" si="48"/>
        <v>0.16</v>
      </c>
      <c r="DL35" s="866">
        <f t="shared" si="49"/>
        <v>0</v>
      </c>
      <c r="DM35" s="866">
        <f t="shared" si="50"/>
        <v>0</v>
      </c>
      <c r="DN35" s="866">
        <f t="shared" si="51"/>
        <v>0</v>
      </c>
      <c r="DO35" s="434"/>
      <c r="DP35" s="863"/>
      <c r="DQ35" s="864" t="s">
        <v>2284</v>
      </c>
      <c r="DR35" s="864" t="s">
        <v>2285</v>
      </c>
      <c r="DS35" s="863"/>
      <c r="DT35" s="863"/>
      <c r="DU35" s="863"/>
      <c r="DV35" s="863"/>
      <c r="DW35" s="863"/>
      <c r="DX35" s="864" t="s">
        <v>1501</v>
      </c>
      <c r="DY35" s="864" t="s">
        <v>2286</v>
      </c>
      <c r="DZ35" s="864"/>
      <c r="EA35" s="863"/>
      <c r="EB35" s="863"/>
      <c r="EC35" s="863"/>
      <c r="ED35" s="863"/>
      <c r="EE35" s="866">
        <v>0</v>
      </c>
      <c r="EF35" s="866">
        <v>0</v>
      </c>
      <c r="EG35" s="866">
        <v>0</v>
      </c>
      <c r="EH35" s="863"/>
      <c r="EI35" s="434"/>
      <c r="EJ35" s="434"/>
      <c r="EK35" s="863"/>
    </row>
    <row r="36" spans="1:141" x14ac:dyDescent="0.25">
      <c r="A36" s="863" t="s">
        <v>2478</v>
      </c>
      <c r="B36" s="434" t="s">
        <v>2287</v>
      </c>
      <c r="C36" s="863" t="s">
        <v>2507</v>
      </c>
      <c r="D36" s="434" t="s">
        <v>2292</v>
      </c>
      <c r="E36" s="864" t="s">
        <v>744</v>
      </c>
      <c r="F36" s="434"/>
      <c r="G36" s="863" t="s">
        <v>1031</v>
      </c>
      <c r="H36" s="864" t="s">
        <v>8</v>
      </c>
      <c r="I36" s="864" t="s">
        <v>8</v>
      </c>
      <c r="J36" s="863" t="s">
        <v>2549</v>
      </c>
      <c r="K36" s="863" t="s">
        <v>2609</v>
      </c>
      <c r="L36" s="865">
        <v>46128</v>
      </c>
      <c r="M36" s="865">
        <v>46128</v>
      </c>
      <c r="N36" s="434"/>
      <c r="O36" s="864"/>
      <c r="P36" s="864"/>
      <c r="Q36" s="863"/>
      <c r="R36" s="863"/>
      <c r="S36" s="863"/>
      <c r="T36" s="863" t="s">
        <v>44</v>
      </c>
      <c r="U36" s="866">
        <v>0</v>
      </c>
      <c r="V36" s="866">
        <v>0</v>
      </c>
      <c r="W36" s="866">
        <v>0</v>
      </c>
      <c r="X36" s="866">
        <v>320.04000000000002</v>
      </c>
      <c r="Y36" s="866">
        <v>15</v>
      </c>
      <c r="Z36" s="866">
        <f t="shared" si="27"/>
        <v>48.01</v>
      </c>
      <c r="AA36" s="866">
        <v>0</v>
      </c>
      <c r="AB36" s="866">
        <v>5</v>
      </c>
      <c r="AC36" s="866">
        <f t="shared" si="28"/>
        <v>0</v>
      </c>
      <c r="AD36" s="866"/>
      <c r="AE36" s="866">
        <v>8</v>
      </c>
      <c r="AF36" s="866">
        <f t="shared" si="29"/>
        <v>0</v>
      </c>
      <c r="AG36" s="866">
        <v>0</v>
      </c>
      <c r="AH36" s="866">
        <v>0</v>
      </c>
      <c r="AI36" s="866">
        <v>0</v>
      </c>
      <c r="AJ36" s="866">
        <v>0</v>
      </c>
      <c r="AK36" s="866">
        <f t="shared" si="30"/>
        <v>368.05</v>
      </c>
      <c r="AL36" s="866">
        <v>0</v>
      </c>
      <c r="AM36" s="434"/>
      <c r="AN36" s="863"/>
      <c r="AO36" s="863"/>
      <c r="AP36" s="863"/>
      <c r="AQ36" s="863"/>
      <c r="AR36" s="434" t="s">
        <v>1241</v>
      </c>
      <c r="AS36" s="867">
        <v>510</v>
      </c>
      <c r="AT36" s="866">
        <f t="shared" si="31"/>
        <v>320.04000000000002</v>
      </c>
      <c r="AU36" s="867">
        <v>0</v>
      </c>
      <c r="AV36" s="866">
        <f t="shared" si="32"/>
        <v>0</v>
      </c>
      <c r="AW36" s="867">
        <v>542</v>
      </c>
      <c r="AX36" s="866">
        <f t="shared" si="33"/>
        <v>0</v>
      </c>
      <c r="AY36" s="434"/>
      <c r="AZ36" s="866"/>
      <c r="BA36" s="864"/>
      <c r="BB36" s="864"/>
      <c r="BC36" s="863"/>
      <c r="BD36" s="863"/>
      <c r="BE36" s="868"/>
      <c r="BF36" s="869">
        <v>332</v>
      </c>
      <c r="BG36" s="866">
        <f t="shared" si="34"/>
        <v>320.04000000000002</v>
      </c>
      <c r="BH36" s="870">
        <f>IF(ISERROR(VLOOKUP(BF36,Parametros!$C:$J,8,0)),0,VLOOKUP(BF36,Parametros!$C:$J,8,0))</f>
        <v>0</v>
      </c>
      <c r="BI36" s="866">
        <f t="shared" si="35"/>
        <v>0</v>
      </c>
      <c r="BJ36" s="871"/>
      <c r="BK36" s="866">
        <v>0</v>
      </c>
      <c r="BL36" s="434"/>
      <c r="BM36" s="866">
        <v>0</v>
      </c>
      <c r="BN36" s="866">
        <v>0</v>
      </c>
      <c r="BO36" s="869"/>
      <c r="BP36" s="866">
        <f t="shared" si="36"/>
        <v>0</v>
      </c>
      <c r="BQ36" s="870">
        <f>IF(ISERROR(VLOOKUP(BO36,Parametros!$C:$J,8,0)),0,VLOOKUP(BO36,Parametros!$C:$J,8,0))</f>
        <v>0</v>
      </c>
      <c r="BR36" s="866">
        <f t="shared" si="37"/>
        <v>0</v>
      </c>
      <c r="BS36" s="871"/>
      <c r="BT36" s="866">
        <v>0</v>
      </c>
      <c r="BU36" s="434"/>
      <c r="BV36" s="866">
        <v>0</v>
      </c>
      <c r="BW36" s="866">
        <v>0</v>
      </c>
      <c r="BX36" s="869"/>
      <c r="BY36" s="866">
        <f t="shared" si="38"/>
        <v>0</v>
      </c>
      <c r="BZ36" s="870">
        <f>IF(ISERROR(VLOOKUP(BX36,Parametros!$C:$J,8,0)),0,VLOOKUP(BX36,Parametros!$C:$J,8,0))</f>
        <v>0</v>
      </c>
      <c r="CA36" s="866">
        <f t="shared" si="39"/>
        <v>0</v>
      </c>
      <c r="CB36" s="434"/>
      <c r="CC36" s="866">
        <v>0</v>
      </c>
      <c r="CD36" s="866">
        <v>0</v>
      </c>
      <c r="CE36" s="866">
        <v>0</v>
      </c>
      <c r="CF36" s="866">
        <v>0</v>
      </c>
      <c r="CG36" s="866">
        <v>0</v>
      </c>
      <c r="CH36" s="866">
        <v>0</v>
      </c>
      <c r="CI36" s="866">
        <v>0</v>
      </c>
      <c r="CJ36" s="866">
        <v>0</v>
      </c>
      <c r="CK36" s="866">
        <f t="shared" si="40"/>
        <v>0</v>
      </c>
      <c r="CL36" s="863"/>
      <c r="CM36" s="863"/>
      <c r="CN36" s="863"/>
      <c r="CO36" s="434"/>
      <c r="CP36" s="434" t="s">
        <v>2282</v>
      </c>
      <c r="CQ36" s="434" t="s">
        <v>57</v>
      </c>
      <c r="CR36" s="434"/>
      <c r="CS36" s="434" t="s">
        <v>2283</v>
      </c>
      <c r="CT36" s="434"/>
      <c r="CU36" s="434"/>
      <c r="CV36" s="863"/>
      <c r="CW36" s="434"/>
      <c r="CX36" s="867"/>
      <c r="CY36" s="867"/>
      <c r="CZ36" s="867"/>
      <c r="DA36" s="434"/>
      <c r="DB36" s="867">
        <f t="shared" si="41"/>
        <v>4</v>
      </c>
      <c r="DC36" s="872" t="str">
        <f t="shared" si="0"/>
        <v>SI</v>
      </c>
      <c r="DD36" s="872" t="str">
        <f t="shared" si="1"/>
        <v>SI</v>
      </c>
      <c r="DE36" s="866">
        <f t="shared" si="42"/>
        <v>320.04000000000002</v>
      </c>
      <c r="DF36" s="866">
        <f t="shared" si="43"/>
        <v>0</v>
      </c>
      <c r="DG36" s="866">
        <f t="shared" si="44"/>
        <v>0</v>
      </c>
      <c r="DH36" s="866">
        <f t="shared" si="45"/>
        <v>0</v>
      </c>
      <c r="DI36" s="866">
        <f t="shared" si="46"/>
        <v>0</v>
      </c>
      <c r="DJ36" s="866">
        <f t="shared" si="47"/>
        <v>0</v>
      </c>
      <c r="DK36" s="866">
        <f t="shared" si="48"/>
        <v>48.01</v>
      </c>
      <c r="DL36" s="866">
        <f t="shared" si="49"/>
        <v>0</v>
      </c>
      <c r="DM36" s="866">
        <f t="shared" si="50"/>
        <v>0</v>
      </c>
      <c r="DN36" s="866">
        <f t="shared" si="51"/>
        <v>0</v>
      </c>
      <c r="DO36" s="434"/>
      <c r="DP36" s="863"/>
      <c r="DQ36" s="864" t="s">
        <v>2284</v>
      </c>
      <c r="DR36" s="864" t="s">
        <v>2285</v>
      </c>
      <c r="DS36" s="863"/>
      <c r="DT36" s="863"/>
      <c r="DU36" s="863"/>
      <c r="DV36" s="863"/>
      <c r="DW36" s="863"/>
      <c r="DX36" s="864" t="s">
        <v>1501</v>
      </c>
      <c r="DY36" s="864" t="s">
        <v>2286</v>
      </c>
      <c r="DZ36" s="864"/>
      <c r="EA36" s="863"/>
      <c r="EB36" s="863"/>
      <c r="EC36" s="863"/>
      <c r="ED36" s="863"/>
      <c r="EE36" s="866">
        <v>0</v>
      </c>
      <c r="EF36" s="866">
        <v>0</v>
      </c>
      <c r="EG36" s="866">
        <v>0</v>
      </c>
      <c r="EH36" s="863"/>
      <c r="EI36" s="434"/>
      <c r="EJ36" s="434"/>
      <c r="EK36" s="863"/>
    </row>
    <row r="37" spans="1:141" x14ac:dyDescent="0.25">
      <c r="A37" s="863" t="s">
        <v>2479</v>
      </c>
      <c r="B37" s="434" t="s">
        <v>2287</v>
      </c>
      <c r="C37" s="863" t="s">
        <v>2508</v>
      </c>
      <c r="D37" s="434" t="s">
        <v>2292</v>
      </c>
      <c r="E37" s="864" t="s">
        <v>744</v>
      </c>
      <c r="F37" s="434"/>
      <c r="G37" s="863" t="s">
        <v>1031</v>
      </c>
      <c r="H37" s="864" t="s">
        <v>2446</v>
      </c>
      <c r="I37" s="864" t="s">
        <v>2550</v>
      </c>
      <c r="J37" s="863" t="s">
        <v>2551</v>
      </c>
      <c r="K37" s="863" t="s">
        <v>2610</v>
      </c>
      <c r="L37" s="865">
        <v>46128</v>
      </c>
      <c r="M37" s="865">
        <v>46128</v>
      </c>
      <c r="N37" s="434"/>
      <c r="O37" s="864"/>
      <c r="P37" s="864"/>
      <c r="Q37" s="863"/>
      <c r="R37" s="863"/>
      <c r="S37" s="863"/>
      <c r="T37" s="863" t="s">
        <v>44</v>
      </c>
      <c r="U37" s="866">
        <v>0</v>
      </c>
      <c r="V37" s="866">
        <v>0</v>
      </c>
      <c r="W37" s="866">
        <v>0</v>
      </c>
      <c r="X37" s="866">
        <v>36.61</v>
      </c>
      <c r="Y37" s="866">
        <v>15</v>
      </c>
      <c r="Z37" s="866">
        <f t="shared" si="27"/>
        <v>5.49</v>
      </c>
      <c r="AA37" s="866">
        <v>0</v>
      </c>
      <c r="AB37" s="866">
        <v>5</v>
      </c>
      <c r="AC37" s="866">
        <f t="shared" si="28"/>
        <v>0</v>
      </c>
      <c r="AD37" s="866"/>
      <c r="AE37" s="866">
        <v>8</v>
      </c>
      <c r="AF37" s="866">
        <f t="shared" si="29"/>
        <v>0</v>
      </c>
      <c r="AG37" s="866">
        <v>0</v>
      </c>
      <c r="AH37" s="866">
        <v>0</v>
      </c>
      <c r="AI37" s="866">
        <v>0</v>
      </c>
      <c r="AJ37" s="866">
        <v>0</v>
      </c>
      <c r="AK37" s="866">
        <f t="shared" si="30"/>
        <v>42.1</v>
      </c>
      <c r="AL37" s="866">
        <v>0</v>
      </c>
      <c r="AM37" s="434"/>
      <c r="AN37" s="863"/>
      <c r="AO37" s="863"/>
      <c r="AP37" s="863"/>
      <c r="AQ37" s="863"/>
      <c r="AR37" s="434" t="s">
        <v>1241</v>
      </c>
      <c r="AS37" s="867">
        <v>510</v>
      </c>
      <c r="AT37" s="866">
        <f t="shared" si="31"/>
        <v>36.61</v>
      </c>
      <c r="AU37" s="867">
        <v>0</v>
      </c>
      <c r="AV37" s="866">
        <f t="shared" si="32"/>
        <v>0</v>
      </c>
      <c r="AW37" s="867">
        <v>542</v>
      </c>
      <c r="AX37" s="866">
        <f t="shared" si="33"/>
        <v>0</v>
      </c>
      <c r="AY37" s="434"/>
      <c r="AZ37" s="866"/>
      <c r="BA37" s="864"/>
      <c r="BB37" s="864"/>
      <c r="BC37" s="863"/>
      <c r="BD37" s="863"/>
      <c r="BE37" s="868"/>
      <c r="BF37" s="869">
        <v>332</v>
      </c>
      <c r="BG37" s="866">
        <f t="shared" si="34"/>
        <v>36.61</v>
      </c>
      <c r="BH37" s="870">
        <f>IF(ISERROR(VLOOKUP(BF37,Parametros!$C:$J,8,0)),0,VLOOKUP(BF37,Parametros!$C:$J,8,0))</f>
        <v>0</v>
      </c>
      <c r="BI37" s="866">
        <f t="shared" si="35"/>
        <v>0</v>
      </c>
      <c r="BJ37" s="871"/>
      <c r="BK37" s="866">
        <v>0</v>
      </c>
      <c r="BL37" s="434"/>
      <c r="BM37" s="866">
        <v>0</v>
      </c>
      <c r="BN37" s="866">
        <v>0</v>
      </c>
      <c r="BO37" s="869"/>
      <c r="BP37" s="866">
        <f t="shared" si="36"/>
        <v>0</v>
      </c>
      <c r="BQ37" s="870">
        <f>IF(ISERROR(VLOOKUP(BO37,Parametros!$C:$J,8,0)),0,VLOOKUP(BO37,Parametros!$C:$J,8,0))</f>
        <v>0</v>
      </c>
      <c r="BR37" s="866">
        <f t="shared" si="37"/>
        <v>0</v>
      </c>
      <c r="BS37" s="871"/>
      <c r="BT37" s="866">
        <v>0</v>
      </c>
      <c r="BU37" s="434"/>
      <c r="BV37" s="866">
        <v>0</v>
      </c>
      <c r="BW37" s="866">
        <v>0</v>
      </c>
      <c r="BX37" s="869"/>
      <c r="BY37" s="866">
        <f t="shared" si="38"/>
        <v>0</v>
      </c>
      <c r="BZ37" s="870">
        <f>IF(ISERROR(VLOOKUP(BX37,Parametros!$C:$J,8,0)),0,VLOOKUP(BX37,Parametros!$C:$J,8,0))</f>
        <v>0</v>
      </c>
      <c r="CA37" s="866">
        <f t="shared" si="39"/>
        <v>0</v>
      </c>
      <c r="CB37" s="434"/>
      <c r="CC37" s="866">
        <v>0</v>
      </c>
      <c r="CD37" s="866">
        <v>0</v>
      </c>
      <c r="CE37" s="866">
        <v>0</v>
      </c>
      <c r="CF37" s="866">
        <v>0</v>
      </c>
      <c r="CG37" s="866">
        <v>0</v>
      </c>
      <c r="CH37" s="866">
        <v>0</v>
      </c>
      <c r="CI37" s="866">
        <v>0</v>
      </c>
      <c r="CJ37" s="866">
        <v>0</v>
      </c>
      <c r="CK37" s="866">
        <f t="shared" si="40"/>
        <v>0</v>
      </c>
      <c r="CL37" s="863"/>
      <c r="CM37" s="863"/>
      <c r="CN37" s="863"/>
      <c r="CO37" s="434"/>
      <c r="CP37" s="434" t="s">
        <v>2282</v>
      </c>
      <c r="CQ37" s="434" t="s">
        <v>57</v>
      </c>
      <c r="CR37" s="434"/>
      <c r="CS37" s="434" t="s">
        <v>2283</v>
      </c>
      <c r="CT37" s="434"/>
      <c r="CU37" s="434"/>
      <c r="CV37" s="863"/>
      <c r="CW37" s="434"/>
      <c r="CX37" s="867"/>
      <c r="CY37" s="867"/>
      <c r="CZ37" s="867"/>
      <c r="DA37" s="434"/>
      <c r="DB37" s="867">
        <f t="shared" si="41"/>
        <v>4</v>
      </c>
      <c r="DC37" s="872" t="str">
        <f t="shared" si="0"/>
        <v>SI</v>
      </c>
      <c r="DD37" s="872" t="str">
        <f t="shared" si="1"/>
        <v>SI</v>
      </c>
      <c r="DE37" s="866">
        <f t="shared" si="42"/>
        <v>36.61</v>
      </c>
      <c r="DF37" s="866">
        <f t="shared" si="43"/>
        <v>0</v>
      </c>
      <c r="DG37" s="866">
        <f t="shared" si="44"/>
        <v>0</v>
      </c>
      <c r="DH37" s="866">
        <f t="shared" si="45"/>
        <v>0</v>
      </c>
      <c r="DI37" s="866">
        <f t="shared" si="46"/>
        <v>0</v>
      </c>
      <c r="DJ37" s="866">
        <f t="shared" si="47"/>
        <v>0</v>
      </c>
      <c r="DK37" s="866">
        <f t="shared" si="48"/>
        <v>5.49</v>
      </c>
      <c r="DL37" s="866">
        <f t="shared" si="49"/>
        <v>0</v>
      </c>
      <c r="DM37" s="866">
        <f t="shared" si="50"/>
        <v>0</v>
      </c>
      <c r="DN37" s="866">
        <f t="shared" si="51"/>
        <v>0</v>
      </c>
      <c r="DO37" s="434"/>
      <c r="DP37" s="863"/>
      <c r="DQ37" s="864" t="s">
        <v>2284</v>
      </c>
      <c r="DR37" s="864" t="s">
        <v>2285</v>
      </c>
      <c r="DS37" s="863"/>
      <c r="DT37" s="863"/>
      <c r="DU37" s="863"/>
      <c r="DV37" s="863"/>
      <c r="DW37" s="863"/>
      <c r="DX37" s="864" t="s">
        <v>1501</v>
      </c>
      <c r="DY37" s="864" t="s">
        <v>2286</v>
      </c>
      <c r="DZ37" s="864"/>
      <c r="EA37" s="863"/>
      <c r="EB37" s="863"/>
      <c r="EC37" s="863"/>
      <c r="ED37" s="863"/>
      <c r="EE37" s="866">
        <v>0</v>
      </c>
      <c r="EF37" s="866">
        <v>0</v>
      </c>
      <c r="EG37" s="866">
        <v>0</v>
      </c>
      <c r="EH37" s="863"/>
      <c r="EI37" s="434"/>
      <c r="EJ37" s="434"/>
      <c r="EK37" s="863"/>
    </row>
    <row r="38" spans="1:141" x14ac:dyDescent="0.25">
      <c r="A38" s="863" t="s">
        <v>2477</v>
      </c>
      <c r="B38" s="434" t="s">
        <v>2287</v>
      </c>
      <c r="C38" s="863" t="s">
        <v>2506</v>
      </c>
      <c r="D38" s="434" t="s">
        <v>2292</v>
      </c>
      <c r="E38" s="864" t="s">
        <v>744</v>
      </c>
      <c r="F38" s="434"/>
      <c r="G38" s="863" t="s">
        <v>1031</v>
      </c>
      <c r="H38" s="864" t="s">
        <v>2442</v>
      </c>
      <c r="I38" s="864" t="s">
        <v>8</v>
      </c>
      <c r="J38" s="863" t="s">
        <v>2552</v>
      </c>
      <c r="K38" s="863" t="s">
        <v>2611</v>
      </c>
      <c r="L38" s="865">
        <v>46128</v>
      </c>
      <c r="M38" s="865">
        <v>46128</v>
      </c>
      <c r="N38" s="434"/>
      <c r="O38" s="864"/>
      <c r="P38" s="864"/>
      <c r="Q38" s="863"/>
      <c r="R38" s="863"/>
      <c r="S38" s="863"/>
      <c r="T38" s="863" t="s">
        <v>44</v>
      </c>
      <c r="U38" s="866">
        <v>0</v>
      </c>
      <c r="V38" s="866">
        <v>0</v>
      </c>
      <c r="W38" s="866">
        <v>0</v>
      </c>
      <c r="X38" s="866">
        <v>6010.8</v>
      </c>
      <c r="Y38" s="866">
        <v>15</v>
      </c>
      <c r="Z38" s="866">
        <f t="shared" si="27"/>
        <v>901.62</v>
      </c>
      <c r="AA38" s="866">
        <v>0</v>
      </c>
      <c r="AB38" s="866">
        <v>5</v>
      </c>
      <c r="AC38" s="866">
        <f t="shared" si="28"/>
        <v>0</v>
      </c>
      <c r="AD38" s="866"/>
      <c r="AE38" s="866">
        <v>8</v>
      </c>
      <c r="AF38" s="866">
        <f t="shared" si="29"/>
        <v>0</v>
      </c>
      <c r="AG38" s="866">
        <v>0</v>
      </c>
      <c r="AH38" s="866">
        <v>0</v>
      </c>
      <c r="AI38" s="866">
        <v>0</v>
      </c>
      <c r="AJ38" s="866">
        <v>0</v>
      </c>
      <c r="AK38" s="866">
        <f t="shared" si="30"/>
        <v>6912.42</v>
      </c>
      <c r="AL38" s="866">
        <v>0</v>
      </c>
      <c r="AM38" s="434"/>
      <c r="AN38" s="863"/>
      <c r="AO38" s="863"/>
      <c r="AP38" s="863"/>
      <c r="AQ38" s="863"/>
      <c r="AR38" s="434" t="s">
        <v>1241</v>
      </c>
      <c r="AS38" s="867">
        <v>510</v>
      </c>
      <c r="AT38" s="866">
        <f t="shared" si="31"/>
        <v>6010.8</v>
      </c>
      <c r="AU38" s="867">
        <v>0</v>
      </c>
      <c r="AV38" s="866">
        <f t="shared" si="32"/>
        <v>0</v>
      </c>
      <c r="AW38" s="867">
        <v>542</v>
      </c>
      <c r="AX38" s="866">
        <f t="shared" si="33"/>
        <v>0</v>
      </c>
      <c r="AY38" s="434"/>
      <c r="AZ38" s="866" t="s">
        <v>2890</v>
      </c>
      <c r="BA38" s="864" t="s">
        <v>2444</v>
      </c>
      <c r="BB38" s="864" t="s">
        <v>8</v>
      </c>
      <c r="BC38" s="863" t="s">
        <v>2895</v>
      </c>
      <c r="BD38" s="863" t="s">
        <v>2896</v>
      </c>
      <c r="BE38" s="868">
        <v>46129</v>
      </c>
      <c r="BF38" s="869">
        <v>312</v>
      </c>
      <c r="BG38" s="866">
        <f t="shared" si="34"/>
        <v>6010.8</v>
      </c>
      <c r="BH38" s="870">
        <f>IF(ISERROR(VLOOKUP(BF38,Parametros!$C:$J,8,0)),0,VLOOKUP(BF38,Parametros!$C:$J,8,0))</f>
        <v>0.02</v>
      </c>
      <c r="BI38" s="866">
        <f t="shared" si="35"/>
        <v>120.22</v>
      </c>
      <c r="BJ38" s="871"/>
      <c r="BK38" s="866">
        <v>0</v>
      </c>
      <c r="BL38" s="434"/>
      <c r="BM38" s="866">
        <v>0</v>
      </c>
      <c r="BN38" s="866">
        <v>0</v>
      </c>
      <c r="BO38" s="869"/>
      <c r="BP38" s="866">
        <f t="shared" si="36"/>
        <v>0</v>
      </c>
      <c r="BQ38" s="870">
        <f>IF(ISERROR(VLOOKUP(BO38,Parametros!$C:$J,8,0)),0,VLOOKUP(BO38,Parametros!$C:$J,8,0))</f>
        <v>0</v>
      </c>
      <c r="BR38" s="866">
        <f t="shared" si="37"/>
        <v>0</v>
      </c>
      <c r="BS38" s="871"/>
      <c r="BT38" s="866">
        <v>0</v>
      </c>
      <c r="BU38" s="434"/>
      <c r="BV38" s="866">
        <v>0</v>
      </c>
      <c r="BW38" s="866">
        <v>0</v>
      </c>
      <c r="BX38" s="869"/>
      <c r="BY38" s="866">
        <f t="shared" si="38"/>
        <v>0</v>
      </c>
      <c r="BZ38" s="870">
        <f>IF(ISERROR(VLOOKUP(BX38,Parametros!$C:$J,8,0)),0,VLOOKUP(BX38,Parametros!$C:$J,8,0))</f>
        <v>0</v>
      </c>
      <c r="CA38" s="866">
        <f t="shared" si="39"/>
        <v>0</v>
      </c>
      <c r="CB38" s="434"/>
      <c r="CC38" s="866">
        <v>0</v>
      </c>
      <c r="CD38" s="866">
        <v>0</v>
      </c>
      <c r="CE38" s="866">
        <v>0</v>
      </c>
      <c r="CF38" s="866">
        <v>0</v>
      </c>
      <c r="CG38" s="866">
        <v>0</v>
      </c>
      <c r="CH38" s="866">
        <v>0</v>
      </c>
      <c r="CI38" s="866">
        <v>0</v>
      </c>
      <c r="CJ38" s="866">
        <v>0</v>
      </c>
      <c r="CK38" s="866">
        <f t="shared" si="40"/>
        <v>120.22</v>
      </c>
      <c r="CL38" s="863"/>
      <c r="CM38" s="863"/>
      <c r="CN38" s="863"/>
      <c r="CO38" s="434"/>
      <c r="CP38" s="434" t="s">
        <v>2282</v>
      </c>
      <c r="CQ38" s="434" t="s">
        <v>76</v>
      </c>
      <c r="CR38" s="434"/>
      <c r="CS38" s="434" t="s">
        <v>2283</v>
      </c>
      <c r="CT38" s="434"/>
      <c r="CU38" s="434"/>
      <c r="CV38" s="863"/>
      <c r="CW38" s="434"/>
      <c r="CX38" s="867"/>
      <c r="CY38" s="867"/>
      <c r="CZ38" s="867"/>
      <c r="DA38" s="434"/>
      <c r="DB38" s="867">
        <f t="shared" si="41"/>
        <v>4</v>
      </c>
      <c r="DC38" s="872" t="str">
        <f t="shared" si="0"/>
        <v>SI</v>
      </c>
      <c r="DD38" s="872" t="str">
        <f t="shared" si="1"/>
        <v>SI</v>
      </c>
      <c r="DE38" s="866">
        <f t="shared" si="42"/>
        <v>6010.8</v>
      </c>
      <c r="DF38" s="866">
        <f t="shared" si="43"/>
        <v>0</v>
      </c>
      <c r="DG38" s="866">
        <f t="shared" si="44"/>
        <v>0</v>
      </c>
      <c r="DH38" s="866">
        <f t="shared" si="45"/>
        <v>0</v>
      </c>
      <c r="DI38" s="866">
        <f t="shared" si="46"/>
        <v>0</v>
      </c>
      <c r="DJ38" s="866">
        <f t="shared" si="47"/>
        <v>0</v>
      </c>
      <c r="DK38" s="866">
        <f t="shared" si="48"/>
        <v>901.62</v>
      </c>
      <c r="DL38" s="866">
        <f t="shared" si="49"/>
        <v>0</v>
      </c>
      <c r="DM38" s="866">
        <f t="shared" si="50"/>
        <v>0</v>
      </c>
      <c r="DN38" s="866">
        <f t="shared" si="51"/>
        <v>120.22</v>
      </c>
      <c r="DO38" s="434"/>
      <c r="DP38" s="863"/>
      <c r="DQ38" s="864" t="s">
        <v>2284</v>
      </c>
      <c r="DR38" s="864" t="s">
        <v>2285</v>
      </c>
      <c r="DS38" s="863"/>
      <c r="DT38" s="863"/>
      <c r="DU38" s="863"/>
      <c r="DV38" s="863"/>
      <c r="DW38" s="863"/>
      <c r="DX38" s="864" t="s">
        <v>1501</v>
      </c>
      <c r="DY38" s="864" t="s">
        <v>2286</v>
      </c>
      <c r="DZ38" s="864"/>
      <c r="EA38" s="863"/>
      <c r="EB38" s="863"/>
      <c r="EC38" s="863"/>
      <c r="ED38" s="863"/>
      <c r="EE38" s="866">
        <v>0</v>
      </c>
      <c r="EF38" s="866">
        <v>0</v>
      </c>
      <c r="EG38" s="866">
        <v>0</v>
      </c>
      <c r="EH38" s="863"/>
      <c r="EI38" s="434"/>
      <c r="EJ38" s="434"/>
      <c r="EK38" s="863"/>
    </row>
    <row r="39" spans="1:141" x14ac:dyDescent="0.25">
      <c r="A39" s="863" t="s">
        <v>2480</v>
      </c>
      <c r="B39" s="434" t="s">
        <v>2287</v>
      </c>
      <c r="C39" s="863" t="s">
        <v>2509</v>
      </c>
      <c r="D39" s="434" t="s">
        <v>2292</v>
      </c>
      <c r="E39" s="864" t="s">
        <v>744</v>
      </c>
      <c r="F39" s="434"/>
      <c r="G39" s="863" t="s">
        <v>1031</v>
      </c>
      <c r="H39" s="864" t="s">
        <v>2553</v>
      </c>
      <c r="I39" s="864" t="s">
        <v>2554</v>
      </c>
      <c r="J39" s="863" t="s">
        <v>2555</v>
      </c>
      <c r="K39" s="863" t="s">
        <v>2612</v>
      </c>
      <c r="L39" s="865">
        <v>46129</v>
      </c>
      <c r="M39" s="865">
        <v>46129</v>
      </c>
      <c r="N39" s="434"/>
      <c r="O39" s="864"/>
      <c r="P39" s="864"/>
      <c r="Q39" s="863"/>
      <c r="R39" s="863"/>
      <c r="S39" s="863"/>
      <c r="T39" s="863" t="s">
        <v>44</v>
      </c>
      <c r="U39" s="866">
        <v>0</v>
      </c>
      <c r="V39" s="866">
        <v>0</v>
      </c>
      <c r="W39" s="866">
        <v>1.8</v>
      </c>
      <c r="X39" s="866">
        <v>0</v>
      </c>
      <c r="Y39" s="866">
        <v>15</v>
      </c>
      <c r="Z39" s="866">
        <f t="shared" si="27"/>
        <v>0</v>
      </c>
      <c r="AA39" s="866">
        <v>0</v>
      </c>
      <c r="AB39" s="866">
        <v>5</v>
      </c>
      <c r="AC39" s="866">
        <f t="shared" si="28"/>
        <v>0</v>
      </c>
      <c r="AD39" s="866"/>
      <c r="AE39" s="866">
        <v>8</v>
      </c>
      <c r="AF39" s="866">
        <f t="shared" si="29"/>
        <v>0</v>
      </c>
      <c r="AG39" s="866">
        <v>0</v>
      </c>
      <c r="AH39" s="866">
        <v>0</v>
      </c>
      <c r="AI39" s="866">
        <v>0</v>
      </c>
      <c r="AJ39" s="866">
        <v>0</v>
      </c>
      <c r="AK39" s="866">
        <f t="shared" si="30"/>
        <v>1.8</v>
      </c>
      <c r="AL39" s="866">
        <v>0</v>
      </c>
      <c r="AM39" s="434"/>
      <c r="AN39" s="863"/>
      <c r="AO39" s="863"/>
      <c r="AP39" s="863"/>
      <c r="AQ39" s="863"/>
      <c r="AR39" s="434" t="s">
        <v>1241</v>
      </c>
      <c r="AS39" s="867">
        <v>510</v>
      </c>
      <c r="AT39" s="866">
        <f t="shared" si="31"/>
        <v>0</v>
      </c>
      <c r="AU39" s="867">
        <v>0</v>
      </c>
      <c r="AV39" s="866">
        <f t="shared" si="32"/>
        <v>0</v>
      </c>
      <c r="AW39" s="867">
        <v>542</v>
      </c>
      <c r="AX39" s="866">
        <f t="shared" si="33"/>
        <v>0</v>
      </c>
      <c r="AY39" s="434"/>
      <c r="AZ39" s="866"/>
      <c r="BA39" s="864"/>
      <c r="BB39" s="864"/>
      <c r="BC39" s="863"/>
      <c r="BD39" s="863"/>
      <c r="BE39" s="868"/>
      <c r="BF39" s="869">
        <v>332</v>
      </c>
      <c r="BG39" s="866">
        <f t="shared" si="34"/>
        <v>1.8</v>
      </c>
      <c r="BH39" s="870">
        <f>IF(ISERROR(VLOOKUP(BF39,Parametros!$C:$J,8,0)),0,VLOOKUP(BF39,Parametros!$C:$J,8,0))</f>
        <v>0</v>
      </c>
      <c r="BI39" s="866">
        <f t="shared" si="35"/>
        <v>0</v>
      </c>
      <c r="BJ39" s="871"/>
      <c r="BK39" s="866">
        <v>0</v>
      </c>
      <c r="BL39" s="434"/>
      <c r="BM39" s="866">
        <v>0</v>
      </c>
      <c r="BN39" s="866">
        <v>0</v>
      </c>
      <c r="BO39" s="869"/>
      <c r="BP39" s="866">
        <f t="shared" si="36"/>
        <v>0</v>
      </c>
      <c r="BQ39" s="870">
        <f>IF(ISERROR(VLOOKUP(BO39,Parametros!$C:$J,8,0)),0,VLOOKUP(BO39,Parametros!$C:$J,8,0))</f>
        <v>0</v>
      </c>
      <c r="BR39" s="866">
        <f t="shared" si="37"/>
        <v>0</v>
      </c>
      <c r="BS39" s="871"/>
      <c r="BT39" s="866">
        <v>0</v>
      </c>
      <c r="BU39" s="434"/>
      <c r="BV39" s="866">
        <v>0</v>
      </c>
      <c r="BW39" s="866">
        <v>0</v>
      </c>
      <c r="BX39" s="869"/>
      <c r="BY39" s="866">
        <f t="shared" si="38"/>
        <v>0</v>
      </c>
      <c r="BZ39" s="870">
        <f>IF(ISERROR(VLOOKUP(BX39,Parametros!$C:$J,8,0)),0,VLOOKUP(BX39,Parametros!$C:$J,8,0))</f>
        <v>0</v>
      </c>
      <c r="CA39" s="866">
        <f t="shared" si="39"/>
        <v>0</v>
      </c>
      <c r="CB39" s="434"/>
      <c r="CC39" s="866">
        <v>0</v>
      </c>
      <c r="CD39" s="866">
        <v>0</v>
      </c>
      <c r="CE39" s="866">
        <v>0</v>
      </c>
      <c r="CF39" s="866">
        <v>0</v>
      </c>
      <c r="CG39" s="866">
        <v>0</v>
      </c>
      <c r="CH39" s="866">
        <v>0</v>
      </c>
      <c r="CI39" s="866">
        <v>0</v>
      </c>
      <c r="CJ39" s="866">
        <v>0</v>
      </c>
      <c r="CK39" s="866">
        <f t="shared" si="40"/>
        <v>0</v>
      </c>
      <c r="CL39" s="863"/>
      <c r="CM39" s="863"/>
      <c r="CN39" s="863"/>
      <c r="CO39" s="434"/>
      <c r="CP39" s="434" t="s">
        <v>2282</v>
      </c>
      <c r="CQ39" s="434" t="s">
        <v>57</v>
      </c>
      <c r="CR39" s="434"/>
      <c r="CS39" s="434" t="s">
        <v>2283</v>
      </c>
      <c r="CT39" s="434"/>
      <c r="CU39" s="434"/>
      <c r="CV39" s="863"/>
      <c r="CW39" s="434"/>
      <c r="CX39" s="867"/>
      <c r="CY39" s="867"/>
      <c r="CZ39" s="867"/>
      <c r="DA39" s="434"/>
      <c r="DB39" s="867">
        <f t="shared" si="41"/>
        <v>4</v>
      </c>
      <c r="DC39" s="872" t="str">
        <f t="shared" si="0"/>
        <v>SI</v>
      </c>
      <c r="DD39" s="872" t="str">
        <f t="shared" si="1"/>
        <v>SI</v>
      </c>
      <c r="DE39" s="866">
        <f t="shared" si="42"/>
        <v>0</v>
      </c>
      <c r="DF39" s="866">
        <f t="shared" si="43"/>
        <v>0</v>
      </c>
      <c r="DG39" s="866">
        <f t="shared" si="44"/>
        <v>0</v>
      </c>
      <c r="DH39" s="866">
        <f t="shared" si="45"/>
        <v>1.8</v>
      </c>
      <c r="DI39" s="866">
        <f t="shared" si="46"/>
        <v>0</v>
      </c>
      <c r="DJ39" s="866">
        <f t="shared" si="47"/>
        <v>0</v>
      </c>
      <c r="DK39" s="866">
        <f t="shared" si="48"/>
        <v>0</v>
      </c>
      <c r="DL39" s="866">
        <f t="shared" si="49"/>
        <v>0</v>
      </c>
      <c r="DM39" s="866">
        <f t="shared" si="50"/>
        <v>0</v>
      </c>
      <c r="DN39" s="866">
        <f t="shared" si="51"/>
        <v>0</v>
      </c>
      <c r="DO39" s="434"/>
      <c r="DP39" s="863"/>
      <c r="DQ39" s="864" t="s">
        <v>2284</v>
      </c>
      <c r="DR39" s="864" t="s">
        <v>2285</v>
      </c>
      <c r="DS39" s="863"/>
      <c r="DT39" s="863"/>
      <c r="DU39" s="863"/>
      <c r="DV39" s="863"/>
      <c r="DW39" s="863"/>
      <c r="DX39" s="864" t="s">
        <v>1501</v>
      </c>
      <c r="DY39" s="864" t="s">
        <v>2286</v>
      </c>
      <c r="DZ39" s="864"/>
      <c r="EA39" s="863"/>
      <c r="EB39" s="863"/>
      <c r="EC39" s="863"/>
      <c r="ED39" s="863"/>
      <c r="EE39" s="866">
        <v>0</v>
      </c>
      <c r="EF39" s="866">
        <v>0</v>
      </c>
      <c r="EG39" s="866">
        <v>0</v>
      </c>
      <c r="EH39" s="863"/>
      <c r="EI39" s="434"/>
      <c r="EJ39" s="434"/>
      <c r="EK39" s="863"/>
    </row>
    <row r="40" spans="1:141" x14ac:dyDescent="0.25">
      <c r="A40" s="863" t="s">
        <v>2481</v>
      </c>
      <c r="B40" s="434" t="s">
        <v>2287</v>
      </c>
      <c r="C40" s="863" t="s">
        <v>2510</v>
      </c>
      <c r="D40" s="434" t="s">
        <v>2292</v>
      </c>
      <c r="E40" s="864" t="s">
        <v>744</v>
      </c>
      <c r="F40" s="434"/>
      <c r="G40" s="863" t="s">
        <v>1031</v>
      </c>
      <c r="H40" s="864" t="s">
        <v>2445</v>
      </c>
      <c r="I40" s="864" t="s">
        <v>2444</v>
      </c>
      <c r="J40" s="863" t="s">
        <v>2556</v>
      </c>
      <c r="K40" s="863" t="s">
        <v>2613</v>
      </c>
      <c r="L40" s="865">
        <v>46130</v>
      </c>
      <c r="M40" s="865">
        <v>46130</v>
      </c>
      <c r="N40" s="434"/>
      <c r="O40" s="864"/>
      <c r="P40" s="864"/>
      <c r="Q40" s="863"/>
      <c r="R40" s="863"/>
      <c r="S40" s="863"/>
      <c r="T40" s="863" t="s">
        <v>44</v>
      </c>
      <c r="U40" s="866">
        <v>0</v>
      </c>
      <c r="V40" s="866">
        <v>0</v>
      </c>
      <c r="W40" s="866">
        <v>0</v>
      </c>
      <c r="X40" s="866">
        <v>100.44</v>
      </c>
      <c r="Y40" s="866">
        <v>15</v>
      </c>
      <c r="Z40" s="866">
        <f t="shared" si="27"/>
        <v>15.07</v>
      </c>
      <c r="AA40" s="866">
        <v>0</v>
      </c>
      <c r="AB40" s="866">
        <v>5</v>
      </c>
      <c r="AC40" s="866">
        <f t="shared" si="28"/>
        <v>0</v>
      </c>
      <c r="AD40" s="866"/>
      <c r="AE40" s="866">
        <v>8</v>
      </c>
      <c r="AF40" s="866">
        <f t="shared" si="29"/>
        <v>0</v>
      </c>
      <c r="AG40" s="866">
        <v>0</v>
      </c>
      <c r="AH40" s="866">
        <v>0</v>
      </c>
      <c r="AI40" s="866">
        <v>0</v>
      </c>
      <c r="AJ40" s="866">
        <v>0</v>
      </c>
      <c r="AK40" s="866">
        <f t="shared" si="30"/>
        <v>115.51</v>
      </c>
      <c r="AL40" s="866">
        <v>0</v>
      </c>
      <c r="AM40" s="434"/>
      <c r="AN40" s="863"/>
      <c r="AO40" s="863"/>
      <c r="AP40" s="863"/>
      <c r="AQ40" s="863"/>
      <c r="AR40" s="434" t="s">
        <v>1241</v>
      </c>
      <c r="AS40" s="867">
        <v>510</v>
      </c>
      <c r="AT40" s="866">
        <f t="shared" si="31"/>
        <v>100.44</v>
      </c>
      <c r="AU40" s="867">
        <v>0</v>
      </c>
      <c r="AV40" s="866">
        <f t="shared" si="32"/>
        <v>0</v>
      </c>
      <c r="AW40" s="867">
        <v>542</v>
      </c>
      <c r="AX40" s="866">
        <f t="shared" si="33"/>
        <v>0</v>
      </c>
      <c r="AY40" s="434"/>
      <c r="AZ40" s="866"/>
      <c r="BA40" s="864"/>
      <c r="BB40" s="864"/>
      <c r="BC40" s="863"/>
      <c r="BD40" s="863"/>
      <c r="BE40" s="868"/>
      <c r="BF40" s="869">
        <v>332</v>
      </c>
      <c r="BG40" s="866">
        <f t="shared" si="34"/>
        <v>100.44</v>
      </c>
      <c r="BH40" s="870">
        <f>IF(ISERROR(VLOOKUP(BF40,Parametros!$C:$J,8,0)),0,VLOOKUP(BF40,Parametros!$C:$J,8,0))</f>
        <v>0</v>
      </c>
      <c r="BI40" s="866">
        <f t="shared" si="35"/>
        <v>0</v>
      </c>
      <c r="BJ40" s="871"/>
      <c r="BK40" s="866">
        <v>0</v>
      </c>
      <c r="BL40" s="434"/>
      <c r="BM40" s="866">
        <v>0</v>
      </c>
      <c r="BN40" s="866">
        <v>0</v>
      </c>
      <c r="BO40" s="869"/>
      <c r="BP40" s="866">
        <f t="shared" si="36"/>
        <v>0</v>
      </c>
      <c r="BQ40" s="870">
        <f>IF(ISERROR(VLOOKUP(BO40,Parametros!$C:$J,8,0)),0,VLOOKUP(BO40,Parametros!$C:$J,8,0))</f>
        <v>0</v>
      </c>
      <c r="BR40" s="866">
        <f t="shared" si="37"/>
        <v>0</v>
      </c>
      <c r="BS40" s="871"/>
      <c r="BT40" s="866">
        <v>0</v>
      </c>
      <c r="BU40" s="434"/>
      <c r="BV40" s="866">
        <v>0</v>
      </c>
      <c r="BW40" s="866">
        <v>0</v>
      </c>
      <c r="BX40" s="869"/>
      <c r="BY40" s="866">
        <f t="shared" si="38"/>
        <v>0</v>
      </c>
      <c r="BZ40" s="870">
        <f>IF(ISERROR(VLOOKUP(BX40,Parametros!$C:$J,8,0)),0,VLOOKUP(BX40,Parametros!$C:$J,8,0))</f>
        <v>0</v>
      </c>
      <c r="CA40" s="866">
        <f t="shared" si="39"/>
        <v>0</v>
      </c>
      <c r="CB40" s="434"/>
      <c r="CC40" s="866">
        <v>0</v>
      </c>
      <c r="CD40" s="866">
        <v>0</v>
      </c>
      <c r="CE40" s="866">
        <v>0</v>
      </c>
      <c r="CF40" s="866">
        <v>0</v>
      </c>
      <c r="CG40" s="866">
        <v>0</v>
      </c>
      <c r="CH40" s="866">
        <v>0</v>
      </c>
      <c r="CI40" s="866">
        <v>0</v>
      </c>
      <c r="CJ40" s="866">
        <v>0</v>
      </c>
      <c r="CK40" s="866">
        <f t="shared" si="40"/>
        <v>0</v>
      </c>
      <c r="CL40" s="863"/>
      <c r="CM40" s="863"/>
      <c r="CN40" s="863"/>
      <c r="CO40" s="434"/>
      <c r="CP40" s="434" t="s">
        <v>2282</v>
      </c>
      <c r="CQ40" s="434" t="s">
        <v>57</v>
      </c>
      <c r="CR40" s="434"/>
      <c r="CS40" s="434" t="s">
        <v>2283</v>
      </c>
      <c r="CT40" s="434"/>
      <c r="CU40" s="434"/>
      <c r="CV40" s="863"/>
      <c r="CW40" s="434"/>
      <c r="CX40" s="867"/>
      <c r="CY40" s="867"/>
      <c r="CZ40" s="867"/>
      <c r="DA40" s="434"/>
      <c r="DB40" s="867">
        <f t="shared" si="41"/>
        <v>4</v>
      </c>
      <c r="DC40" s="872" t="str">
        <f t="shared" si="0"/>
        <v>SI</v>
      </c>
      <c r="DD40" s="872" t="str">
        <f t="shared" si="1"/>
        <v>SI</v>
      </c>
      <c r="DE40" s="866">
        <f t="shared" si="42"/>
        <v>100.44</v>
      </c>
      <c r="DF40" s="866">
        <f t="shared" si="43"/>
        <v>0</v>
      </c>
      <c r="DG40" s="866">
        <f t="shared" si="44"/>
        <v>0</v>
      </c>
      <c r="DH40" s="866">
        <f t="shared" si="45"/>
        <v>0</v>
      </c>
      <c r="DI40" s="866">
        <f t="shared" si="46"/>
        <v>0</v>
      </c>
      <c r="DJ40" s="866">
        <f t="shared" si="47"/>
        <v>0</v>
      </c>
      <c r="DK40" s="866">
        <f t="shared" si="48"/>
        <v>15.07</v>
      </c>
      <c r="DL40" s="866">
        <f t="shared" si="49"/>
        <v>0</v>
      </c>
      <c r="DM40" s="866">
        <f t="shared" si="50"/>
        <v>0</v>
      </c>
      <c r="DN40" s="866">
        <f t="shared" si="51"/>
        <v>0</v>
      </c>
      <c r="DO40" s="434"/>
      <c r="DP40" s="863"/>
      <c r="DQ40" s="864" t="s">
        <v>2284</v>
      </c>
      <c r="DR40" s="864" t="s">
        <v>2285</v>
      </c>
      <c r="DS40" s="863"/>
      <c r="DT40" s="863"/>
      <c r="DU40" s="863"/>
      <c r="DV40" s="863"/>
      <c r="DW40" s="863"/>
      <c r="DX40" s="864" t="s">
        <v>1501</v>
      </c>
      <c r="DY40" s="864" t="s">
        <v>2286</v>
      </c>
      <c r="DZ40" s="864"/>
      <c r="EA40" s="863"/>
      <c r="EB40" s="863"/>
      <c r="EC40" s="863"/>
      <c r="ED40" s="863"/>
      <c r="EE40" s="866">
        <v>0</v>
      </c>
      <c r="EF40" s="866">
        <v>0</v>
      </c>
      <c r="EG40" s="866">
        <v>0</v>
      </c>
      <c r="EH40" s="863"/>
      <c r="EI40" s="434"/>
      <c r="EJ40" s="434"/>
      <c r="EK40" s="863"/>
    </row>
    <row r="41" spans="1:141" x14ac:dyDescent="0.25">
      <c r="A41" s="863" t="s">
        <v>2465</v>
      </c>
      <c r="B41" s="434" t="s">
        <v>2287</v>
      </c>
      <c r="C41" s="863" t="s">
        <v>2493</v>
      </c>
      <c r="D41" s="434" t="s">
        <v>1789</v>
      </c>
      <c r="E41" s="864" t="s">
        <v>744</v>
      </c>
      <c r="F41" s="434"/>
      <c r="G41" s="863" t="s">
        <v>1031</v>
      </c>
      <c r="H41" s="864" t="s">
        <v>8</v>
      </c>
      <c r="I41" s="864" t="s">
        <v>2557</v>
      </c>
      <c r="J41" s="863" t="s">
        <v>2558</v>
      </c>
      <c r="K41" s="863" t="s">
        <v>2614</v>
      </c>
      <c r="L41" s="865">
        <v>46132</v>
      </c>
      <c r="M41" s="865">
        <v>46132</v>
      </c>
      <c r="N41" s="434"/>
      <c r="O41" s="864"/>
      <c r="P41" s="864"/>
      <c r="Q41" s="863"/>
      <c r="R41" s="863"/>
      <c r="S41" s="863"/>
      <c r="T41" s="863" t="s">
        <v>44</v>
      </c>
      <c r="U41" s="866">
        <v>0</v>
      </c>
      <c r="V41" s="866">
        <v>0</v>
      </c>
      <c r="W41" s="866">
        <v>0</v>
      </c>
      <c r="X41" s="866">
        <v>16.96</v>
      </c>
      <c r="Y41" s="866">
        <v>15</v>
      </c>
      <c r="Z41" s="866">
        <f t="shared" si="27"/>
        <v>2.54</v>
      </c>
      <c r="AA41" s="866">
        <v>0</v>
      </c>
      <c r="AB41" s="866">
        <v>5</v>
      </c>
      <c r="AC41" s="866">
        <f t="shared" si="28"/>
        <v>0</v>
      </c>
      <c r="AD41" s="866"/>
      <c r="AE41" s="866">
        <v>8</v>
      </c>
      <c r="AF41" s="866">
        <f t="shared" si="29"/>
        <v>0</v>
      </c>
      <c r="AG41" s="866">
        <v>0</v>
      </c>
      <c r="AH41" s="866">
        <v>0</v>
      </c>
      <c r="AI41" s="866">
        <v>0</v>
      </c>
      <c r="AJ41" s="866">
        <v>0</v>
      </c>
      <c r="AK41" s="866">
        <f t="shared" si="30"/>
        <v>19.5</v>
      </c>
      <c r="AL41" s="866">
        <v>0</v>
      </c>
      <c r="AM41" s="434"/>
      <c r="AN41" s="863"/>
      <c r="AO41" s="863"/>
      <c r="AP41" s="863"/>
      <c r="AQ41" s="863"/>
      <c r="AR41" s="434" t="s">
        <v>1241</v>
      </c>
      <c r="AS41" s="867">
        <v>510</v>
      </c>
      <c r="AT41" s="866">
        <f t="shared" si="31"/>
        <v>16.96</v>
      </c>
      <c r="AU41" s="867">
        <v>0</v>
      </c>
      <c r="AV41" s="866">
        <f t="shared" si="32"/>
        <v>0</v>
      </c>
      <c r="AW41" s="867">
        <v>542</v>
      </c>
      <c r="AX41" s="866">
        <f t="shared" si="33"/>
        <v>0</v>
      </c>
      <c r="AY41" s="434"/>
      <c r="AZ41" s="866"/>
      <c r="BA41" s="864"/>
      <c r="BB41" s="864"/>
      <c r="BC41" s="863"/>
      <c r="BD41" s="863"/>
      <c r="BE41" s="868"/>
      <c r="BF41" s="869">
        <v>332</v>
      </c>
      <c r="BG41" s="866">
        <f t="shared" si="34"/>
        <v>16.96</v>
      </c>
      <c r="BH41" s="870">
        <f>IF(ISERROR(VLOOKUP(BF41,Parametros!$C:$J,8,0)),0,VLOOKUP(BF41,Parametros!$C:$J,8,0))</f>
        <v>0</v>
      </c>
      <c r="BI41" s="866">
        <f t="shared" si="35"/>
        <v>0</v>
      </c>
      <c r="BJ41" s="871"/>
      <c r="BK41" s="866">
        <v>0</v>
      </c>
      <c r="BL41" s="434"/>
      <c r="BM41" s="866">
        <v>0</v>
      </c>
      <c r="BN41" s="866">
        <v>0</v>
      </c>
      <c r="BO41" s="869"/>
      <c r="BP41" s="866">
        <f t="shared" si="36"/>
        <v>0</v>
      </c>
      <c r="BQ41" s="870">
        <f>IF(ISERROR(VLOOKUP(BO41,Parametros!$C:$J,8,0)),0,VLOOKUP(BO41,Parametros!$C:$J,8,0))</f>
        <v>0</v>
      </c>
      <c r="BR41" s="866">
        <f t="shared" si="37"/>
        <v>0</v>
      </c>
      <c r="BS41" s="871"/>
      <c r="BT41" s="866">
        <v>0</v>
      </c>
      <c r="BU41" s="434"/>
      <c r="BV41" s="866">
        <v>0</v>
      </c>
      <c r="BW41" s="866">
        <v>0</v>
      </c>
      <c r="BX41" s="869"/>
      <c r="BY41" s="866">
        <f t="shared" si="38"/>
        <v>0</v>
      </c>
      <c r="BZ41" s="870">
        <f>IF(ISERROR(VLOOKUP(BX41,Parametros!$C:$J,8,0)),0,VLOOKUP(BX41,Parametros!$C:$J,8,0))</f>
        <v>0</v>
      </c>
      <c r="CA41" s="866">
        <f t="shared" si="39"/>
        <v>0</v>
      </c>
      <c r="CB41" s="434"/>
      <c r="CC41" s="866">
        <v>0</v>
      </c>
      <c r="CD41" s="866">
        <v>0</v>
      </c>
      <c r="CE41" s="866">
        <v>0</v>
      </c>
      <c r="CF41" s="866">
        <v>0</v>
      </c>
      <c r="CG41" s="866">
        <v>0</v>
      </c>
      <c r="CH41" s="866">
        <v>0</v>
      </c>
      <c r="CI41" s="866">
        <v>0</v>
      </c>
      <c r="CJ41" s="866">
        <v>0</v>
      </c>
      <c r="CK41" s="866">
        <f t="shared" si="40"/>
        <v>0</v>
      </c>
      <c r="CL41" s="863"/>
      <c r="CM41" s="863"/>
      <c r="CN41" s="863"/>
      <c r="CO41" s="434"/>
      <c r="CP41" s="434" t="s">
        <v>2282</v>
      </c>
      <c r="CQ41" s="434" t="s">
        <v>57</v>
      </c>
      <c r="CR41" s="434"/>
      <c r="CS41" s="434" t="s">
        <v>2283</v>
      </c>
      <c r="CT41" s="434"/>
      <c r="CU41" s="434"/>
      <c r="CV41" s="863"/>
      <c r="CW41" s="434"/>
      <c r="CX41" s="867"/>
      <c r="CY41" s="867"/>
      <c r="CZ41" s="867"/>
      <c r="DA41" s="434"/>
      <c r="DB41" s="867">
        <f t="shared" si="41"/>
        <v>4</v>
      </c>
      <c r="DC41" s="872" t="str">
        <f t="shared" si="0"/>
        <v>SI</v>
      </c>
      <c r="DD41" s="872" t="str">
        <f t="shared" si="1"/>
        <v>SI</v>
      </c>
      <c r="DE41" s="866">
        <f t="shared" si="42"/>
        <v>16.96</v>
      </c>
      <c r="DF41" s="866">
        <f t="shared" si="43"/>
        <v>0</v>
      </c>
      <c r="DG41" s="866">
        <f t="shared" si="44"/>
        <v>0</v>
      </c>
      <c r="DH41" s="866">
        <f t="shared" si="45"/>
        <v>0</v>
      </c>
      <c r="DI41" s="866">
        <f t="shared" si="46"/>
        <v>0</v>
      </c>
      <c r="DJ41" s="866">
        <f t="shared" si="47"/>
        <v>0</v>
      </c>
      <c r="DK41" s="866">
        <f t="shared" si="48"/>
        <v>2.54</v>
      </c>
      <c r="DL41" s="866">
        <f t="shared" si="49"/>
        <v>0</v>
      </c>
      <c r="DM41" s="866">
        <f t="shared" si="50"/>
        <v>0</v>
      </c>
      <c r="DN41" s="866">
        <f t="shared" si="51"/>
        <v>0</v>
      </c>
      <c r="DO41" s="434"/>
      <c r="DP41" s="863"/>
      <c r="DQ41" s="864" t="s">
        <v>2284</v>
      </c>
      <c r="DR41" s="864" t="s">
        <v>2285</v>
      </c>
      <c r="DS41" s="863"/>
      <c r="DT41" s="863"/>
      <c r="DU41" s="863"/>
      <c r="DV41" s="863"/>
      <c r="DW41" s="863"/>
      <c r="DX41" s="864" t="s">
        <v>1501</v>
      </c>
      <c r="DY41" s="864" t="s">
        <v>2286</v>
      </c>
      <c r="DZ41" s="864"/>
      <c r="EA41" s="863"/>
      <c r="EB41" s="863"/>
      <c r="EC41" s="863"/>
      <c r="ED41" s="863"/>
      <c r="EE41" s="866">
        <v>0</v>
      </c>
      <c r="EF41" s="866">
        <v>0</v>
      </c>
      <c r="EG41" s="866">
        <v>0</v>
      </c>
      <c r="EH41" s="863"/>
      <c r="EI41" s="434"/>
      <c r="EJ41" s="434"/>
      <c r="EK41" s="863"/>
    </row>
    <row r="42" spans="1:141" x14ac:dyDescent="0.25">
      <c r="A42" s="863" t="s">
        <v>2464</v>
      </c>
      <c r="B42" s="434" t="s">
        <v>2287</v>
      </c>
      <c r="C42" s="863" t="s">
        <v>2492</v>
      </c>
      <c r="D42" s="434" t="s">
        <v>1789</v>
      </c>
      <c r="E42" s="864" t="s">
        <v>744</v>
      </c>
      <c r="F42" s="434"/>
      <c r="G42" s="863" t="s">
        <v>1031</v>
      </c>
      <c r="H42" s="864" t="s">
        <v>2444</v>
      </c>
      <c r="I42" s="864" t="s">
        <v>2446</v>
      </c>
      <c r="J42" s="863" t="s">
        <v>2559</v>
      </c>
      <c r="K42" s="863" t="s">
        <v>2615</v>
      </c>
      <c r="L42" s="865">
        <v>46132</v>
      </c>
      <c r="M42" s="865">
        <v>46132</v>
      </c>
      <c r="N42" s="434"/>
      <c r="O42" s="864"/>
      <c r="P42" s="864"/>
      <c r="Q42" s="863"/>
      <c r="R42" s="863"/>
      <c r="S42" s="863"/>
      <c r="T42" s="863" t="s">
        <v>44</v>
      </c>
      <c r="U42" s="866">
        <v>0</v>
      </c>
      <c r="V42" s="866">
        <v>0</v>
      </c>
      <c r="W42" s="866">
        <v>0</v>
      </c>
      <c r="X42" s="866">
        <v>2.83</v>
      </c>
      <c r="Y42" s="866">
        <v>15</v>
      </c>
      <c r="Z42" s="866">
        <f t="shared" si="27"/>
        <v>0.42</v>
      </c>
      <c r="AA42" s="866">
        <v>0</v>
      </c>
      <c r="AB42" s="866">
        <v>5</v>
      </c>
      <c r="AC42" s="866">
        <f t="shared" si="28"/>
        <v>0</v>
      </c>
      <c r="AD42" s="866"/>
      <c r="AE42" s="866">
        <v>8</v>
      </c>
      <c r="AF42" s="866">
        <f t="shared" si="29"/>
        <v>0</v>
      </c>
      <c r="AG42" s="866">
        <v>0</v>
      </c>
      <c r="AH42" s="866">
        <v>0</v>
      </c>
      <c r="AI42" s="866">
        <v>0</v>
      </c>
      <c r="AJ42" s="866">
        <v>0</v>
      </c>
      <c r="AK42" s="866">
        <f t="shared" si="30"/>
        <v>3.25</v>
      </c>
      <c r="AL42" s="866">
        <v>0</v>
      </c>
      <c r="AM42" s="434"/>
      <c r="AN42" s="863"/>
      <c r="AO42" s="863"/>
      <c r="AP42" s="863"/>
      <c r="AQ42" s="863"/>
      <c r="AR42" s="434" t="s">
        <v>1241</v>
      </c>
      <c r="AS42" s="867">
        <v>510</v>
      </c>
      <c r="AT42" s="866">
        <f t="shared" si="31"/>
        <v>2.83</v>
      </c>
      <c r="AU42" s="867">
        <v>0</v>
      </c>
      <c r="AV42" s="866">
        <f t="shared" si="32"/>
        <v>0</v>
      </c>
      <c r="AW42" s="867">
        <v>542</v>
      </c>
      <c r="AX42" s="866">
        <f t="shared" si="33"/>
        <v>0</v>
      </c>
      <c r="AY42" s="434"/>
      <c r="AZ42" s="866"/>
      <c r="BA42" s="864"/>
      <c r="BB42" s="864"/>
      <c r="BC42" s="863"/>
      <c r="BD42" s="863"/>
      <c r="BE42" s="868"/>
      <c r="BF42" s="869">
        <v>332</v>
      </c>
      <c r="BG42" s="866">
        <f t="shared" si="34"/>
        <v>2.83</v>
      </c>
      <c r="BH42" s="870">
        <f>IF(ISERROR(VLOOKUP(BF42,Parametros!$C:$J,8,0)),0,VLOOKUP(BF42,Parametros!$C:$J,8,0))</f>
        <v>0</v>
      </c>
      <c r="BI42" s="866">
        <f t="shared" si="35"/>
        <v>0</v>
      </c>
      <c r="BJ42" s="871"/>
      <c r="BK42" s="866">
        <v>0</v>
      </c>
      <c r="BL42" s="434"/>
      <c r="BM42" s="866">
        <v>0</v>
      </c>
      <c r="BN42" s="866">
        <v>0</v>
      </c>
      <c r="BO42" s="869"/>
      <c r="BP42" s="866">
        <f t="shared" si="36"/>
        <v>0</v>
      </c>
      <c r="BQ42" s="870">
        <f>IF(ISERROR(VLOOKUP(BO42,Parametros!$C:$J,8,0)),0,VLOOKUP(BO42,Parametros!$C:$J,8,0))</f>
        <v>0</v>
      </c>
      <c r="BR42" s="866">
        <f t="shared" si="37"/>
        <v>0</v>
      </c>
      <c r="BS42" s="871"/>
      <c r="BT42" s="866">
        <v>0</v>
      </c>
      <c r="BU42" s="434"/>
      <c r="BV42" s="866">
        <v>0</v>
      </c>
      <c r="BW42" s="866">
        <v>0</v>
      </c>
      <c r="BX42" s="869"/>
      <c r="BY42" s="866">
        <f t="shared" si="38"/>
        <v>0</v>
      </c>
      <c r="BZ42" s="870">
        <f>IF(ISERROR(VLOOKUP(BX42,Parametros!$C:$J,8,0)),0,VLOOKUP(BX42,Parametros!$C:$J,8,0))</f>
        <v>0</v>
      </c>
      <c r="CA42" s="866">
        <f t="shared" si="39"/>
        <v>0</v>
      </c>
      <c r="CB42" s="434"/>
      <c r="CC42" s="866">
        <v>0</v>
      </c>
      <c r="CD42" s="866">
        <v>0</v>
      </c>
      <c r="CE42" s="866">
        <v>0</v>
      </c>
      <c r="CF42" s="866">
        <v>0</v>
      </c>
      <c r="CG42" s="866">
        <v>0</v>
      </c>
      <c r="CH42" s="866">
        <v>0</v>
      </c>
      <c r="CI42" s="866">
        <v>0</v>
      </c>
      <c r="CJ42" s="866">
        <v>0</v>
      </c>
      <c r="CK42" s="866">
        <f t="shared" si="40"/>
        <v>0</v>
      </c>
      <c r="CL42" s="863"/>
      <c r="CM42" s="863"/>
      <c r="CN42" s="863"/>
      <c r="CO42" s="434"/>
      <c r="CP42" s="434" t="s">
        <v>2282</v>
      </c>
      <c r="CQ42" s="434" t="s">
        <v>57</v>
      </c>
      <c r="CR42" s="434"/>
      <c r="CS42" s="434" t="s">
        <v>2283</v>
      </c>
      <c r="CT42" s="434"/>
      <c r="CU42" s="434"/>
      <c r="CV42" s="863"/>
      <c r="CW42" s="434"/>
      <c r="CX42" s="867"/>
      <c r="CY42" s="867"/>
      <c r="CZ42" s="867"/>
      <c r="DA42" s="434"/>
      <c r="DB42" s="867">
        <f t="shared" si="41"/>
        <v>4</v>
      </c>
      <c r="DC42" s="872" t="str">
        <f t="shared" si="0"/>
        <v>SI</v>
      </c>
      <c r="DD42" s="872" t="str">
        <f t="shared" si="1"/>
        <v>SI</v>
      </c>
      <c r="DE42" s="866">
        <f t="shared" si="42"/>
        <v>2.83</v>
      </c>
      <c r="DF42" s="866">
        <f t="shared" si="43"/>
        <v>0</v>
      </c>
      <c r="DG42" s="866">
        <f t="shared" si="44"/>
        <v>0</v>
      </c>
      <c r="DH42" s="866">
        <f t="shared" si="45"/>
        <v>0</v>
      </c>
      <c r="DI42" s="866">
        <f t="shared" si="46"/>
        <v>0</v>
      </c>
      <c r="DJ42" s="866">
        <f t="shared" si="47"/>
        <v>0</v>
      </c>
      <c r="DK42" s="866">
        <f t="shared" si="48"/>
        <v>0.42</v>
      </c>
      <c r="DL42" s="866">
        <f t="shared" si="49"/>
        <v>0</v>
      </c>
      <c r="DM42" s="866">
        <f t="shared" si="50"/>
        <v>0</v>
      </c>
      <c r="DN42" s="866">
        <f t="shared" si="51"/>
        <v>0</v>
      </c>
      <c r="DO42" s="434"/>
      <c r="DP42" s="863"/>
      <c r="DQ42" s="864" t="s">
        <v>2284</v>
      </c>
      <c r="DR42" s="864" t="s">
        <v>2285</v>
      </c>
      <c r="DS42" s="863"/>
      <c r="DT42" s="863"/>
      <c r="DU42" s="863"/>
      <c r="DV42" s="863"/>
      <c r="DW42" s="863"/>
      <c r="DX42" s="864" t="s">
        <v>1501</v>
      </c>
      <c r="DY42" s="864" t="s">
        <v>2286</v>
      </c>
      <c r="DZ42" s="864"/>
      <c r="EA42" s="863"/>
      <c r="EB42" s="863"/>
      <c r="EC42" s="863"/>
      <c r="ED42" s="863"/>
      <c r="EE42" s="866">
        <v>0</v>
      </c>
      <c r="EF42" s="866">
        <v>0</v>
      </c>
      <c r="EG42" s="866">
        <v>0</v>
      </c>
      <c r="EH42" s="863"/>
      <c r="EI42" s="434"/>
      <c r="EJ42" s="434"/>
      <c r="EK42" s="863"/>
    </row>
    <row r="43" spans="1:141" x14ac:dyDescent="0.25">
      <c r="A43" s="863" t="s">
        <v>2476</v>
      </c>
      <c r="B43" s="434" t="s">
        <v>2287</v>
      </c>
      <c r="C43" s="863" t="s">
        <v>2505</v>
      </c>
      <c r="D43" s="434" t="s">
        <v>2292</v>
      </c>
      <c r="E43" s="864" t="s">
        <v>744</v>
      </c>
      <c r="F43" s="434"/>
      <c r="G43" s="863" t="s">
        <v>1031</v>
      </c>
      <c r="H43" s="864" t="s">
        <v>8</v>
      </c>
      <c r="I43" s="864" t="s">
        <v>2516</v>
      </c>
      <c r="J43" s="863" t="s">
        <v>2560</v>
      </c>
      <c r="K43" s="863" t="s">
        <v>2616</v>
      </c>
      <c r="L43" s="865">
        <v>46132</v>
      </c>
      <c r="M43" s="865">
        <v>46132</v>
      </c>
      <c r="N43" s="434"/>
      <c r="O43" s="864"/>
      <c r="P43" s="864"/>
      <c r="Q43" s="863"/>
      <c r="R43" s="863"/>
      <c r="S43" s="863"/>
      <c r="T43" s="863" t="s">
        <v>44</v>
      </c>
      <c r="U43" s="866">
        <v>0</v>
      </c>
      <c r="V43" s="866">
        <v>0</v>
      </c>
      <c r="W43" s="866">
        <v>0</v>
      </c>
      <c r="X43" s="866">
        <v>1704.35</v>
      </c>
      <c r="Y43" s="866">
        <v>15</v>
      </c>
      <c r="Z43" s="866">
        <f t="shared" si="27"/>
        <v>255.65</v>
      </c>
      <c r="AA43" s="866">
        <v>2637.18</v>
      </c>
      <c r="AB43" s="866">
        <v>5</v>
      </c>
      <c r="AC43" s="866">
        <f t="shared" si="28"/>
        <v>131.86000000000001</v>
      </c>
      <c r="AD43" s="866"/>
      <c r="AE43" s="866">
        <v>8</v>
      </c>
      <c r="AF43" s="866">
        <f t="shared" si="29"/>
        <v>0</v>
      </c>
      <c r="AG43" s="866">
        <v>0</v>
      </c>
      <c r="AH43" s="866">
        <v>0</v>
      </c>
      <c r="AI43" s="866">
        <v>0</v>
      </c>
      <c r="AJ43" s="866">
        <v>0</v>
      </c>
      <c r="AK43" s="866">
        <f t="shared" si="30"/>
        <v>4729.04</v>
      </c>
      <c r="AL43" s="866">
        <v>0</v>
      </c>
      <c r="AM43" s="434"/>
      <c r="AN43" s="863"/>
      <c r="AO43" s="863"/>
      <c r="AP43" s="863"/>
      <c r="AQ43" s="863"/>
      <c r="AR43" s="434" t="s">
        <v>1241</v>
      </c>
      <c r="AS43" s="867">
        <v>510</v>
      </c>
      <c r="AT43" s="866">
        <f t="shared" si="31"/>
        <v>1704.35</v>
      </c>
      <c r="AU43" s="867">
        <v>0</v>
      </c>
      <c r="AV43" s="866">
        <f t="shared" si="32"/>
        <v>0</v>
      </c>
      <c r="AW43" s="867">
        <v>542</v>
      </c>
      <c r="AX43" s="866">
        <f t="shared" si="33"/>
        <v>0</v>
      </c>
      <c r="AY43" s="434"/>
      <c r="AZ43" s="866" t="s">
        <v>2890</v>
      </c>
      <c r="BA43" s="864" t="s">
        <v>2444</v>
      </c>
      <c r="BB43" s="864" t="s">
        <v>8</v>
      </c>
      <c r="BC43" s="863" t="s">
        <v>2900</v>
      </c>
      <c r="BD43" s="863" t="s">
        <v>2901</v>
      </c>
      <c r="BE43" s="868">
        <v>46135</v>
      </c>
      <c r="BF43" s="869">
        <v>312</v>
      </c>
      <c r="BG43" s="866">
        <f t="shared" si="34"/>
        <v>4341.53</v>
      </c>
      <c r="BH43" s="870">
        <f>IF(ISERROR(VLOOKUP(BF43,Parametros!$C:$J,8,0)),0,VLOOKUP(BF43,Parametros!$C:$J,8,0))</f>
        <v>0.02</v>
      </c>
      <c r="BI43" s="866">
        <f t="shared" si="35"/>
        <v>86.83</v>
      </c>
      <c r="BJ43" s="871"/>
      <c r="BK43" s="866">
        <v>0</v>
      </c>
      <c r="BL43" s="434"/>
      <c r="BM43" s="866">
        <v>0</v>
      </c>
      <c r="BN43" s="866">
        <v>0</v>
      </c>
      <c r="BO43" s="869"/>
      <c r="BP43" s="866">
        <f t="shared" si="36"/>
        <v>0</v>
      </c>
      <c r="BQ43" s="870">
        <f>IF(ISERROR(VLOOKUP(BO43,Parametros!$C:$J,8,0)),0,VLOOKUP(BO43,Parametros!$C:$J,8,0))</f>
        <v>0</v>
      </c>
      <c r="BR43" s="866">
        <f t="shared" si="37"/>
        <v>0</v>
      </c>
      <c r="BS43" s="871"/>
      <c r="BT43" s="866">
        <v>0</v>
      </c>
      <c r="BU43" s="434"/>
      <c r="BV43" s="866">
        <v>0</v>
      </c>
      <c r="BW43" s="866">
        <v>0</v>
      </c>
      <c r="BX43" s="869"/>
      <c r="BY43" s="866">
        <f t="shared" si="38"/>
        <v>0</v>
      </c>
      <c r="BZ43" s="870">
        <f>IF(ISERROR(VLOOKUP(BX43,Parametros!$C:$J,8,0)),0,VLOOKUP(BX43,Parametros!$C:$J,8,0))</f>
        <v>0</v>
      </c>
      <c r="CA43" s="866">
        <f t="shared" si="39"/>
        <v>0</v>
      </c>
      <c r="CB43" s="434"/>
      <c r="CC43" s="866">
        <v>0</v>
      </c>
      <c r="CD43" s="866">
        <v>0</v>
      </c>
      <c r="CE43" s="866">
        <v>0</v>
      </c>
      <c r="CF43" s="866">
        <v>0</v>
      </c>
      <c r="CG43" s="866">
        <v>0</v>
      </c>
      <c r="CH43" s="866">
        <v>0</v>
      </c>
      <c r="CI43" s="866">
        <v>0</v>
      </c>
      <c r="CJ43" s="866">
        <v>0</v>
      </c>
      <c r="CK43" s="866">
        <f t="shared" si="40"/>
        <v>86.83</v>
      </c>
      <c r="CL43" s="863"/>
      <c r="CM43" s="863"/>
      <c r="CN43" s="863"/>
      <c r="CO43" s="434"/>
      <c r="CP43" s="434" t="s">
        <v>2282</v>
      </c>
      <c r="CQ43" s="434" t="s">
        <v>76</v>
      </c>
      <c r="CR43" s="434"/>
      <c r="CS43" s="434" t="s">
        <v>2283</v>
      </c>
      <c r="CT43" s="434"/>
      <c r="CU43" s="434"/>
      <c r="CV43" s="863"/>
      <c r="CW43" s="434"/>
      <c r="CX43" s="867"/>
      <c r="CY43" s="867"/>
      <c r="CZ43" s="867"/>
      <c r="DA43" s="434"/>
      <c r="DB43" s="867">
        <f t="shared" si="41"/>
        <v>4</v>
      </c>
      <c r="DC43" s="872" t="str">
        <f t="shared" si="0"/>
        <v>SI</v>
      </c>
      <c r="DD43" s="872" t="str">
        <f t="shared" si="1"/>
        <v>SI</v>
      </c>
      <c r="DE43" s="866">
        <f t="shared" si="42"/>
        <v>1704.35</v>
      </c>
      <c r="DF43" s="866">
        <f t="shared" si="43"/>
        <v>0</v>
      </c>
      <c r="DG43" s="866">
        <f t="shared" si="44"/>
        <v>0</v>
      </c>
      <c r="DH43" s="866">
        <f t="shared" si="45"/>
        <v>0</v>
      </c>
      <c r="DI43" s="866">
        <f t="shared" si="46"/>
        <v>0</v>
      </c>
      <c r="DJ43" s="866">
        <f t="shared" si="47"/>
        <v>0</v>
      </c>
      <c r="DK43" s="866">
        <f t="shared" si="48"/>
        <v>387.51</v>
      </c>
      <c r="DL43" s="866">
        <f t="shared" si="49"/>
        <v>0</v>
      </c>
      <c r="DM43" s="866">
        <f t="shared" si="50"/>
        <v>0</v>
      </c>
      <c r="DN43" s="866">
        <f t="shared" si="51"/>
        <v>86.83</v>
      </c>
      <c r="DO43" s="434"/>
      <c r="DP43" s="863"/>
      <c r="DQ43" s="864" t="s">
        <v>2284</v>
      </c>
      <c r="DR43" s="864" t="s">
        <v>2285</v>
      </c>
      <c r="DS43" s="863"/>
      <c r="DT43" s="863"/>
      <c r="DU43" s="863"/>
      <c r="DV43" s="863"/>
      <c r="DW43" s="863"/>
      <c r="DX43" s="864" t="s">
        <v>1501</v>
      </c>
      <c r="DY43" s="864" t="s">
        <v>2286</v>
      </c>
      <c r="DZ43" s="864"/>
      <c r="EA43" s="863"/>
      <c r="EB43" s="863"/>
      <c r="EC43" s="863"/>
      <c r="ED43" s="863"/>
      <c r="EE43" s="866">
        <v>0</v>
      </c>
      <c r="EF43" s="866">
        <v>0</v>
      </c>
      <c r="EG43" s="866">
        <v>0</v>
      </c>
      <c r="EH43" s="863"/>
      <c r="EI43" s="434"/>
      <c r="EJ43" s="434"/>
      <c r="EK43" s="863"/>
    </row>
    <row r="44" spans="1:141" x14ac:dyDescent="0.25">
      <c r="A44" s="863" t="s">
        <v>2471</v>
      </c>
      <c r="B44" s="434" t="s">
        <v>2287</v>
      </c>
      <c r="C44" s="863" t="s">
        <v>2500</v>
      </c>
      <c r="D44" s="434" t="s">
        <v>2292</v>
      </c>
      <c r="E44" s="864" t="s">
        <v>744</v>
      </c>
      <c r="F44" s="434"/>
      <c r="G44" s="863" t="s">
        <v>1031</v>
      </c>
      <c r="H44" s="864" t="s">
        <v>2446</v>
      </c>
      <c r="I44" s="864" t="s">
        <v>8</v>
      </c>
      <c r="J44" s="863" t="s">
        <v>2561</v>
      </c>
      <c r="K44" s="863" t="s">
        <v>2617</v>
      </c>
      <c r="L44" s="865">
        <v>46133</v>
      </c>
      <c r="M44" s="865">
        <v>46133</v>
      </c>
      <c r="N44" s="434"/>
      <c r="O44" s="864"/>
      <c r="P44" s="864"/>
      <c r="Q44" s="863"/>
      <c r="R44" s="863"/>
      <c r="S44" s="863"/>
      <c r="T44" s="863" t="s">
        <v>44</v>
      </c>
      <c r="U44" s="866">
        <v>0</v>
      </c>
      <c r="V44" s="866">
        <v>0</v>
      </c>
      <c r="W44" s="866">
        <v>0</v>
      </c>
      <c r="X44" s="866">
        <v>400.1</v>
      </c>
      <c r="Y44" s="866">
        <v>15</v>
      </c>
      <c r="Z44" s="866">
        <f t="shared" si="27"/>
        <v>60.02</v>
      </c>
      <c r="AA44" s="866">
        <v>0</v>
      </c>
      <c r="AB44" s="866">
        <v>5</v>
      </c>
      <c r="AC44" s="866">
        <f t="shared" si="28"/>
        <v>0</v>
      </c>
      <c r="AD44" s="866"/>
      <c r="AE44" s="866">
        <v>8</v>
      </c>
      <c r="AF44" s="866">
        <f t="shared" si="29"/>
        <v>0</v>
      </c>
      <c r="AG44" s="866">
        <v>0</v>
      </c>
      <c r="AH44" s="866">
        <v>0</v>
      </c>
      <c r="AI44" s="866">
        <v>0</v>
      </c>
      <c r="AJ44" s="866">
        <v>0</v>
      </c>
      <c r="AK44" s="866">
        <f t="shared" si="30"/>
        <v>460.12</v>
      </c>
      <c r="AL44" s="866">
        <v>0</v>
      </c>
      <c r="AM44" s="434"/>
      <c r="AN44" s="863"/>
      <c r="AO44" s="863"/>
      <c r="AP44" s="863"/>
      <c r="AQ44" s="863"/>
      <c r="AR44" s="434" t="s">
        <v>1241</v>
      </c>
      <c r="AS44" s="867">
        <v>510</v>
      </c>
      <c r="AT44" s="866">
        <f t="shared" si="31"/>
        <v>400.1</v>
      </c>
      <c r="AU44" s="867">
        <v>0</v>
      </c>
      <c r="AV44" s="866">
        <f t="shared" si="32"/>
        <v>0</v>
      </c>
      <c r="AW44" s="867">
        <v>542</v>
      </c>
      <c r="AX44" s="866">
        <f t="shared" si="33"/>
        <v>0</v>
      </c>
      <c r="AY44" s="434"/>
      <c r="AZ44" s="866"/>
      <c r="BA44" s="864"/>
      <c r="BB44" s="864"/>
      <c r="BC44" s="863"/>
      <c r="BD44" s="863"/>
      <c r="BE44" s="868"/>
      <c r="BF44" s="869">
        <v>332</v>
      </c>
      <c r="BG44" s="866">
        <f t="shared" si="34"/>
        <v>400.1</v>
      </c>
      <c r="BH44" s="870">
        <f>IF(ISERROR(VLOOKUP(BF44,Parametros!$C:$J,8,0)),0,VLOOKUP(BF44,Parametros!$C:$J,8,0))</f>
        <v>0</v>
      </c>
      <c r="BI44" s="866">
        <f t="shared" si="35"/>
        <v>0</v>
      </c>
      <c r="BJ44" s="871"/>
      <c r="BK44" s="866">
        <v>0</v>
      </c>
      <c r="BL44" s="434"/>
      <c r="BM44" s="866">
        <v>0</v>
      </c>
      <c r="BN44" s="866">
        <v>0</v>
      </c>
      <c r="BO44" s="869"/>
      <c r="BP44" s="866">
        <f t="shared" si="36"/>
        <v>0</v>
      </c>
      <c r="BQ44" s="870">
        <f>IF(ISERROR(VLOOKUP(BO44,Parametros!$C:$J,8,0)),0,VLOOKUP(BO44,Parametros!$C:$J,8,0))</f>
        <v>0</v>
      </c>
      <c r="BR44" s="866">
        <f t="shared" si="37"/>
        <v>0</v>
      </c>
      <c r="BS44" s="871"/>
      <c r="BT44" s="866">
        <v>0</v>
      </c>
      <c r="BU44" s="434"/>
      <c r="BV44" s="866">
        <v>0</v>
      </c>
      <c r="BW44" s="866">
        <v>0</v>
      </c>
      <c r="BX44" s="869"/>
      <c r="BY44" s="866">
        <f t="shared" si="38"/>
        <v>0</v>
      </c>
      <c r="BZ44" s="870">
        <f>IF(ISERROR(VLOOKUP(BX44,Parametros!$C:$J,8,0)),0,VLOOKUP(BX44,Parametros!$C:$J,8,0))</f>
        <v>0</v>
      </c>
      <c r="CA44" s="866">
        <f t="shared" si="39"/>
        <v>0</v>
      </c>
      <c r="CB44" s="434"/>
      <c r="CC44" s="866">
        <v>0</v>
      </c>
      <c r="CD44" s="866">
        <v>0</v>
      </c>
      <c r="CE44" s="866">
        <v>0</v>
      </c>
      <c r="CF44" s="866">
        <v>0</v>
      </c>
      <c r="CG44" s="866">
        <v>0</v>
      </c>
      <c r="CH44" s="866">
        <v>0</v>
      </c>
      <c r="CI44" s="866">
        <v>0</v>
      </c>
      <c r="CJ44" s="866">
        <v>0</v>
      </c>
      <c r="CK44" s="866">
        <f t="shared" si="40"/>
        <v>0</v>
      </c>
      <c r="CL44" s="863"/>
      <c r="CM44" s="863"/>
      <c r="CN44" s="863"/>
      <c r="CO44" s="434"/>
      <c r="CP44" s="434" t="s">
        <v>2282</v>
      </c>
      <c r="CQ44" s="434" t="s">
        <v>57</v>
      </c>
      <c r="CR44" s="434"/>
      <c r="CS44" s="434" t="s">
        <v>2283</v>
      </c>
      <c r="CT44" s="434"/>
      <c r="CU44" s="434"/>
      <c r="CV44" s="863"/>
      <c r="CW44" s="434"/>
      <c r="CX44" s="867"/>
      <c r="CY44" s="867"/>
      <c r="CZ44" s="867"/>
      <c r="DA44" s="434"/>
      <c r="DB44" s="867">
        <f t="shared" si="41"/>
        <v>4</v>
      </c>
      <c r="DC44" s="872" t="str">
        <f t="shared" si="0"/>
        <v>SI</v>
      </c>
      <c r="DD44" s="872" t="str">
        <f t="shared" si="1"/>
        <v>SI</v>
      </c>
      <c r="DE44" s="866">
        <f t="shared" si="42"/>
        <v>400.1</v>
      </c>
      <c r="DF44" s="866">
        <f t="shared" si="43"/>
        <v>0</v>
      </c>
      <c r="DG44" s="866">
        <f t="shared" si="44"/>
        <v>0</v>
      </c>
      <c r="DH44" s="866">
        <f t="shared" si="45"/>
        <v>0</v>
      </c>
      <c r="DI44" s="866">
        <f t="shared" si="46"/>
        <v>0</v>
      </c>
      <c r="DJ44" s="866">
        <f t="shared" si="47"/>
        <v>0</v>
      </c>
      <c r="DK44" s="866">
        <f t="shared" si="48"/>
        <v>60.02</v>
      </c>
      <c r="DL44" s="866">
        <f t="shared" si="49"/>
        <v>0</v>
      </c>
      <c r="DM44" s="866">
        <f t="shared" si="50"/>
        <v>0</v>
      </c>
      <c r="DN44" s="866">
        <f t="shared" si="51"/>
        <v>0</v>
      </c>
      <c r="DO44" s="434"/>
      <c r="DP44" s="863"/>
      <c r="DQ44" s="864" t="s">
        <v>2284</v>
      </c>
      <c r="DR44" s="864" t="s">
        <v>2285</v>
      </c>
      <c r="DS44" s="863"/>
      <c r="DT44" s="863"/>
      <c r="DU44" s="863"/>
      <c r="DV44" s="863"/>
      <c r="DW44" s="863"/>
      <c r="DX44" s="864" t="s">
        <v>1501</v>
      </c>
      <c r="DY44" s="864" t="s">
        <v>2286</v>
      </c>
      <c r="DZ44" s="864"/>
      <c r="EA44" s="863"/>
      <c r="EB44" s="863"/>
      <c r="EC44" s="863"/>
      <c r="ED44" s="863"/>
      <c r="EE44" s="866">
        <v>0</v>
      </c>
      <c r="EF44" s="866">
        <v>0</v>
      </c>
      <c r="EG44" s="866">
        <v>0</v>
      </c>
      <c r="EH44" s="863"/>
      <c r="EI44" s="434"/>
      <c r="EJ44" s="434"/>
      <c r="EK44" s="863"/>
    </row>
    <row r="45" spans="1:141" x14ac:dyDescent="0.25">
      <c r="A45" s="863" t="s">
        <v>2471</v>
      </c>
      <c r="B45" s="434" t="s">
        <v>2287</v>
      </c>
      <c r="C45" s="863" t="s">
        <v>2500</v>
      </c>
      <c r="D45" s="434" t="s">
        <v>2292</v>
      </c>
      <c r="E45" s="864" t="s">
        <v>744</v>
      </c>
      <c r="F45" s="434"/>
      <c r="G45" s="863" t="s">
        <v>1031</v>
      </c>
      <c r="H45" s="864" t="s">
        <v>2446</v>
      </c>
      <c r="I45" s="864" t="s">
        <v>8</v>
      </c>
      <c r="J45" s="863" t="s">
        <v>2562</v>
      </c>
      <c r="K45" s="863" t="s">
        <v>2618</v>
      </c>
      <c r="L45" s="865">
        <v>46133</v>
      </c>
      <c r="M45" s="865">
        <v>46133</v>
      </c>
      <c r="N45" s="434"/>
      <c r="O45" s="864"/>
      <c r="P45" s="864"/>
      <c r="Q45" s="863"/>
      <c r="R45" s="863"/>
      <c r="S45" s="863"/>
      <c r="T45" s="863" t="s">
        <v>44</v>
      </c>
      <c r="U45" s="866">
        <v>0</v>
      </c>
      <c r="V45" s="866">
        <v>0</v>
      </c>
      <c r="W45" s="866">
        <v>0</v>
      </c>
      <c r="X45" s="866">
        <v>2100</v>
      </c>
      <c r="Y45" s="866">
        <v>15</v>
      </c>
      <c r="Z45" s="866">
        <f t="shared" si="27"/>
        <v>315</v>
      </c>
      <c r="AA45" s="866">
        <v>0</v>
      </c>
      <c r="AB45" s="866">
        <v>5</v>
      </c>
      <c r="AC45" s="866">
        <f t="shared" si="28"/>
        <v>0</v>
      </c>
      <c r="AD45" s="866"/>
      <c r="AE45" s="866">
        <v>8</v>
      </c>
      <c r="AF45" s="866">
        <f t="shared" si="29"/>
        <v>0</v>
      </c>
      <c r="AG45" s="866">
        <v>0</v>
      </c>
      <c r="AH45" s="866">
        <v>0</v>
      </c>
      <c r="AI45" s="866">
        <v>0</v>
      </c>
      <c r="AJ45" s="866">
        <v>0</v>
      </c>
      <c r="AK45" s="866">
        <f t="shared" si="30"/>
        <v>2415</v>
      </c>
      <c r="AL45" s="866">
        <v>0</v>
      </c>
      <c r="AM45" s="434"/>
      <c r="AN45" s="863"/>
      <c r="AO45" s="863"/>
      <c r="AP45" s="863"/>
      <c r="AQ45" s="863"/>
      <c r="AR45" s="434" t="s">
        <v>1241</v>
      </c>
      <c r="AS45" s="867">
        <v>510</v>
      </c>
      <c r="AT45" s="866">
        <f t="shared" si="31"/>
        <v>2100</v>
      </c>
      <c r="AU45" s="867">
        <v>0</v>
      </c>
      <c r="AV45" s="866">
        <f t="shared" si="32"/>
        <v>0</v>
      </c>
      <c r="AW45" s="867">
        <v>542</v>
      </c>
      <c r="AX45" s="866">
        <f t="shared" si="33"/>
        <v>0</v>
      </c>
      <c r="AY45" s="434"/>
      <c r="AZ45" s="866"/>
      <c r="BA45" s="864"/>
      <c r="BB45" s="864"/>
      <c r="BC45" s="863"/>
      <c r="BD45" s="863"/>
      <c r="BE45" s="868"/>
      <c r="BF45" s="869">
        <v>332</v>
      </c>
      <c r="BG45" s="866">
        <f t="shared" si="34"/>
        <v>2100</v>
      </c>
      <c r="BH45" s="870">
        <f>IF(ISERROR(VLOOKUP(BF45,Parametros!$C:$J,8,0)),0,VLOOKUP(BF45,Parametros!$C:$J,8,0))</f>
        <v>0</v>
      </c>
      <c r="BI45" s="866">
        <f t="shared" si="35"/>
        <v>0</v>
      </c>
      <c r="BJ45" s="871"/>
      <c r="BK45" s="866">
        <v>0</v>
      </c>
      <c r="BL45" s="434"/>
      <c r="BM45" s="866">
        <v>0</v>
      </c>
      <c r="BN45" s="866">
        <v>0</v>
      </c>
      <c r="BO45" s="869"/>
      <c r="BP45" s="866">
        <f t="shared" si="36"/>
        <v>0</v>
      </c>
      <c r="BQ45" s="870">
        <f>IF(ISERROR(VLOOKUP(BO45,Parametros!$C:$J,8,0)),0,VLOOKUP(BO45,Parametros!$C:$J,8,0))</f>
        <v>0</v>
      </c>
      <c r="BR45" s="866">
        <f t="shared" si="37"/>
        <v>0</v>
      </c>
      <c r="BS45" s="871"/>
      <c r="BT45" s="866">
        <v>0</v>
      </c>
      <c r="BU45" s="434"/>
      <c r="BV45" s="866">
        <v>0</v>
      </c>
      <c r="BW45" s="866">
        <v>0</v>
      </c>
      <c r="BX45" s="869"/>
      <c r="BY45" s="866">
        <f t="shared" si="38"/>
        <v>0</v>
      </c>
      <c r="BZ45" s="870">
        <f>IF(ISERROR(VLOOKUP(BX45,Parametros!$C:$J,8,0)),0,VLOOKUP(BX45,Parametros!$C:$J,8,0))</f>
        <v>0</v>
      </c>
      <c r="CA45" s="866">
        <f t="shared" si="39"/>
        <v>0</v>
      </c>
      <c r="CB45" s="434"/>
      <c r="CC45" s="866">
        <v>0</v>
      </c>
      <c r="CD45" s="866">
        <v>0</v>
      </c>
      <c r="CE45" s="866">
        <v>0</v>
      </c>
      <c r="CF45" s="866">
        <v>0</v>
      </c>
      <c r="CG45" s="866">
        <v>0</v>
      </c>
      <c r="CH45" s="866">
        <v>0</v>
      </c>
      <c r="CI45" s="866">
        <v>0</v>
      </c>
      <c r="CJ45" s="866">
        <v>0</v>
      </c>
      <c r="CK45" s="866">
        <f t="shared" si="40"/>
        <v>0</v>
      </c>
      <c r="CL45" s="863"/>
      <c r="CM45" s="863"/>
      <c r="CN45" s="863"/>
      <c r="CO45" s="434"/>
      <c r="CP45" s="434" t="s">
        <v>2282</v>
      </c>
      <c r="CQ45" s="434" t="s">
        <v>76</v>
      </c>
      <c r="CR45" s="434"/>
      <c r="CS45" s="434" t="s">
        <v>2283</v>
      </c>
      <c r="CT45" s="434"/>
      <c r="CU45" s="434"/>
      <c r="CV45" s="863"/>
      <c r="CW45" s="434"/>
      <c r="CX45" s="867"/>
      <c r="CY45" s="867"/>
      <c r="CZ45" s="867"/>
      <c r="DA45" s="434"/>
      <c r="DB45" s="867">
        <f t="shared" si="41"/>
        <v>4</v>
      </c>
      <c r="DC45" s="872" t="str">
        <f t="shared" si="0"/>
        <v>SI</v>
      </c>
      <c r="DD45" s="872" t="str">
        <f t="shared" si="1"/>
        <v>SI</v>
      </c>
      <c r="DE45" s="866">
        <f t="shared" si="42"/>
        <v>2100</v>
      </c>
      <c r="DF45" s="866">
        <f t="shared" si="43"/>
        <v>0</v>
      </c>
      <c r="DG45" s="866">
        <f t="shared" si="44"/>
        <v>0</v>
      </c>
      <c r="DH45" s="866">
        <f t="shared" si="45"/>
        <v>0</v>
      </c>
      <c r="DI45" s="866">
        <f t="shared" si="46"/>
        <v>0</v>
      </c>
      <c r="DJ45" s="866">
        <f t="shared" si="47"/>
        <v>0</v>
      </c>
      <c r="DK45" s="866">
        <f t="shared" si="48"/>
        <v>315</v>
      </c>
      <c r="DL45" s="866">
        <f t="shared" si="49"/>
        <v>0</v>
      </c>
      <c r="DM45" s="866">
        <f t="shared" si="50"/>
        <v>0</v>
      </c>
      <c r="DN45" s="866">
        <f t="shared" si="51"/>
        <v>0</v>
      </c>
      <c r="DO45" s="434"/>
      <c r="DP45" s="863"/>
      <c r="DQ45" s="864" t="s">
        <v>2284</v>
      </c>
      <c r="DR45" s="864" t="s">
        <v>2285</v>
      </c>
      <c r="DS45" s="863"/>
      <c r="DT45" s="863"/>
      <c r="DU45" s="863"/>
      <c r="DV45" s="863"/>
      <c r="DW45" s="863"/>
      <c r="DX45" s="864" t="s">
        <v>1501</v>
      </c>
      <c r="DY45" s="864" t="s">
        <v>2286</v>
      </c>
      <c r="DZ45" s="864"/>
      <c r="EA45" s="863"/>
      <c r="EB45" s="863"/>
      <c r="EC45" s="863"/>
      <c r="ED45" s="863"/>
      <c r="EE45" s="866">
        <v>0</v>
      </c>
      <c r="EF45" s="866">
        <v>0</v>
      </c>
      <c r="EG45" s="866">
        <v>0</v>
      </c>
      <c r="EH45" s="863"/>
      <c r="EI45" s="434"/>
      <c r="EJ45" s="434"/>
      <c r="EK45" s="863"/>
    </row>
    <row r="46" spans="1:141" x14ac:dyDescent="0.25">
      <c r="A46" s="863" t="s">
        <v>2476</v>
      </c>
      <c r="B46" s="434" t="s">
        <v>2287</v>
      </c>
      <c r="C46" s="863" t="s">
        <v>2505</v>
      </c>
      <c r="D46" s="434" t="s">
        <v>2292</v>
      </c>
      <c r="E46" s="864" t="s">
        <v>744</v>
      </c>
      <c r="F46" s="434"/>
      <c r="G46" s="863" t="s">
        <v>1031</v>
      </c>
      <c r="H46" s="864" t="s">
        <v>8</v>
      </c>
      <c r="I46" s="864" t="s">
        <v>2542</v>
      </c>
      <c r="J46" s="863" t="s">
        <v>2563</v>
      </c>
      <c r="K46" s="863" t="s">
        <v>2619</v>
      </c>
      <c r="L46" s="865">
        <v>46133</v>
      </c>
      <c r="M46" s="865">
        <v>46133</v>
      </c>
      <c r="N46" s="434"/>
      <c r="O46" s="864"/>
      <c r="P46" s="864"/>
      <c r="Q46" s="863"/>
      <c r="R46" s="863"/>
      <c r="S46" s="863"/>
      <c r="T46" s="863" t="s">
        <v>44</v>
      </c>
      <c r="U46" s="866">
        <v>0</v>
      </c>
      <c r="V46" s="866">
        <v>0</v>
      </c>
      <c r="W46" s="866">
        <v>0</v>
      </c>
      <c r="X46" s="866">
        <v>485.22</v>
      </c>
      <c r="Y46" s="866">
        <v>15</v>
      </c>
      <c r="Z46" s="866">
        <f t="shared" si="27"/>
        <v>72.78</v>
      </c>
      <c r="AA46" s="866">
        <v>0</v>
      </c>
      <c r="AB46" s="866">
        <v>5</v>
      </c>
      <c r="AC46" s="866">
        <f t="shared" si="28"/>
        <v>0</v>
      </c>
      <c r="AD46" s="866"/>
      <c r="AE46" s="866">
        <v>8</v>
      </c>
      <c r="AF46" s="866">
        <f t="shared" si="29"/>
        <v>0</v>
      </c>
      <c r="AG46" s="866">
        <v>0</v>
      </c>
      <c r="AH46" s="866">
        <v>0</v>
      </c>
      <c r="AI46" s="866">
        <v>0</v>
      </c>
      <c r="AJ46" s="866">
        <v>0</v>
      </c>
      <c r="AK46" s="866">
        <f t="shared" si="30"/>
        <v>558</v>
      </c>
      <c r="AL46" s="866">
        <v>0</v>
      </c>
      <c r="AM46" s="434"/>
      <c r="AN46" s="863"/>
      <c r="AO46" s="863"/>
      <c r="AP46" s="863"/>
      <c r="AQ46" s="863"/>
      <c r="AR46" s="434" t="s">
        <v>1241</v>
      </c>
      <c r="AS46" s="867">
        <v>510</v>
      </c>
      <c r="AT46" s="866">
        <f t="shared" si="31"/>
        <v>485.22</v>
      </c>
      <c r="AU46" s="867">
        <v>0</v>
      </c>
      <c r="AV46" s="866">
        <f t="shared" si="32"/>
        <v>0</v>
      </c>
      <c r="AW46" s="867">
        <v>542</v>
      </c>
      <c r="AX46" s="866">
        <f t="shared" si="33"/>
        <v>0</v>
      </c>
      <c r="AY46" s="434"/>
      <c r="AZ46" s="866" t="s">
        <v>2890</v>
      </c>
      <c r="BA46" s="864" t="s">
        <v>2444</v>
      </c>
      <c r="BB46" s="864" t="s">
        <v>8</v>
      </c>
      <c r="BC46" s="863" t="s">
        <v>2902</v>
      </c>
      <c r="BD46" s="863" t="s">
        <v>2903</v>
      </c>
      <c r="BE46" s="868">
        <v>46135</v>
      </c>
      <c r="BF46" s="869">
        <v>312</v>
      </c>
      <c r="BG46" s="866">
        <f t="shared" si="34"/>
        <v>485.22</v>
      </c>
      <c r="BH46" s="870">
        <f>IF(ISERROR(VLOOKUP(BF46,Parametros!$C:$J,8,0)),0,VLOOKUP(BF46,Parametros!$C:$J,8,0))</f>
        <v>0.02</v>
      </c>
      <c r="BI46" s="866">
        <f t="shared" si="35"/>
        <v>9.6999999999999993</v>
      </c>
      <c r="BJ46" s="871"/>
      <c r="BK46" s="866">
        <v>0</v>
      </c>
      <c r="BL46" s="434"/>
      <c r="BM46" s="866">
        <v>0</v>
      </c>
      <c r="BN46" s="866">
        <v>0</v>
      </c>
      <c r="BO46" s="869"/>
      <c r="BP46" s="866">
        <f t="shared" si="36"/>
        <v>0</v>
      </c>
      <c r="BQ46" s="870">
        <f>IF(ISERROR(VLOOKUP(BO46,Parametros!$C:$J,8,0)),0,VLOOKUP(BO46,Parametros!$C:$J,8,0))</f>
        <v>0</v>
      </c>
      <c r="BR46" s="866">
        <f t="shared" si="37"/>
        <v>0</v>
      </c>
      <c r="BS46" s="871"/>
      <c r="BT46" s="866">
        <v>0</v>
      </c>
      <c r="BU46" s="434"/>
      <c r="BV46" s="866">
        <v>0</v>
      </c>
      <c r="BW46" s="866">
        <v>0</v>
      </c>
      <c r="BX46" s="869"/>
      <c r="BY46" s="866">
        <f t="shared" si="38"/>
        <v>0</v>
      </c>
      <c r="BZ46" s="870">
        <f>IF(ISERROR(VLOOKUP(BX46,Parametros!$C:$J,8,0)),0,VLOOKUP(BX46,Parametros!$C:$J,8,0))</f>
        <v>0</v>
      </c>
      <c r="CA46" s="866">
        <f t="shared" si="39"/>
        <v>0</v>
      </c>
      <c r="CB46" s="434"/>
      <c r="CC46" s="866">
        <v>0</v>
      </c>
      <c r="CD46" s="866">
        <v>0</v>
      </c>
      <c r="CE46" s="866">
        <v>0</v>
      </c>
      <c r="CF46" s="866">
        <v>0</v>
      </c>
      <c r="CG46" s="866">
        <v>0</v>
      </c>
      <c r="CH46" s="866">
        <v>0</v>
      </c>
      <c r="CI46" s="866">
        <v>0</v>
      </c>
      <c r="CJ46" s="866">
        <v>0</v>
      </c>
      <c r="CK46" s="866">
        <f t="shared" si="40"/>
        <v>9.6999999999999993</v>
      </c>
      <c r="CL46" s="863"/>
      <c r="CM46" s="863"/>
      <c r="CN46" s="863"/>
      <c r="CO46" s="434"/>
      <c r="CP46" s="434" t="s">
        <v>2282</v>
      </c>
      <c r="CQ46" s="434" t="s">
        <v>76</v>
      </c>
      <c r="CR46" s="434"/>
      <c r="CS46" s="434" t="s">
        <v>2283</v>
      </c>
      <c r="CT46" s="434"/>
      <c r="CU46" s="434"/>
      <c r="CV46" s="863"/>
      <c r="CW46" s="434"/>
      <c r="CX46" s="867"/>
      <c r="CY46" s="867"/>
      <c r="CZ46" s="867"/>
      <c r="DA46" s="434"/>
      <c r="DB46" s="867">
        <f t="shared" si="41"/>
        <v>4</v>
      </c>
      <c r="DC46" s="872" t="str">
        <f t="shared" si="0"/>
        <v>SI</v>
      </c>
      <c r="DD46" s="872" t="str">
        <f t="shared" si="1"/>
        <v>SI</v>
      </c>
      <c r="DE46" s="866">
        <f t="shared" si="42"/>
        <v>485.22</v>
      </c>
      <c r="DF46" s="866">
        <f t="shared" si="43"/>
        <v>0</v>
      </c>
      <c r="DG46" s="866">
        <f t="shared" si="44"/>
        <v>0</v>
      </c>
      <c r="DH46" s="866">
        <f t="shared" si="45"/>
        <v>0</v>
      </c>
      <c r="DI46" s="866">
        <f t="shared" si="46"/>
        <v>0</v>
      </c>
      <c r="DJ46" s="866">
        <f t="shared" si="47"/>
        <v>0</v>
      </c>
      <c r="DK46" s="866">
        <f t="shared" si="48"/>
        <v>72.78</v>
      </c>
      <c r="DL46" s="866">
        <f t="shared" si="49"/>
        <v>0</v>
      </c>
      <c r="DM46" s="866">
        <f t="shared" si="50"/>
        <v>0</v>
      </c>
      <c r="DN46" s="866">
        <f t="shared" si="51"/>
        <v>9.6999999999999993</v>
      </c>
      <c r="DO46" s="434"/>
      <c r="DP46" s="863"/>
      <c r="DQ46" s="864" t="s">
        <v>2284</v>
      </c>
      <c r="DR46" s="864" t="s">
        <v>2285</v>
      </c>
      <c r="DS46" s="863"/>
      <c r="DT46" s="863"/>
      <c r="DU46" s="863"/>
      <c r="DV46" s="863"/>
      <c r="DW46" s="863"/>
      <c r="DX46" s="864" t="s">
        <v>1501</v>
      </c>
      <c r="DY46" s="864" t="s">
        <v>2286</v>
      </c>
      <c r="DZ46" s="864"/>
      <c r="EA46" s="863"/>
      <c r="EB46" s="863"/>
      <c r="EC46" s="863"/>
      <c r="ED46" s="863"/>
      <c r="EE46" s="866">
        <v>0</v>
      </c>
      <c r="EF46" s="866">
        <v>0</v>
      </c>
      <c r="EG46" s="866">
        <v>0</v>
      </c>
      <c r="EH46" s="863"/>
      <c r="EI46" s="434"/>
      <c r="EJ46" s="434"/>
      <c r="EK46" s="863"/>
    </row>
    <row r="47" spans="1:141" x14ac:dyDescent="0.25">
      <c r="A47" s="863" t="s">
        <v>2464</v>
      </c>
      <c r="B47" s="434" t="s">
        <v>2287</v>
      </c>
      <c r="C47" s="863" t="s">
        <v>2492</v>
      </c>
      <c r="D47" s="434" t="s">
        <v>1789</v>
      </c>
      <c r="E47" s="864" t="s">
        <v>744</v>
      </c>
      <c r="F47" s="434"/>
      <c r="G47" s="863" t="s">
        <v>1031</v>
      </c>
      <c r="H47" s="864" t="s">
        <v>2444</v>
      </c>
      <c r="I47" s="864" t="s">
        <v>2446</v>
      </c>
      <c r="J47" s="863" t="s">
        <v>2564</v>
      </c>
      <c r="K47" s="863" t="s">
        <v>2620</v>
      </c>
      <c r="L47" s="865">
        <v>46133</v>
      </c>
      <c r="M47" s="865">
        <v>46133</v>
      </c>
      <c r="N47" s="434"/>
      <c r="O47" s="864"/>
      <c r="P47" s="864"/>
      <c r="Q47" s="863"/>
      <c r="R47" s="863"/>
      <c r="S47" s="863"/>
      <c r="T47" s="863" t="s">
        <v>44</v>
      </c>
      <c r="U47" s="866">
        <v>0</v>
      </c>
      <c r="V47" s="866">
        <v>0</v>
      </c>
      <c r="W47" s="866">
        <v>0</v>
      </c>
      <c r="X47" s="866">
        <v>6.09</v>
      </c>
      <c r="Y47" s="866">
        <v>15</v>
      </c>
      <c r="Z47" s="866">
        <f t="shared" si="27"/>
        <v>0.91</v>
      </c>
      <c r="AA47" s="866">
        <v>0</v>
      </c>
      <c r="AB47" s="866">
        <v>5</v>
      </c>
      <c r="AC47" s="866">
        <f t="shared" si="28"/>
        <v>0</v>
      </c>
      <c r="AD47" s="866"/>
      <c r="AE47" s="866">
        <v>8</v>
      </c>
      <c r="AF47" s="866">
        <f t="shared" si="29"/>
        <v>0</v>
      </c>
      <c r="AG47" s="866">
        <v>0</v>
      </c>
      <c r="AH47" s="866">
        <v>0</v>
      </c>
      <c r="AI47" s="866">
        <v>0</v>
      </c>
      <c r="AJ47" s="866">
        <v>0</v>
      </c>
      <c r="AK47" s="866">
        <f t="shared" si="30"/>
        <v>7</v>
      </c>
      <c r="AL47" s="866">
        <v>0</v>
      </c>
      <c r="AM47" s="434"/>
      <c r="AN47" s="863"/>
      <c r="AO47" s="863"/>
      <c r="AP47" s="863"/>
      <c r="AQ47" s="863"/>
      <c r="AR47" s="434" t="s">
        <v>1241</v>
      </c>
      <c r="AS47" s="867">
        <v>510</v>
      </c>
      <c r="AT47" s="866">
        <f t="shared" si="31"/>
        <v>6.09</v>
      </c>
      <c r="AU47" s="867">
        <v>0</v>
      </c>
      <c r="AV47" s="866">
        <f t="shared" si="32"/>
        <v>0</v>
      </c>
      <c r="AW47" s="867">
        <v>542</v>
      </c>
      <c r="AX47" s="866">
        <f t="shared" si="33"/>
        <v>0</v>
      </c>
      <c r="AY47" s="434"/>
      <c r="AZ47" s="866"/>
      <c r="BA47" s="864"/>
      <c r="BB47" s="864"/>
      <c r="BC47" s="863"/>
      <c r="BD47" s="863"/>
      <c r="BE47" s="868"/>
      <c r="BF47" s="869">
        <v>332</v>
      </c>
      <c r="BG47" s="866">
        <f t="shared" si="34"/>
        <v>6.09</v>
      </c>
      <c r="BH47" s="870">
        <f>IF(ISERROR(VLOOKUP(BF47,Parametros!$C:$J,8,0)),0,VLOOKUP(BF47,Parametros!$C:$J,8,0))</f>
        <v>0</v>
      </c>
      <c r="BI47" s="866">
        <f t="shared" si="35"/>
        <v>0</v>
      </c>
      <c r="BJ47" s="871"/>
      <c r="BK47" s="866">
        <v>0</v>
      </c>
      <c r="BL47" s="434"/>
      <c r="BM47" s="866">
        <v>0</v>
      </c>
      <c r="BN47" s="866">
        <v>0</v>
      </c>
      <c r="BO47" s="869"/>
      <c r="BP47" s="866">
        <f t="shared" si="36"/>
        <v>0</v>
      </c>
      <c r="BQ47" s="870">
        <f>IF(ISERROR(VLOOKUP(BO47,Parametros!$C:$J,8,0)),0,VLOOKUP(BO47,Parametros!$C:$J,8,0))</f>
        <v>0</v>
      </c>
      <c r="BR47" s="866">
        <f t="shared" si="37"/>
        <v>0</v>
      </c>
      <c r="BS47" s="871"/>
      <c r="BT47" s="866">
        <v>0</v>
      </c>
      <c r="BU47" s="434"/>
      <c r="BV47" s="866">
        <v>0</v>
      </c>
      <c r="BW47" s="866">
        <v>0</v>
      </c>
      <c r="BX47" s="869"/>
      <c r="BY47" s="866">
        <f t="shared" si="38"/>
        <v>0</v>
      </c>
      <c r="BZ47" s="870">
        <f>IF(ISERROR(VLOOKUP(BX47,Parametros!$C:$J,8,0)),0,VLOOKUP(BX47,Parametros!$C:$J,8,0))</f>
        <v>0</v>
      </c>
      <c r="CA47" s="866">
        <f t="shared" si="39"/>
        <v>0</v>
      </c>
      <c r="CB47" s="434"/>
      <c r="CC47" s="866">
        <v>0</v>
      </c>
      <c r="CD47" s="866">
        <v>0</v>
      </c>
      <c r="CE47" s="866">
        <v>0</v>
      </c>
      <c r="CF47" s="866">
        <v>0</v>
      </c>
      <c r="CG47" s="866">
        <v>0</v>
      </c>
      <c r="CH47" s="866">
        <v>0</v>
      </c>
      <c r="CI47" s="866">
        <v>0</v>
      </c>
      <c r="CJ47" s="866">
        <v>0</v>
      </c>
      <c r="CK47" s="866">
        <f t="shared" si="40"/>
        <v>0</v>
      </c>
      <c r="CL47" s="863"/>
      <c r="CM47" s="863"/>
      <c r="CN47" s="863"/>
      <c r="CO47" s="434"/>
      <c r="CP47" s="434" t="s">
        <v>2282</v>
      </c>
      <c r="CQ47" s="434" t="s">
        <v>57</v>
      </c>
      <c r="CR47" s="434"/>
      <c r="CS47" s="434" t="s">
        <v>2283</v>
      </c>
      <c r="CT47" s="434"/>
      <c r="CU47" s="434"/>
      <c r="CV47" s="863"/>
      <c r="CW47" s="434"/>
      <c r="CX47" s="867"/>
      <c r="CY47" s="867"/>
      <c r="CZ47" s="867"/>
      <c r="DA47" s="434"/>
      <c r="DB47" s="867">
        <f t="shared" si="41"/>
        <v>4</v>
      </c>
      <c r="DC47" s="872" t="str">
        <f t="shared" si="0"/>
        <v>SI</v>
      </c>
      <c r="DD47" s="872" t="str">
        <f t="shared" si="1"/>
        <v>SI</v>
      </c>
      <c r="DE47" s="866">
        <f t="shared" si="42"/>
        <v>6.09</v>
      </c>
      <c r="DF47" s="866">
        <f t="shared" si="43"/>
        <v>0</v>
      </c>
      <c r="DG47" s="866">
        <f t="shared" si="44"/>
        <v>0</v>
      </c>
      <c r="DH47" s="866">
        <f t="shared" si="45"/>
        <v>0</v>
      </c>
      <c r="DI47" s="866">
        <f t="shared" si="46"/>
        <v>0</v>
      </c>
      <c r="DJ47" s="866">
        <f t="shared" si="47"/>
        <v>0</v>
      </c>
      <c r="DK47" s="866">
        <f t="shared" si="48"/>
        <v>0.91</v>
      </c>
      <c r="DL47" s="866">
        <f t="shared" si="49"/>
        <v>0</v>
      </c>
      <c r="DM47" s="866">
        <f t="shared" si="50"/>
        <v>0</v>
      </c>
      <c r="DN47" s="866">
        <f t="shared" si="51"/>
        <v>0</v>
      </c>
      <c r="DO47" s="434"/>
      <c r="DP47" s="863"/>
      <c r="DQ47" s="864" t="s">
        <v>2284</v>
      </c>
      <c r="DR47" s="864" t="s">
        <v>2285</v>
      </c>
      <c r="DS47" s="863"/>
      <c r="DT47" s="863"/>
      <c r="DU47" s="863"/>
      <c r="DV47" s="863"/>
      <c r="DW47" s="863"/>
      <c r="DX47" s="864" t="s">
        <v>1501</v>
      </c>
      <c r="DY47" s="864" t="s">
        <v>2286</v>
      </c>
      <c r="DZ47" s="864"/>
      <c r="EA47" s="863"/>
      <c r="EB47" s="863"/>
      <c r="EC47" s="863"/>
      <c r="ED47" s="863"/>
      <c r="EE47" s="866">
        <v>0</v>
      </c>
      <c r="EF47" s="866">
        <v>0</v>
      </c>
      <c r="EG47" s="866">
        <v>0</v>
      </c>
      <c r="EH47" s="863"/>
      <c r="EI47" s="434"/>
      <c r="EJ47" s="434"/>
      <c r="EK47" s="863"/>
    </row>
    <row r="48" spans="1:141" x14ac:dyDescent="0.25">
      <c r="A48" s="863" t="s">
        <v>2482</v>
      </c>
      <c r="B48" s="434" t="s">
        <v>2287</v>
      </c>
      <c r="C48" s="863" t="s">
        <v>2511</v>
      </c>
      <c r="D48" s="434" t="s">
        <v>2292</v>
      </c>
      <c r="E48" s="864" t="s">
        <v>744</v>
      </c>
      <c r="F48" s="434"/>
      <c r="G48" s="863" t="s">
        <v>1031</v>
      </c>
      <c r="H48" s="864" t="s">
        <v>8</v>
      </c>
      <c r="I48" s="864" t="s">
        <v>8</v>
      </c>
      <c r="J48" s="863" t="s">
        <v>2565</v>
      </c>
      <c r="K48" s="863" t="s">
        <v>2621</v>
      </c>
      <c r="L48" s="865">
        <v>46135</v>
      </c>
      <c r="M48" s="865">
        <v>46135</v>
      </c>
      <c r="N48" s="434"/>
      <c r="O48" s="864"/>
      <c r="P48" s="864"/>
      <c r="Q48" s="863"/>
      <c r="R48" s="863"/>
      <c r="S48" s="863"/>
      <c r="T48" s="863" t="s">
        <v>44</v>
      </c>
      <c r="U48" s="866">
        <v>0</v>
      </c>
      <c r="V48" s="866">
        <v>0</v>
      </c>
      <c r="W48" s="866">
        <v>0</v>
      </c>
      <c r="X48" s="866">
        <v>39.130000000000003</v>
      </c>
      <c r="Y48" s="866">
        <v>15</v>
      </c>
      <c r="Z48" s="866">
        <f t="shared" si="27"/>
        <v>5.87</v>
      </c>
      <c r="AA48" s="866">
        <v>0</v>
      </c>
      <c r="AB48" s="866">
        <v>5</v>
      </c>
      <c r="AC48" s="866">
        <f t="shared" si="28"/>
        <v>0</v>
      </c>
      <c r="AD48" s="866"/>
      <c r="AE48" s="866">
        <v>8</v>
      </c>
      <c r="AF48" s="866">
        <f t="shared" si="29"/>
        <v>0</v>
      </c>
      <c r="AG48" s="866">
        <v>0</v>
      </c>
      <c r="AH48" s="866">
        <v>0</v>
      </c>
      <c r="AI48" s="866">
        <v>0</v>
      </c>
      <c r="AJ48" s="866">
        <v>0</v>
      </c>
      <c r="AK48" s="866">
        <f t="shared" si="30"/>
        <v>45</v>
      </c>
      <c r="AL48" s="866">
        <v>0</v>
      </c>
      <c r="AM48" s="434"/>
      <c r="AN48" s="863"/>
      <c r="AO48" s="863"/>
      <c r="AP48" s="863"/>
      <c r="AQ48" s="863"/>
      <c r="AR48" s="434" t="s">
        <v>1241</v>
      </c>
      <c r="AS48" s="867">
        <v>510</v>
      </c>
      <c r="AT48" s="866">
        <f t="shared" si="31"/>
        <v>39.130000000000003</v>
      </c>
      <c r="AU48" s="867">
        <v>0</v>
      </c>
      <c r="AV48" s="866">
        <f t="shared" si="32"/>
        <v>0</v>
      </c>
      <c r="AW48" s="867">
        <v>542</v>
      </c>
      <c r="AX48" s="866">
        <f t="shared" si="33"/>
        <v>0</v>
      </c>
      <c r="AY48" s="434"/>
      <c r="AZ48" s="866"/>
      <c r="BA48" s="864"/>
      <c r="BB48" s="864"/>
      <c r="BC48" s="863"/>
      <c r="BD48" s="863"/>
      <c r="BE48" s="868"/>
      <c r="BF48" s="869">
        <v>332</v>
      </c>
      <c r="BG48" s="866">
        <f t="shared" si="34"/>
        <v>39.130000000000003</v>
      </c>
      <c r="BH48" s="870">
        <f>IF(ISERROR(VLOOKUP(BF48,Parametros!$C:$J,8,0)),0,VLOOKUP(BF48,Parametros!$C:$J,8,0))</f>
        <v>0</v>
      </c>
      <c r="BI48" s="866">
        <f t="shared" si="35"/>
        <v>0</v>
      </c>
      <c r="BJ48" s="871"/>
      <c r="BK48" s="866">
        <v>0</v>
      </c>
      <c r="BL48" s="434"/>
      <c r="BM48" s="866">
        <v>0</v>
      </c>
      <c r="BN48" s="866">
        <v>0</v>
      </c>
      <c r="BO48" s="869"/>
      <c r="BP48" s="866">
        <f t="shared" si="36"/>
        <v>0</v>
      </c>
      <c r="BQ48" s="870">
        <f>IF(ISERROR(VLOOKUP(BO48,Parametros!$C:$J,8,0)),0,VLOOKUP(BO48,Parametros!$C:$J,8,0))</f>
        <v>0</v>
      </c>
      <c r="BR48" s="866">
        <f t="shared" si="37"/>
        <v>0</v>
      </c>
      <c r="BS48" s="871"/>
      <c r="BT48" s="866">
        <v>0</v>
      </c>
      <c r="BU48" s="434"/>
      <c r="BV48" s="866">
        <v>0</v>
      </c>
      <c r="BW48" s="866">
        <v>0</v>
      </c>
      <c r="BX48" s="869"/>
      <c r="BY48" s="866">
        <f t="shared" si="38"/>
        <v>0</v>
      </c>
      <c r="BZ48" s="870">
        <f>IF(ISERROR(VLOOKUP(BX48,Parametros!$C:$J,8,0)),0,VLOOKUP(BX48,Parametros!$C:$J,8,0))</f>
        <v>0</v>
      </c>
      <c r="CA48" s="866">
        <f t="shared" si="39"/>
        <v>0</v>
      </c>
      <c r="CB48" s="434"/>
      <c r="CC48" s="866">
        <v>0</v>
      </c>
      <c r="CD48" s="866">
        <v>0</v>
      </c>
      <c r="CE48" s="866">
        <v>0</v>
      </c>
      <c r="CF48" s="866">
        <v>0</v>
      </c>
      <c r="CG48" s="866">
        <v>0</v>
      </c>
      <c r="CH48" s="866">
        <v>0</v>
      </c>
      <c r="CI48" s="866">
        <v>0</v>
      </c>
      <c r="CJ48" s="866">
        <v>0</v>
      </c>
      <c r="CK48" s="866">
        <f t="shared" si="40"/>
        <v>0</v>
      </c>
      <c r="CL48" s="863"/>
      <c r="CM48" s="863"/>
      <c r="CN48" s="863"/>
      <c r="CO48" s="434"/>
      <c r="CP48" s="434" t="s">
        <v>2282</v>
      </c>
      <c r="CQ48" s="434" t="s">
        <v>57</v>
      </c>
      <c r="CR48" s="434"/>
      <c r="CS48" s="434" t="s">
        <v>2283</v>
      </c>
      <c r="CT48" s="434"/>
      <c r="CU48" s="434"/>
      <c r="CV48" s="863"/>
      <c r="CW48" s="434"/>
      <c r="CX48" s="867"/>
      <c r="CY48" s="867"/>
      <c r="CZ48" s="867"/>
      <c r="DA48" s="434"/>
      <c r="DB48" s="867">
        <f t="shared" si="41"/>
        <v>4</v>
      </c>
      <c r="DC48" s="872" t="str">
        <f t="shared" si="0"/>
        <v>SI</v>
      </c>
      <c r="DD48" s="872" t="str">
        <f t="shared" si="1"/>
        <v>SI</v>
      </c>
      <c r="DE48" s="866">
        <f t="shared" si="42"/>
        <v>39.130000000000003</v>
      </c>
      <c r="DF48" s="866">
        <f t="shared" si="43"/>
        <v>0</v>
      </c>
      <c r="DG48" s="866">
        <f t="shared" si="44"/>
        <v>0</v>
      </c>
      <c r="DH48" s="866">
        <f t="shared" si="45"/>
        <v>0</v>
      </c>
      <c r="DI48" s="866">
        <f t="shared" si="46"/>
        <v>0</v>
      </c>
      <c r="DJ48" s="866">
        <f t="shared" si="47"/>
        <v>0</v>
      </c>
      <c r="DK48" s="866">
        <f t="shared" si="48"/>
        <v>5.87</v>
      </c>
      <c r="DL48" s="866">
        <f t="shared" si="49"/>
        <v>0</v>
      </c>
      <c r="DM48" s="866">
        <f t="shared" si="50"/>
        <v>0</v>
      </c>
      <c r="DN48" s="866">
        <f t="shared" si="51"/>
        <v>0</v>
      </c>
      <c r="DO48" s="434"/>
      <c r="DP48" s="863"/>
      <c r="DQ48" s="864" t="s">
        <v>2284</v>
      </c>
      <c r="DR48" s="864" t="s">
        <v>2285</v>
      </c>
      <c r="DS48" s="863"/>
      <c r="DT48" s="863"/>
      <c r="DU48" s="863"/>
      <c r="DV48" s="863"/>
      <c r="DW48" s="863"/>
      <c r="DX48" s="864" t="s">
        <v>1501</v>
      </c>
      <c r="DY48" s="864" t="s">
        <v>2286</v>
      </c>
      <c r="DZ48" s="864"/>
      <c r="EA48" s="863"/>
      <c r="EB48" s="863"/>
      <c r="EC48" s="863"/>
      <c r="ED48" s="863"/>
      <c r="EE48" s="866">
        <v>0</v>
      </c>
      <c r="EF48" s="866">
        <v>0</v>
      </c>
      <c r="EG48" s="866">
        <v>0</v>
      </c>
      <c r="EH48" s="863"/>
      <c r="EI48" s="434"/>
      <c r="EJ48" s="434"/>
      <c r="EK48" s="863"/>
    </row>
    <row r="49" spans="1:141" x14ac:dyDescent="0.25">
      <c r="A49" s="863" t="s">
        <v>2465</v>
      </c>
      <c r="B49" s="434" t="s">
        <v>2287</v>
      </c>
      <c r="C49" s="863" t="s">
        <v>2493</v>
      </c>
      <c r="D49" s="434" t="s">
        <v>1789</v>
      </c>
      <c r="E49" s="864" t="s">
        <v>744</v>
      </c>
      <c r="F49" s="434"/>
      <c r="G49" s="863" t="s">
        <v>1031</v>
      </c>
      <c r="H49" s="864" t="s">
        <v>8</v>
      </c>
      <c r="I49" s="864" t="s">
        <v>2448</v>
      </c>
      <c r="J49" s="863" t="s">
        <v>2566</v>
      </c>
      <c r="K49" s="863" t="s">
        <v>2622</v>
      </c>
      <c r="L49" s="865">
        <v>46135</v>
      </c>
      <c r="M49" s="865">
        <v>46135</v>
      </c>
      <c r="N49" s="434"/>
      <c r="O49" s="864"/>
      <c r="P49" s="864"/>
      <c r="Q49" s="863"/>
      <c r="R49" s="863"/>
      <c r="S49" s="863"/>
      <c r="T49" s="863" t="s">
        <v>44</v>
      </c>
      <c r="U49" s="866">
        <v>0</v>
      </c>
      <c r="V49" s="866">
        <v>0</v>
      </c>
      <c r="W49" s="866">
        <v>0</v>
      </c>
      <c r="X49" s="866">
        <v>53.58</v>
      </c>
      <c r="Y49" s="866">
        <v>15</v>
      </c>
      <c r="Z49" s="866">
        <f t="shared" si="27"/>
        <v>8.0399999999999991</v>
      </c>
      <c r="AA49" s="866">
        <v>0</v>
      </c>
      <c r="AB49" s="866">
        <v>5</v>
      </c>
      <c r="AC49" s="866">
        <f t="shared" si="28"/>
        <v>0</v>
      </c>
      <c r="AD49" s="866"/>
      <c r="AE49" s="866">
        <v>8</v>
      </c>
      <c r="AF49" s="866">
        <f t="shared" si="29"/>
        <v>0</v>
      </c>
      <c r="AG49" s="866">
        <v>0</v>
      </c>
      <c r="AH49" s="866">
        <v>0</v>
      </c>
      <c r="AI49" s="866">
        <v>0</v>
      </c>
      <c r="AJ49" s="866">
        <v>0</v>
      </c>
      <c r="AK49" s="866">
        <f t="shared" si="30"/>
        <v>61.62</v>
      </c>
      <c r="AL49" s="866">
        <v>0</v>
      </c>
      <c r="AM49" s="434"/>
      <c r="AN49" s="863"/>
      <c r="AO49" s="863"/>
      <c r="AP49" s="863"/>
      <c r="AQ49" s="863"/>
      <c r="AR49" s="434" t="s">
        <v>1241</v>
      </c>
      <c r="AS49" s="867">
        <v>510</v>
      </c>
      <c r="AT49" s="866">
        <f t="shared" si="31"/>
        <v>53.58</v>
      </c>
      <c r="AU49" s="867">
        <v>0</v>
      </c>
      <c r="AV49" s="866">
        <f t="shared" si="32"/>
        <v>0</v>
      </c>
      <c r="AW49" s="867">
        <v>542</v>
      </c>
      <c r="AX49" s="866">
        <f t="shared" si="33"/>
        <v>0</v>
      </c>
      <c r="AY49" s="434"/>
      <c r="AZ49" s="866"/>
      <c r="BA49" s="864"/>
      <c r="BB49" s="864"/>
      <c r="BC49" s="863"/>
      <c r="BD49" s="863"/>
      <c r="BE49" s="868"/>
      <c r="BF49" s="869">
        <v>332</v>
      </c>
      <c r="BG49" s="866">
        <f t="shared" si="34"/>
        <v>53.58</v>
      </c>
      <c r="BH49" s="870">
        <f>IF(ISERROR(VLOOKUP(BF49,Parametros!$C:$J,8,0)),0,VLOOKUP(BF49,Parametros!$C:$J,8,0))</f>
        <v>0</v>
      </c>
      <c r="BI49" s="866">
        <f t="shared" si="35"/>
        <v>0</v>
      </c>
      <c r="BJ49" s="871"/>
      <c r="BK49" s="866">
        <v>0</v>
      </c>
      <c r="BL49" s="434"/>
      <c r="BM49" s="866">
        <v>0</v>
      </c>
      <c r="BN49" s="866">
        <v>0</v>
      </c>
      <c r="BO49" s="869"/>
      <c r="BP49" s="866">
        <f t="shared" si="36"/>
        <v>0</v>
      </c>
      <c r="BQ49" s="870">
        <f>IF(ISERROR(VLOOKUP(BO49,Parametros!$C:$J,8,0)),0,VLOOKUP(BO49,Parametros!$C:$J,8,0))</f>
        <v>0</v>
      </c>
      <c r="BR49" s="866">
        <f t="shared" si="37"/>
        <v>0</v>
      </c>
      <c r="BS49" s="871"/>
      <c r="BT49" s="866">
        <v>0</v>
      </c>
      <c r="BU49" s="434"/>
      <c r="BV49" s="866">
        <v>0</v>
      </c>
      <c r="BW49" s="866">
        <v>0</v>
      </c>
      <c r="BX49" s="869"/>
      <c r="BY49" s="866">
        <f t="shared" si="38"/>
        <v>0</v>
      </c>
      <c r="BZ49" s="870">
        <f>IF(ISERROR(VLOOKUP(BX49,Parametros!$C:$J,8,0)),0,VLOOKUP(BX49,Parametros!$C:$J,8,0))</f>
        <v>0</v>
      </c>
      <c r="CA49" s="866">
        <f t="shared" si="39"/>
        <v>0</v>
      </c>
      <c r="CB49" s="434"/>
      <c r="CC49" s="866">
        <v>0</v>
      </c>
      <c r="CD49" s="866">
        <v>0</v>
      </c>
      <c r="CE49" s="866">
        <v>0</v>
      </c>
      <c r="CF49" s="866">
        <v>0</v>
      </c>
      <c r="CG49" s="866">
        <v>0</v>
      </c>
      <c r="CH49" s="866">
        <v>0</v>
      </c>
      <c r="CI49" s="866">
        <v>0</v>
      </c>
      <c r="CJ49" s="866">
        <v>0</v>
      </c>
      <c r="CK49" s="866">
        <f t="shared" si="40"/>
        <v>0</v>
      </c>
      <c r="CL49" s="863"/>
      <c r="CM49" s="863"/>
      <c r="CN49" s="863"/>
      <c r="CO49" s="434"/>
      <c r="CP49" s="434" t="s">
        <v>2282</v>
      </c>
      <c r="CQ49" s="434" t="s">
        <v>57</v>
      </c>
      <c r="CR49" s="434"/>
      <c r="CS49" s="434" t="s">
        <v>2283</v>
      </c>
      <c r="CT49" s="434"/>
      <c r="CU49" s="434"/>
      <c r="CV49" s="863"/>
      <c r="CW49" s="434"/>
      <c r="CX49" s="867"/>
      <c r="CY49" s="867"/>
      <c r="CZ49" s="867"/>
      <c r="DA49" s="434"/>
      <c r="DB49" s="867">
        <f t="shared" si="41"/>
        <v>4</v>
      </c>
      <c r="DC49" s="872" t="str">
        <f t="shared" si="0"/>
        <v>SI</v>
      </c>
      <c r="DD49" s="872" t="str">
        <f t="shared" si="1"/>
        <v>SI</v>
      </c>
      <c r="DE49" s="866">
        <f t="shared" si="42"/>
        <v>53.58</v>
      </c>
      <c r="DF49" s="866">
        <f t="shared" si="43"/>
        <v>0</v>
      </c>
      <c r="DG49" s="866">
        <f t="shared" si="44"/>
        <v>0</v>
      </c>
      <c r="DH49" s="866">
        <f t="shared" si="45"/>
        <v>0</v>
      </c>
      <c r="DI49" s="866">
        <f t="shared" si="46"/>
        <v>0</v>
      </c>
      <c r="DJ49" s="866">
        <f t="shared" si="47"/>
        <v>0</v>
      </c>
      <c r="DK49" s="866">
        <f t="shared" si="48"/>
        <v>8.0399999999999991</v>
      </c>
      <c r="DL49" s="866">
        <f t="shared" si="49"/>
        <v>0</v>
      </c>
      <c r="DM49" s="866">
        <f t="shared" si="50"/>
        <v>0</v>
      </c>
      <c r="DN49" s="866">
        <f t="shared" si="51"/>
        <v>0</v>
      </c>
      <c r="DO49" s="434"/>
      <c r="DP49" s="863"/>
      <c r="DQ49" s="864" t="s">
        <v>2284</v>
      </c>
      <c r="DR49" s="864" t="s">
        <v>2285</v>
      </c>
      <c r="DS49" s="863"/>
      <c r="DT49" s="863"/>
      <c r="DU49" s="863"/>
      <c r="DV49" s="863"/>
      <c r="DW49" s="863"/>
      <c r="DX49" s="864" t="s">
        <v>1501</v>
      </c>
      <c r="DY49" s="864" t="s">
        <v>2286</v>
      </c>
      <c r="DZ49" s="864"/>
      <c r="EA49" s="863"/>
      <c r="EB49" s="863"/>
      <c r="EC49" s="863"/>
      <c r="ED49" s="863"/>
      <c r="EE49" s="866">
        <v>0</v>
      </c>
      <c r="EF49" s="866">
        <v>0</v>
      </c>
      <c r="EG49" s="866">
        <v>0</v>
      </c>
      <c r="EH49" s="863"/>
      <c r="EI49" s="434"/>
      <c r="EJ49" s="434"/>
      <c r="EK49" s="863"/>
    </row>
    <row r="50" spans="1:141" x14ac:dyDescent="0.25">
      <c r="A50" s="863" t="s">
        <v>2465</v>
      </c>
      <c r="B50" s="434" t="s">
        <v>2287</v>
      </c>
      <c r="C50" s="863" t="s">
        <v>2493</v>
      </c>
      <c r="D50" s="434" t="s">
        <v>1789</v>
      </c>
      <c r="E50" s="864" t="s">
        <v>744</v>
      </c>
      <c r="F50" s="434"/>
      <c r="G50" s="863" t="s">
        <v>1031</v>
      </c>
      <c r="H50" s="864" t="s">
        <v>8</v>
      </c>
      <c r="I50" s="864" t="s">
        <v>2448</v>
      </c>
      <c r="J50" s="863" t="s">
        <v>2567</v>
      </c>
      <c r="K50" s="863" t="s">
        <v>2623</v>
      </c>
      <c r="L50" s="865">
        <v>46135</v>
      </c>
      <c r="M50" s="865">
        <v>46135</v>
      </c>
      <c r="N50" s="434"/>
      <c r="O50" s="864"/>
      <c r="P50" s="864"/>
      <c r="Q50" s="863"/>
      <c r="R50" s="863"/>
      <c r="S50" s="863"/>
      <c r="T50" s="863" t="s">
        <v>44</v>
      </c>
      <c r="U50" s="866">
        <v>0</v>
      </c>
      <c r="V50" s="866">
        <v>0</v>
      </c>
      <c r="W50" s="866">
        <v>0</v>
      </c>
      <c r="X50" s="866">
        <v>38.96</v>
      </c>
      <c r="Y50" s="866">
        <v>15</v>
      </c>
      <c r="Z50" s="866">
        <f t="shared" si="27"/>
        <v>5.84</v>
      </c>
      <c r="AA50" s="866">
        <v>0</v>
      </c>
      <c r="AB50" s="866">
        <v>5</v>
      </c>
      <c r="AC50" s="866">
        <f t="shared" si="28"/>
        <v>0</v>
      </c>
      <c r="AD50" s="866"/>
      <c r="AE50" s="866">
        <v>8</v>
      </c>
      <c r="AF50" s="866">
        <f t="shared" si="29"/>
        <v>0</v>
      </c>
      <c r="AG50" s="866">
        <v>0</v>
      </c>
      <c r="AH50" s="866">
        <v>0</v>
      </c>
      <c r="AI50" s="866">
        <v>0</v>
      </c>
      <c r="AJ50" s="866">
        <v>0</v>
      </c>
      <c r="AK50" s="866">
        <f t="shared" si="30"/>
        <v>44.8</v>
      </c>
      <c r="AL50" s="866">
        <v>0</v>
      </c>
      <c r="AM50" s="434"/>
      <c r="AN50" s="863"/>
      <c r="AO50" s="863"/>
      <c r="AP50" s="863"/>
      <c r="AQ50" s="863"/>
      <c r="AR50" s="434" t="s">
        <v>1241</v>
      </c>
      <c r="AS50" s="867">
        <v>510</v>
      </c>
      <c r="AT50" s="866">
        <f t="shared" si="31"/>
        <v>38.96</v>
      </c>
      <c r="AU50" s="867">
        <v>0</v>
      </c>
      <c r="AV50" s="866">
        <f t="shared" si="32"/>
        <v>0</v>
      </c>
      <c r="AW50" s="867">
        <v>542</v>
      </c>
      <c r="AX50" s="866">
        <f t="shared" si="33"/>
        <v>0</v>
      </c>
      <c r="AY50" s="434"/>
      <c r="AZ50" s="866"/>
      <c r="BA50" s="864"/>
      <c r="BB50" s="864"/>
      <c r="BC50" s="863"/>
      <c r="BD50" s="863"/>
      <c r="BE50" s="868"/>
      <c r="BF50" s="869">
        <v>332</v>
      </c>
      <c r="BG50" s="866">
        <f t="shared" si="34"/>
        <v>38.96</v>
      </c>
      <c r="BH50" s="870">
        <f>IF(ISERROR(VLOOKUP(BF50,Parametros!$C:$J,8,0)),0,VLOOKUP(BF50,Parametros!$C:$J,8,0))</f>
        <v>0</v>
      </c>
      <c r="BI50" s="866">
        <f t="shared" si="35"/>
        <v>0</v>
      </c>
      <c r="BJ50" s="871"/>
      <c r="BK50" s="866">
        <v>0</v>
      </c>
      <c r="BL50" s="434"/>
      <c r="BM50" s="866">
        <v>0</v>
      </c>
      <c r="BN50" s="866">
        <v>0</v>
      </c>
      <c r="BO50" s="869"/>
      <c r="BP50" s="866">
        <f t="shared" si="36"/>
        <v>0</v>
      </c>
      <c r="BQ50" s="870">
        <f>IF(ISERROR(VLOOKUP(BO50,Parametros!$C:$J,8,0)),0,VLOOKUP(BO50,Parametros!$C:$J,8,0))</f>
        <v>0</v>
      </c>
      <c r="BR50" s="866">
        <f t="shared" si="37"/>
        <v>0</v>
      </c>
      <c r="BS50" s="871"/>
      <c r="BT50" s="866">
        <v>0</v>
      </c>
      <c r="BU50" s="434"/>
      <c r="BV50" s="866">
        <v>0</v>
      </c>
      <c r="BW50" s="866">
        <v>0</v>
      </c>
      <c r="BX50" s="869"/>
      <c r="BY50" s="866">
        <f t="shared" si="38"/>
        <v>0</v>
      </c>
      <c r="BZ50" s="870">
        <f>IF(ISERROR(VLOOKUP(BX50,Parametros!$C:$J,8,0)),0,VLOOKUP(BX50,Parametros!$C:$J,8,0))</f>
        <v>0</v>
      </c>
      <c r="CA50" s="866">
        <f t="shared" si="39"/>
        <v>0</v>
      </c>
      <c r="CB50" s="434"/>
      <c r="CC50" s="866">
        <v>0</v>
      </c>
      <c r="CD50" s="866">
        <v>0</v>
      </c>
      <c r="CE50" s="866">
        <v>0</v>
      </c>
      <c r="CF50" s="866">
        <v>0</v>
      </c>
      <c r="CG50" s="866">
        <v>0</v>
      </c>
      <c r="CH50" s="866">
        <v>0</v>
      </c>
      <c r="CI50" s="866">
        <v>0</v>
      </c>
      <c r="CJ50" s="866">
        <v>0</v>
      </c>
      <c r="CK50" s="866">
        <f t="shared" si="40"/>
        <v>0</v>
      </c>
      <c r="CL50" s="863"/>
      <c r="CM50" s="863"/>
      <c r="CN50" s="863"/>
      <c r="CO50" s="434"/>
      <c r="CP50" s="434" t="s">
        <v>2282</v>
      </c>
      <c r="CQ50" s="434" t="s">
        <v>57</v>
      </c>
      <c r="CR50" s="434"/>
      <c r="CS50" s="434" t="s">
        <v>2283</v>
      </c>
      <c r="CT50" s="434"/>
      <c r="CU50" s="434"/>
      <c r="CV50" s="863"/>
      <c r="CW50" s="434"/>
      <c r="CX50" s="867"/>
      <c r="CY50" s="867"/>
      <c r="CZ50" s="867"/>
      <c r="DA50" s="434"/>
      <c r="DB50" s="867">
        <f t="shared" si="41"/>
        <v>4</v>
      </c>
      <c r="DC50" s="872" t="str">
        <f t="shared" si="0"/>
        <v>SI</v>
      </c>
      <c r="DD50" s="872" t="str">
        <f t="shared" si="1"/>
        <v>SI</v>
      </c>
      <c r="DE50" s="866">
        <f t="shared" si="42"/>
        <v>38.96</v>
      </c>
      <c r="DF50" s="866">
        <f t="shared" si="43"/>
        <v>0</v>
      </c>
      <c r="DG50" s="866">
        <f t="shared" si="44"/>
        <v>0</v>
      </c>
      <c r="DH50" s="866">
        <f t="shared" si="45"/>
        <v>0</v>
      </c>
      <c r="DI50" s="866">
        <f t="shared" si="46"/>
        <v>0</v>
      </c>
      <c r="DJ50" s="866">
        <f t="shared" si="47"/>
        <v>0</v>
      </c>
      <c r="DK50" s="866">
        <f t="shared" si="48"/>
        <v>5.84</v>
      </c>
      <c r="DL50" s="866">
        <f t="shared" si="49"/>
        <v>0</v>
      </c>
      <c r="DM50" s="866">
        <f t="shared" si="50"/>
        <v>0</v>
      </c>
      <c r="DN50" s="866">
        <f t="shared" si="51"/>
        <v>0</v>
      </c>
      <c r="DO50" s="434"/>
      <c r="DP50" s="863"/>
      <c r="DQ50" s="864" t="s">
        <v>2284</v>
      </c>
      <c r="DR50" s="864" t="s">
        <v>2285</v>
      </c>
      <c r="DS50" s="863"/>
      <c r="DT50" s="863"/>
      <c r="DU50" s="863"/>
      <c r="DV50" s="863"/>
      <c r="DW50" s="863"/>
      <c r="DX50" s="864" t="s">
        <v>1501</v>
      </c>
      <c r="DY50" s="864" t="s">
        <v>2286</v>
      </c>
      <c r="DZ50" s="864"/>
      <c r="EA50" s="863"/>
      <c r="EB50" s="863"/>
      <c r="EC50" s="863"/>
      <c r="ED50" s="863"/>
      <c r="EE50" s="866">
        <v>0</v>
      </c>
      <c r="EF50" s="866">
        <v>0</v>
      </c>
      <c r="EG50" s="866">
        <v>0</v>
      </c>
      <c r="EH50" s="863"/>
      <c r="EI50" s="434"/>
      <c r="EJ50" s="434"/>
      <c r="EK50" s="863"/>
    </row>
    <row r="51" spans="1:141" x14ac:dyDescent="0.25">
      <c r="A51" s="863" t="s">
        <v>2464</v>
      </c>
      <c r="B51" s="434" t="s">
        <v>2287</v>
      </c>
      <c r="C51" s="863" t="s">
        <v>2492</v>
      </c>
      <c r="D51" s="434" t="s">
        <v>1789</v>
      </c>
      <c r="E51" s="864" t="s">
        <v>744</v>
      </c>
      <c r="F51" s="434"/>
      <c r="G51" s="863" t="s">
        <v>1031</v>
      </c>
      <c r="H51" s="864" t="s">
        <v>2444</v>
      </c>
      <c r="I51" s="864" t="s">
        <v>2446</v>
      </c>
      <c r="J51" s="863" t="s">
        <v>2568</v>
      </c>
      <c r="K51" s="863" t="s">
        <v>2624</v>
      </c>
      <c r="L51" s="865">
        <v>46136</v>
      </c>
      <c r="M51" s="865">
        <v>46136</v>
      </c>
      <c r="N51" s="434"/>
      <c r="O51" s="864"/>
      <c r="P51" s="864"/>
      <c r="Q51" s="863"/>
      <c r="R51" s="863"/>
      <c r="S51" s="863"/>
      <c r="T51" s="863" t="s">
        <v>44</v>
      </c>
      <c r="U51" s="866">
        <v>0</v>
      </c>
      <c r="V51" s="866">
        <v>0</v>
      </c>
      <c r="W51" s="866">
        <v>0</v>
      </c>
      <c r="X51" s="866">
        <v>3.04</v>
      </c>
      <c r="Y51" s="866">
        <v>15</v>
      </c>
      <c r="Z51" s="866">
        <f t="shared" si="27"/>
        <v>0.46</v>
      </c>
      <c r="AA51" s="866">
        <v>0</v>
      </c>
      <c r="AB51" s="866">
        <v>5</v>
      </c>
      <c r="AC51" s="866">
        <f t="shared" si="28"/>
        <v>0</v>
      </c>
      <c r="AD51" s="866"/>
      <c r="AE51" s="866">
        <v>8</v>
      </c>
      <c r="AF51" s="866">
        <f t="shared" si="29"/>
        <v>0</v>
      </c>
      <c r="AG51" s="866">
        <v>0</v>
      </c>
      <c r="AH51" s="866">
        <v>0</v>
      </c>
      <c r="AI51" s="866">
        <v>0</v>
      </c>
      <c r="AJ51" s="866">
        <v>0</v>
      </c>
      <c r="AK51" s="866">
        <f t="shared" si="30"/>
        <v>3.5</v>
      </c>
      <c r="AL51" s="866">
        <v>0</v>
      </c>
      <c r="AM51" s="434"/>
      <c r="AN51" s="863"/>
      <c r="AO51" s="863"/>
      <c r="AP51" s="863"/>
      <c r="AQ51" s="863"/>
      <c r="AR51" s="434" t="s">
        <v>1241</v>
      </c>
      <c r="AS51" s="867">
        <v>510</v>
      </c>
      <c r="AT51" s="866">
        <f t="shared" si="31"/>
        <v>3.04</v>
      </c>
      <c r="AU51" s="867">
        <v>0</v>
      </c>
      <c r="AV51" s="866">
        <f t="shared" si="32"/>
        <v>0</v>
      </c>
      <c r="AW51" s="867">
        <v>542</v>
      </c>
      <c r="AX51" s="866">
        <f t="shared" si="33"/>
        <v>0</v>
      </c>
      <c r="AY51" s="434"/>
      <c r="AZ51" s="866"/>
      <c r="BA51" s="864"/>
      <c r="BB51" s="864"/>
      <c r="BC51" s="863"/>
      <c r="BD51" s="863"/>
      <c r="BE51" s="868"/>
      <c r="BF51" s="869">
        <v>332</v>
      </c>
      <c r="BG51" s="866">
        <f t="shared" si="34"/>
        <v>3.04</v>
      </c>
      <c r="BH51" s="870">
        <f>IF(ISERROR(VLOOKUP(BF51,Parametros!$C:$J,8,0)),0,VLOOKUP(BF51,Parametros!$C:$J,8,0))</f>
        <v>0</v>
      </c>
      <c r="BI51" s="866">
        <f t="shared" si="35"/>
        <v>0</v>
      </c>
      <c r="BJ51" s="871"/>
      <c r="BK51" s="866">
        <v>0</v>
      </c>
      <c r="BL51" s="434"/>
      <c r="BM51" s="866">
        <v>0</v>
      </c>
      <c r="BN51" s="866">
        <v>0</v>
      </c>
      <c r="BO51" s="869"/>
      <c r="BP51" s="866">
        <f t="shared" si="36"/>
        <v>0</v>
      </c>
      <c r="BQ51" s="870">
        <f>IF(ISERROR(VLOOKUP(BO51,Parametros!$C:$J,8,0)),0,VLOOKUP(BO51,Parametros!$C:$J,8,0))</f>
        <v>0</v>
      </c>
      <c r="BR51" s="866">
        <f t="shared" si="37"/>
        <v>0</v>
      </c>
      <c r="BS51" s="871"/>
      <c r="BT51" s="866">
        <v>0</v>
      </c>
      <c r="BU51" s="434"/>
      <c r="BV51" s="866">
        <v>0</v>
      </c>
      <c r="BW51" s="866">
        <v>0</v>
      </c>
      <c r="BX51" s="869"/>
      <c r="BY51" s="866">
        <f t="shared" si="38"/>
        <v>0</v>
      </c>
      <c r="BZ51" s="870">
        <f>IF(ISERROR(VLOOKUP(BX51,Parametros!$C:$J,8,0)),0,VLOOKUP(BX51,Parametros!$C:$J,8,0))</f>
        <v>0</v>
      </c>
      <c r="CA51" s="866">
        <f t="shared" si="39"/>
        <v>0</v>
      </c>
      <c r="CB51" s="434"/>
      <c r="CC51" s="866">
        <v>0</v>
      </c>
      <c r="CD51" s="866">
        <v>0</v>
      </c>
      <c r="CE51" s="866">
        <v>0</v>
      </c>
      <c r="CF51" s="866">
        <v>0</v>
      </c>
      <c r="CG51" s="866">
        <v>0</v>
      </c>
      <c r="CH51" s="866">
        <v>0</v>
      </c>
      <c r="CI51" s="866">
        <v>0</v>
      </c>
      <c r="CJ51" s="866">
        <v>0</v>
      </c>
      <c r="CK51" s="866">
        <f t="shared" si="40"/>
        <v>0</v>
      </c>
      <c r="CL51" s="863"/>
      <c r="CM51" s="863"/>
      <c r="CN51" s="863"/>
      <c r="CO51" s="434"/>
      <c r="CP51" s="434" t="s">
        <v>2282</v>
      </c>
      <c r="CQ51" s="434" t="s">
        <v>57</v>
      </c>
      <c r="CR51" s="434"/>
      <c r="CS51" s="434" t="s">
        <v>2283</v>
      </c>
      <c r="CT51" s="434"/>
      <c r="CU51" s="434"/>
      <c r="CV51" s="863"/>
      <c r="CW51" s="434"/>
      <c r="CX51" s="867"/>
      <c r="CY51" s="867"/>
      <c r="CZ51" s="867"/>
      <c r="DA51" s="434"/>
      <c r="DB51" s="867">
        <f t="shared" si="41"/>
        <v>4</v>
      </c>
      <c r="DC51" s="872" t="str">
        <f t="shared" si="0"/>
        <v>SI</v>
      </c>
      <c r="DD51" s="872" t="str">
        <f t="shared" si="1"/>
        <v>SI</v>
      </c>
      <c r="DE51" s="866">
        <f t="shared" si="42"/>
        <v>3.04</v>
      </c>
      <c r="DF51" s="866">
        <f t="shared" si="43"/>
        <v>0</v>
      </c>
      <c r="DG51" s="866">
        <f t="shared" si="44"/>
        <v>0</v>
      </c>
      <c r="DH51" s="866">
        <f t="shared" si="45"/>
        <v>0</v>
      </c>
      <c r="DI51" s="866">
        <f t="shared" si="46"/>
        <v>0</v>
      </c>
      <c r="DJ51" s="866">
        <f t="shared" si="47"/>
        <v>0</v>
      </c>
      <c r="DK51" s="866">
        <f t="shared" si="48"/>
        <v>0.46</v>
      </c>
      <c r="DL51" s="866">
        <f t="shared" si="49"/>
        <v>0</v>
      </c>
      <c r="DM51" s="866">
        <f t="shared" si="50"/>
        <v>0</v>
      </c>
      <c r="DN51" s="866">
        <f t="shared" si="51"/>
        <v>0</v>
      </c>
      <c r="DO51" s="434"/>
      <c r="DP51" s="863"/>
      <c r="DQ51" s="864" t="s">
        <v>2284</v>
      </c>
      <c r="DR51" s="864" t="s">
        <v>2285</v>
      </c>
      <c r="DS51" s="863"/>
      <c r="DT51" s="863"/>
      <c r="DU51" s="863"/>
      <c r="DV51" s="863"/>
      <c r="DW51" s="863"/>
      <c r="DX51" s="864" t="s">
        <v>1501</v>
      </c>
      <c r="DY51" s="864" t="s">
        <v>2286</v>
      </c>
      <c r="DZ51" s="864"/>
      <c r="EA51" s="863"/>
      <c r="EB51" s="863"/>
      <c r="EC51" s="863"/>
      <c r="ED51" s="863"/>
      <c r="EE51" s="866">
        <v>0</v>
      </c>
      <c r="EF51" s="866">
        <v>0</v>
      </c>
      <c r="EG51" s="866">
        <v>0</v>
      </c>
      <c r="EH51" s="863"/>
      <c r="EI51" s="434"/>
      <c r="EJ51" s="434"/>
      <c r="EK51" s="863"/>
    </row>
    <row r="52" spans="1:141" x14ac:dyDescent="0.25">
      <c r="A52" s="863" t="s">
        <v>2465</v>
      </c>
      <c r="B52" s="434" t="s">
        <v>2287</v>
      </c>
      <c r="C52" s="863" t="s">
        <v>2493</v>
      </c>
      <c r="D52" s="434" t="s">
        <v>1789</v>
      </c>
      <c r="E52" s="864" t="s">
        <v>744</v>
      </c>
      <c r="F52" s="434"/>
      <c r="G52" s="863" t="s">
        <v>1031</v>
      </c>
      <c r="H52" s="864" t="s">
        <v>8</v>
      </c>
      <c r="I52" s="864" t="s">
        <v>2448</v>
      </c>
      <c r="J52" s="863" t="s">
        <v>2569</v>
      </c>
      <c r="K52" s="863" t="s">
        <v>2625</v>
      </c>
      <c r="L52" s="865">
        <v>46136</v>
      </c>
      <c r="M52" s="865">
        <v>46136</v>
      </c>
      <c r="N52" s="434"/>
      <c r="O52" s="864"/>
      <c r="P52" s="864"/>
      <c r="Q52" s="863"/>
      <c r="R52" s="863"/>
      <c r="S52" s="863"/>
      <c r="T52" s="863" t="s">
        <v>44</v>
      </c>
      <c r="U52" s="866">
        <v>0</v>
      </c>
      <c r="V52" s="866">
        <v>0</v>
      </c>
      <c r="W52" s="866">
        <v>11</v>
      </c>
      <c r="X52" s="866">
        <v>45.2</v>
      </c>
      <c r="Y52" s="866">
        <v>15</v>
      </c>
      <c r="Z52" s="866">
        <f t="shared" si="27"/>
        <v>6.78</v>
      </c>
      <c r="AA52" s="866">
        <v>0</v>
      </c>
      <c r="AB52" s="866">
        <v>5</v>
      </c>
      <c r="AC52" s="866">
        <f t="shared" si="28"/>
        <v>0</v>
      </c>
      <c r="AD52" s="866"/>
      <c r="AE52" s="866">
        <v>8</v>
      </c>
      <c r="AF52" s="866">
        <f t="shared" si="29"/>
        <v>0</v>
      </c>
      <c r="AG52" s="866">
        <v>0</v>
      </c>
      <c r="AH52" s="866">
        <v>0</v>
      </c>
      <c r="AI52" s="866">
        <v>0</v>
      </c>
      <c r="AJ52" s="866">
        <v>0</v>
      </c>
      <c r="AK52" s="866">
        <f t="shared" si="30"/>
        <v>62.98</v>
      </c>
      <c r="AL52" s="866">
        <v>0</v>
      </c>
      <c r="AM52" s="434"/>
      <c r="AN52" s="863"/>
      <c r="AO52" s="863"/>
      <c r="AP52" s="863"/>
      <c r="AQ52" s="863"/>
      <c r="AR52" s="434" t="s">
        <v>1241</v>
      </c>
      <c r="AS52" s="867">
        <v>510</v>
      </c>
      <c r="AT52" s="866">
        <f t="shared" si="31"/>
        <v>45.2</v>
      </c>
      <c r="AU52" s="867">
        <v>0</v>
      </c>
      <c r="AV52" s="866">
        <f t="shared" si="32"/>
        <v>0</v>
      </c>
      <c r="AW52" s="867">
        <v>542</v>
      </c>
      <c r="AX52" s="866">
        <f t="shared" si="33"/>
        <v>0</v>
      </c>
      <c r="AY52" s="434"/>
      <c r="AZ52" s="866"/>
      <c r="BA52" s="864"/>
      <c r="BB52" s="864"/>
      <c r="BC52" s="863"/>
      <c r="BD52" s="863"/>
      <c r="BE52" s="868"/>
      <c r="BF52" s="869">
        <v>332</v>
      </c>
      <c r="BG52" s="866">
        <f t="shared" si="34"/>
        <v>56.2</v>
      </c>
      <c r="BH52" s="870">
        <f>IF(ISERROR(VLOOKUP(BF52,Parametros!$C:$J,8,0)),0,VLOOKUP(BF52,Parametros!$C:$J,8,0))</f>
        <v>0</v>
      </c>
      <c r="BI52" s="866">
        <f t="shared" si="35"/>
        <v>0</v>
      </c>
      <c r="BJ52" s="871"/>
      <c r="BK52" s="866">
        <v>0</v>
      </c>
      <c r="BL52" s="434"/>
      <c r="BM52" s="866">
        <v>0</v>
      </c>
      <c r="BN52" s="866">
        <v>0</v>
      </c>
      <c r="BO52" s="869"/>
      <c r="BP52" s="866">
        <f t="shared" si="36"/>
        <v>0</v>
      </c>
      <c r="BQ52" s="870">
        <f>IF(ISERROR(VLOOKUP(BO52,Parametros!$C:$J,8,0)),0,VLOOKUP(BO52,Parametros!$C:$J,8,0))</f>
        <v>0</v>
      </c>
      <c r="BR52" s="866">
        <f t="shared" si="37"/>
        <v>0</v>
      </c>
      <c r="BS52" s="871"/>
      <c r="BT52" s="866">
        <v>0</v>
      </c>
      <c r="BU52" s="434"/>
      <c r="BV52" s="866">
        <v>0</v>
      </c>
      <c r="BW52" s="866">
        <v>0</v>
      </c>
      <c r="BX52" s="869"/>
      <c r="BY52" s="866">
        <f t="shared" si="38"/>
        <v>0</v>
      </c>
      <c r="BZ52" s="870">
        <f>IF(ISERROR(VLOOKUP(BX52,Parametros!$C:$J,8,0)),0,VLOOKUP(BX52,Parametros!$C:$J,8,0))</f>
        <v>0</v>
      </c>
      <c r="CA52" s="866">
        <f t="shared" si="39"/>
        <v>0</v>
      </c>
      <c r="CB52" s="434"/>
      <c r="CC52" s="866">
        <v>0</v>
      </c>
      <c r="CD52" s="866">
        <v>0</v>
      </c>
      <c r="CE52" s="866">
        <v>0</v>
      </c>
      <c r="CF52" s="866">
        <v>0</v>
      </c>
      <c r="CG52" s="866">
        <v>0</v>
      </c>
      <c r="CH52" s="866">
        <v>0</v>
      </c>
      <c r="CI52" s="866">
        <v>0</v>
      </c>
      <c r="CJ52" s="866">
        <v>0</v>
      </c>
      <c r="CK52" s="866">
        <f t="shared" si="40"/>
        <v>0</v>
      </c>
      <c r="CL52" s="863"/>
      <c r="CM52" s="863"/>
      <c r="CN52" s="863"/>
      <c r="CO52" s="434"/>
      <c r="CP52" s="434" t="s">
        <v>2282</v>
      </c>
      <c r="CQ52" s="434" t="s">
        <v>57</v>
      </c>
      <c r="CR52" s="434"/>
      <c r="CS52" s="434" t="s">
        <v>2283</v>
      </c>
      <c r="CT52" s="434"/>
      <c r="CU52" s="434"/>
      <c r="CV52" s="863"/>
      <c r="CW52" s="434"/>
      <c r="CX52" s="867"/>
      <c r="CY52" s="867"/>
      <c r="CZ52" s="867"/>
      <c r="DA52" s="434"/>
      <c r="DB52" s="867">
        <f t="shared" si="41"/>
        <v>4</v>
      </c>
      <c r="DC52" s="872" t="str">
        <f t="shared" si="0"/>
        <v>SI</v>
      </c>
      <c r="DD52" s="872" t="str">
        <f t="shared" si="1"/>
        <v>SI</v>
      </c>
      <c r="DE52" s="866">
        <f t="shared" si="42"/>
        <v>45.2</v>
      </c>
      <c r="DF52" s="866">
        <f t="shared" si="43"/>
        <v>0</v>
      </c>
      <c r="DG52" s="866">
        <f t="shared" si="44"/>
        <v>0</v>
      </c>
      <c r="DH52" s="866">
        <f t="shared" si="45"/>
        <v>11</v>
      </c>
      <c r="DI52" s="866">
        <f t="shared" si="46"/>
        <v>0</v>
      </c>
      <c r="DJ52" s="866">
        <f t="shared" si="47"/>
        <v>0</v>
      </c>
      <c r="DK52" s="866">
        <f t="shared" si="48"/>
        <v>6.78</v>
      </c>
      <c r="DL52" s="866">
        <f t="shared" si="49"/>
        <v>0</v>
      </c>
      <c r="DM52" s="866">
        <f t="shared" si="50"/>
        <v>0</v>
      </c>
      <c r="DN52" s="866">
        <f t="shared" si="51"/>
        <v>0</v>
      </c>
      <c r="DO52" s="434"/>
      <c r="DP52" s="863"/>
      <c r="DQ52" s="864" t="s">
        <v>2284</v>
      </c>
      <c r="DR52" s="864" t="s">
        <v>2285</v>
      </c>
      <c r="DS52" s="863"/>
      <c r="DT52" s="863"/>
      <c r="DU52" s="863"/>
      <c r="DV52" s="863"/>
      <c r="DW52" s="863"/>
      <c r="DX52" s="864" t="s">
        <v>1501</v>
      </c>
      <c r="DY52" s="864" t="s">
        <v>2286</v>
      </c>
      <c r="DZ52" s="864"/>
      <c r="EA52" s="863"/>
      <c r="EB52" s="863"/>
      <c r="EC52" s="863"/>
      <c r="ED52" s="863"/>
      <c r="EE52" s="866">
        <v>0</v>
      </c>
      <c r="EF52" s="866">
        <v>0</v>
      </c>
      <c r="EG52" s="866">
        <v>0</v>
      </c>
      <c r="EH52" s="863"/>
      <c r="EI52" s="434"/>
      <c r="EJ52" s="434"/>
      <c r="EK52" s="863"/>
    </row>
    <row r="53" spans="1:141" x14ac:dyDescent="0.25">
      <c r="A53" s="863" t="s">
        <v>2465</v>
      </c>
      <c r="B53" s="434" t="s">
        <v>2287</v>
      </c>
      <c r="C53" s="863" t="s">
        <v>2493</v>
      </c>
      <c r="D53" s="434" t="s">
        <v>1789</v>
      </c>
      <c r="E53" s="864" t="s">
        <v>744</v>
      </c>
      <c r="F53" s="434"/>
      <c r="G53" s="863" t="s">
        <v>1031</v>
      </c>
      <c r="H53" s="864" t="s">
        <v>8</v>
      </c>
      <c r="I53" s="864" t="s">
        <v>2448</v>
      </c>
      <c r="J53" s="863" t="s">
        <v>2570</v>
      </c>
      <c r="K53" s="863" t="s">
        <v>2626</v>
      </c>
      <c r="L53" s="865">
        <v>46136</v>
      </c>
      <c r="M53" s="865">
        <v>46136</v>
      </c>
      <c r="N53" s="434"/>
      <c r="O53" s="864"/>
      <c r="P53" s="864"/>
      <c r="Q53" s="863"/>
      <c r="R53" s="863"/>
      <c r="S53" s="863"/>
      <c r="T53" s="863" t="s">
        <v>44</v>
      </c>
      <c r="U53" s="866">
        <v>0</v>
      </c>
      <c r="V53" s="866">
        <v>0</v>
      </c>
      <c r="W53" s="866">
        <v>0</v>
      </c>
      <c r="X53" s="866">
        <v>16.3</v>
      </c>
      <c r="Y53" s="866">
        <v>15</v>
      </c>
      <c r="Z53" s="866">
        <f t="shared" si="27"/>
        <v>2.4500000000000002</v>
      </c>
      <c r="AA53" s="866">
        <v>0</v>
      </c>
      <c r="AB53" s="866">
        <v>5</v>
      </c>
      <c r="AC53" s="866">
        <f t="shared" si="28"/>
        <v>0</v>
      </c>
      <c r="AD53" s="866"/>
      <c r="AE53" s="866">
        <v>8</v>
      </c>
      <c r="AF53" s="866">
        <f t="shared" si="29"/>
        <v>0</v>
      </c>
      <c r="AG53" s="866">
        <v>0</v>
      </c>
      <c r="AH53" s="866">
        <v>0</v>
      </c>
      <c r="AI53" s="866">
        <v>0</v>
      </c>
      <c r="AJ53" s="866">
        <v>0</v>
      </c>
      <c r="AK53" s="866">
        <f t="shared" si="30"/>
        <v>18.75</v>
      </c>
      <c r="AL53" s="866">
        <v>0</v>
      </c>
      <c r="AM53" s="434"/>
      <c r="AN53" s="863"/>
      <c r="AO53" s="863"/>
      <c r="AP53" s="863"/>
      <c r="AQ53" s="863"/>
      <c r="AR53" s="434" t="s">
        <v>1241</v>
      </c>
      <c r="AS53" s="867">
        <v>510</v>
      </c>
      <c r="AT53" s="866">
        <f t="shared" si="31"/>
        <v>16.3</v>
      </c>
      <c r="AU53" s="867">
        <v>0</v>
      </c>
      <c r="AV53" s="866">
        <f t="shared" si="32"/>
        <v>0</v>
      </c>
      <c r="AW53" s="867">
        <v>542</v>
      </c>
      <c r="AX53" s="866">
        <f t="shared" si="33"/>
        <v>0</v>
      </c>
      <c r="AY53" s="434"/>
      <c r="AZ53" s="866"/>
      <c r="BA53" s="864"/>
      <c r="BB53" s="864"/>
      <c r="BC53" s="863"/>
      <c r="BD53" s="863"/>
      <c r="BE53" s="868"/>
      <c r="BF53" s="869">
        <v>332</v>
      </c>
      <c r="BG53" s="866">
        <f t="shared" si="34"/>
        <v>16.3</v>
      </c>
      <c r="BH53" s="870">
        <f>IF(ISERROR(VLOOKUP(BF53,Parametros!$C:$J,8,0)),0,VLOOKUP(BF53,Parametros!$C:$J,8,0))</f>
        <v>0</v>
      </c>
      <c r="BI53" s="866">
        <f t="shared" si="35"/>
        <v>0</v>
      </c>
      <c r="BJ53" s="871"/>
      <c r="BK53" s="866">
        <v>0</v>
      </c>
      <c r="BL53" s="434"/>
      <c r="BM53" s="866">
        <v>0</v>
      </c>
      <c r="BN53" s="866">
        <v>0</v>
      </c>
      <c r="BO53" s="869"/>
      <c r="BP53" s="866">
        <f t="shared" si="36"/>
        <v>0</v>
      </c>
      <c r="BQ53" s="870">
        <f>IF(ISERROR(VLOOKUP(BO53,Parametros!$C:$J,8,0)),0,VLOOKUP(BO53,Parametros!$C:$J,8,0))</f>
        <v>0</v>
      </c>
      <c r="BR53" s="866">
        <f t="shared" si="37"/>
        <v>0</v>
      </c>
      <c r="BS53" s="871"/>
      <c r="BT53" s="866">
        <v>0</v>
      </c>
      <c r="BU53" s="434"/>
      <c r="BV53" s="866">
        <v>0</v>
      </c>
      <c r="BW53" s="866">
        <v>0</v>
      </c>
      <c r="BX53" s="869"/>
      <c r="BY53" s="866">
        <f t="shared" si="38"/>
        <v>0</v>
      </c>
      <c r="BZ53" s="870">
        <f>IF(ISERROR(VLOOKUP(BX53,Parametros!$C:$J,8,0)),0,VLOOKUP(BX53,Parametros!$C:$J,8,0))</f>
        <v>0</v>
      </c>
      <c r="CA53" s="866">
        <f t="shared" si="39"/>
        <v>0</v>
      </c>
      <c r="CB53" s="434"/>
      <c r="CC53" s="866">
        <v>0</v>
      </c>
      <c r="CD53" s="866">
        <v>0</v>
      </c>
      <c r="CE53" s="866">
        <v>0</v>
      </c>
      <c r="CF53" s="866">
        <v>0</v>
      </c>
      <c r="CG53" s="866">
        <v>0</v>
      </c>
      <c r="CH53" s="866">
        <v>0</v>
      </c>
      <c r="CI53" s="866">
        <v>0</v>
      </c>
      <c r="CJ53" s="866">
        <v>0</v>
      </c>
      <c r="CK53" s="866">
        <f t="shared" si="40"/>
        <v>0</v>
      </c>
      <c r="CL53" s="863"/>
      <c r="CM53" s="863"/>
      <c r="CN53" s="863"/>
      <c r="CO53" s="434"/>
      <c r="CP53" s="434" t="s">
        <v>2282</v>
      </c>
      <c r="CQ53" s="434" t="s">
        <v>57</v>
      </c>
      <c r="CR53" s="434"/>
      <c r="CS53" s="434" t="s">
        <v>2283</v>
      </c>
      <c r="CT53" s="434"/>
      <c r="CU53" s="434"/>
      <c r="CV53" s="863"/>
      <c r="CW53" s="434"/>
      <c r="CX53" s="867"/>
      <c r="CY53" s="867"/>
      <c r="CZ53" s="867"/>
      <c r="DA53" s="434"/>
      <c r="DB53" s="867">
        <f t="shared" si="41"/>
        <v>4</v>
      </c>
      <c r="DC53" s="872" t="str">
        <f t="shared" si="0"/>
        <v>SI</v>
      </c>
      <c r="DD53" s="872" t="str">
        <f t="shared" si="1"/>
        <v>SI</v>
      </c>
      <c r="DE53" s="866">
        <f t="shared" si="42"/>
        <v>16.3</v>
      </c>
      <c r="DF53" s="866">
        <f t="shared" si="43"/>
        <v>0</v>
      </c>
      <c r="DG53" s="866">
        <f t="shared" si="44"/>
        <v>0</v>
      </c>
      <c r="DH53" s="866">
        <f t="shared" si="45"/>
        <v>0</v>
      </c>
      <c r="DI53" s="866">
        <f t="shared" si="46"/>
        <v>0</v>
      </c>
      <c r="DJ53" s="866">
        <f t="shared" si="47"/>
        <v>0</v>
      </c>
      <c r="DK53" s="866">
        <f t="shared" si="48"/>
        <v>2.4500000000000002</v>
      </c>
      <c r="DL53" s="866">
        <f t="shared" si="49"/>
        <v>0</v>
      </c>
      <c r="DM53" s="866">
        <f t="shared" si="50"/>
        <v>0</v>
      </c>
      <c r="DN53" s="866">
        <f t="shared" si="51"/>
        <v>0</v>
      </c>
      <c r="DO53" s="434"/>
      <c r="DP53" s="863"/>
      <c r="DQ53" s="864" t="s">
        <v>2284</v>
      </c>
      <c r="DR53" s="864" t="s">
        <v>2285</v>
      </c>
      <c r="DS53" s="863"/>
      <c r="DT53" s="863"/>
      <c r="DU53" s="863"/>
      <c r="DV53" s="863"/>
      <c r="DW53" s="863"/>
      <c r="DX53" s="864" t="s">
        <v>1501</v>
      </c>
      <c r="DY53" s="864" t="s">
        <v>2286</v>
      </c>
      <c r="DZ53" s="864"/>
      <c r="EA53" s="863"/>
      <c r="EB53" s="863"/>
      <c r="EC53" s="863"/>
      <c r="ED53" s="863"/>
      <c r="EE53" s="866">
        <v>0</v>
      </c>
      <c r="EF53" s="866">
        <v>0</v>
      </c>
      <c r="EG53" s="866">
        <v>0</v>
      </c>
      <c r="EH53" s="863"/>
      <c r="EI53" s="434"/>
      <c r="EJ53" s="434"/>
      <c r="EK53" s="863"/>
    </row>
    <row r="54" spans="1:141" x14ac:dyDescent="0.25">
      <c r="A54" s="863" t="s">
        <v>2483</v>
      </c>
      <c r="B54" s="434" t="s">
        <v>2287</v>
      </c>
      <c r="C54" s="863" t="s">
        <v>2512</v>
      </c>
      <c r="D54" s="434" t="s">
        <v>1789</v>
      </c>
      <c r="E54" s="864" t="s">
        <v>744</v>
      </c>
      <c r="F54" s="434"/>
      <c r="G54" s="863" t="s">
        <v>1031</v>
      </c>
      <c r="H54" s="864" t="s">
        <v>2452</v>
      </c>
      <c r="I54" s="864" t="s">
        <v>2442</v>
      </c>
      <c r="J54" s="863" t="s">
        <v>2571</v>
      </c>
      <c r="K54" s="863" t="s">
        <v>2627</v>
      </c>
      <c r="L54" s="865">
        <v>46136</v>
      </c>
      <c r="M54" s="865">
        <v>46136</v>
      </c>
      <c r="N54" s="434"/>
      <c r="O54" s="864"/>
      <c r="P54" s="864"/>
      <c r="Q54" s="863"/>
      <c r="R54" s="863"/>
      <c r="S54" s="863"/>
      <c r="T54" s="863" t="s">
        <v>44</v>
      </c>
      <c r="U54" s="866">
        <v>0</v>
      </c>
      <c r="V54" s="866">
        <v>0</v>
      </c>
      <c r="W54" s="866">
        <v>0</v>
      </c>
      <c r="X54" s="866">
        <v>10.43</v>
      </c>
      <c r="Y54" s="866">
        <v>15</v>
      </c>
      <c r="Z54" s="866">
        <f t="shared" si="27"/>
        <v>1.56</v>
      </c>
      <c r="AA54" s="866">
        <v>0</v>
      </c>
      <c r="AB54" s="866">
        <v>5</v>
      </c>
      <c r="AC54" s="866">
        <f t="shared" si="28"/>
        <v>0</v>
      </c>
      <c r="AD54" s="866"/>
      <c r="AE54" s="866">
        <v>8</v>
      </c>
      <c r="AF54" s="866">
        <f t="shared" si="29"/>
        <v>0</v>
      </c>
      <c r="AG54" s="866">
        <v>0</v>
      </c>
      <c r="AH54" s="866">
        <v>0</v>
      </c>
      <c r="AI54" s="866">
        <v>0</v>
      </c>
      <c r="AJ54" s="866">
        <v>0</v>
      </c>
      <c r="AK54" s="866">
        <f t="shared" si="30"/>
        <v>11.99</v>
      </c>
      <c r="AL54" s="866">
        <v>0</v>
      </c>
      <c r="AM54" s="434"/>
      <c r="AN54" s="863"/>
      <c r="AO54" s="863"/>
      <c r="AP54" s="863"/>
      <c r="AQ54" s="863"/>
      <c r="AR54" s="434" t="s">
        <v>1241</v>
      </c>
      <c r="AS54" s="867">
        <v>510</v>
      </c>
      <c r="AT54" s="866">
        <f t="shared" si="31"/>
        <v>10.43</v>
      </c>
      <c r="AU54" s="867">
        <v>0</v>
      </c>
      <c r="AV54" s="866">
        <f t="shared" si="32"/>
        <v>0</v>
      </c>
      <c r="AW54" s="867">
        <v>542</v>
      </c>
      <c r="AX54" s="866">
        <f t="shared" si="33"/>
        <v>0</v>
      </c>
      <c r="AY54" s="434"/>
      <c r="AZ54" s="866"/>
      <c r="BA54" s="864"/>
      <c r="BB54" s="864"/>
      <c r="BC54" s="863"/>
      <c r="BD54" s="863"/>
      <c r="BE54" s="868"/>
      <c r="BF54" s="869">
        <v>332</v>
      </c>
      <c r="BG54" s="866">
        <f t="shared" si="34"/>
        <v>10.43</v>
      </c>
      <c r="BH54" s="870">
        <f>IF(ISERROR(VLOOKUP(BF54,Parametros!$C:$J,8,0)),0,VLOOKUP(BF54,Parametros!$C:$J,8,0))</f>
        <v>0</v>
      </c>
      <c r="BI54" s="866">
        <f t="shared" si="35"/>
        <v>0</v>
      </c>
      <c r="BJ54" s="871"/>
      <c r="BK54" s="866">
        <v>0</v>
      </c>
      <c r="BL54" s="434"/>
      <c r="BM54" s="866">
        <v>0</v>
      </c>
      <c r="BN54" s="866">
        <v>0</v>
      </c>
      <c r="BO54" s="869"/>
      <c r="BP54" s="866">
        <f t="shared" si="36"/>
        <v>0</v>
      </c>
      <c r="BQ54" s="870">
        <f>IF(ISERROR(VLOOKUP(BO54,Parametros!$C:$J,8,0)),0,VLOOKUP(BO54,Parametros!$C:$J,8,0))</f>
        <v>0</v>
      </c>
      <c r="BR54" s="866">
        <f t="shared" si="37"/>
        <v>0</v>
      </c>
      <c r="BS54" s="871"/>
      <c r="BT54" s="866">
        <v>0</v>
      </c>
      <c r="BU54" s="434"/>
      <c r="BV54" s="866">
        <v>0</v>
      </c>
      <c r="BW54" s="866">
        <v>0</v>
      </c>
      <c r="BX54" s="869"/>
      <c r="BY54" s="866">
        <f t="shared" si="38"/>
        <v>0</v>
      </c>
      <c r="BZ54" s="870">
        <f>IF(ISERROR(VLOOKUP(BX54,Parametros!$C:$J,8,0)),0,VLOOKUP(BX54,Parametros!$C:$J,8,0))</f>
        <v>0</v>
      </c>
      <c r="CA54" s="866">
        <f t="shared" si="39"/>
        <v>0</v>
      </c>
      <c r="CB54" s="434"/>
      <c r="CC54" s="866">
        <v>0</v>
      </c>
      <c r="CD54" s="866">
        <v>0</v>
      </c>
      <c r="CE54" s="866">
        <v>0</v>
      </c>
      <c r="CF54" s="866">
        <v>0</v>
      </c>
      <c r="CG54" s="866">
        <v>0</v>
      </c>
      <c r="CH54" s="866">
        <v>0</v>
      </c>
      <c r="CI54" s="866">
        <v>0</v>
      </c>
      <c r="CJ54" s="866">
        <v>0</v>
      </c>
      <c r="CK54" s="866">
        <f t="shared" si="40"/>
        <v>0</v>
      </c>
      <c r="CL54" s="863"/>
      <c r="CM54" s="863"/>
      <c r="CN54" s="863"/>
      <c r="CO54" s="434"/>
      <c r="CP54" s="434" t="s">
        <v>2282</v>
      </c>
      <c r="CQ54" s="434" t="s">
        <v>57</v>
      </c>
      <c r="CR54" s="434"/>
      <c r="CS54" s="434" t="s">
        <v>2283</v>
      </c>
      <c r="CT54" s="434"/>
      <c r="CU54" s="434"/>
      <c r="CV54" s="863"/>
      <c r="CW54" s="434"/>
      <c r="CX54" s="867"/>
      <c r="CY54" s="867"/>
      <c r="CZ54" s="867"/>
      <c r="DA54" s="434"/>
      <c r="DB54" s="867">
        <f t="shared" si="41"/>
        <v>4</v>
      </c>
      <c r="DC54" s="872" t="str">
        <f t="shared" si="0"/>
        <v>SI</v>
      </c>
      <c r="DD54" s="872" t="str">
        <f t="shared" si="1"/>
        <v>SI</v>
      </c>
      <c r="DE54" s="866">
        <f t="shared" si="42"/>
        <v>10.43</v>
      </c>
      <c r="DF54" s="866">
        <f t="shared" si="43"/>
        <v>0</v>
      </c>
      <c r="DG54" s="866">
        <f t="shared" si="44"/>
        <v>0</v>
      </c>
      <c r="DH54" s="866">
        <f t="shared" si="45"/>
        <v>0</v>
      </c>
      <c r="DI54" s="866">
        <f t="shared" si="46"/>
        <v>0</v>
      </c>
      <c r="DJ54" s="866">
        <f t="shared" si="47"/>
        <v>0</v>
      </c>
      <c r="DK54" s="866">
        <f t="shared" si="48"/>
        <v>1.56</v>
      </c>
      <c r="DL54" s="866">
        <f t="shared" si="49"/>
        <v>0</v>
      </c>
      <c r="DM54" s="866">
        <f t="shared" si="50"/>
        <v>0</v>
      </c>
      <c r="DN54" s="866">
        <f t="shared" si="51"/>
        <v>0</v>
      </c>
      <c r="DO54" s="434"/>
      <c r="DP54" s="863"/>
      <c r="DQ54" s="864" t="s">
        <v>2284</v>
      </c>
      <c r="DR54" s="864" t="s">
        <v>2285</v>
      </c>
      <c r="DS54" s="863"/>
      <c r="DT54" s="863"/>
      <c r="DU54" s="863"/>
      <c r="DV54" s="863"/>
      <c r="DW54" s="863"/>
      <c r="DX54" s="864" t="s">
        <v>1501</v>
      </c>
      <c r="DY54" s="864" t="s">
        <v>2286</v>
      </c>
      <c r="DZ54" s="864"/>
      <c r="EA54" s="863"/>
      <c r="EB54" s="863"/>
      <c r="EC54" s="863"/>
      <c r="ED54" s="863"/>
      <c r="EE54" s="866">
        <v>0</v>
      </c>
      <c r="EF54" s="866">
        <v>0</v>
      </c>
      <c r="EG54" s="866">
        <v>0</v>
      </c>
      <c r="EH54" s="863"/>
      <c r="EI54" s="434"/>
      <c r="EJ54" s="434"/>
      <c r="EK54" s="863"/>
    </row>
    <row r="55" spans="1:141" x14ac:dyDescent="0.25">
      <c r="A55" s="863" t="s">
        <v>2484</v>
      </c>
      <c r="B55" s="434" t="s">
        <v>2287</v>
      </c>
      <c r="C55" s="863" t="s">
        <v>2513</v>
      </c>
      <c r="D55" s="434" t="s">
        <v>1789</v>
      </c>
      <c r="E55" s="864" t="s">
        <v>744</v>
      </c>
      <c r="F55" s="434"/>
      <c r="G55" s="863" t="s">
        <v>1031</v>
      </c>
      <c r="H55" s="864" t="s">
        <v>8</v>
      </c>
      <c r="I55" s="864" t="s">
        <v>2451</v>
      </c>
      <c r="J55" s="863" t="s">
        <v>2572</v>
      </c>
      <c r="K55" s="863" t="s">
        <v>2628</v>
      </c>
      <c r="L55" s="865">
        <v>46137</v>
      </c>
      <c r="M55" s="865">
        <v>46137</v>
      </c>
      <c r="N55" s="434"/>
      <c r="O55" s="864"/>
      <c r="P55" s="864"/>
      <c r="Q55" s="863"/>
      <c r="R55" s="863"/>
      <c r="S55" s="863"/>
      <c r="T55" s="863" t="s">
        <v>44</v>
      </c>
      <c r="U55" s="866">
        <v>0</v>
      </c>
      <c r="V55" s="866">
        <v>0</v>
      </c>
      <c r="W55" s="866">
        <v>0</v>
      </c>
      <c r="X55" s="866">
        <v>113.04</v>
      </c>
      <c r="Y55" s="866">
        <v>15</v>
      </c>
      <c r="Z55" s="866">
        <f t="shared" si="27"/>
        <v>16.96</v>
      </c>
      <c r="AA55" s="866">
        <v>0</v>
      </c>
      <c r="AB55" s="866">
        <v>5</v>
      </c>
      <c r="AC55" s="866">
        <f t="shared" si="28"/>
        <v>0</v>
      </c>
      <c r="AD55" s="866"/>
      <c r="AE55" s="866">
        <v>8</v>
      </c>
      <c r="AF55" s="866">
        <f t="shared" si="29"/>
        <v>0</v>
      </c>
      <c r="AG55" s="866">
        <v>0</v>
      </c>
      <c r="AH55" s="866">
        <v>0</v>
      </c>
      <c r="AI55" s="866">
        <v>0</v>
      </c>
      <c r="AJ55" s="866">
        <v>0</v>
      </c>
      <c r="AK55" s="866">
        <f t="shared" si="30"/>
        <v>130</v>
      </c>
      <c r="AL55" s="866">
        <v>0</v>
      </c>
      <c r="AM55" s="434"/>
      <c r="AN55" s="863"/>
      <c r="AO55" s="863"/>
      <c r="AP55" s="863"/>
      <c r="AQ55" s="863"/>
      <c r="AR55" s="434" t="s">
        <v>1241</v>
      </c>
      <c r="AS55" s="867">
        <v>510</v>
      </c>
      <c r="AT55" s="866">
        <f t="shared" si="31"/>
        <v>113.04</v>
      </c>
      <c r="AU55" s="867">
        <v>0</v>
      </c>
      <c r="AV55" s="866">
        <f t="shared" si="32"/>
        <v>0</v>
      </c>
      <c r="AW55" s="867">
        <v>542</v>
      </c>
      <c r="AX55" s="866">
        <f t="shared" si="33"/>
        <v>0</v>
      </c>
      <c r="AY55" s="434"/>
      <c r="AZ55" s="866"/>
      <c r="BA55" s="864"/>
      <c r="BB55" s="864"/>
      <c r="BC55" s="863"/>
      <c r="BD55" s="863"/>
      <c r="BE55" s="868"/>
      <c r="BF55" s="869">
        <v>332</v>
      </c>
      <c r="BG55" s="866">
        <f t="shared" si="34"/>
        <v>113.04</v>
      </c>
      <c r="BH55" s="870">
        <f>IF(ISERROR(VLOOKUP(BF55,Parametros!$C:$J,8,0)),0,VLOOKUP(BF55,Parametros!$C:$J,8,0))</f>
        <v>0</v>
      </c>
      <c r="BI55" s="866">
        <f t="shared" si="35"/>
        <v>0</v>
      </c>
      <c r="BJ55" s="871"/>
      <c r="BK55" s="866">
        <v>0</v>
      </c>
      <c r="BL55" s="434"/>
      <c r="BM55" s="866">
        <v>0</v>
      </c>
      <c r="BN55" s="866">
        <v>0</v>
      </c>
      <c r="BO55" s="869"/>
      <c r="BP55" s="866">
        <f t="shared" si="36"/>
        <v>0</v>
      </c>
      <c r="BQ55" s="870">
        <f>IF(ISERROR(VLOOKUP(BO55,Parametros!$C:$J,8,0)),0,VLOOKUP(BO55,Parametros!$C:$J,8,0))</f>
        <v>0</v>
      </c>
      <c r="BR55" s="866">
        <f t="shared" si="37"/>
        <v>0</v>
      </c>
      <c r="BS55" s="871"/>
      <c r="BT55" s="866">
        <v>0</v>
      </c>
      <c r="BU55" s="434"/>
      <c r="BV55" s="866">
        <v>0</v>
      </c>
      <c r="BW55" s="866">
        <v>0</v>
      </c>
      <c r="BX55" s="869"/>
      <c r="BY55" s="866">
        <f t="shared" si="38"/>
        <v>0</v>
      </c>
      <c r="BZ55" s="870">
        <f>IF(ISERROR(VLOOKUP(BX55,Parametros!$C:$J,8,0)),0,VLOOKUP(BX55,Parametros!$C:$J,8,0))</f>
        <v>0</v>
      </c>
      <c r="CA55" s="866">
        <f t="shared" si="39"/>
        <v>0</v>
      </c>
      <c r="CB55" s="434"/>
      <c r="CC55" s="866">
        <v>0</v>
      </c>
      <c r="CD55" s="866">
        <v>0</v>
      </c>
      <c r="CE55" s="866">
        <v>0</v>
      </c>
      <c r="CF55" s="866">
        <v>0</v>
      </c>
      <c r="CG55" s="866">
        <v>0</v>
      </c>
      <c r="CH55" s="866">
        <v>0</v>
      </c>
      <c r="CI55" s="866">
        <v>0</v>
      </c>
      <c r="CJ55" s="866">
        <v>0</v>
      </c>
      <c r="CK55" s="866">
        <f t="shared" si="40"/>
        <v>0</v>
      </c>
      <c r="CL55" s="863"/>
      <c r="CM55" s="863"/>
      <c r="CN55" s="863"/>
      <c r="CO55" s="434"/>
      <c r="CP55" s="434" t="s">
        <v>2282</v>
      </c>
      <c r="CQ55" s="434" t="s">
        <v>57</v>
      </c>
      <c r="CR55" s="434"/>
      <c r="CS55" s="434" t="s">
        <v>2283</v>
      </c>
      <c r="CT55" s="434"/>
      <c r="CU55" s="434"/>
      <c r="CV55" s="863"/>
      <c r="CW55" s="434"/>
      <c r="CX55" s="867"/>
      <c r="CY55" s="867"/>
      <c r="CZ55" s="867"/>
      <c r="DA55" s="434"/>
      <c r="DB55" s="867">
        <f t="shared" si="41"/>
        <v>4</v>
      </c>
      <c r="DC55" s="872" t="str">
        <f t="shared" si="0"/>
        <v>SI</v>
      </c>
      <c r="DD55" s="872" t="str">
        <f t="shared" si="1"/>
        <v>SI</v>
      </c>
      <c r="DE55" s="866">
        <f t="shared" si="42"/>
        <v>113.04</v>
      </c>
      <c r="DF55" s="866">
        <f t="shared" si="43"/>
        <v>0</v>
      </c>
      <c r="DG55" s="866">
        <f t="shared" si="44"/>
        <v>0</v>
      </c>
      <c r="DH55" s="866">
        <f t="shared" si="45"/>
        <v>0</v>
      </c>
      <c r="DI55" s="866">
        <f t="shared" si="46"/>
        <v>0</v>
      </c>
      <c r="DJ55" s="866">
        <f t="shared" si="47"/>
        <v>0</v>
      </c>
      <c r="DK55" s="866">
        <f t="shared" si="48"/>
        <v>16.96</v>
      </c>
      <c r="DL55" s="866">
        <f t="shared" si="49"/>
        <v>0</v>
      </c>
      <c r="DM55" s="866">
        <f t="shared" si="50"/>
        <v>0</v>
      </c>
      <c r="DN55" s="866">
        <f t="shared" si="51"/>
        <v>0</v>
      </c>
      <c r="DO55" s="434"/>
      <c r="DP55" s="863"/>
      <c r="DQ55" s="864" t="s">
        <v>2284</v>
      </c>
      <c r="DR55" s="864" t="s">
        <v>2285</v>
      </c>
      <c r="DS55" s="863"/>
      <c r="DT55" s="863"/>
      <c r="DU55" s="863"/>
      <c r="DV55" s="863"/>
      <c r="DW55" s="863"/>
      <c r="DX55" s="864" t="s">
        <v>1501</v>
      </c>
      <c r="DY55" s="864" t="s">
        <v>2286</v>
      </c>
      <c r="DZ55" s="864"/>
      <c r="EA55" s="863"/>
      <c r="EB55" s="863"/>
      <c r="EC55" s="863"/>
      <c r="ED55" s="863"/>
      <c r="EE55" s="866">
        <v>0</v>
      </c>
      <c r="EF55" s="866">
        <v>0</v>
      </c>
      <c r="EG55" s="866">
        <v>0</v>
      </c>
      <c r="EH55" s="863"/>
      <c r="EI55" s="434"/>
      <c r="EJ55" s="434"/>
      <c r="EK55" s="863"/>
    </row>
    <row r="56" spans="1:141" x14ac:dyDescent="0.25">
      <c r="A56" s="863" t="s">
        <v>2464</v>
      </c>
      <c r="B56" s="434" t="s">
        <v>2287</v>
      </c>
      <c r="C56" s="863" t="s">
        <v>2492</v>
      </c>
      <c r="D56" s="434" t="s">
        <v>1789</v>
      </c>
      <c r="E56" s="864" t="s">
        <v>744</v>
      </c>
      <c r="F56" s="434"/>
      <c r="G56" s="863" t="s">
        <v>1031</v>
      </c>
      <c r="H56" s="864" t="s">
        <v>2444</v>
      </c>
      <c r="I56" s="864" t="s">
        <v>2446</v>
      </c>
      <c r="J56" s="863" t="s">
        <v>2573</v>
      </c>
      <c r="K56" s="863" t="s">
        <v>2629</v>
      </c>
      <c r="L56" s="865">
        <v>46137</v>
      </c>
      <c r="M56" s="865">
        <v>46137</v>
      </c>
      <c r="N56" s="434"/>
      <c r="O56" s="864"/>
      <c r="P56" s="864"/>
      <c r="Q56" s="863"/>
      <c r="R56" s="863"/>
      <c r="S56" s="863"/>
      <c r="T56" s="863" t="s">
        <v>44</v>
      </c>
      <c r="U56" s="866">
        <v>0</v>
      </c>
      <c r="V56" s="866">
        <v>0</v>
      </c>
      <c r="W56" s="866">
        <v>0</v>
      </c>
      <c r="X56" s="866">
        <v>7.83</v>
      </c>
      <c r="Y56" s="866">
        <v>15</v>
      </c>
      <c r="Z56" s="866">
        <f t="shared" si="27"/>
        <v>1.17</v>
      </c>
      <c r="AA56" s="866">
        <v>0</v>
      </c>
      <c r="AB56" s="866">
        <v>5</v>
      </c>
      <c r="AC56" s="866">
        <f t="shared" si="28"/>
        <v>0</v>
      </c>
      <c r="AD56" s="866"/>
      <c r="AE56" s="866">
        <v>8</v>
      </c>
      <c r="AF56" s="866">
        <f t="shared" si="29"/>
        <v>0</v>
      </c>
      <c r="AG56" s="866">
        <v>0</v>
      </c>
      <c r="AH56" s="866">
        <v>0</v>
      </c>
      <c r="AI56" s="866">
        <v>0</v>
      </c>
      <c r="AJ56" s="866">
        <v>0</v>
      </c>
      <c r="AK56" s="866">
        <f t="shared" si="30"/>
        <v>9</v>
      </c>
      <c r="AL56" s="866">
        <v>0</v>
      </c>
      <c r="AM56" s="434"/>
      <c r="AN56" s="863"/>
      <c r="AO56" s="863"/>
      <c r="AP56" s="863"/>
      <c r="AQ56" s="863"/>
      <c r="AR56" s="434" t="s">
        <v>1241</v>
      </c>
      <c r="AS56" s="867">
        <v>510</v>
      </c>
      <c r="AT56" s="866">
        <f t="shared" si="31"/>
        <v>7.83</v>
      </c>
      <c r="AU56" s="867">
        <v>0</v>
      </c>
      <c r="AV56" s="866">
        <f t="shared" si="32"/>
        <v>0</v>
      </c>
      <c r="AW56" s="867">
        <v>542</v>
      </c>
      <c r="AX56" s="866">
        <f t="shared" si="33"/>
        <v>0</v>
      </c>
      <c r="AY56" s="434"/>
      <c r="AZ56" s="866"/>
      <c r="BA56" s="864"/>
      <c r="BB56" s="864"/>
      <c r="BC56" s="863"/>
      <c r="BD56" s="863"/>
      <c r="BE56" s="868"/>
      <c r="BF56" s="869">
        <v>332</v>
      </c>
      <c r="BG56" s="866">
        <f t="shared" si="34"/>
        <v>7.83</v>
      </c>
      <c r="BH56" s="870">
        <f>IF(ISERROR(VLOOKUP(BF56,Parametros!$C:$J,8,0)),0,VLOOKUP(BF56,Parametros!$C:$J,8,0))</f>
        <v>0</v>
      </c>
      <c r="BI56" s="866">
        <f t="shared" si="35"/>
        <v>0</v>
      </c>
      <c r="BJ56" s="871"/>
      <c r="BK56" s="866">
        <v>0</v>
      </c>
      <c r="BL56" s="434"/>
      <c r="BM56" s="866">
        <v>0</v>
      </c>
      <c r="BN56" s="866">
        <v>0</v>
      </c>
      <c r="BO56" s="869"/>
      <c r="BP56" s="866">
        <f t="shared" si="36"/>
        <v>0</v>
      </c>
      <c r="BQ56" s="870">
        <f>IF(ISERROR(VLOOKUP(BO56,Parametros!$C:$J,8,0)),0,VLOOKUP(BO56,Parametros!$C:$J,8,0))</f>
        <v>0</v>
      </c>
      <c r="BR56" s="866">
        <f t="shared" si="37"/>
        <v>0</v>
      </c>
      <c r="BS56" s="871"/>
      <c r="BT56" s="866">
        <v>0</v>
      </c>
      <c r="BU56" s="434"/>
      <c r="BV56" s="866">
        <v>0</v>
      </c>
      <c r="BW56" s="866">
        <v>0</v>
      </c>
      <c r="BX56" s="869"/>
      <c r="BY56" s="866">
        <f t="shared" si="38"/>
        <v>0</v>
      </c>
      <c r="BZ56" s="870">
        <f>IF(ISERROR(VLOOKUP(BX56,Parametros!$C:$J,8,0)),0,VLOOKUP(BX56,Parametros!$C:$J,8,0))</f>
        <v>0</v>
      </c>
      <c r="CA56" s="866">
        <f t="shared" si="39"/>
        <v>0</v>
      </c>
      <c r="CB56" s="434"/>
      <c r="CC56" s="866">
        <v>0</v>
      </c>
      <c r="CD56" s="866">
        <v>0</v>
      </c>
      <c r="CE56" s="866">
        <v>0</v>
      </c>
      <c r="CF56" s="866">
        <v>0</v>
      </c>
      <c r="CG56" s="866">
        <v>0</v>
      </c>
      <c r="CH56" s="866">
        <v>0</v>
      </c>
      <c r="CI56" s="866">
        <v>0</v>
      </c>
      <c r="CJ56" s="866">
        <v>0</v>
      </c>
      <c r="CK56" s="866">
        <f t="shared" si="40"/>
        <v>0</v>
      </c>
      <c r="CL56" s="863"/>
      <c r="CM56" s="863"/>
      <c r="CN56" s="863"/>
      <c r="CO56" s="434"/>
      <c r="CP56" s="434" t="s">
        <v>2282</v>
      </c>
      <c r="CQ56" s="434" t="s">
        <v>57</v>
      </c>
      <c r="CR56" s="434"/>
      <c r="CS56" s="434" t="s">
        <v>2283</v>
      </c>
      <c r="CT56" s="434"/>
      <c r="CU56" s="434"/>
      <c r="CV56" s="863"/>
      <c r="CW56" s="434"/>
      <c r="CX56" s="867"/>
      <c r="CY56" s="867"/>
      <c r="CZ56" s="867"/>
      <c r="DA56" s="434"/>
      <c r="DB56" s="867">
        <f t="shared" si="41"/>
        <v>4</v>
      </c>
      <c r="DC56" s="872" t="str">
        <f t="shared" si="0"/>
        <v>SI</v>
      </c>
      <c r="DD56" s="872" t="str">
        <f t="shared" si="1"/>
        <v>SI</v>
      </c>
      <c r="DE56" s="866">
        <f t="shared" si="42"/>
        <v>7.83</v>
      </c>
      <c r="DF56" s="866">
        <f t="shared" si="43"/>
        <v>0</v>
      </c>
      <c r="DG56" s="866">
        <f t="shared" si="44"/>
        <v>0</v>
      </c>
      <c r="DH56" s="866">
        <f t="shared" si="45"/>
        <v>0</v>
      </c>
      <c r="DI56" s="866">
        <f t="shared" si="46"/>
        <v>0</v>
      </c>
      <c r="DJ56" s="866">
        <f t="shared" si="47"/>
        <v>0</v>
      </c>
      <c r="DK56" s="866">
        <f t="shared" si="48"/>
        <v>1.17</v>
      </c>
      <c r="DL56" s="866">
        <f t="shared" si="49"/>
        <v>0</v>
      </c>
      <c r="DM56" s="866">
        <f t="shared" si="50"/>
        <v>0</v>
      </c>
      <c r="DN56" s="866">
        <f t="shared" si="51"/>
        <v>0</v>
      </c>
      <c r="DO56" s="434"/>
      <c r="DP56" s="863"/>
      <c r="DQ56" s="864" t="s">
        <v>2284</v>
      </c>
      <c r="DR56" s="864" t="s">
        <v>2285</v>
      </c>
      <c r="DS56" s="863"/>
      <c r="DT56" s="863"/>
      <c r="DU56" s="863"/>
      <c r="DV56" s="863"/>
      <c r="DW56" s="863"/>
      <c r="DX56" s="864" t="s">
        <v>1501</v>
      </c>
      <c r="DY56" s="864" t="s">
        <v>2286</v>
      </c>
      <c r="DZ56" s="864"/>
      <c r="EA56" s="863"/>
      <c r="EB56" s="863"/>
      <c r="EC56" s="863"/>
      <c r="ED56" s="863"/>
      <c r="EE56" s="866">
        <v>0</v>
      </c>
      <c r="EF56" s="866">
        <v>0</v>
      </c>
      <c r="EG56" s="866">
        <v>0</v>
      </c>
      <c r="EH56" s="863"/>
      <c r="EI56" s="434"/>
      <c r="EJ56" s="434"/>
      <c r="EK56" s="863"/>
    </row>
    <row r="57" spans="1:141" x14ac:dyDescent="0.25">
      <c r="A57" s="863" t="s">
        <v>2465</v>
      </c>
      <c r="B57" s="434" t="s">
        <v>2287</v>
      </c>
      <c r="C57" s="863" t="s">
        <v>2493</v>
      </c>
      <c r="D57" s="434" t="s">
        <v>1789</v>
      </c>
      <c r="E57" s="864" t="s">
        <v>744</v>
      </c>
      <c r="F57" s="434"/>
      <c r="G57" s="863" t="s">
        <v>1031</v>
      </c>
      <c r="H57" s="864" t="s">
        <v>8</v>
      </c>
      <c r="I57" s="864" t="s">
        <v>2448</v>
      </c>
      <c r="J57" s="863" t="s">
        <v>2574</v>
      </c>
      <c r="K57" s="863" t="s">
        <v>2630</v>
      </c>
      <c r="L57" s="865">
        <v>46137</v>
      </c>
      <c r="M57" s="865">
        <v>46137</v>
      </c>
      <c r="N57" s="434"/>
      <c r="O57" s="864"/>
      <c r="P57" s="864"/>
      <c r="Q57" s="863"/>
      <c r="R57" s="863"/>
      <c r="S57" s="863"/>
      <c r="T57" s="863" t="s">
        <v>44</v>
      </c>
      <c r="U57" s="866">
        <v>0</v>
      </c>
      <c r="V57" s="866">
        <v>0</v>
      </c>
      <c r="W57" s="866">
        <v>0</v>
      </c>
      <c r="X57" s="866">
        <v>4.18</v>
      </c>
      <c r="Y57" s="866">
        <v>15</v>
      </c>
      <c r="Z57" s="866">
        <f t="shared" si="27"/>
        <v>0.63</v>
      </c>
      <c r="AA57" s="866">
        <v>0</v>
      </c>
      <c r="AB57" s="866">
        <v>5</v>
      </c>
      <c r="AC57" s="866">
        <f t="shared" si="28"/>
        <v>0</v>
      </c>
      <c r="AD57" s="866"/>
      <c r="AE57" s="866">
        <v>8</v>
      </c>
      <c r="AF57" s="866">
        <f t="shared" si="29"/>
        <v>0</v>
      </c>
      <c r="AG57" s="866">
        <v>0</v>
      </c>
      <c r="AH57" s="866">
        <v>0</v>
      </c>
      <c r="AI57" s="866">
        <v>0</v>
      </c>
      <c r="AJ57" s="866">
        <v>0</v>
      </c>
      <c r="AK57" s="866">
        <f t="shared" si="30"/>
        <v>4.8099999999999996</v>
      </c>
      <c r="AL57" s="866">
        <v>0</v>
      </c>
      <c r="AM57" s="434"/>
      <c r="AN57" s="863"/>
      <c r="AO57" s="863"/>
      <c r="AP57" s="863"/>
      <c r="AQ57" s="863"/>
      <c r="AR57" s="434" t="s">
        <v>1241</v>
      </c>
      <c r="AS57" s="867">
        <v>510</v>
      </c>
      <c r="AT57" s="866">
        <f t="shared" si="31"/>
        <v>4.18</v>
      </c>
      <c r="AU57" s="867">
        <v>0</v>
      </c>
      <c r="AV57" s="866">
        <f t="shared" si="32"/>
        <v>0</v>
      </c>
      <c r="AW57" s="867">
        <v>542</v>
      </c>
      <c r="AX57" s="866">
        <f t="shared" si="33"/>
        <v>0</v>
      </c>
      <c r="AY57" s="434"/>
      <c r="AZ57" s="866"/>
      <c r="BA57" s="864"/>
      <c r="BB57" s="864"/>
      <c r="BC57" s="863"/>
      <c r="BD57" s="863"/>
      <c r="BE57" s="868"/>
      <c r="BF57" s="869">
        <v>332</v>
      </c>
      <c r="BG57" s="866">
        <f t="shared" si="34"/>
        <v>4.18</v>
      </c>
      <c r="BH57" s="870">
        <f>IF(ISERROR(VLOOKUP(BF57,Parametros!$C:$J,8,0)),0,VLOOKUP(BF57,Parametros!$C:$J,8,0))</f>
        <v>0</v>
      </c>
      <c r="BI57" s="866">
        <f t="shared" si="35"/>
        <v>0</v>
      </c>
      <c r="BJ57" s="871"/>
      <c r="BK57" s="866">
        <v>0</v>
      </c>
      <c r="BL57" s="434"/>
      <c r="BM57" s="866">
        <v>0</v>
      </c>
      <c r="BN57" s="866">
        <v>0</v>
      </c>
      <c r="BO57" s="869"/>
      <c r="BP57" s="866">
        <f t="shared" si="36"/>
        <v>0</v>
      </c>
      <c r="BQ57" s="870">
        <f>IF(ISERROR(VLOOKUP(BO57,Parametros!$C:$J,8,0)),0,VLOOKUP(BO57,Parametros!$C:$J,8,0))</f>
        <v>0</v>
      </c>
      <c r="BR57" s="866">
        <f t="shared" si="37"/>
        <v>0</v>
      </c>
      <c r="BS57" s="871"/>
      <c r="BT57" s="866">
        <v>0</v>
      </c>
      <c r="BU57" s="434"/>
      <c r="BV57" s="866">
        <v>0</v>
      </c>
      <c r="BW57" s="866">
        <v>0</v>
      </c>
      <c r="BX57" s="869"/>
      <c r="BY57" s="866">
        <f t="shared" si="38"/>
        <v>0</v>
      </c>
      <c r="BZ57" s="870">
        <f>IF(ISERROR(VLOOKUP(BX57,Parametros!$C:$J,8,0)),0,VLOOKUP(BX57,Parametros!$C:$J,8,0))</f>
        <v>0</v>
      </c>
      <c r="CA57" s="866">
        <f t="shared" si="39"/>
        <v>0</v>
      </c>
      <c r="CB57" s="434"/>
      <c r="CC57" s="866">
        <v>0</v>
      </c>
      <c r="CD57" s="866">
        <v>0</v>
      </c>
      <c r="CE57" s="866">
        <v>0</v>
      </c>
      <c r="CF57" s="866">
        <v>0</v>
      </c>
      <c r="CG57" s="866">
        <v>0</v>
      </c>
      <c r="CH57" s="866">
        <v>0</v>
      </c>
      <c r="CI57" s="866">
        <v>0</v>
      </c>
      <c r="CJ57" s="866">
        <v>0</v>
      </c>
      <c r="CK57" s="866">
        <f t="shared" si="40"/>
        <v>0</v>
      </c>
      <c r="CL57" s="863"/>
      <c r="CM57" s="863"/>
      <c r="CN57" s="863"/>
      <c r="CO57" s="434"/>
      <c r="CP57" s="434" t="s">
        <v>2282</v>
      </c>
      <c r="CQ57" s="434" t="s">
        <v>57</v>
      </c>
      <c r="CR57" s="434"/>
      <c r="CS57" s="434" t="s">
        <v>2283</v>
      </c>
      <c r="CT57" s="434"/>
      <c r="CU57" s="434"/>
      <c r="CV57" s="863"/>
      <c r="CW57" s="434"/>
      <c r="CX57" s="867"/>
      <c r="CY57" s="867"/>
      <c r="CZ57" s="867"/>
      <c r="DA57" s="434"/>
      <c r="DB57" s="867">
        <f t="shared" si="41"/>
        <v>4</v>
      </c>
      <c r="DC57" s="872" t="str">
        <f t="shared" si="0"/>
        <v>SI</v>
      </c>
      <c r="DD57" s="872" t="str">
        <f t="shared" si="1"/>
        <v>SI</v>
      </c>
      <c r="DE57" s="866">
        <f t="shared" si="42"/>
        <v>4.18</v>
      </c>
      <c r="DF57" s="866">
        <f t="shared" si="43"/>
        <v>0</v>
      </c>
      <c r="DG57" s="866">
        <f t="shared" si="44"/>
        <v>0</v>
      </c>
      <c r="DH57" s="866">
        <f t="shared" si="45"/>
        <v>0</v>
      </c>
      <c r="DI57" s="866">
        <f t="shared" si="46"/>
        <v>0</v>
      </c>
      <c r="DJ57" s="866">
        <f t="shared" si="47"/>
        <v>0</v>
      </c>
      <c r="DK57" s="866">
        <f t="shared" si="48"/>
        <v>0.63</v>
      </c>
      <c r="DL57" s="866">
        <f t="shared" si="49"/>
        <v>0</v>
      </c>
      <c r="DM57" s="866">
        <f t="shared" si="50"/>
        <v>0</v>
      </c>
      <c r="DN57" s="866">
        <f t="shared" si="51"/>
        <v>0</v>
      </c>
      <c r="DO57" s="434"/>
      <c r="DP57" s="863"/>
      <c r="DQ57" s="864" t="s">
        <v>2284</v>
      </c>
      <c r="DR57" s="864" t="s">
        <v>2285</v>
      </c>
      <c r="DS57" s="863"/>
      <c r="DT57" s="863"/>
      <c r="DU57" s="863"/>
      <c r="DV57" s="863"/>
      <c r="DW57" s="863"/>
      <c r="DX57" s="864" t="s">
        <v>1501</v>
      </c>
      <c r="DY57" s="864" t="s">
        <v>2286</v>
      </c>
      <c r="DZ57" s="864"/>
      <c r="EA57" s="863"/>
      <c r="EB57" s="863"/>
      <c r="EC57" s="863"/>
      <c r="ED57" s="863"/>
      <c r="EE57" s="866">
        <v>0</v>
      </c>
      <c r="EF57" s="866">
        <v>0</v>
      </c>
      <c r="EG57" s="866">
        <v>0</v>
      </c>
      <c r="EH57" s="863"/>
      <c r="EI57" s="434"/>
      <c r="EJ57" s="434"/>
      <c r="EK57" s="863"/>
    </row>
    <row r="58" spans="1:141" x14ac:dyDescent="0.25">
      <c r="A58" s="863" t="s">
        <v>2466</v>
      </c>
      <c r="B58" s="434" t="s">
        <v>2287</v>
      </c>
      <c r="C58" s="863" t="s">
        <v>2494</v>
      </c>
      <c r="D58" s="434" t="s">
        <v>1789</v>
      </c>
      <c r="E58" s="864" t="s">
        <v>744</v>
      </c>
      <c r="F58" s="434"/>
      <c r="G58" s="863" t="s">
        <v>1031</v>
      </c>
      <c r="H58" s="864" t="s">
        <v>8</v>
      </c>
      <c r="I58" s="864" t="s">
        <v>2443</v>
      </c>
      <c r="J58" s="863" t="s">
        <v>2575</v>
      </c>
      <c r="K58" s="863" t="s">
        <v>2631</v>
      </c>
      <c r="L58" s="865">
        <v>46139</v>
      </c>
      <c r="M58" s="865">
        <v>46139</v>
      </c>
      <c r="N58" s="434"/>
      <c r="O58" s="864"/>
      <c r="P58" s="864"/>
      <c r="Q58" s="863"/>
      <c r="R58" s="863"/>
      <c r="S58" s="863"/>
      <c r="T58" s="863" t="s">
        <v>44</v>
      </c>
      <c r="U58" s="866">
        <v>0</v>
      </c>
      <c r="V58" s="866">
        <v>0</v>
      </c>
      <c r="W58" s="866">
        <v>0</v>
      </c>
      <c r="X58" s="866">
        <v>3.13</v>
      </c>
      <c r="Y58" s="866">
        <v>15</v>
      </c>
      <c r="Z58" s="866">
        <f t="shared" si="27"/>
        <v>0.47</v>
      </c>
      <c r="AA58" s="866">
        <v>0</v>
      </c>
      <c r="AB58" s="866">
        <v>5</v>
      </c>
      <c r="AC58" s="866">
        <f t="shared" si="28"/>
        <v>0</v>
      </c>
      <c r="AD58" s="866"/>
      <c r="AE58" s="866">
        <v>8</v>
      </c>
      <c r="AF58" s="866">
        <f t="shared" si="29"/>
        <v>0</v>
      </c>
      <c r="AG58" s="866">
        <v>0</v>
      </c>
      <c r="AH58" s="866">
        <v>0</v>
      </c>
      <c r="AI58" s="866">
        <v>0</v>
      </c>
      <c r="AJ58" s="866">
        <v>0</v>
      </c>
      <c r="AK58" s="866">
        <f t="shared" si="30"/>
        <v>3.6</v>
      </c>
      <c r="AL58" s="866">
        <v>0</v>
      </c>
      <c r="AM58" s="434"/>
      <c r="AN58" s="863"/>
      <c r="AO58" s="863"/>
      <c r="AP58" s="863"/>
      <c r="AQ58" s="863"/>
      <c r="AR58" s="434" t="s">
        <v>1241</v>
      </c>
      <c r="AS58" s="867">
        <v>510</v>
      </c>
      <c r="AT58" s="866">
        <f t="shared" si="31"/>
        <v>3.13</v>
      </c>
      <c r="AU58" s="867">
        <v>0</v>
      </c>
      <c r="AV58" s="866">
        <f t="shared" si="32"/>
        <v>0</v>
      </c>
      <c r="AW58" s="867">
        <v>542</v>
      </c>
      <c r="AX58" s="866">
        <f t="shared" si="33"/>
        <v>0</v>
      </c>
      <c r="AY58" s="434"/>
      <c r="AZ58" s="866"/>
      <c r="BA58" s="864"/>
      <c r="BB58" s="864"/>
      <c r="BC58" s="863"/>
      <c r="BD58" s="863"/>
      <c r="BE58" s="868"/>
      <c r="BF58" s="869">
        <v>332</v>
      </c>
      <c r="BG58" s="866">
        <f t="shared" si="34"/>
        <v>3.13</v>
      </c>
      <c r="BH58" s="870">
        <f>IF(ISERROR(VLOOKUP(BF58,Parametros!$C:$J,8,0)),0,VLOOKUP(BF58,Parametros!$C:$J,8,0))</f>
        <v>0</v>
      </c>
      <c r="BI58" s="866">
        <f t="shared" si="35"/>
        <v>0</v>
      </c>
      <c r="BJ58" s="871"/>
      <c r="BK58" s="866">
        <v>0</v>
      </c>
      <c r="BL58" s="434"/>
      <c r="BM58" s="866">
        <v>0</v>
      </c>
      <c r="BN58" s="866">
        <v>0</v>
      </c>
      <c r="BO58" s="869"/>
      <c r="BP58" s="866">
        <f t="shared" si="36"/>
        <v>0</v>
      </c>
      <c r="BQ58" s="870">
        <f>IF(ISERROR(VLOOKUP(BO58,Parametros!$C:$J,8,0)),0,VLOOKUP(BO58,Parametros!$C:$J,8,0))</f>
        <v>0</v>
      </c>
      <c r="BR58" s="866">
        <f t="shared" si="37"/>
        <v>0</v>
      </c>
      <c r="BS58" s="871"/>
      <c r="BT58" s="866">
        <v>0</v>
      </c>
      <c r="BU58" s="434"/>
      <c r="BV58" s="866">
        <v>0</v>
      </c>
      <c r="BW58" s="866">
        <v>0</v>
      </c>
      <c r="BX58" s="869"/>
      <c r="BY58" s="866">
        <f t="shared" si="38"/>
        <v>0</v>
      </c>
      <c r="BZ58" s="870">
        <f>IF(ISERROR(VLOOKUP(BX58,Parametros!$C:$J,8,0)),0,VLOOKUP(BX58,Parametros!$C:$J,8,0))</f>
        <v>0</v>
      </c>
      <c r="CA58" s="866">
        <f t="shared" si="39"/>
        <v>0</v>
      </c>
      <c r="CB58" s="434"/>
      <c r="CC58" s="866">
        <v>0</v>
      </c>
      <c r="CD58" s="866">
        <v>0</v>
      </c>
      <c r="CE58" s="866">
        <v>0</v>
      </c>
      <c r="CF58" s="866">
        <v>0</v>
      </c>
      <c r="CG58" s="866">
        <v>0</v>
      </c>
      <c r="CH58" s="866">
        <v>0</v>
      </c>
      <c r="CI58" s="866">
        <v>0</v>
      </c>
      <c r="CJ58" s="866">
        <v>0</v>
      </c>
      <c r="CK58" s="866">
        <f t="shared" si="40"/>
        <v>0</v>
      </c>
      <c r="CL58" s="863"/>
      <c r="CM58" s="863"/>
      <c r="CN58" s="863"/>
      <c r="CO58" s="434"/>
      <c r="CP58" s="434" t="s">
        <v>2282</v>
      </c>
      <c r="CQ58" s="434" t="s">
        <v>57</v>
      </c>
      <c r="CR58" s="434"/>
      <c r="CS58" s="434" t="s">
        <v>2283</v>
      </c>
      <c r="CT58" s="434"/>
      <c r="CU58" s="434"/>
      <c r="CV58" s="863"/>
      <c r="CW58" s="434"/>
      <c r="CX58" s="867"/>
      <c r="CY58" s="867"/>
      <c r="CZ58" s="867"/>
      <c r="DA58" s="434"/>
      <c r="DB58" s="867">
        <f t="shared" si="41"/>
        <v>4</v>
      </c>
      <c r="DC58" s="872" t="str">
        <f t="shared" si="0"/>
        <v>SI</v>
      </c>
      <c r="DD58" s="872" t="str">
        <f t="shared" si="1"/>
        <v>SI</v>
      </c>
      <c r="DE58" s="866">
        <f t="shared" si="42"/>
        <v>3.13</v>
      </c>
      <c r="DF58" s="866">
        <f t="shared" si="43"/>
        <v>0</v>
      </c>
      <c r="DG58" s="866">
        <f t="shared" si="44"/>
        <v>0</v>
      </c>
      <c r="DH58" s="866">
        <f t="shared" si="45"/>
        <v>0</v>
      </c>
      <c r="DI58" s="866">
        <f t="shared" si="46"/>
        <v>0</v>
      </c>
      <c r="DJ58" s="866">
        <f t="shared" si="47"/>
        <v>0</v>
      </c>
      <c r="DK58" s="866">
        <f t="shared" si="48"/>
        <v>0.47</v>
      </c>
      <c r="DL58" s="866">
        <f t="shared" si="49"/>
        <v>0</v>
      </c>
      <c r="DM58" s="866">
        <f t="shared" si="50"/>
        <v>0</v>
      </c>
      <c r="DN58" s="866">
        <f t="shared" si="51"/>
        <v>0</v>
      </c>
      <c r="DO58" s="434"/>
      <c r="DP58" s="863"/>
      <c r="DQ58" s="864" t="s">
        <v>2284</v>
      </c>
      <c r="DR58" s="864" t="s">
        <v>2285</v>
      </c>
      <c r="DS58" s="863"/>
      <c r="DT58" s="863"/>
      <c r="DU58" s="863"/>
      <c r="DV58" s="863"/>
      <c r="DW58" s="863"/>
      <c r="DX58" s="864" t="s">
        <v>1501</v>
      </c>
      <c r="DY58" s="864" t="s">
        <v>2286</v>
      </c>
      <c r="DZ58" s="864"/>
      <c r="EA58" s="863"/>
      <c r="EB58" s="863"/>
      <c r="EC58" s="863"/>
      <c r="ED58" s="863"/>
      <c r="EE58" s="866">
        <v>0</v>
      </c>
      <c r="EF58" s="866">
        <v>0</v>
      </c>
      <c r="EG58" s="866">
        <v>0</v>
      </c>
      <c r="EH58" s="863"/>
      <c r="EI58" s="434"/>
      <c r="EJ58" s="434"/>
      <c r="EK58" s="863"/>
    </row>
    <row r="59" spans="1:141" x14ac:dyDescent="0.25">
      <c r="A59" s="863" t="s">
        <v>2485</v>
      </c>
      <c r="B59" s="434" t="s">
        <v>2287</v>
      </c>
      <c r="C59" s="863" t="s">
        <v>2514</v>
      </c>
      <c r="D59" s="434" t="s">
        <v>2292</v>
      </c>
      <c r="E59" s="864" t="s">
        <v>744</v>
      </c>
      <c r="F59" s="434"/>
      <c r="G59" s="863" t="s">
        <v>1031</v>
      </c>
      <c r="H59" s="864" t="s">
        <v>8</v>
      </c>
      <c r="I59" s="864" t="s">
        <v>8</v>
      </c>
      <c r="J59" s="863" t="s">
        <v>2576</v>
      </c>
      <c r="K59" s="863" t="s">
        <v>2632</v>
      </c>
      <c r="L59" s="865">
        <v>46140</v>
      </c>
      <c r="M59" s="865">
        <v>46140</v>
      </c>
      <c r="N59" s="434"/>
      <c r="O59" s="864"/>
      <c r="P59" s="864"/>
      <c r="Q59" s="863"/>
      <c r="R59" s="863"/>
      <c r="S59" s="863"/>
      <c r="T59" s="863" t="s">
        <v>44</v>
      </c>
      <c r="U59" s="866">
        <v>0</v>
      </c>
      <c r="V59" s="866">
        <v>0</v>
      </c>
      <c r="W59" s="866">
        <v>0</v>
      </c>
      <c r="X59" s="866">
        <v>4054.85</v>
      </c>
      <c r="Y59" s="866">
        <v>15</v>
      </c>
      <c r="Z59" s="866">
        <f t="shared" si="27"/>
        <v>608.23</v>
      </c>
      <c r="AA59" s="866">
        <v>0</v>
      </c>
      <c r="AB59" s="866">
        <v>5</v>
      </c>
      <c r="AC59" s="866">
        <f t="shared" si="28"/>
        <v>0</v>
      </c>
      <c r="AD59" s="866"/>
      <c r="AE59" s="866">
        <v>8</v>
      </c>
      <c r="AF59" s="866">
        <f t="shared" si="29"/>
        <v>0</v>
      </c>
      <c r="AG59" s="866">
        <v>0</v>
      </c>
      <c r="AH59" s="866">
        <v>0</v>
      </c>
      <c r="AI59" s="866">
        <v>0</v>
      </c>
      <c r="AJ59" s="866">
        <v>0</v>
      </c>
      <c r="AK59" s="866">
        <f t="shared" si="30"/>
        <v>4663.08</v>
      </c>
      <c r="AL59" s="866">
        <v>0</v>
      </c>
      <c r="AM59" s="434"/>
      <c r="AN59" s="863"/>
      <c r="AO59" s="863"/>
      <c r="AP59" s="863"/>
      <c r="AQ59" s="863"/>
      <c r="AR59" s="434" t="s">
        <v>1241</v>
      </c>
      <c r="AS59" s="867">
        <v>510</v>
      </c>
      <c r="AT59" s="866">
        <f t="shared" si="31"/>
        <v>4054.85</v>
      </c>
      <c r="AU59" s="867">
        <v>0</v>
      </c>
      <c r="AV59" s="866">
        <f t="shared" si="32"/>
        <v>0</v>
      </c>
      <c r="AW59" s="867">
        <v>542</v>
      </c>
      <c r="AX59" s="866">
        <f t="shared" si="33"/>
        <v>0</v>
      </c>
      <c r="AY59" s="434"/>
      <c r="AZ59" s="866" t="s">
        <v>2890</v>
      </c>
      <c r="BA59" s="864" t="s">
        <v>2444</v>
      </c>
      <c r="BB59" s="864" t="s">
        <v>8</v>
      </c>
      <c r="BC59" s="863" t="s">
        <v>2904</v>
      </c>
      <c r="BD59" s="863" t="s">
        <v>2905</v>
      </c>
      <c r="BE59" s="868">
        <v>46141</v>
      </c>
      <c r="BF59" s="869">
        <v>312</v>
      </c>
      <c r="BG59" s="866">
        <f t="shared" si="34"/>
        <v>4054.85</v>
      </c>
      <c r="BH59" s="870">
        <f>IF(ISERROR(VLOOKUP(BF59,Parametros!$C:$J,8,0)),0,VLOOKUP(BF59,Parametros!$C:$J,8,0))</f>
        <v>0.02</v>
      </c>
      <c r="BI59" s="866">
        <f t="shared" si="35"/>
        <v>81.099999999999994</v>
      </c>
      <c r="BJ59" s="871"/>
      <c r="BK59" s="866">
        <v>0</v>
      </c>
      <c r="BL59" s="434"/>
      <c r="BM59" s="866">
        <v>0</v>
      </c>
      <c r="BN59" s="866">
        <v>0</v>
      </c>
      <c r="BO59" s="869"/>
      <c r="BP59" s="866">
        <f t="shared" si="36"/>
        <v>0</v>
      </c>
      <c r="BQ59" s="870">
        <f>IF(ISERROR(VLOOKUP(BO59,Parametros!$C:$J,8,0)),0,VLOOKUP(BO59,Parametros!$C:$J,8,0))</f>
        <v>0</v>
      </c>
      <c r="BR59" s="866">
        <f t="shared" si="37"/>
        <v>0</v>
      </c>
      <c r="BS59" s="871"/>
      <c r="BT59" s="866">
        <v>0</v>
      </c>
      <c r="BU59" s="434"/>
      <c r="BV59" s="866">
        <v>0</v>
      </c>
      <c r="BW59" s="866">
        <v>0</v>
      </c>
      <c r="BX59" s="869"/>
      <c r="BY59" s="866">
        <f t="shared" si="38"/>
        <v>0</v>
      </c>
      <c r="BZ59" s="870">
        <f>IF(ISERROR(VLOOKUP(BX59,Parametros!$C:$J,8,0)),0,VLOOKUP(BX59,Parametros!$C:$J,8,0))</f>
        <v>0</v>
      </c>
      <c r="CA59" s="866">
        <f t="shared" si="39"/>
        <v>0</v>
      </c>
      <c r="CB59" s="434"/>
      <c r="CC59" s="866">
        <v>0</v>
      </c>
      <c r="CD59" s="866">
        <v>0</v>
      </c>
      <c r="CE59" s="866">
        <v>182.47</v>
      </c>
      <c r="CF59" s="866">
        <v>0</v>
      </c>
      <c r="CG59" s="866">
        <v>0</v>
      </c>
      <c r="CH59" s="866">
        <v>0</v>
      </c>
      <c r="CI59" s="866">
        <v>0</v>
      </c>
      <c r="CJ59" s="866">
        <v>0</v>
      </c>
      <c r="CK59" s="866">
        <f t="shared" si="40"/>
        <v>263.57</v>
      </c>
      <c r="CL59" s="863"/>
      <c r="CM59" s="863"/>
      <c r="CN59" s="863"/>
      <c r="CO59" s="434"/>
      <c r="CP59" s="434" t="s">
        <v>2282</v>
      </c>
      <c r="CQ59" s="434" t="s">
        <v>76</v>
      </c>
      <c r="CR59" s="434"/>
      <c r="CS59" s="434" t="s">
        <v>2283</v>
      </c>
      <c r="CT59" s="434"/>
      <c r="CU59" s="434"/>
      <c r="CV59" s="863"/>
      <c r="CW59" s="434"/>
      <c r="CX59" s="867"/>
      <c r="CY59" s="867"/>
      <c r="CZ59" s="867"/>
      <c r="DA59" s="434"/>
      <c r="DB59" s="867">
        <f t="shared" si="41"/>
        <v>4</v>
      </c>
      <c r="DC59" s="872" t="str">
        <f t="shared" si="0"/>
        <v>SI</v>
      </c>
      <c r="DD59" s="872" t="str">
        <f t="shared" si="1"/>
        <v>SI</v>
      </c>
      <c r="DE59" s="866">
        <f t="shared" si="42"/>
        <v>4054.85</v>
      </c>
      <c r="DF59" s="866">
        <f t="shared" si="43"/>
        <v>0</v>
      </c>
      <c r="DG59" s="866">
        <f t="shared" si="44"/>
        <v>0</v>
      </c>
      <c r="DH59" s="866">
        <f t="shared" si="45"/>
        <v>0</v>
      </c>
      <c r="DI59" s="866">
        <f t="shared" si="46"/>
        <v>0</v>
      </c>
      <c r="DJ59" s="866">
        <f t="shared" si="47"/>
        <v>0</v>
      </c>
      <c r="DK59" s="866">
        <f t="shared" si="48"/>
        <v>608.23</v>
      </c>
      <c r="DL59" s="866">
        <f t="shared" si="49"/>
        <v>182.47</v>
      </c>
      <c r="DM59" s="866">
        <f t="shared" si="50"/>
        <v>0</v>
      </c>
      <c r="DN59" s="866">
        <f t="shared" si="51"/>
        <v>81.099999999999994</v>
      </c>
      <c r="DO59" s="434"/>
      <c r="DP59" s="863"/>
      <c r="DQ59" s="864" t="s">
        <v>2284</v>
      </c>
      <c r="DR59" s="864" t="s">
        <v>2285</v>
      </c>
      <c r="DS59" s="863"/>
      <c r="DT59" s="863"/>
      <c r="DU59" s="863"/>
      <c r="DV59" s="863"/>
      <c r="DW59" s="863"/>
      <c r="DX59" s="864" t="s">
        <v>1501</v>
      </c>
      <c r="DY59" s="864" t="s">
        <v>2286</v>
      </c>
      <c r="DZ59" s="864"/>
      <c r="EA59" s="863"/>
      <c r="EB59" s="863"/>
      <c r="EC59" s="863"/>
      <c r="ED59" s="863"/>
      <c r="EE59" s="866">
        <v>0</v>
      </c>
      <c r="EF59" s="866">
        <v>0</v>
      </c>
      <c r="EG59" s="866">
        <v>0</v>
      </c>
      <c r="EH59" s="863"/>
      <c r="EI59" s="434"/>
      <c r="EJ59" s="434"/>
      <c r="EK59" s="863"/>
    </row>
    <row r="60" spans="1:141" x14ac:dyDescent="0.25">
      <c r="A60" s="863" t="s">
        <v>2476</v>
      </c>
      <c r="B60" s="434" t="s">
        <v>2287</v>
      </c>
      <c r="C60" s="863" t="s">
        <v>2505</v>
      </c>
      <c r="D60" s="434" t="s">
        <v>2292</v>
      </c>
      <c r="E60" s="864" t="s">
        <v>744</v>
      </c>
      <c r="F60" s="434"/>
      <c r="G60" s="863" t="s">
        <v>1031</v>
      </c>
      <c r="H60" s="864" t="s">
        <v>8</v>
      </c>
      <c r="I60" s="864" t="s">
        <v>2516</v>
      </c>
      <c r="J60" s="863" t="s">
        <v>2577</v>
      </c>
      <c r="K60" s="863" t="s">
        <v>2633</v>
      </c>
      <c r="L60" s="865">
        <v>46141</v>
      </c>
      <c r="M60" s="865">
        <v>46141</v>
      </c>
      <c r="N60" s="434"/>
      <c r="O60" s="864"/>
      <c r="P60" s="864"/>
      <c r="Q60" s="863"/>
      <c r="R60" s="863"/>
      <c r="S60" s="863"/>
      <c r="T60" s="863" t="s">
        <v>44</v>
      </c>
      <c r="U60" s="866">
        <v>0</v>
      </c>
      <c r="V60" s="866">
        <v>0</v>
      </c>
      <c r="W60" s="866">
        <v>0</v>
      </c>
      <c r="X60" s="866">
        <v>0</v>
      </c>
      <c r="Y60" s="866">
        <v>15</v>
      </c>
      <c r="Z60" s="866">
        <f t="shared" si="27"/>
        <v>0</v>
      </c>
      <c r="AA60" s="866">
        <v>40.71</v>
      </c>
      <c r="AB60" s="866">
        <v>5</v>
      </c>
      <c r="AC60" s="866">
        <f t="shared" si="28"/>
        <v>2.04</v>
      </c>
      <c r="AD60" s="866"/>
      <c r="AE60" s="866">
        <v>8</v>
      </c>
      <c r="AF60" s="866">
        <f t="shared" si="29"/>
        <v>0</v>
      </c>
      <c r="AG60" s="866">
        <v>0</v>
      </c>
      <c r="AH60" s="866">
        <v>0</v>
      </c>
      <c r="AI60" s="866">
        <v>0</v>
      </c>
      <c r="AJ60" s="866">
        <v>0</v>
      </c>
      <c r="AK60" s="866">
        <f t="shared" si="30"/>
        <v>42.75</v>
      </c>
      <c r="AL60" s="866">
        <v>0</v>
      </c>
      <c r="AM60" s="434"/>
      <c r="AN60" s="863"/>
      <c r="AO60" s="863"/>
      <c r="AP60" s="863"/>
      <c r="AQ60" s="863"/>
      <c r="AR60" s="434" t="s">
        <v>1241</v>
      </c>
      <c r="AS60" s="867">
        <v>510</v>
      </c>
      <c r="AT60" s="866">
        <f t="shared" si="31"/>
        <v>0</v>
      </c>
      <c r="AU60" s="867">
        <v>0</v>
      </c>
      <c r="AV60" s="866">
        <f t="shared" si="32"/>
        <v>0</v>
      </c>
      <c r="AW60" s="867">
        <v>542</v>
      </c>
      <c r="AX60" s="866">
        <f t="shared" si="33"/>
        <v>0</v>
      </c>
      <c r="AY60" s="434"/>
      <c r="AZ60" s="866"/>
      <c r="BA60" s="864"/>
      <c r="BB60" s="864"/>
      <c r="BC60" s="863"/>
      <c r="BD60" s="863"/>
      <c r="BE60" s="868"/>
      <c r="BF60" s="869">
        <v>332</v>
      </c>
      <c r="BG60" s="866">
        <f t="shared" si="34"/>
        <v>40.71</v>
      </c>
      <c r="BH60" s="870">
        <f>IF(ISERROR(VLOOKUP(BF60,Parametros!$C:$J,8,0)),0,VLOOKUP(BF60,Parametros!$C:$J,8,0))</f>
        <v>0</v>
      </c>
      <c r="BI60" s="866">
        <f t="shared" si="35"/>
        <v>0</v>
      </c>
      <c r="BJ60" s="871"/>
      <c r="BK60" s="866">
        <v>0</v>
      </c>
      <c r="BL60" s="434"/>
      <c r="BM60" s="866">
        <v>0</v>
      </c>
      <c r="BN60" s="866">
        <v>0</v>
      </c>
      <c r="BO60" s="869"/>
      <c r="BP60" s="866">
        <f t="shared" si="36"/>
        <v>0</v>
      </c>
      <c r="BQ60" s="870">
        <f>IF(ISERROR(VLOOKUP(BO60,Parametros!$C:$J,8,0)),0,VLOOKUP(BO60,Parametros!$C:$J,8,0))</f>
        <v>0</v>
      </c>
      <c r="BR60" s="866">
        <f t="shared" si="37"/>
        <v>0</v>
      </c>
      <c r="BS60" s="871"/>
      <c r="BT60" s="866">
        <v>0</v>
      </c>
      <c r="BU60" s="434"/>
      <c r="BV60" s="866">
        <v>0</v>
      </c>
      <c r="BW60" s="866">
        <v>0</v>
      </c>
      <c r="BX60" s="869"/>
      <c r="BY60" s="866">
        <f t="shared" si="38"/>
        <v>0</v>
      </c>
      <c r="BZ60" s="870">
        <f>IF(ISERROR(VLOOKUP(BX60,Parametros!$C:$J,8,0)),0,VLOOKUP(BX60,Parametros!$C:$J,8,0))</f>
        <v>0</v>
      </c>
      <c r="CA60" s="866">
        <f t="shared" si="39"/>
        <v>0</v>
      </c>
      <c r="CB60" s="434"/>
      <c r="CC60" s="866">
        <v>0</v>
      </c>
      <c r="CD60" s="866">
        <v>0</v>
      </c>
      <c r="CE60" s="866">
        <v>0</v>
      </c>
      <c r="CF60" s="866">
        <v>0</v>
      </c>
      <c r="CG60" s="866">
        <v>0</v>
      </c>
      <c r="CH60" s="866">
        <v>0</v>
      </c>
      <c r="CI60" s="866">
        <v>0</v>
      </c>
      <c r="CJ60" s="866">
        <v>0</v>
      </c>
      <c r="CK60" s="866">
        <f t="shared" si="40"/>
        <v>0</v>
      </c>
      <c r="CL60" s="863"/>
      <c r="CM60" s="863"/>
      <c r="CN60" s="863"/>
      <c r="CO60" s="434"/>
      <c r="CP60" s="434" t="s">
        <v>2282</v>
      </c>
      <c r="CQ60" s="434" t="s">
        <v>57</v>
      </c>
      <c r="CR60" s="434"/>
      <c r="CS60" s="434" t="s">
        <v>2283</v>
      </c>
      <c r="CT60" s="434"/>
      <c r="CU60" s="434"/>
      <c r="CV60" s="863"/>
      <c r="CW60" s="434"/>
      <c r="CX60" s="867"/>
      <c r="CY60" s="867"/>
      <c r="CZ60" s="867"/>
      <c r="DA60" s="434"/>
      <c r="DB60" s="867">
        <f t="shared" si="41"/>
        <v>4</v>
      </c>
      <c r="DC60" s="872" t="str">
        <f t="shared" si="0"/>
        <v>SI</v>
      </c>
      <c r="DD60" s="872" t="str">
        <f t="shared" si="1"/>
        <v>SI</v>
      </c>
      <c r="DE60" s="866">
        <f t="shared" si="42"/>
        <v>0</v>
      </c>
      <c r="DF60" s="866">
        <f t="shared" si="43"/>
        <v>0</v>
      </c>
      <c r="DG60" s="866">
        <f t="shared" si="44"/>
        <v>0</v>
      </c>
      <c r="DH60" s="866">
        <f t="shared" si="45"/>
        <v>0</v>
      </c>
      <c r="DI60" s="866">
        <f t="shared" si="46"/>
        <v>0</v>
      </c>
      <c r="DJ60" s="866">
        <f t="shared" si="47"/>
        <v>0</v>
      </c>
      <c r="DK60" s="866">
        <f t="shared" si="48"/>
        <v>2.04</v>
      </c>
      <c r="DL60" s="866">
        <f t="shared" si="49"/>
        <v>0</v>
      </c>
      <c r="DM60" s="866">
        <f t="shared" si="50"/>
        <v>0</v>
      </c>
      <c r="DN60" s="866">
        <f t="shared" si="51"/>
        <v>0</v>
      </c>
      <c r="DO60" s="434"/>
      <c r="DP60" s="863"/>
      <c r="DQ60" s="864" t="s">
        <v>2284</v>
      </c>
      <c r="DR60" s="864" t="s">
        <v>2285</v>
      </c>
      <c r="DS60" s="863"/>
      <c r="DT60" s="863"/>
      <c r="DU60" s="863"/>
      <c r="DV60" s="863"/>
      <c r="DW60" s="863"/>
      <c r="DX60" s="864" t="s">
        <v>1501</v>
      </c>
      <c r="DY60" s="864" t="s">
        <v>2286</v>
      </c>
      <c r="DZ60" s="864"/>
      <c r="EA60" s="863"/>
      <c r="EB60" s="863"/>
      <c r="EC60" s="863"/>
      <c r="ED60" s="863"/>
      <c r="EE60" s="866">
        <v>0</v>
      </c>
      <c r="EF60" s="866">
        <v>0</v>
      </c>
      <c r="EG60" s="866">
        <v>0</v>
      </c>
      <c r="EH60" s="863"/>
      <c r="EI60" s="434"/>
      <c r="EJ60" s="434"/>
      <c r="EK60" s="863"/>
    </row>
    <row r="61" spans="1:141" x14ac:dyDescent="0.25">
      <c r="A61" s="863" t="s">
        <v>2438</v>
      </c>
      <c r="B61" s="434" t="s">
        <v>2287</v>
      </c>
      <c r="C61" s="863" t="s">
        <v>2441</v>
      </c>
      <c r="D61" s="434" t="s">
        <v>1789</v>
      </c>
      <c r="E61" s="864" t="s">
        <v>744</v>
      </c>
      <c r="F61" s="434"/>
      <c r="G61" s="863" t="s">
        <v>1031</v>
      </c>
      <c r="H61" s="864" t="s">
        <v>8</v>
      </c>
      <c r="I61" s="864" t="s">
        <v>2448</v>
      </c>
      <c r="J61" s="863" t="s">
        <v>2578</v>
      </c>
      <c r="K61" s="863" t="s">
        <v>2634</v>
      </c>
      <c r="L61" s="865">
        <v>46141</v>
      </c>
      <c r="M61" s="865">
        <v>46141</v>
      </c>
      <c r="N61" s="434"/>
      <c r="O61" s="864"/>
      <c r="P61" s="864"/>
      <c r="Q61" s="863"/>
      <c r="R61" s="863"/>
      <c r="S61" s="863"/>
      <c r="T61" s="863" t="s">
        <v>44</v>
      </c>
      <c r="U61" s="866">
        <v>0</v>
      </c>
      <c r="V61" s="866">
        <v>0</v>
      </c>
      <c r="W61" s="866">
        <v>0</v>
      </c>
      <c r="X61" s="866">
        <v>24.35</v>
      </c>
      <c r="Y61" s="866">
        <v>15</v>
      </c>
      <c r="Z61" s="866">
        <f t="shared" si="27"/>
        <v>3.65</v>
      </c>
      <c r="AA61" s="866">
        <v>0</v>
      </c>
      <c r="AB61" s="866">
        <v>5</v>
      </c>
      <c r="AC61" s="866">
        <f t="shared" si="28"/>
        <v>0</v>
      </c>
      <c r="AD61" s="866"/>
      <c r="AE61" s="866">
        <v>8</v>
      </c>
      <c r="AF61" s="866">
        <f t="shared" si="29"/>
        <v>0</v>
      </c>
      <c r="AG61" s="866">
        <v>0</v>
      </c>
      <c r="AH61" s="866">
        <v>0</v>
      </c>
      <c r="AI61" s="866">
        <v>0</v>
      </c>
      <c r="AJ61" s="866">
        <v>0</v>
      </c>
      <c r="AK61" s="866">
        <f t="shared" si="30"/>
        <v>28</v>
      </c>
      <c r="AL61" s="866">
        <v>0</v>
      </c>
      <c r="AM61" s="434"/>
      <c r="AN61" s="863"/>
      <c r="AO61" s="863"/>
      <c r="AP61" s="863"/>
      <c r="AQ61" s="863"/>
      <c r="AR61" s="434" t="s">
        <v>1241</v>
      </c>
      <c r="AS61" s="867">
        <v>510</v>
      </c>
      <c r="AT61" s="866">
        <f t="shared" si="31"/>
        <v>24.35</v>
      </c>
      <c r="AU61" s="867">
        <v>0</v>
      </c>
      <c r="AV61" s="866">
        <f t="shared" si="32"/>
        <v>0</v>
      </c>
      <c r="AW61" s="867">
        <v>542</v>
      </c>
      <c r="AX61" s="866">
        <f t="shared" si="33"/>
        <v>0</v>
      </c>
      <c r="AY61" s="434"/>
      <c r="AZ61" s="866"/>
      <c r="BA61" s="864"/>
      <c r="BB61" s="864"/>
      <c r="BC61" s="863"/>
      <c r="BD61" s="863"/>
      <c r="BE61" s="868"/>
      <c r="BF61" s="869">
        <v>332</v>
      </c>
      <c r="BG61" s="866">
        <f t="shared" si="34"/>
        <v>24.35</v>
      </c>
      <c r="BH61" s="870">
        <f>IF(ISERROR(VLOOKUP(BF61,Parametros!$C:$J,8,0)),0,VLOOKUP(BF61,Parametros!$C:$J,8,0))</f>
        <v>0</v>
      </c>
      <c r="BI61" s="866">
        <f t="shared" si="35"/>
        <v>0</v>
      </c>
      <c r="BJ61" s="871"/>
      <c r="BK61" s="866">
        <v>0</v>
      </c>
      <c r="BL61" s="434"/>
      <c r="BM61" s="866">
        <v>0</v>
      </c>
      <c r="BN61" s="866">
        <v>0</v>
      </c>
      <c r="BO61" s="869"/>
      <c r="BP61" s="866">
        <f t="shared" si="36"/>
        <v>0</v>
      </c>
      <c r="BQ61" s="870">
        <f>IF(ISERROR(VLOOKUP(BO61,Parametros!$C:$J,8,0)),0,VLOOKUP(BO61,Parametros!$C:$J,8,0))</f>
        <v>0</v>
      </c>
      <c r="BR61" s="866">
        <f t="shared" si="37"/>
        <v>0</v>
      </c>
      <c r="BS61" s="871"/>
      <c r="BT61" s="866">
        <v>0</v>
      </c>
      <c r="BU61" s="434"/>
      <c r="BV61" s="866">
        <v>0</v>
      </c>
      <c r="BW61" s="866">
        <v>0</v>
      </c>
      <c r="BX61" s="869"/>
      <c r="BY61" s="866">
        <f t="shared" si="38"/>
        <v>0</v>
      </c>
      <c r="BZ61" s="870">
        <f>IF(ISERROR(VLOOKUP(BX61,Parametros!$C:$J,8,0)),0,VLOOKUP(BX61,Parametros!$C:$J,8,0))</f>
        <v>0</v>
      </c>
      <c r="CA61" s="866">
        <f t="shared" si="39"/>
        <v>0</v>
      </c>
      <c r="CB61" s="434"/>
      <c r="CC61" s="866">
        <v>0</v>
      </c>
      <c r="CD61" s="866">
        <v>0</v>
      </c>
      <c r="CE61" s="866">
        <v>0</v>
      </c>
      <c r="CF61" s="866">
        <v>0</v>
      </c>
      <c r="CG61" s="866">
        <v>0</v>
      </c>
      <c r="CH61" s="866">
        <v>0</v>
      </c>
      <c r="CI61" s="866">
        <v>0</v>
      </c>
      <c r="CJ61" s="866">
        <v>0</v>
      </c>
      <c r="CK61" s="866">
        <f t="shared" si="40"/>
        <v>0</v>
      </c>
      <c r="CL61" s="863"/>
      <c r="CM61" s="863"/>
      <c r="CN61" s="863"/>
      <c r="CO61" s="434"/>
      <c r="CP61" s="434" t="s">
        <v>2282</v>
      </c>
      <c r="CQ61" s="434" t="s">
        <v>57</v>
      </c>
      <c r="CR61" s="434"/>
      <c r="CS61" s="434" t="s">
        <v>2283</v>
      </c>
      <c r="CT61" s="434"/>
      <c r="CU61" s="434"/>
      <c r="CV61" s="863"/>
      <c r="CW61" s="434"/>
      <c r="CX61" s="867"/>
      <c r="CY61" s="867"/>
      <c r="CZ61" s="867"/>
      <c r="DA61" s="434"/>
      <c r="DB61" s="867">
        <f t="shared" si="41"/>
        <v>4</v>
      </c>
      <c r="DC61" s="872" t="str">
        <f t="shared" si="0"/>
        <v>SI</v>
      </c>
      <c r="DD61" s="872" t="str">
        <f t="shared" si="1"/>
        <v>SI</v>
      </c>
      <c r="DE61" s="866">
        <f t="shared" si="42"/>
        <v>24.35</v>
      </c>
      <c r="DF61" s="866">
        <f t="shared" si="43"/>
        <v>0</v>
      </c>
      <c r="DG61" s="866">
        <f t="shared" si="44"/>
        <v>0</v>
      </c>
      <c r="DH61" s="866">
        <f t="shared" si="45"/>
        <v>0</v>
      </c>
      <c r="DI61" s="866">
        <f t="shared" si="46"/>
        <v>0</v>
      </c>
      <c r="DJ61" s="866">
        <f t="shared" si="47"/>
        <v>0</v>
      </c>
      <c r="DK61" s="866">
        <f t="shared" si="48"/>
        <v>3.65</v>
      </c>
      <c r="DL61" s="866">
        <f t="shared" si="49"/>
        <v>0</v>
      </c>
      <c r="DM61" s="866">
        <f t="shared" si="50"/>
        <v>0</v>
      </c>
      <c r="DN61" s="866">
        <f t="shared" si="51"/>
        <v>0</v>
      </c>
      <c r="DO61" s="434"/>
      <c r="DP61" s="863"/>
      <c r="DQ61" s="864" t="s">
        <v>2284</v>
      </c>
      <c r="DR61" s="864" t="s">
        <v>2285</v>
      </c>
      <c r="DS61" s="863"/>
      <c r="DT61" s="863"/>
      <c r="DU61" s="863"/>
      <c r="DV61" s="863"/>
      <c r="DW61" s="863"/>
      <c r="DX61" s="864" t="s">
        <v>1501</v>
      </c>
      <c r="DY61" s="864" t="s">
        <v>2286</v>
      </c>
      <c r="DZ61" s="864"/>
      <c r="EA61" s="863"/>
      <c r="EB61" s="863"/>
      <c r="EC61" s="863"/>
      <c r="ED61" s="863"/>
      <c r="EE61" s="866">
        <v>0</v>
      </c>
      <c r="EF61" s="866">
        <v>0</v>
      </c>
      <c r="EG61" s="866">
        <v>0</v>
      </c>
      <c r="EH61" s="863"/>
      <c r="EI61" s="434"/>
      <c r="EJ61" s="434"/>
      <c r="EK61" s="863"/>
    </row>
    <row r="62" spans="1:141" x14ac:dyDescent="0.25">
      <c r="A62" s="863" t="s">
        <v>2486</v>
      </c>
      <c r="B62" s="434" t="s">
        <v>2287</v>
      </c>
      <c r="C62" s="863" t="s">
        <v>2515</v>
      </c>
      <c r="D62" s="434" t="s">
        <v>2292</v>
      </c>
      <c r="E62" s="864" t="s">
        <v>744</v>
      </c>
      <c r="F62" s="434"/>
      <c r="G62" s="863" t="s">
        <v>1031</v>
      </c>
      <c r="H62" s="864" t="s">
        <v>8</v>
      </c>
      <c r="I62" s="864" t="s">
        <v>8</v>
      </c>
      <c r="J62" s="863" t="s">
        <v>2579</v>
      </c>
      <c r="K62" s="863" t="s">
        <v>2635</v>
      </c>
      <c r="L62" s="865">
        <v>46142</v>
      </c>
      <c r="M62" s="865">
        <v>46142</v>
      </c>
      <c r="N62" s="434"/>
      <c r="O62" s="864"/>
      <c r="P62" s="864"/>
      <c r="Q62" s="863"/>
      <c r="R62" s="863"/>
      <c r="S62" s="863"/>
      <c r="T62" s="863" t="s">
        <v>44</v>
      </c>
      <c r="U62" s="866">
        <v>0</v>
      </c>
      <c r="V62" s="866">
        <v>0</v>
      </c>
      <c r="W62" s="866">
        <v>0</v>
      </c>
      <c r="X62" s="866">
        <v>299.12</v>
      </c>
      <c r="Y62" s="866">
        <v>15</v>
      </c>
      <c r="Z62" s="866">
        <f t="shared" si="27"/>
        <v>44.87</v>
      </c>
      <c r="AA62" s="866">
        <v>0</v>
      </c>
      <c r="AB62" s="866">
        <v>5</v>
      </c>
      <c r="AC62" s="866">
        <f t="shared" si="28"/>
        <v>0</v>
      </c>
      <c r="AD62" s="866"/>
      <c r="AE62" s="866">
        <v>8</v>
      </c>
      <c r="AF62" s="866">
        <f t="shared" si="29"/>
        <v>0</v>
      </c>
      <c r="AG62" s="866">
        <v>0</v>
      </c>
      <c r="AH62" s="866">
        <v>0</v>
      </c>
      <c r="AI62" s="866">
        <v>0</v>
      </c>
      <c r="AJ62" s="866">
        <v>0</v>
      </c>
      <c r="AK62" s="866">
        <f t="shared" si="30"/>
        <v>343.99</v>
      </c>
      <c r="AL62" s="866">
        <v>0</v>
      </c>
      <c r="AM62" s="434"/>
      <c r="AN62" s="863"/>
      <c r="AO62" s="863"/>
      <c r="AP62" s="863"/>
      <c r="AQ62" s="863"/>
      <c r="AR62" s="434" t="s">
        <v>1241</v>
      </c>
      <c r="AS62" s="867">
        <v>510</v>
      </c>
      <c r="AT62" s="866">
        <f t="shared" si="31"/>
        <v>299.12</v>
      </c>
      <c r="AU62" s="867">
        <v>0</v>
      </c>
      <c r="AV62" s="866">
        <f t="shared" si="32"/>
        <v>0</v>
      </c>
      <c r="AW62" s="867">
        <v>542</v>
      </c>
      <c r="AX62" s="866">
        <f t="shared" si="33"/>
        <v>0</v>
      </c>
      <c r="AY62" s="434"/>
      <c r="AZ62" s="866"/>
      <c r="BA62" s="864"/>
      <c r="BB62" s="864"/>
      <c r="BC62" s="863"/>
      <c r="BD62" s="863"/>
      <c r="BE62" s="868"/>
      <c r="BF62" s="869">
        <v>332</v>
      </c>
      <c r="BG62" s="866">
        <f t="shared" si="34"/>
        <v>299.12</v>
      </c>
      <c r="BH62" s="870">
        <f>IF(ISERROR(VLOOKUP(BF62,Parametros!$C:$J,8,0)),0,VLOOKUP(BF62,Parametros!$C:$J,8,0))</f>
        <v>0</v>
      </c>
      <c r="BI62" s="866">
        <f t="shared" si="35"/>
        <v>0</v>
      </c>
      <c r="BJ62" s="871"/>
      <c r="BK62" s="866">
        <v>0</v>
      </c>
      <c r="BL62" s="434"/>
      <c r="BM62" s="866">
        <v>0</v>
      </c>
      <c r="BN62" s="866">
        <v>0</v>
      </c>
      <c r="BO62" s="869"/>
      <c r="BP62" s="866">
        <f t="shared" si="36"/>
        <v>0</v>
      </c>
      <c r="BQ62" s="870">
        <f>IF(ISERROR(VLOOKUP(BO62,Parametros!$C:$J,8,0)),0,VLOOKUP(BO62,Parametros!$C:$J,8,0))</f>
        <v>0</v>
      </c>
      <c r="BR62" s="866">
        <f t="shared" si="37"/>
        <v>0</v>
      </c>
      <c r="BS62" s="871"/>
      <c r="BT62" s="866">
        <v>0</v>
      </c>
      <c r="BU62" s="434"/>
      <c r="BV62" s="866">
        <v>0</v>
      </c>
      <c r="BW62" s="866">
        <v>0</v>
      </c>
      <c r="BX62" s="869"/>
      <c r="BY62" s="866">
        <f t="shared" si="38"/>
        <v>0</v>
      </c>
      <c r="BZ62" s="870">
        <f>IF(ISERROR(VLOOKUP(BX62,Parametros!$C:$J,8,0)),0,VLOOKUP(BX62,Parametros!$C:$J,8,0))</f>
        <v>0</v>
      </c>
      <c r="CA62" s="866">
        <f t="shared" si="39"/>
        <v>0</v>
      </c>
      <c r="CB62" s="434"/>
      <c r="CC62" s="866">
        <v>0</v>
      </c>
      <c r="CD62" s="866">
        <v>0</v>
      </c>
      <c r="CE62" s="866">
        <v>0</v>
      </c>
      <c r="CF62" s="866">
        <v>0</v>
      </c>
      <c r="CG62" s="866">
        <v>0</v>
      </c>
      <c r="CH62" s="866">
        <v>0</v>
      </c>
      <c r="CI62" s="866">
        <v>0</v>
      </c>
      <c r="CJ62" s="866">
        <v>0</v>
      </c>
      <c r="CK62" s="866">
        <f t="shared" si="40"/>
        <v>0</v>
      </c>
      <c r="CL62" s="863"/>
      <c r="CM62" s="863"/>
      <c r="CN62" s="863"/>
      <c r="CO62" s="434"/>
      <c r="CP62" s="434" t="s">
        <v>2282</v>
      </c>
      <c r="CQ62" s="434" t="s">
        <v>57</v>
      </c>
      <c r="CR62" s="434"/>
      <c r="CS62" s="434" t="s">
        <v>2283</v>
      </c>
      <c r="CT62" s="434"/>
      <c r="CU62" s="434"/>
      <c r="CV62" s="863"/>
      <c r="CW62" s="434"/>
      <c r="CX62" s="867"/>
      <c r="CY62" s="867"/>
      <c r="CZ62" s="867"/>
      <c r="DA62" s="434"/>
      <c r="DB62" s="867">
        <f t="shared" si="41"/>
        <v>4</v>
      </c>
      <c r="DC62" s="872" t="str">
        <f t="shared" si="0"/>
        <v>SI</v>
      </c>
      <c r="DD62" s="872" t="str">
        <f t="shared" si="1"/>
        <v>SI</v>
      </c>
      <c r="DE62" s="866">
        <f t="shared" si="42"/>
        <v>299.12</v>
      </c>
      <c r="DF62" s="866">
        <f t="shared" si="43"/>
        <v>0</v>
      </c>
      <c r="DG62" s="866">
        <f t="shared" si="44"/>
        <v>0</v>
      </c>
      <c r="DH62" s="866">
        <f t="shared" si="45"/>
        <v>0</v>
      </c>
      <c r="DI62" s="866">
        <f t="shared" si="46"/>
        <v>0</v>
      </c>
      <c r="DJ62" s="866">
        <f t="shared" si="47"/>
        <v>0</v>
      </c>
      <c r="DK62" s="866">
        <f t="shared" si="48"/>
        <v>44.87</v>
      </c>
      <c r="DL62" s="866">
        <f t="shared" si="49"/>
        <v>0</v>
      </c>
      <c r="DM62" s="866">
        <f t="shared" si="50"/>
        <v>0</v>
      </c>
      <c r="DN62" s="866">
        <f t="shared" si="51"/>
        <v>0</v>
      </c>
      <c r="DO62" s="434"/>
      <c r="DP62" s="863"/>
      <c r="DQ62" s="864" t="s">
        <v>2284</v>
      </c>
      <c r="DR62" s="864" t="s">
        <v>2285</v>
      </c>
      <c r="DS62" s="863"/>
      <c r="DT62" s="863"/>
      <c r="DU62" s="863"/>
      <c r="DV62" s="863"/>
      <c r="DW62" s="863"/>
      <c r="DX62" s="864" t="s">
        <v>1501</v>
      </c>
      <c r="DY62" s="864" t="s">
        <v>2286</v>
      </c>
      <c r="DZ62" s="864"/>
      <c r="EA62" s="863"/>
      <c r="EB62" s="863"/>
      <c r="EC62" s="863"/>
      <c r="ED62" s="863"/>
      <c r="EE62" s="866">
        <v>0</v>
      </c>
      <c r="EF62" s="866">
        <v>0</v>
      </c>
      <c r="EG62" s="866">
        <v>0</v>
      </c>
      <c r="EH62" s="863"/>
      <c r="EI62" s="434"/>
      <c r="EJ62" s="434"/>
      <c r="EK62" s="863"/>
    </row>
    <row r="63" spans="1:141" s="939" customFormat="1" x14ac:dyDescent="0.25">
      <c r="A63" s="928" t="s">
        <v>2465</v>
      </c>
      <c r="B63" s="929" t="s">
        <v>2287</v>
      </c>
      <c r="C63" s="928" t="s">
        <v>2493</v>
      </c>
      <c r="D63" s="434" t="s">
        <v>1789</v>
      </c>
      <c r="E63" s="930" t="s">
        <v>744</v>
      </c>
      <c r="F63" s="929"/>
      <c r="G63" s="928" t="s">
        <v>12</v>
      </c>
      <c r="H63" s="930" t="s">
        <v>8</v>
      </c>
      <c r="I63" s="930" t="s">
        <v>2448</v>
      </c>
      <c r="J63" s="928" t="s">
        <v>2636</v>
      </c>
      <c r="K63" s="928" t="s">
        <v>2638</v>
      </c>
      <c r="L63" s="931">
        <v>46135</v>
      </c>
      <c r="M63" s="931">
        <v>46135</v>
      </c>
      <c r="N63" s="929" t="s">
        <v>1031</v>
      </c>
      <c r="O63" s="930" t="s">
        <v>8</v>
      </c>
      <c r="P63" s="930" t="s">
        <v>2448</v>
      </c>
      <c r="Q63" s="928" t="s">
        <v>2567</v>
      </c>
      <c r="R63" s="928" t="s">
        <v>2623</v>
      </c>
      <c r="S63" s="928"/>
      <c r="T63" s="863" t="s">
        <v>44</v>
      </c>
      <c r="U63" s="932">
        <v>0</v>
      </c>
      <c r="V63" s="932">
        <v>0</v>
      </c>
      <c r="W63" s="932">
        <v>0</v>
      </c>
      <c r="X63" s="932">
        <v>-38.96</v>
      </c>
      <c r="Y63" s="932">
        <v>15</v>
      </c>
      <c r="Z63" s="932">
        <f t="shared" si="27"/>
        <v>-5.84</v>
      </c>
      <c r="AA63" s="932"/>
      <c r="AB63" s="932">
        <v>5</v>
      </c>
      <c r="AC63" s="932">
        <f t="shared" si="28"/>
        <v>0</v>
      </c>
      <c r="AD63" s="932"/>
      <c r="AE63" s="932">
        <v>8</v>
      </c>
      <c r="AF63" s="932">
        <f t="shared" si="29"/>
        <v>0</v>
      </c>
      <c r="AG63" s="932">
        <v>0</v>
      </c>
      <c r="AH63" s="932">
        <v>0</v>
      </c>
      <c r="AI63" s="932">
        <v>0</v>
      </c>
      <c r="AJ63" s="932">
        <v>0</v>
      </c>
      <c r="AK63" s="932">
        <f t="shared" si="30"/>
        <v>-44.8</v>
      </c>
      <c r="AL63" s="932">
        <v>0</v>
      </c>
      <c r="AM63" s="929"/>
      <c r="AN63" s="928"/>
      <c r="AO63" s="928"/>
      <c r="AP63" s="928"/>
      <c r="AQ63" s="928"/>
      <c r="AR63" s="929" t="s">
        <v>1241</v>
      </c>
      <c r="AS63" s="933">
        <v>510</v>
      </c>
      <c r="AT63" s="932">
        <f t="shared" si="31"/>
        <v>-38.96</v>
      </c>
      <c r="AU63" s="867">
        <v>0</v>
      </c>
      <c r="AV63" s="932">
        <f t="shared" si="32"/>
        <v>0</v>
      </c>
      <c r="AW63" s="933">
        <v>542</v>
      </c>
      <c r="AX63" s="932">
        <f t="shared" si="33"/>
        <v>0</v>
      </c>
      <c r="AY63" s="929"/>
      <c r="AZ63" s="932"/>
      <c r="BA63" s="930"/>
      <c r="BB63" s="930"/>
      <c r="BC63" s="928"/>
      <c r="BD63" s="928"/>
      <c r="BE63" s="934"/>
      <c r="BF63" s="869">
        <v>332</v>
      </c>
      <c r="BG63" s="932">
        <f t="shared" si="34"/>
        <v>-38.96</v>
      </c>
      <c r="BH63" s="936">
        <f>IF(ISERROR(VLOOKUP(BF63,Parametros!$C:$J,8,0)),0,VLOOKUP(BF63,Parametros!$C:$J,8,0))</f>
        <v>0</v>
      </c>
      <c r="BI63" s="932">
        <f t="shared" si="35"/>
        <v>0</v>
      </c>
      <c r="BJ63" s="937"/>
      <c r="BK63" s="932">
        <v>0</v>
      </c>
      <c r="BL63" s="929"/>
      <c r="BM63" s="932">
        <v>0</v>
      </c>
      <c r="BN63" s="932">
        <v>0</v>
      </c>
      <c r="BO63" s="935"/>
      <c r="BP63" s="932">
        <f t="shared" si="36"/>
        <v>0</v>
      </c>
      <c r="BQ63" s="936">
        <f>IF(ISERROR(VLOOKUP(BO63,Parametros!$C:$J,8,0)),0,VLOOKUP(BO63,Parametros!$C:$J,8,0))</f>
        <v>0</v>
      </c>
      <c r="BR63" s="932">
        <f t="shared" si="37"/>
        <v>0</v>
      </c>
      <c r="BS63" s="937"/>
      <c r="BT63" s="932">
        <v>0</v>
      </c>
      <c r="BU63" s="929"/>
      <c r="BV63" s="932">
        <v>0</v>
      </c>
      <c r="BW63" s="932">
        <v>0</v>
      </c>
      <c r="BX63" s="935"/>
      <c r="BY63" s="932">
        <f t="shared" si="38"/>
        <v>0</v>
      </c>
      <c r="BZ63" s="936">
        <f>IF(ISERROR(VLOOKUP(BX63,Parametros!$C:$J,8,0)),0,VLOOKUP(BX63,Parametros!$C:$J,8,0))</f>
        <v>0</v>
      </c>
      <c r="CA63" s="932">
        <f t="shared" si="39"/>
        <v>0</v>
      </c>
      <c r="CB63" s="929"/>
      <c r="CC63" s="932">
        <v>0</v>
      </c>
      <c r="CD63" s="932">
        <v>0</v>
      </c>
      <c r="CE63" s="932">
        <v>0</v>
      </c>
      <c r="CF63" s="932">
        <v>0</v>
      </c>
      <c r="CG63" s="932">
        <v>0</v>
      </c>
      <c r="CH63" s="932">
        <v>0</v>
      </c>
      <c r="CI63" s="932">
        <v>0</v>
      </c>
      <c r="CJ63" s="932">
        <v>0</v>
      </c>
      <c r="CK63" s="932">
        <f t="shared" si="40"/>
        <v>0</v>
      </c>
      <c r="CL63" s="928"/>
      <c r="CM63" s="928"/>
      <c r="CN63" s="928"/>
      <c r="CO63" s="929"/>
      <c r="CP63" s="929" t="s">
        <v>2282</v>
      </c>
      <c r="CQ63" s="434" t="s">
        <v>57</v>
      </c>
      <c r="CR63" s="929"/>
      <c r="CS63" s="929" t="s">
        <v>2283</v>
      </c>
      <c r="CT63" s="929"/>
      <c r="CU63" s="929"/>
      <c r="CV63" s="928"/>
      <c r="CW63" s="929"/>
      <c r="CX63" s="933"/>
      <c r="CY63" s="933"/>
      <c r="CZ63" s="933"/>
      <c r="DA63" s="929"/>
      <c r="DB63" s="933">
        <f t="shared" si="41"/>
        <v>4</v>
      </c>
      <c r="DC63" s="938" t="str">
        <f t="shared" si="0"/>
        <v>SI</v>
      </c>
      <c r="DD63" s="938" t="str">
        <f t="shared" si="1"/>
        <v>SI</v>
      </c>
      <c r="DE63" s="932">
        <f t="shared" si="42"/>
        <v>0</v>
      </c>
      <c r="DF63" s="932">
        <f t="shared" si="43"/>
        <v>0</v>
      </c>
      <c r="DG63" s="932">
        <f t="shared" si="44"/>
        <v>0</v>
      </c>
      <c r="DH63" s="932">
        <f t="shared" si="45"/>
        <v>0</v>
      </c>
      <c r="DI63" s="932">
        <f t="shared" si="46"/>
        <v>0</v>
      </c>
      <c r="DJ63" s="932">
        <f t="shared" si="47"/>
        <v>0</v>
      </c>
      <c r="DK63" s="932">
        <f t="shared" si="48"/>
        <v>-5.84</v>
      </c>
      <c r="DL63" s="932">
        <f t="shared" si="49"/>
        <v>0</v>
      </c>
      <c r="DM63" s="932">
        <f t="shared" si="50"/>
        <v>0</v>
      </c>
      <c r="DN63" s="932">
        <f t="shared" si="51"/>
        <v>0</v>
      </c>
      <c r="DO63" s="929"/>
      <c r="DP63" s="928"/>
      <c r="DQ63" s="930" t="s">
        <v>2284</v>
      </c>
      <c r="DR63" s="930" t="s">
        <v>2285</v>
      </c>
      <c r="DS63" s="928"/>
      <c r="DT63" s="928"/>
      <c r="DU63" s="928"/>
      <c r="DV63" s="928"/>
      <c r="DW63" s="928"/>
      <c r="DX63" s="930" t="s">
        <v>1501</v>
      </c>
      <c r="DY63" s="930" t="s">
        <v>2286</v>
      </c>
      <c r="DZ63" s="930"/>
      <c r="EA63" s="928"/>
      <c r="EB63" s="928"/>
      <c r="EC63" s="928"/>
      <c r="ED63" s="928"/>
      <c r="EE63" s="932">
        <v>0</v>
      </c>
      <c r="EF63" s="932">
        <v>0</v>
      </c>
      <c r="EG63" s="932">
        <v>0</v>
      </c>
      <c r="EH63" s="928"/>
      <c r="EI63" s="929"/>
      <c r="EJ63" s="929"/>
      <c r="EK63" s="928"/>
    </row>
    <row r="64" spans="1:141" x14ac:dyDescent="0.25">
      <c r="A64" s="863" t="s">
        <v>2471</v>
      </c>
      <c r="B64" s="434" t="s">
        <v>2287</v>
      </c>
      <c r="C64" s="863" t="s">
        <v>2500</v>
      </c>
      <c r="D64" s="434" t="s">
        <v>2292</v>
      </c>
      <c r="E64" s="864" t="s">
        <v>744</v>
      </c>
      <c r="F64" s="434"/>
      <c r="G64" s="928" t="s">
        <v>12</v>
      </c>
      <c r="H64" s="864" t="s">
        <v>2446</v>
      </c>
      <c r="I64" s="864" t="s">
        <v>8</v>
      </c>
      <c r="J64" s="863" t="s">
        <v>2637</v>
      </c>
      <c r="K64" s="863" t="s">
        <v>2639</v>
      </c>
      <c r="L64" s="865">
        <v>46140</v>
      </c>
      <c r="M64" s="865">
        <v>46140</v>
      </c>
      <c r="N64" s="929" t="s">
        <v>1031</v>
      </c>
      <c r="O64" s="864" t="s">
        <v>2446</v>
      </c>
      <c r="P64" s="864" t="s">
        <v>8</v>
      </c>
      <c r="Q64" s="863" t="s">
        <v>2640</v>
      </c>
      <c r="R64" s="863" t="s">
        <v>2641</v>
      </c>
      <c r="S64" s="863"/>
      <c r="T64" s="863" t="s">
        <v>44</v>
      </c>
      <c r="U64" s="866">
        <v>0</v>
      </c>
      <c r="V64" s="866">
        <v>0</v>
      </c>
      <c r="W64" s="866">
        <v>0</v>
      </c>
      <c r="X64" s="866">
        <v>-2100</v>
      </c>
      <c r="Y64" s="866">
        <v>15</v>
      </c>
      <c r="Z64" s="866">
        <f t="shared" si="27"/>
        <v>-315</v>
      </c>
      <c r="AA64" s="866"/>
      <c r="AB64" s="866">
        <v>5</v>
      </c>
      <c r="AC64" s="866">
        <f t="shared" si="28"/>
        <v>0</v>
      </c>
      <c r="AD64" s="866"/>
      <c r="AE64" s="866">
        <v>8</v>
      </c>
      <c r="AF64" s="866">
        <f t="shared" si="29"/>
        <v>0</v>
      </c>
      <c r="AG64" s="866">
        <v>0</v>
      </c>
      <c r="AH64" s="866">
        <v>0</v>
      </c>
      <c r="AI64" s="866">
        <v>0</v>
      </c>
      <c r="AJ64" s="866">
        <v>0</v>
      </c>
      <c r="AK64" s="866">
        <f t="shared" si="30"/>
        <v>-2415</v>
      </c>
      <c r="AL64" s="866">
        <v>0</v>
      </c>
      <c r="AM64" s="434"/>
      <c r="AN64" s="863"/>
      <c r="AO64" s="863"/>
      <c r="AP64" s="863"/>
      <c r="AQ64" s="863"/>
      <c r="AR64" s="434" t="s">
        <v>1241</v>
      </c>
      <c r="AS64" s="867">
        <v>510</v>
      </c>
      <c r="AT64" s="866">
        <f t="shared" si="31"/>
        <v>-2100</v>
      </c>
      <c r="AU64" s="867">
        <v>0</v>
      </c>
      <c r="AV64" s="866">
        <f t="shared" si="32"/>
        <v>0</v>
      </c>
      <c r="AW64" s="867">
        <v>542</v>
      </c>
      <c r="AX64" s="866">
        <f t="shared" si="33"/>
        <v>0</v>
      </c>
      <c r="AY64" s="434"/>
      <c r="AZ64" s="866"/>
      <c r="BA64" s="864"/>
      <c r="BB64" s="864"/>
      <c r="BC64" s="863"/>
      <c r="BD64" s="863"/>
      <c r="BE64" s="868"/>
      <c r="BF64" s="869">
        <v>332</v>
      </c>
      <c r="BG64" s="866">
        <f t="shared" si="34"/>
        <v>-2100</v>
      </c>
      <c r="BH64" s="870">
        <f>IF(ISERROR(VLOOKUP(BF64,Parametros!$C:$J,8,0)),0,VLOOKUP(BF64,Parametros!$C:$J,8,0))</f>
        <v>0</v>
      </c>
      <c r="BI64" s="866">
        <f t="shared" si="35"/>
        <v>0</v>
      </c>
      <c r="BJ64" s="871"/>
      <c r="BK64" s="866">
        <v>0</v>
      </c>
      <c r="BL64" s="434"/>
      <c r="BM64" s="866">
        <v>0</v>
      </c>
      <c r="BN64" s="866">
        <v>0</v>
      </c>
      <c r="BO64" s="869"/>
      <c r="BP64" s="866">
        <f t="shared" si="36"/>
        <v>0</v>
      </c>
      <c r="BQ64" s="870">
        <f>IF(ISERROR(VLOOKUP(BO64,Parametros!$C:$J,8,0)),0,VLOOKUP(BO64,Parametros!$C:$J,8,0))</f>
        <v>0</v>
      </c>
      <c r="BR64" s="866">
        <f t="shared" si="37"/>
        <v>0</v>
      </c>
      <c r="BS64" s="871"/>
      <c r="BT64" s="866">
        <v>0</v>
      </c>
      <c r="BU64" s="434"/>
      <c r="BV64" s="866">
        <v>0</v>
      </c>
      <c r="BW64" s="866">
        <v>0</v>
      </c>
      <c r="BX64" s="869"/>
      <c r="BY64" s="866">
        <f t="shared" si="38"/>
        <v>0</v>
      </c>
      <c r="BZ64" s="870">
        <f>IF(ISERROR(VLOOKUP(BX64,Parametros!$C:$J,8,0)),0,VLOOKUP(BX64,Parametros!$C:$J,8,0))</f>
        <v>0</v>
      </c>
      <c r="CA64" s="866">
        <f t="shared" si="39"/>
        <v>0</v>
      </c>
      <c r="CB64" s="434"/>
      <c r="CC64" s="866">
        <v>0</v>
      </c>
      <c r="CD64" s="866">
        <v>0</v>
      </c>
      <c r="CE64" s="866">
        <v>0</v>
      </c>
      <c r="CF64" s="866">
        <v>0</v>
      </c>
      <c r="CG64" s="866">
        <v>0</v>
      </c>
      <c r="CH64" s="866">
        <v>0</v>
      </c>
      <c r="CI64" s="866">
        <v>0</v>
      </c>
      <c r="CJ64" s="866">
        <v>0</v>
      </c>
      <c r="CK64" s="866">
        <f t="shared" si="40"/>
        <v>0</v>
      </c>
      <c r="CL64" s="863"/>
      <c r="CM64" s="863"/>
      <c r="CN64" s="863"/>
      <c r="CO64" s="434"/>
      <c r="CP64" s="434" t="s">
        <v>2282</v>
      </c>
      <c r="CQ64" s="434" t="s">
        <v>57</v>
      </c>
      <c r="CR64" s="434"/>
      <c r="CS64" s="434" t="s">
        <v>2283</v>
      </c>
      <c r="CT64" s="434"/>
      <c r="CU64" s="434"/>
      <c r="CV64" s="863"/>
      <c r="CW64" s="434"/>
      <c r="CX64" s="867"/>
      <c r="CY64" s="867"/>
      <c r="CZ64" s="867"/>
      <c r="DA64" s="434"/>
      <c r="DB64" s="867">
        <f t="shared" si="41"/>
        <v>4</v>
      </c>
      <c r="DC64" s="872" t="str">
        <f t="shared" si="0"/>
        <v>SI</v>
      </c>
      <c r="DD64" s="872" t="str">
        <f t="shared" si="1"/>
        <v>SI</v>
      </c>
      <c r="DE64" s="866">
        <f t="shared" si="42"/>
        <v>0</v>
      </c>
      <c r="DF64" s="866">
        <f t="shared" si="43"/>
        <v>0</v>
      </c>
      <c r="DG64" s="866">
        <f t="shared" si="44"/>
        <v>0</v>
      </c>
      <c r="DH64" s="866">
        <f t="shared" si="45"/>
        <v>0</v>
      </c>
      <c r="DI64" s="866">
        <f t="shared" si="46"/>
        <v>0</v>
      </c>
      <c r="DJ64" s="866">
        <f t="shared" si="47"/>
        <v>0</v>
      </c>
      <c r="DK64" s="866">
        <f t="shared" si="48"/>
        <v>-315</v>
      </c>
      <c r="DL64" s="866">
        <f t="shared" si="49"/>
        <v>0</v>
      </c>
      <c r="DM64" s="866">
        <f t="shared" si="50"/>
        <v>0</v>
      </c>
      <c r="DN64" s="866">
        <f t="shared" si="51"/>
        <v>0</v>
      </c>
      <c r="DO64" s="434"/>
      <c r="DP64" s="863"/>
      <c r="DQ64" s="864" t="s">
        <v>2284</v>
      </c>
      <c r="DR64" s="864" t="s">
        <v>2285</v>
      </c>
      <c r="DS64" s="863"/>
      <c r="DT64" s="863"/>
      <c r="DU64" s="863"/>
      <c r="DV64" s="863"/>
      <c r="DW64" s="863"/>
      <c r="DX64" s="864" t="s">
        <v>1501</v>
      </c>
      <c r="DY64" s="864" t="s">
        <v>2286</v>
      </c>
      <c r="DZ64" s="864"/>
      <c r="EA64" s="863"/>
      <c r="EB64" s="863"/>
      <c r="EC64" s="863"/>
      <c r="ED64" s="863"/>
      <c r="EE64" s="866">
        <v>0</v>
      </c>
      <c r="EF64" s="866">
        <v>0</v>
      </c>
      <c r="EG64" s="866">
        <v>0</v>
      </c>
      <c r="EH64" s="863"/>
      <c r="EI64" s="434"/>
      <c r="EJ64" s="434"/>
      <c r="EK64" s="863"/>
    </row>
    <row r="65" spans="1:141" x14ac:dyDescent="0.25">
      <c r="A65" s="863"/>
      <c r="B65" s="434" t="s">
        <v>2287</v>
      </c>
      <c r="C65" s="863" t="s">
        <v>2440</v>
      </c>
      <c r="D65" s="434" t="s">
        <v>2292</v>
      </c>
      <c r="E65" s="864" t="s">
        <v>744</v>
      </c>
      <c r="F65" s="434"/>
      <c r="G65" s="928" t="s">
        <v>12</v>
      </c>
      <c r="H65" s="864"/>
      <c r="I65" s="864"/>
      <c r="J65" s="863"/>
      <c r="K65" s="863"/>
      <c r="L65" s="865"/>
      <c r="M65" s="865"/>
      <c r="N65" s="929" t="s">
        <v>1031</v>
      </c>
      <c r="O65" s="864"/>
      <c r="P65" s="864"/>
      <c r="Q65" s="863"/>
      <c r="R65" s="863"/>
      <c r="S65" s="863"/>
      <c r="T65" s="863"/>
      <c r="U65" s="866">
        <v>0</v>
      </c>
      <c r="V65" s="866">
        <v>0</v>
      </c>
      <c r="W65" s="866">
        <v>0</v>
      </c>
      <c r="X65" s="866">
        <v>0</v>
      </c>
      <c r="Y65" s="866">
        <v>15</v>
      </c>
      <c r="Z65" s="866">
        <f t="shared" si="27"/>
        <v>0</v>
      </c>
      <c r="AA65" s="866"/>
      <c r="AB65" s="866">
        <v>5</v>
      </c>
      <c r="AC65" s="866">
        <f t="shared" si="28"/>
        <v>0</v>
      </c>
      <c r="AD65" s="866"/>
      <c r="AE65" s="866">
        <v>8</v>
      </c>
      <c r="AF65" s="866">
        <f t="shared" si="29"/>
        <v>0</v>
      </c>
      <c r="AG65" s="866">
        <v>0</v>
      </c>
      <c r="AH65" s="866">
        <v>0</v>
      </c>
      <c r="AI65" s="866">
        <v>0</v>
      </c>
      <c r="AJ65" s="866">
        <v>0</v>
      </c>
      <c r="AK65" s="866">
        <f t="shared" si="30"/>
        <v>0</v>
      </c>
      <c r="AL65" s="866">
        <v>0</v>
      </c>
      <c r="AM65" s="434"/>
      <c r="AN65" s="863"/>
      <c r="AO65" s="863"/>
      <c r="AP65" s="863"/>
      <c r="AQ65" s="863"/>
      <c r="AR65" s="434" t="s">
        <v>1241</v>
      </c>
      <c r="AS65" s="867">
        <v>510</v>
      </c>
      <c r="AT65" s="866">
        <f t="shared" si="31"/>
        <v>0</v>
      </c>
      <c r="AU65" s="867">
        <v>0</v>
      </c>
      <c r="AV65" s="866">
        <f t="shared" si="32"/>
        <v>0</v>
      </c>
      <c r="AW65" s="867">
        <v>542</v>
      </c>
      <c r="AX65" s="866">
        <f t="shared" si="33"/>
        <v>0</v>
      </c>
      <c r="AY65" s="434"/>
      <c r="AZ65" s="866"/>
      <c r="BA65" s="864"/>
      <c r="BB65" s="864"/>
      <c r="BC65" s="863"/>
      <c r="BD65" s="863"/>
      <c r="BE65" s="868"/>
      <c r="BF65" s="869">
        <v>332</v>
      </c>
      <c r="BG65" s="866">
        <f t="shared" si="34"/>
        <v>0</v>
      </c>
      <c r="BH65" s="870">
        <f>IF(ISERROR(VLOOKUP(BF65,Parametros!$C:$J,8,0)),0,VLOOKUP(BF65,Parametros!$C:$J,8,0))</f>
        <v>0</v>
      </c>
      <c r="BI65" s="866">
        <f t="shared" si="35"/>
        <v>0</v>
      </c>
      <c r="BJ65" s="871"/>
      <c r="BK65" s="866">
        <v>0</v>
      </c>
      <c r="BL65" s="434"/>
      <c r="BM65" s="866">
        <v>0</v>
      </c>
      <c r="BN65" s="866">
        <v>0</v>
      </c>
      <c r="BO65" s="869"/>
      <c r="BP65" s="866">
        <f t="shared" si="36"/>
        <v>0</v>
      </c>
      <c r="BQ65" s="870">
        <f>IF(ISERROR(VLOOKUP(BO65,Parametros!$C:$J,8,0)),0,VLOOKUP(BO65,Parametros!$C:$J,8,0))</f>
        <v>0</v>
      </c>
      <c r="BR65" s="866">
        <f t="shared" si="37"/>
        <v>0</v>
      </c>
      <c r="BS65" s="871"/>
      <c r="BT65" s="866">
        <v>0</v>
      </c>
      <c r="BU65" s="434"/>
      <c r="BV65" s="866">
        <v>0</v>
      </c>
      <c r="BW65" s="866">
        <v>0</v>
      </c>
      <c r="BX65" s="869"/>
      <c r="BY65" s="866">
        <f t="shared" si="38"/>
        <v>0</v>
      </c>
      <c r="BZ65" s="870">
        <f>IF(ISERROR(VLOOKUP(BX65,Parametros!$C:$J,8,0)),0,VLOOKUP(BX65,Parametros!$C:$J,8,0))</f>
        <v>0</v>
      </c>
      <c r="CA65" s="866">
        <f t="shared" si="39"/>
        <v>0</v>
      </c>
      <c r="CB65" s="434"/>
      <c r="CC65" s="866">
        <v>0</v>
      </c>
      <c r="CD65" s="866">
        <v>0</v>
      </c>
      <c r="CE65" s="866">
        <v>0</v>
      </c>
      <c r="CF65" s="866">
        <v>0</v>
      </c>
      <c r="CG65" s="866">
        <v>0</v>
      </c>
      <c r="CH65" s="866">
        <v>0</v>
      </c>
      <c r="CI65" s="866">
        <v>0</v>
      </c>
      <c r="CJ65" s="866">
        <v>0</v>
      </c>
      <c r="CK65" s="866">
        <f t="shared" si="40"/>
        <v>0</v>
      </c>
      <c r="CL65" s="863"/>
      <c r="CM65" s="863"/>
      <c r="CN65" s="863"/>
      <c r="CO65" s="434"/>
      <c r="CP65" s="434" t="s">
        <v>2282</v>
      </c>
      <c r="CQ65" s="434" t="s">
        <v>57</v>
      </c>
      <c r="CR65" s="434"/>
      <c r="CS65" s="434" t="s">
        <v>2283</v>
      </c>
      <c r="CT65" s="434"/>
      <c r="CU65" s="434"/>
      <c r="CV65" s="863"/>
      <c r="CW65" s="434"/>
      <c r="CX65" s="867"/>
      <c r="CY65" s="867"/>
      <c r="CZ65" s="867"/>
      <c r="DA65" s="434"/>
      <c r="DB65" s="867">
        <f t="shared" si="41"/>
        <v>0</v>
      </c>
      <c r="DC65" s="872" t="str">
        <f t="shared" si="0"/>
        <v>NO</v>
      </c>
      <c r="DD65" s="872" t="str">
        <f t="shared" si="1"/>
        <v>NO</v>
      </c>
      <c r="DE65" s="866">
        <f t="shared" si="42"/>
        <v>0</v>
      </c>
      <c r="DF65" s="866">
        <f t="shared" si="43"/>
        <v>0</v>
      </c>
      <c r="DG65" s="866">
        <f t="shared" si="44"/>
        <v>0</v>
      </c>
      <c r="DH65" s="866">
        <f t="shared" si="45"/>
        <v>0</v>
      </c>
      <c r="DI65" s="866">
        <f t="shared" si="46"/>
        <v>0</v>
      </c>
      <c r="DJ65" s="866">
        <f t="shared" si="47"/>
        <v>0</v>
      </c>
      <c r="DK65" s="866">
        <f t="shared" si="48"/>
        <v>0</v>
      </c>
      <c r="DL65" s="866">
        <f t="shared" si="49"/>
        <v>0</v>
      </c>
      <c r="DM65" s="866">
        <f t="shared" si="50"/>
        <v>0</v>
      </c>
      <c r="DN65" s="866">
        <f t="shared" si="51"/>
        <v>0</v>
      </c>
      <c r="DO65" s="434"/>
      <c r="DP65" s="863"/>
      <c r="DQ65" s="864" t="s">
        <v>2284</v>
      </c>
      <c r="DR65" s="864" t="s">
        <v>2285</v>
      </c>
      <c r="DS65" s="863"/>
      <c r="DT65" s="863"/>
      <c r="DU65" s="863"/>
      <c r="DV65" s="863"/>
      <c r="DW65" s="863"/>
      <c r="DX65" s="864" t="s">
        <v>1501</v>
      </c>
      <c r="DY65" s="864" t="s">
        <v>2286</v>
      </c>
      <c r="DZ65" s="864"/>
      <c r="EA65" s="863"/>
      <c r="EB65" s="863"/>
      <c r="EC65" s="863"/>
      <c r="ED65" s="863"/>
      <c r="EE65" s="866">
        <v>0</v>
      </c>
      <c r="EF65" s="866">
        <v>0</v>
      </c>
      <c r="EG65" s="866">
        <v>0</v>
      </c>
      <c r="EH65" s="863"/>
      <c r="EI65" s="434"/>
      <c r="EJ65" s="434"/>
      <c r="EK65" s="863"/>
    </row>
    <row r="66" spans="1:141" x14ac:dyDescent="0.25">
      <c r="A66" s="863"/>
      <c r="B66" s="434" t="s">
        <v>2287</v>
      </c>
      <c r="C66" s="863" t="s">
        <v>2440</v>
      </c>
      <c r="D66" s="434" t="s">
        <v>2292</v>
      </c>
      <c r="E66" s="864" t="s">
        <v>744</v>
      </c>
      <c r="F66" s="434"/>
      <c r="G66" s="928" t="s">
        <v>12</v>
      </c>
      <c r="H66" s="864"/>
      <c r="I66" s="864"/>
      <c r="J66" s="863"/>
      <c r="K66" s="863"/>
      <c r="L66" s="865"/>
      <c r="M66" s="865"/>
      <c r="N66" s="929" t="s">
        <v>1031</v>
      </c>
      <c r="O66" s="864"/>
      <c r="P66" s="864"/>
      <c r="Q66" s="863"/>
      <c r="R66" s="863"/>
      <c r="S66" s="863"/>
      <c r="T66" s="863"/>
      <c r="U66" s="866">
        <v>0</v>
      </c>
      <c r="V66" s="866">
        <v>0</v>
      </c>
      <c r="W66" s="866">
        <v>0</v>
      </c>
      <c r="X66" s="866">
        <v>0</v>
      </c>
      <c r="Y66" s="866">
        <v>15</v>
      </c>
      <c r="Z66" s="866">
        <f t="shared" ref="Z66:Z67" si="100">ROUND(X66*Y66%,2)</f>
        <v>0</v>
      </c>
      <c r="AA66" s="866"/>
      <c r="AB66" s="866">
        <v>5</v>
      </c>
      <c r="AC66" s="866">
        <f t="shared" ref="AC66:AC67" si="101">ROUND(AA66*AB66%,2)</f>
        <v>0</v>
      </c>
      <c r="AD66" s="866"/>
      <c r="AE66" s="866">
        <v>8</v>
      </c>
      <c r="AF66" s="866">
        <f t="shared" ref="AF66:AF67" si="102">ROUND(AD66*AE66%,2)</f>
        <v>0</v>
      </c>
      <c r="AG66" s="866">
        <v>0</v>
      </c>
      <c r="AH66" s="866">
        <v>0</v>
      </c>
      <c r="AI66" s="866">
        <v>0</v>
      </c>
      <c r="AJ66" s="866">
        <v>0</v>
      </c>
      <c r="AK66" s="866">
        <f t="shared" ref="AK66:AK67" si="103">ROUND(SUM(U66:X66)+SUM(Z66:AA66)+SUM(AC66:AD66)+SUM(AF66:AJ66),2)</f>
        <v>0</v>
      </c>
      <c r="AL66" s="866">
        <v>0</v>
      </c>
      <c r="AM66" s="434"/>
      <c r="AN66" s="863"/>
      <c r="AO66" s="863"/>
      <c r="AP66" s="863"/>
      <c r="AQ66" s="863"/>
      <c r="AR66" s="434" t="s">
        <v>1241</v>
      </c>
      <c r="AS66" s="867">
        <v>510</v>
      </c>
      <c r="AT66" s="866">
        <f t="shared" ref="AT66:AT67" si="104">IF(OR(AS66=545, AS66=518),($AK66-$Z66-$AC66-$AF66),IF(AND(AS66&gt;515,AS66&lt;518),($W66),IF(AND(AS66&gt;509,AS66&lt;516),$X66,IF(AS66=541,$U66,IF(AS66=542,$V66+SUM($AG66:$AJ66),IF(AS66=533,$AD66,IF(AS66=550,$AA66,0)))))))</f>
        <v>0</v>
      </c>
      <c r="AU66" s="867">
        <v>0</v>
      </c>
      <c r="AV66" s="866">
        <f t="shared" ref="AV66:AV67" si="105">IF(OR(AU66=545, AU66=518),($AK66-$Z66-$AC66-$AF66),IF(AND(AU66&gt;515,AU66&lt;518),($W66),IF(AND(AU66&gt;509,AU66&lt;516),$X66,IF(AU66=541,$U66,IF(AU66=542,$V66+SUM($AG66:$AJ66),IF(AU66=533,$AD66,IF(AU66=550,$AA66,0)))))))</f>
        <v>0</v>
      </c>
      <c r="AW66" s="867">
        <v>542</v>
      </c>
      <c r="AX66" s="866">
        <f t="shared" ref="AX66:AX67" si="106">IF(OR(AW66=545, AW66=518),($AK66-$Z66-$AC66-$AF66),IF(AND(AW66&gt;515,AW66&lt;518),($W66),IF(AND(AW66&gt;509,AW66&lt;516),$X66,IF(AW66=541,$U66,IF(AW66=542,$V66+SUM($AG66:$AJ66),IF(AW66=533,$AD66,IF(AW66=550,$AA66,0)))))))</f>
        <v>0</v>
      </c>
      <c r="AY66" s="434"/>
      <c r="AZ66" s="866"/>
      <c r="BA66" s="864"/>
      <c r="BB66" s="864"/>
      <c r="BC66" s="863"/>
      <c r="BD66" s="863"/>
      <c r="BE66" s="868"/>
      <c r="BF66" s="869">
        <v>332</v>
      </c>
      <c r="BG66" s="866">
        <f t="shared" ref="BG66:BG67" si="107">SUM(U66:X66)-V66+AA66+AD66</f>
        <v>0</v>
      </c>
      <c r="BH66" s="870">
        <f>IF(ISERROR(VLOOKUP(BF66,Parametros!$C:$J,8,0)),0,VLOOKUP(BF66,Parametros!$C:$J,8,0))</f>
        <v>0</v>
      </c>
      <c r="BI66" s="866">
        <f t="shared" ref="BI66:BI67" si="108">IF(ISERROR(ROUND((BG66*BH66),2)),0,ROUND((BG66*BH66),2))</f>
        <v>0</v>
      </c>
      <c r="BJ66" s="871"/>
      <c r="BK66" s="866">
        <v>0</v>
      </c>
      <c r="BL66" s="434"/>
      <c r="BM66" s="866">
        <v>0</v>
      </c>
      <c r="BN66" s="866">
        <v>0</v>
      </c>
      <c r="BO66" s="869"/>
      <c r="BP66" s="866">
        <f t="shared" ref="BP66:BP67" si="109">SUM(U66:X66)-V66+AA66+AD66-BG66</f>
        <v>0</v>
      </c>
      <c r="BQ66" s="870">
        <f>IF(ISERROR(VLOOKUP(BO66,Parametros!$C:$J,8,0)),0,VLOOKUP(BO66,Parametros!$C:$J,8,0))</f>
        <v>0</v>
      </c>
      <c r="BR66" s="866">
        <f t="shared" ref="BR66:BR67" si="110">IF(ISERROR(ROUND((BP66*BQ66),2)),0,ROUND((BP66*BQ66),2))</f>
        <v>0</v>
      </c>
      <c r="BS66" s="871"/>
      <c r="BT66" s="866">
        <v>0</v>
      </c>
      <c r="BU66" s="434"/>
      <c r="BV66" s="866">
        <v>0</v>
      </c>
      <c r="BW66" s="866">
        <v>0</v>
      </c>
      <c r="BX66" s="869"/>
      <c r="BY66" s="866">
        <f t="shared" ref="BY66:BY67" si="111">SUM(U66:X66)-V66+AA66+AD66-BG66-BP66</f>
        <v>0</v>
      </c>
      <c r="BZ66" s="870">
        <f>IF(ISERROR(VLOOKUP(BX66,Parametros!$C:$J,8,0)),0,VLOOKUP(BX66,Parametros!$C:$J,8,0))</f>
        <v>0</v>
      </c>
      <c r="CA66" s="866">
        <f t="shared" ref="CA66:CA67" si="112">IF(ISERROR(ROUND((BY66*BZ66),2)),0,ROUND((BY66*BZ66),2))</f>
        <v>0</v>
      </c>
      <c r="CB66" s="434"/>
      <c r="CC66" s="866">
        <v>0</v>
      </c>
      <c r="CD66" s="866">
        <v>0</v>
      </c>
      <c r="CE66" s="866">
        <v>0</v>
      </c>
      <c r="CF66" s="866">
        <v>0</v>
      </c>
      <c r="CG66" s="866">
        <v>0</v>
      </c>
      <c r="CH66" s="866">
        <v>0</v>
      </c>
      <c r="CI66" s="866">
        <v>0</v>
      </c>
      <c r="CJ66" s="866">
        <v>0</v>
      </c>
      <c r="CK66" s="866">
        <f t="shared" ref="CK66:CK67" si="113">+BI66+BR66+CA66+SUM(CC66:CJ66)</f>
        <v>0</v>
      </c>
      <c r="CL66" s="863"/>
      <c r="CM66" s="863"/>
      <c r="CN66" s="863"/>
      <c r="CO66" s="434"/>
      <c r="CP66" s="434" t="s">
        <v>2282</v>
      </c>
      <c r="CQ66" s="434" t="s">
        <v>57</v>
      </c>
      <c r="CR66" s="434"/>
      <c r="CS66" s="434" t="s">
        <v>2283</v>
      </c>
      <c r="CT66" s="434"/>
      <c r="CU66" s="434"/>
      <c r="CV66" s="863"/>
      <c r="CW66" s="434"/>
      <c r="CX66" s="867"/>
      <c r="CY66" s="867"/>
      <c r="CZ66" s="867"/>
      <c r="DA66" s="434"/>
      <c r="DB66" s="867">
        <f t="shared" ref="DB66:DB67" si="114">IF(ISNUMBER(M66),MONTH(M66),0)</f>
        <v>0</v>
      </c>
      <c r="DC66" s="872" t="str">
        <f t="shared" si="0"/>
        <v>NO</v>
      </c>
      <c r="DD66" s="872" t="str">
        <f t="shared" si="1"/>
        <v>NO</v>
      </c>
      <c r="DE66" s="866">
        <f t="shared" ref="DE66:DE67" si="115">IF(ISBLANK(G66),0,IF(VALUE(LEFT(G66,2))=4,0,AT66))</f>
        <v>0</v>
      </c>
      <c r="DF66" s="866">
        <f t="shared" ref="DF66:DF67" si="116">IF(ISBLANK(G66),0,IF(VALUE(LEFT(G66,2))=4,0,AV66))</f>
        <v>0</v>
      </c>
      <c r="DG66" s="866">
        <f t="shared" ref="DG66:DG67" si="117">IF(ISBLANK(G66),0,IF(VALUE(LEFT(G66,2))=4,0,AX66))</f>
        <v>0</v>
      </c>
      <c r="DH66" s="866">
        <f t="shared" ref="DH66:DH67" si="118">SUM(U66:W66)+SUM(AG66:AJ66)</f>
        <v>0</v>
      </c>
      <c r="DI66" s="866">
        <f t="shared" ref="DI66:DI67" si="119">ROUND((IF(AS66=545,(Z66+AC66+AF66),0)+IF(AU66=545,(Z66+AC66+AF66),0)+IF(AW66=545,(Z66+AC66+AF66),0)),2)</f>
        <v>0</v>
      </c>
      <c r="DJ66" s="866">
        <f t="shared" ref="DJ66:DJ67" si="120">ROUND((IF(AS66=512,Z66,0)+IF(AU66=512,Z66,0)+IF(AW66=512,Z66,0)),2)</f>
        <v>0</v>
      </c>
      <c r="DK66" s="866">
        <f t="shared" ref="DK66:DK67" si="121">Z66+AC66+AF66-DI66-DJ66</f>
        <v>0</v>
      </c>
      <c r="DL66" s="866">
        <f t="shared" ref="DL66:DL67" si="122">SUM(CC66:CH66)+CJ66</f>
        <v>0</v>
      </c>
      <c r="DM66" s="866">
        <f t="shared" ref="DM66:DM67" si="123">CI66</f>
        <v>0</v>
      </c>
      <c r="DN66" s="866">
        <f t="shared" ref="DN66:DN67" si="124">BI66+BR66+CA66</f>
        <v>0</v>
      </c>
      <c r="DO66" s="434"/>
      <c r="DP66" s="863"/>
      <c r="DQ66" s="864" t="s">
        <v>2284</v>
      </c>
      <c r="DR66" s="864" t="s">
        <v>2285</v>
      </c>
      <c r="DS66" s="863"/>
      <c r="DT66" s="863"/>
      <c r="DU66" s="863"/>
      <c r="DV66" s="863"/>
      <c r="DW66" s="863"/>
      <c r="DX66" s="864" t="s">
        <v>1501</v>
      </c>
      <c r="DY66" s="864" t="s">
        <v>2286</v>
      </c>
      <c r="DZ66" s="864"/>
      <c r="EA66" s="863"/>
      <c r="EB66" s="863"/>
      <c r="EC66" s="863"/>
      <c r="ED66" s="863"/>
      <c r="EE66" s="866">
        <v>0</v>
      </c>
      <c r="EF66" s="866">
        <v>0</v>
      </c>
      <c r="EG66" s="866">
        <v>0</v>
      </c>
      <c r="EH66" s="863"/>
      <c r="EI66" s="434"/>
      <c r="EJ66" s="434"/>
      <c r="EK66" s="863"/>
    </row>
    <row r="67" spans="1:141" x14ac:dyDescent="0.25">
      <c r="A67" s="863"/>
      <c r="B67" s="434" t="s">
        <v>2287</v>
      </c>
      <c r="C67" s="863" t="s">
        <v>2449</v>
      </c>
      <c r="D67" s="434" t="s">
        <v>2292</v>
      </c>
      <c r="E67" s="864" t="s">
        <v>744</v>
      </c>
      <c r="F67" s="434"/>
      <c r="G67" s="928" t="s">
        <v>12</v>
      </c>
      <c r="H67" s="864"/>
      <c r="I67" s="864"/>
      <c r="J67" s="863"/>
      <c r="K67" s="863"/>
      <c r="L67" s="865"/>
      <c r="M67" s="865"/>
      <c r="N67" s="929" t="s">
        <v>1031</v>
      </c>
      <c r="O67" s="864"/>
      <c r="P67" s="864"/>
      <c r="Q67" s="863"/>
      <c r="R67" s="863"/>
      <c r="S67" s="863"/>
      <c r="T67" s="863"/>
      <c r="U67" s="866">
        <v>0</v>
      </c>
      <c r="V67" s="866">
        <v>0</v>
      </c>
      <c r="W67" s="866">
        <v>0</v>
      </c>
      <c r="X67" s="866">
        <v>0</v>
      </c>
      <c r="Y67" s="866">
        <v>15</v>
      </c>
      <c r="Z67" s="866">
        <f t="shared" si="100"/>
        <v>0</v>
      </c>
      <c r="AA67" s="866"/>
      <c r="AB67" s="866">
        <v>5</v>
      </c>
      <c r="AC67" s="866">
        <f t="shared" si="101"/>
        <v>0</v>
      </c>
      <c r="AD67" s="866"/>
      <c r="AE67" s="866">
        <v>8</v>
      </c>
      <c r="AF67" s="866">
        <f t="shared" si="102"/>
        <v>0</v>
      </c>
      <c r="AG67" s="866">
        <v>0</v>
      </c>
      <c r="AH67" s="866">
        <v>0</v>
      </c>
      <c r="AI67" s="866">
        <v>0</v>
      </c>
      <c r="AJ67" s="866">
        <v>0</v>
      </c>
      <c r="AK67" s="866">
        <f t="shared" si="103"/>
        <v>0</v>
      </c>
      <c r="AL67" s="866">
        <v>0</v>
      </c>
      <c r="AM67" s="434"/>
      <c r="AN67" s="863"/>
      <c r="AO67" s="863"/>
      <c r="AP67" s="863"/>
      <c r="AQ67" s="863"/>
      <c r="AR67" s="434" t="s">
        <v>1241</v>
      </c>
      <c r="AS67" s="867">
        <v>510</v>
      </c>
      <c r="AT67" s="866">
        <f t="shared" si="104"/>
        <v>0</v>
      </c>
      <c r="AU67" s="867">
        <v>0</v>
      </c>
      <c r="AV67" s="866">
        <f t="shared" si="105"/>
        <v>0</v>
      </c>
      <c r="AW67" s="867">
        <v>542</v>
      </c>
      <c r="AX67" s="866">
        <f t="shared" si="106"/>
        <v>0</v>
      </c>
      <c r="AY67" s="434"/>
      <c r="AZ67" s="866"/>
      <c r="BA67" s="864"/>
      <c r="BB67" s="864"/>
      <c r="BC67" s="863"/>
      <c r="BD67" s="863"/>
      <c r="BE67" s="868"/>
      <c r="BF67" s="869">
        <v>332</v>
      </c>
      <c r="BG67" s="866">
        <f t="shared" si="107"/>
        <v>0</v>
      </c>
      <c r="BH67" s="870">
        <f>IF(ISERROR(VLOOKUP(BF67,Parametros!$C:$J,8,0)),0,VLOOKUP(BF67,Parametros!$C:$J,8,0))</f>
        <v>0</v>
      </c>
      <c r="BI67" s="866">
        <f t="shared" si="108"/>
        <v>0</v>
      </c>
      <c r="BJ67" s="871"/>
      <c r="BK67" s="866">
        <v>0</v>
      </c>
      <c r="BL67" s="434"/>
      <c r="BM67" s="866">
        <v>0</v>
      </c>
      <c r="BN67" s="866">
        <v>0</v>
      </c>
      <c r="BO67" s="869"/>
      <c r="BP67" s="866">
        <f t="shared" si="109"/>
        <v>0</v>
      </c>
      <c r="BQ67" s="870">
        <f>IF(ISERROR(VLOOKUP(BO67,Parametros!$C:$J,8,0)),0,VLOOKUP(BO67,Parametros!$C:$J,8,0))</f>
        <v>0</v>
      </c>
      <c r="BR67" s="866">
        <f t="shared" si="110"/>
        <v>0</v>
      </c>
      <c r="BS67" s="871"/>
      <c r="BT67" s="866">
        <v>0</v>
      </c>
      <c r="BU67" s="434"/>
      <c r="BV67" s="866">
        <v>0</v>
      </c>
      <c r="BW67" s="866">
        <v>0</v>
      </c>
      <c r="BX67" s="869"/>
      <c r="BY67" s="866">
        <f t="shared" si="111"/>
        <v>0</v>
      </c>
      <c r="BZ67" s="870">
        <f>IF(ISERROR(VLOOKUP(BX67,Parametros!$C:$J,8,0)),0,VLOOKUP(BX67,Parametros!$C:$J,8,0))</f>
        <v>0</v>
      </c>
      <c r="CA67" s="866">
        <f t="shared" si="112"/>
        <v>0</v>
      </c>
      <c r="CB67" s="434"/>
      <c r="CC67" s="866">
        <v>0</v>
      </c>
      <c r="CD67" s="866">
        <v>0</v>
      </c>
      <c r="CE67" s="866">
        <v>0</v>
      </c>
      <c r="CF67" s="866">
        <v>0</v>
      </c>
      <c r="CG67" s="866">
        <v>0</v>
      </c>
      <c r="CH67" s="866">
        <v>0</v>
      </c>
      <c r="CI67" s="866">
        <v>0</v>
      </c>
      <c r="CJ67" s="866">
        <v>0</v>
      </c>
      <c r="CK67" s="866">
        <f t="shared" si="113"/>
        <v>0</v>
      </c>
      <c r="CL67" s="863"/>
      <c r="CM67" s="863"/>
      <c r="CN67" s="863"/>
      <c r="CO67" s="434"/>
      <c r="CP67" s="434" t="s">
        <v>2282</v>
      </c>
      <c r="CQ67" s="434" t="s">
        <v>57</v>
      </c>
      <c r="CR67" s="434"/>
      <c r="CS67" s="434" t="s">
        <v>2283</v>
      </c>
      <c r="CT67" s="434"/>
      <c r="CU67" s="434"/>
      <c r="CV67" s="863"/>
      <c r="CW67" s="434"/>
      <c r="CX67" s="867"/>
      <c r="CY67" s="867"/>
      <c r="CZ67" s="867"/>
      <c r="DA67" s="434"/>
      <c r="DB67" s="867">
        <f t="shared" si="114"/>
        <v>0</v>
      </c>
      <c r="DC67" s="872" t="str">
        <f t="shared" si="0"/>
        <v>NO</v>
      </c>
      <c r="DD67" s="872" t="str">
        <f t="shared" si="1"/>
        <v>NO</v>
      </c>
      <c r="DE67" s="866">
        <f t="shared" si="115"/>
        <v>0</v>
      </c>
      <c r="DF67" s="866">
        <f t="shared" si="116"/>
        <v>0</v>
      </c>
      <c r="DG67" s="866">
        <f t="shared" si="117"/>
        <v>0</v>
      </c>
      <c r="DH67" s="866">
        <f t="shared" si="118"/>
        <v>0</v>
      </c>
      <c r="DI67" s="866">
        <f t="shared" si="119"/>
        <v>0</v>
      </c>
      <c r="DJ67" s="866">
        <f t="shared" si="120"/>
        <v>0</v>
      </c>
      <c r="DK67" s="866">
        <f t="shared" si="121"/>
        <v>0</v>
      </c>
      <c r="DL67" s="866">
        <f t="shared" si="122"/>
        <v>0</v>
      </c>
      <c r="DM67" s="866">
        <f t="shared" si="123"/>
        <v>0</v>
      </c>
      <c r="DN67" s="866">
        <f t="shared" si="124"/>
        <v>0</v>
      </c>
      <c r="DO67" s="434"/>
      <c r="DP67" s="863"/>
      <c r="DQ67" s="864" t="s">
        <v>2284</v>
      </c>
      <c r="DR67" s="864" t="s">
        <v>2285</v>
      </c>
      <c r="DS67" s="863"/>
      <c r="DT67" s="863"/>
      <c r="DU67" s="863"/>
      <c r="DV67" s="863"/>
      <c r="DW67" s="863"/>
      <c r="DX67" s="864" t="s">
        <v>1501</v>
      </c>
      <c r="DY67" s="864" t="s">
        <v>2286</v>
      </c>
      <c r="DZ67" s="864"/>
      <c r="EA67" s="863"/>
      <c r="EB67" s="863"/>
      <c r="EC67" s="863"/>
      <c r="ED67" s="863"/>
      <c r="EE67" s="866">
        <v>0</v>
      </c>
      <c r="EF67" s="866">
        <v>0</v>
      </c>
      <c r="EG67" s="866">
        <v>0</v>
      </c>
      <c r="EH67" s="863"/>
      <c r="EI67" s="434"/>
      <c r="EJ67" s="434"/>
      <c r="EK67" s="863"/>
    </row>
    <row r="68" spans="1:141" x14ac:dyDescent="0.25">
      <c r="A68" s="863"/>
      <c r="B68" s="434" t="s">
        <v>2287</v>
      </c>
      <c r="C68" s="863" t="s">
        <v>2449</v>
      </c>
      <c r="D68" s="434" t="s">
        <v>2292</v>
      </c>
      <c r="E68" s="864" t="s">
        <v>744</v>
      </c>
      <c r="F68" s="434"/>
      <c r="G68" s="928" t="s">
        <v>12</v>
      </c>
      <c r="H68" s="864"/>
      <c r="I68" s="864"/>
      <c r="J68" s="863"/>
      <c r="K68" s="863"/>
      <c r="L68" s="865"/>
      <c r="M68" s="865"/>
      <c r="N68" s="929" t="s">
        <v>1031</v>
      </c>
      <c r="O68" s="864"/>
      <c r="P68" s="864"/>
      <c r="Q68" s="863"/>
      <c r="R68" s="863"/>
      <c r="S68" s="863"/>
      <c r="T68" s="863"/>
      <c r="U68" s="866">
        <v>0</v>
      </c>
      <c r="V68" s="866">
        <v>0</v>
      </c>
      <c r="W68" s="866">
        <v>0</v>
      </c>
      <c r="X68" s="866">
        <v>0</v>
      </c>
      <c r="Y68" s="866">
        <v>15</v>
      </c>
      <c r="Z68" s="866">
        <f t="shared" ref="Z68" si="125">ROUND(X68*Y68%,2)</f>
        <v>0</v>
      </c>
      <c r="AA68" s="866"/>
      <c r="AB68" s="866">
        <v>5</v>
      </c>
      <c r="AC68" s="866">
        <f t="shared" ref="AC68" si="126">ROUND(AA68*AB68%,2)</f>
        <v>0</v>
      </c>
      <c r="AD68" s="866"/>
      <c r="AE68" s="866">
        <v>8</v>
      </c>
      <c r="AF68" s="866">
        <f t="shared" ref="AF68" si="127">ROUND(AD68*AE68%,2)</f>
        <v>0</v>
      </c>
      <c r="AG68" s="866">
        <v>0</v>
      </c>
      <c r="AH68" s="866">
        <v>0</v>
      </c>
      <c r="AI68" s="866">
        <v>0</v>
      </c>
      <c r="AJ68" s="866">
        <v>0</v>
      </c>
      <c r="AK68" s="866">
        <f t="shared" ref="AK68" si="128">ROUND(SUM(U68:X68)+SUM(Z68:AA68)+SUM(AC68:AD68)+SUM(AF68:AJ68),2)</f>
        <v>0</v>
      </c>
      <c r="AL68" s="866">
        <v>0</v>
      </c>
      <c r="AM68" s="434"/>
      <c r="AN68" s="863"/>
      <c r="AO68" s="863"/>
      <c r="AP68" s="863"/>
      <c r="AQ68" s="863"/>
      <c r="AR68" s="434" t="s">
        <v>1241</v>
      </c>
      <c r="AS68" s="867">
        <v>510</v>
      </c>
      <c r="AT68" s="866">
        <f t="shared" ref="AT68" si="129">IF(OR(AS68=545, AS68=518),($AK68-$Z68-$AC68-$AF68),IF(AND(AS68&gt;515,AS68&lt;518),($W68),IF(AND(AS68&gt;509,AS68&lt;516),$X68,IF(AS68=541,$U68,IF(AS68=542,$V68+SUM($AG68:$AJ68),IF(AS68=533,$AD68,IF(AS68=550,$AA68,0)))))))</f>
        <v>0</v>
      </c>
      <c r="AU68" s="867">
        <v>0</v>
      </c>
      <c r="AV68" s="866">
        <f t="shared" ref="AV68" si="130">IF(OR(AU68=545, AU68=518),($AK68-$Z68-$AC68-$AF68),IF(AND(AU68&gt;515,AU68&lt;518),($W68),IF(AND(AU68&gt;509,AU68&lt;516),$X68,IF(AU68=541,$U68,IF(AU68=542,$V68+SUM($AG68:$AJ68),IF(AU68=533,$AD68,IF(AU68=550,$AA68,0)))))))</f>
        <v>0</v>
      </c>
      <c r="AW68" s="867">
        <v>542</v>
      </c>
      <c r="AX68" s="866">
        <f t="shared" ref="AX68" si="131">IF(OR(AW68=545, AW68=518),($AK68-$Z68-$AC68-$AF68),IF(AND(AW68&gt;515,AW68&lt;518),($W68),IF(AND(AW68&gt;509,AW68&lt;516),$X68,IF(AW68=541,$U68,IF(AW68=542,$V68+SUM($AG68:$AJ68),IF(AW68=533,$AD68,IF(AW68=550,$AA68,0)))))))</f>
        <v>0</v>
      </c>
      <c r="AY68" s="434"/>
      <c r="AZ68" s="866"/>
      <c r="BA68" s="864"/>
      <c r="BB68" s="864"/>
      <c r="BC68" s="863"/>
      <c r="BD68" s="863"/>
      <c r="BE68" s="868"/>
      <c r="BF68" s="869">
        <v>332</v>
      </c>
      <c r="BG68" s="866">
        <f t="shared" ref="BG68" si="132">SUM(U68:X68)-V68+AA68+AD68</f>
        <v>0</v>
      </c>
      <c r="BH68" s="870">
        <f>IF(ISERROR(VLOOKUP(BF68,Parametros!$C:$J,8,0)),0,VLOOKUP(BF68,Parametros!$C:$J,8,0))</f>
        <v>0</v>
      </c>
      <c r="BI68" s="866">
        <f t="shared" ref="BI68" si="133">IF(ISERROR(ROUND((BG68*BH68),2)),0,ROUND((BG68*BH68),2))</f>
        <v>0</v>
      </c>
      <c r="BJ68" s="871"/>
      <c r="BK68" s="866">
        <v>0</v>
      </c>
      <c r="BL68" s="434"/>
      <c r="BM68" s="866">
        <v>0</v>
      </c>
      <c r="BN68" s="866">
        <v>0</v>
      </c>
      <c r="BO68" s="869"/>
      <c r="BP68" s="866">
        <f t="shared" ref="BP68" si="134">SUM(U68:X68)-V68+AA68+AD68-BG68</f>
        <v>0</v>
      </c>
      <c r="BQ68" s="870">
        <f>IF(ISERROR(VLOOKUP(BO68,Parametros!$C:$J,8,0)),0,VLOOKUP(BO68,Parametros!$C:$J,8,0))</f>
        <v>0</v>
      </c>
      <c r="BR68" s="866">
        <f t="shared" ref="BR68" si="135">IF(ISERROR(ROUND((BP68*BQ68),2)),0,ROUND((BP68*BQ68),2))</f>
        <v>0</v>
      </c>
      <c r="BS68" s="871"/>
      <c r="BT68" s="866">
        <v>0</v>
      </c>
      <c r="BU68" s="434"/>
      <c r="BV68" s="866">
        <v>0</v>
      </c>
      <c r="BW68" s="866">
        <v>0</v>
      </c>
      <c r="BX68" s="869"/>
      <c r="BY68" s="866">
        <f t="shared" ref="BY68" si="136">SUM(U68:X68)-V68+AA68+AD68-BG68-BP68</f>
        <v>0</v>
      </c>
      <c r="BZ68" s="870">
        <f>IF(ISERROR(VLOOKUP(BX68,Parametros!$C:$J,8,0)),0,VLOOKUP(BX68,Parametros!$C:$J,8,0))</f>
        <v>0</v>
      </c>
      <c r="CA68" s="866">
        <f t="shared" ref="CA68" si="137">IF(ISERROR(ROUND((BY68*BZ68),2)),0,ROUND((BY68*BZ68),2))</f>
        <v>0</v>
      </c>
      <c r="CB68" s="434"/>
      <c r="CC68" s="866">
        <v>0</v>
      </c>
      <c r="CD68" s="866">
        <v>0</v>
      </c>
      <c r="CE68" s="866">
        <v>0</v>
      </c>
      <c r="CF68" s="866">
        <v>0</v>
      </c>
      <c r="CG68" s="866">
        <v>0</v>
      </c>
      <c r="CH68" s="866">
        <v>0</v>
      </c>
      <c r="CI68" s="866">
        <v>0</v>
      </c>
      <c r="CJ68" s="866">
        <v>0</v>
      </c>
      <c r="CK68" s="866">
        <f t="shared" ref="CK68" si="138">+BI68+BR68+CA68+SUM(CC68:CJ68)</f>
        <v>0</v>
      </c>
      <c r="CL68" s="863"/>
      <c r="CM68" s="863"/>
      <c r="CN68" s="863"/>
      <c r="CO68" s="434"/>
      <c r="CP68" s="434" t="s">
        <v>2282</v>
      </c>
      <c r="CQ68" s="434" t="s">
        <v>57</v>
      </c>
      <c r="CR68" s="434"/>
      <c r="CS68" s="434" t="s">
        <v>2283</v>
      </c>
      <c r="CT68" s="434"/>
      <c r="CU68" s="434"/>
      <c r="CV68" s="863"/>
      <c r="CW68" s="434"/>
      <c r="CX68" s="867"/>
      <c r="CY68" s="867"/>
      <c r="CZ68" s="867"/>
      <c r="DA68" s="434"/>
      <c r="DB68" s="867">
        <f t="shared" ref="DB68" si="139">IF(ISNUMBER(M68),MONTH(M68),0)</f>
        <v>0</v>
      </c>
      <c r="DC68" s="872" t="str">
        <f t="shared" si="0"/>
        <v>NO</v>
      </c>
      <c r="DD68" s="872" t="str">
        <f t="shared" si="1"/>
        <v>NO</v>
      </c>
      <c r="DE68" s="866">
        <f t="shared" ref="DE68" si="140">IF(ISBLANK(G68),0,IF(VALUE(LEFT(G68,2))=4,0,AT68))</f>
        <v>0</v>
      </c>
      <c r="DF68" s="866">
        <f t="shared" ref="DF68" si="141">IF(ISBLANK(G68),0,IF(VALUE(LEFT(G68,2))=4,0,AV68))</f>
        <v>0</v>
      </c>
      <c r="DG68" s="866">
        <f t="shared" ref="DG68" si="142">IF(ISBLANK(G68),0,IF(VALUE(LEFT(G68,2))=4,0,AX68))</f>
        <v>0</v>
      </c>
      <c r="DH68" s="866">
        <f t="shared" ref="DH68" si="143">SUM(U68:W68)+SUM(AG68:AJ68)</f>
        <v>0</v>
      </c>
      <c r="DI68" s="866">
        <f t="shared" ref="DI68" si="144">ROUND((IF(AS68=545,(Z68+AC68+AF68),0)+IF(AU68=545,(Z68+AC68+AF68),0)+IF(AW68=545,(Z68+AC68+AF68),0)),2)</f>
        <v>0</v>
      </c>
      <c r="DJ68" s="866">
        <f t="shared" ref="DJ68" si="145">ROUND((IF(AS68=512,Z68,0)+IF(AU68=512,Z68,0)+IF(AW68=512,Z68,0)),2)</f>
        <v>0</v>
      </c>
      <c r="DK68" s="866">
        <f t="shared" ref="DK68" si="146">Z68+AC68+AF68-DI68-DJ68</f>
        <v>0</v>
      </c>
      <c r="DL68" s="866">
        <f t="shared" ref="DL68" si="147">SUM(CC68:CH68)+CJ68</f>
        <v>0</v>
      </c>
      <c r="DM68" s="866">
        <f t="shared" ref="DM68" si="148">CI68</f>
        <v>0</v>
      </c>
      <c r="DN68" s="866">
        <f t="shared" ref="DN68" si="149">BI68+BR68+CA68</f>
        <v>0</v>
      </c>
      <c r="DO68" s="434"/>
      <c r="DP68" s="863"/>
      <c r="DQ68" s="864" t="s">
        <v>2284</v>
      </c>
      <c r="DR68" s="864" t="s">
        <v>2285</v>
      </c>
      <c r="DS68" s="863"/>
      <c r="DT68" s="863"/>
      <c r="DU68" s="863"/>
      <c r="DV68" s="863"/>
      <c r="DW68" s="863"/>
      <c r="DX68" s="864" t="s">
        <v>1501</v>
      </c>
      <c r="DY68" s="864" t="s">
        <v>2286</v>
      </c>
      <c r="DZ68" s="864"/>
      <c r="EA68" s="863"/>
      <c r="EB68" s="863"/>
      <c r="EC68" s="863"/>
      <c r="ED68" s="863"/>
      <c r="EE68" s="866">
        <v>0</v>
      </c>
      <c r="EF68" s="866">
        <v>0</v>
      </c>
      <c r="EG68" s="866">
        <v>0</v>
      </c>
      <c r="EH68" s="863"/>
      <c r="EI68" s="434"/>
      <c r="EJ68" s="434"/>
      <c r="EK68" s="863"/>
    </row>
  </sheetData>
  <autoFilter ref="A6:EL68" xr:uid="{00000000-0009-0000-0000-000009000000}"/>
  <mergeCells count="81">
    <mergeCell ref="DL5:DL6"/>
    <mergeCell ref="AB5:AB6"/>
    <mergeCell ref="AN5:AN6"/>
    <mergeCell ref="T5:T6"/>
    <mergeCell ref="Y5:Y6"/>
    <mergeCell ref="CL5:CN5"/>
    <mergeCell ref="CZ5:CZ6"/>
    <mergeCell ref="DB5:DB6"/>
    <mergeCell ref="DC5:DC6"/>
    <mergeCell ref="DD5:DD6"/>
    <mergeCell ref="DH5:DH6"/>
    <mergeCell ref="DE5:DE6"/>
    <mergeCell ref="DF5:DF6"/>
    <mergeCell ref="DG5:DG6"/>
    <mergeCell ref="DI5:DI6"/>
    <mergeCell ref="DK5:DK6"/>
    <mergeCell ref="M5:M6"/>
    <mergeCell ref="N5:N6"/>
    <mergeCell ref="O5:O6"/>
    <mergeCell ref="P5:P6"/>
    <mergeCell ref="R5:R6"/>
    <mergeCell ref="Q5:Q6"/>
    <mergeCell ref="L5:L6"/>
    <mergeCell ref="B5:B6"/>
    <mergeCell ref="A5:A6"/>
    <mergeCell ref="C5:C6"/>
    <mergeCell ref="D5:D6"/>
    <mergeCell ref="E5:E6"/>
    <mergeCell ref="F5:F6"/>
    <mergeCell ref="G5:G6"/>
    <mergeCell ref="H5:H6"/>
    <mergeCell ref="I5:I6"/>
    <mergeCell ref="J5:J6"/>
    <mergeCell ref="K5:K6"/>
    <mergeCell ref="DM5:DM6"/>
    <mergeCell ref="DN5:DN6"/>
    <mergeCell ref="EI5:EI6"/>
    <mergeCell ref="EK5:EK6"/>
    <mergeCell ref="DP5:DV5"/>
    <mergeCell ref="DW5:ED5"/>
    <mergeCell ref="EE5:EE6"/>
    <mergeCell ref="EF5:EF6"/>
    <mergeCell ref="EG5:EG6"/>
    <mergeCell ref="EH5:EH6"/>
    <mergeCell ref="DJ5:DJ6"/>
    <mergeCell ref="BQ5:BQ6"/>
    <mergeCell ref="BS5:BS6"/>
    <mergeCell ref="BU5:BU6"/>
    <mergeCell ref="BV5:BV6"/>
    <mergeCell ref="CY5:CY6"/>
    <mergeCell ref="BX5:BX6"/>
    <mergeCell ref="BZ5:BZ6"/>
    <mergeCell ref="CP5:CP6"/>
    <mergeCell ref="CQ5:CQ6"/>
    <mergeCell ref="CR5:CR6"/>
    <mergeCell ref="CS5:CS6"/>
    <mergeCell ref="CT5:CT6"/>
    <mergeCell ref="CU5:CU6"/>
    <mergeCell ref="CV5:CV6"/>
    <mergeCell ref="CW5:CW6"/>
    <mergeCell ref="CX5:CX6"/>
    <mergeCell ref="BJ5:BJ6"/>
    <mergeCell ref="BL5:BL6"/>
    <mergeCell ref="BM5:BM6"/>
    <mergeCell ref="BN5:BN6"/>
    <mergeCell ref="BO5:BO6"/>
    <mergeCell ref="BW5:BW6"/>
    <mergeCell ref="AE5:AE6"/>
    <mergeCell ref="BF5:BF6"/>
    <mergeCell ref="BH5:BH6"/>
    <mergeCell ref="AO5:AQ5"/>
    <mergeCell ref="BE5:BE6"/>
    <mergeCell ref="AZ5:AZ6"/>
    <mergeCell ref="BA5:BA6"/>
    <mergeCell ref="BB5:BB6"/>
    <mergeCell ref="BC5:BC6"/>
    <mergeCell ref="BD5:BD6"/>
    <mergeCell ref="AS5:AS6"/>
    <mergeCell ref="AU5:AU6"/>
    <mergeCell ref="AW5:AW6"/>
    <mergeCell ref="AR5:AR6"/>
  </mergeCells>
  <phoneticPr fontId="55" type="noConversion"/>
  <conditionalFormatting sqref="DQ7:DQ88">
    <cfRule type="expression" dxfId="8" priority="52">
      <formula>ROW()=RowVEN</formula>
    </cfRule>
  </conditionalFormatting>
  <dataValidations count="21">
    <dataValidation type="textLength" errorStyle="warning" operator="equal" allowBlank="1" showInputMessage="1" showErrorMessage="1" errorTitle="Validación de datos" error="Debe ingresar los 10 caracteres correspondientes en cada celda ó dejarla vacia de ser el caso." sqref="BD5 K5 R5" xr:uid="{00000000-0002-0000-0900-000000000000}">
      <formula1>10</formula1>
    </dataValidation>
    <dataValidation type="textLength" errorStyle="warning" operator="equal" allowBlank="1" showInputMessage="1" showErrorMessage="1" errorTitle="Validación de datos" error="Debe ingresar los 3 caracteres correspondientes en cada celda ó dejarla vacia de ser el caso." sqref="BA5:BB5 H5:I5 O5:P5 H7:I1048576 BA7:BB1048576 O7:P1048576" xr:uid="{00000000-0002-0000-0900-000001000000}">
      <formula1>3</formula1>
    </dataValidation>
    <dataValidation type="textLength" errorStyle="warning" allowBlank="1" showInputMessage="1" showErrorMessage="1" errorTitle="Validación de datos" error="Debe ingresar los 10 o 37 o 49 caracteres correspondientes en cada celda ó dejarla vacia de ser el caso." sqref="K1 K7:K1048576 BD7:BD1048576 R7:R1048576" xr:uid="{00000000-0002-0000-0900-000002000000}">
      <formula1>10</formula1>
      <formula2>49</formula2>
    </dataValidation>
    <dataValidation type="list" allowBlank="1" showInputMessage="1" showErrorMessage="1" sqref="CQ7:CR1048576" xr:uid="{00000000-0002-0000-0900-000003000000}">
      <formula1>pagos</formula1>
    </dataValidation>
    <dataValidation type="list" allowBlank="1" showInputMessage="1" showErrorMessage="1" sqref="CS7:CS1048576" xr:uid="{00000000-0002-0000-0900-000004000000}">
      <formula1>"01-REGIMEN GENERAL,02-PARAISO FISCAL,03-REGIMEN FISCAL PREFERENTE"</formula1>
    </dataValidation>
    <dataValidation type="list" allowBlank="1" showInputMessage="1" showErrorMessage="1" sqref="CX7:CZ1048576" xr:uid="{00000000-0002-0000-0900-000005000000}">
      <formula1>"SI,NO,NA"</formula1>
    </dataValidation>
    <dataValidation type="list" allowBlank="1" showInputMessage="1" showErrorMessage="1" sqref="CP7:CP1048576" xr:uid="{00000000-0002-0000-0900-000006000000}">
      <formula1>"01-PAGO A RESIDENTE,02-PAGO A NO RESIDENTE"</formula1>
    </dataValidation>
    <dataValidation type="list" allowBlank="1" showInputMessage="1" showErrorMessage="1" sqref="D7:D1048576" xr:uid="{00000000-0002-0000-0900-000007000000}">
      <formula1>"01-Persona Natural,02-Sociedad"</formula1>
    </dataValidation>
    <dataValidation type="list" allowBlank="1" showInputMessage="1" showErrorMessage="1" errorTitle="Anexos con Excel" error="Debe seleccionar 8 o 12 o 14" sqref="Y7:Y1048576 AB7:AB1048576 AE7:AE1048576" xr:uid="{00000000-0002-0000-0900-000008000000}">
      <formula1>tarifasIVA</formula1>
    </dataValidation>
    <dataValidation type="list" allowBlank="1" showInputMessage="1" showErrorMessage="1" sqref="T7:T1048576" xr:uid="{00000000-0002-0000-0900-000009000000}">
      <formula1>sustentos</formula1>
    </dataValidation>
    <dataValidation type="list" allowBlank="1" showInputMessage="1" showErrorMessage="1" sqref="G7:G1048576 N7:N1048576" xr:uid="{00000000-0002-0000-0900-00000A000000}">
      <formula1>ComprobantesCOM</formula1>
    </dataValidation>
    <dataValidation type="list" allowBlank="1" showInputMessage="1" showErrorMessage="1" sqref="E7:E1048576" xr:uid="{00000000-0002-0000-0900-00000B000000}">
      <formula1>"SI,NO"</formula1>
    </dataValidation>
    <dataValidation type="list" allowBlank="1" showInputMessage="1" showErrorMessage="1" sqref="F7:F1048576" xr:uid="{00000000-0002-0000-0900-00000C000000}">
      <formula1>"F-Fisico,E-Electronico"</formula1>
    </dataValidation>
    <dataValidation type="list" allowBlank="1" showInputMessage="1" showErrorMessage="1" sqref="AZ7:AZ1048576" xr:uid="{00000000-0002-0000-0900-00000D000000}">
      <formula1>"F-Fisico,E-Electronico(v1.0),E-Electronico(v2.0)"</formula1>
    </dataValidation>
    <dataValidation type="list" allowBlank="1" showInputMessage="1" showErrorMessage="1" sqref="AR7:AR1048576" xr:uid="{00000000-0002-0000-0900-00000E000000}">
      <formula1>ListaActividades</formula1>
    </dataValidation>
    <dataValidation type="list" allowBlank="1" showInputMessage="1" showErrorMessage="1" sqref="BF7:BF1048576 BO7:BO1048576 BX7:BX1048576" xr:uid="{00000000-0002-0000-0900-00000F000000}">
      <formula1>Retenciones</formula1>
    </dataValidation>
    <dataValidation type="list" allowBlank="1" showInputMessage="1" showErrorMessage="1" sqref="AO7:AO1048576" xr:uid="{00000000-0002-0000-0900-000010000000}">
      <formula1>gruContableGAS</formula1>
    </dataValidation>
    <dataValidation type="list" allowBlank="1" showInputMessage="1" showErrorMessage="1" sqref="B7:B1048576" xr:uid="{00000000-0002-0000-0900-000011000000}">
      <formula1>"R-Ruc,C-Cédula,P-Pasaporte,E-ID Exterior"</formula1>
    </dataValidation>
    <dataValidation type="list" allowBlank="1" showInputMessage="1" showErrorMessage="1" sqref="CT7:CT1048576" xr:uid="{00000000-0002-0000-0900-000012000000}">
      <formula1>IF($CS7="01-REGIMEN GENERAL",paises,"")</formula1>
    </dataValidation>
    <dataValidation type="list" allowBlank="1" showInputMessage="1" showErrorMessage="1" sqref="CU7:CU1048576" xr:uid="{00000000-0002-0000-0900-000013000000}">
      <formula1>IF($CS7="02-PARAISO FISCAL",paises17a,"")</formula1>
    </dataValidation>
    <dataValidation type="list" allowBlank="1" showInputMessage="1" showErrorMessage="1" sqref="CW7:CW1048576" xr:uid="{00000000-0002-0000-0900-000014000000}">
      <formula1>IF($CS7="02-PARAISO FISCAL",paises17b,IF($CS7="01-REGIMEN GENERAL",$CT7,paises))</formula1>
    </dataValidation>
  </dataValidations>
  <pageMargins left="0.7" right="0.7" top="0.75" bottom="0.75" header="0.3" footer="0.3"/>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4" filterMode="1"/>
  <dimension ref="A1:CU486"/>
  <sheetViews>
    <sheetView showGridLines="0" zoomScaleNormal="100" workbookViewId="0">
      <pane xSplit="3" ySplit="6" topLeftCell="CN438" activePane="bottomRight" state="frozen"/>
      <selection activeCell="D7" sqref="D7"/>
      <selection pane="topRight" activeCell="D7" sqref="D7"/>
      <selection pane="bottomLeft" activeCell="D7" sqref="D7"/>
      <selection pane="bottomRight" activeCell="C483" sqref="C483"/>
    </sheetView>
  </sheetViews>
  <sheetFormatPr baseColWidth="10" defaultColWidth="10.90625" defaultRowHeight="11.5" outlineLevelCol="1" x14ac:dyDescent="0.25"/>
  <cols>
    <col min="1" max="1" width="15" style="350" customWidth="1"/>
    <col min="2" max="2" width="8.90625" style="333" customWidth="1"/>
    <col min="3" max="3" width="44.453125" style="350" customWidth="1"/>
    <col min="4" max="4" width="19.6328125" style="333" customWidth="1" outlineLevel="1"/>
    <col min="5" max="5" width="8" style="351" customWidth="1"/>
    <col min="6" max="6" width="9.36328125" style="431" customWidth="1"/>
    <col min="7" max="7" width="12.453125" style="333" customWidth="1"/>
    <col min="8" max="8" width="20.6328125" style="333" customWidth="1"/>
    <col min="9" max="9" width="12" style="352" customWidth="1"/>
    <col min="10" max="10" width="7.36328125" style="368" customWidth="1"/>
    <col min="11" max="11" width="16" style="350" customWidth="1"/>
    <col min="12" max="12" width="17.6328125" style="350" customWidth="1" outlineLevel="1"/>
    <col min="13" max="13" width="11.453125" style="353" customWidth="1"/>
    <col min="14" max="14" width="10.90625" style="353" customWidth="1" outlineLevel="1"/>
    <col min="15" max="15" width="10.90625" style="353"/>
    <col min="16" max="16" width="12" style="353" customWidth="1"/>
    <col min="17" max="17" width="7.90625" style="353" customWidth="1"/>
    <col min="18" max="18" width="10.90625" style="353"/>
    <col min="19" max="19" width="12" style="353" customWidth="1"/>
    <col min="20" max="20" width="7.90625" style="353" customWidth="1"/>
    <col min="21" max="21" width="10.90625" style="353"/>
    <col min="22" max="22" width="12" style="353" customWidth="1"/>
    <col min="23" max="23" width="7.90625" style="353" customWidth="1"/>
    <col min="24" max="24" width="10.90625" style="353"/>
    <col min="25" max="27" width="11.453125" style="353" customWidth="1" outlineLevel="1"/>
    <col min="28" max="28" width="12.36328125" style="353" customWidth="1"/>
    <col min="29" max="29" width="11.453125" style="353" customWidth="1" outlineLevel="1"/>
    <col min="30" max="30" width="1.6328125" style="333" customWidth="1"/>
    <col min="31" max="31" width="13.54296875" style="350" customWidth="1" outlineLevel="1"/>
    <col min="32" max="32" width="20.6328125" style="353" customWidth="1" outlineLevel="1"/>
    <col min="33" max="33" width="11.453125" style="545" customWidth="1" outlineLevel="1"/>
    <col min="34" max="34" width="7.453125" style="350" customWidth="1" outlineLevel="1"/>
    <col min="35" max="35" width="27.6328125" style="333" customWidth="1"/>
    <col min="36" max="36" width="6.54296875" style="431" customWidth="1"/>
    <col min="37" max="37" width="11.90625" style="353" customWidth="1"/>
    <col min="38" max="38" width="6.54296875" style="431" customWidth="1"/>
    <col min="39" max="39" width="11.90625" style="353" customWidth="1"/>
    <col min="40" max="40" width="6.54296875" style="431" customWidth="1"/>
    <col min="41" max="41" width="11.90625" style="353" customWidth="1"/>
    <col min="42" max="42" width="1.08984375" style="333" customWidth="1"/>
    <col min="43" max="43" width="14.36328125" style="333" customWidth="1"/>
    <col min="44" max="45" width="10.90625" style="353" customWidth="1"/>
    <col min="46" max="46" width="10.90625" style="353" customWidth="1" outlineLevel="1"/>
    <col min="47" max="47" width="16.08984375" style="350" customWidth="1"/>
    <col min="48" max="48" width="13.08984375" style="352" customWidth="1" outlineLevel="1"/>
    <col min="49" max="49" width="18.453125" style="350" customWidth="1" outlineLevel="1"/>
    <col min="50" max="50" width="22.453125" style="352" customWidth="1" outlineLevel="1"/>
    <col min="51" max="51" width="12.36328125" style="350" customWidth="1" outlineLevel="1"/>
    <col min="52" max="52" width="7.453125" style="350" customWidth="1" outlineLevel="1"/>
    <col min="53" max="53" width="1.90625" style="333" customWidth="1"/>
    <col min="54" max="54" width="22.36328125" style="333" customWidth="1"/>
    <col min="55" max="55" width="22.36328125" style="333" customWidth="1" outlineLevel="1"/>
    <col min="56" max="56" width="1.90625" style="333" customWidth="1"/>
    <col min="57" max="57" width="7" style="351" customWidth="1"/>
    <col min="58" max="58" width="8.36328125" style="351" customWidth="1"/>
    <col min="59" max="64" width="11.453125" style="353" customWidth="1" outlineLevel="1"/>
    <col min="65" max="65" width="1.90625" style="333" customWidth="1"/>
    <col min="66" max="66" width="20.453125" style="350" customWidth="1" outlineLevel="1"/>
    <col min="67" max="67" width="9.54296875" style="368" customWidth="1" outlineLevel="1"/>
    <col min="68" max="69" width="9.90625" style="368" customWidth="1" outlineLevel="1"/>
    <col min="70" max="73" width="27.6328125" style="350" customWidth="1" outlineLevel="1"/>
    <col min="74" max="74" width="29.08984375" style="350" customWidth="1" outlineLevel="1"/>
    <col min="75" max="75" width="12" style="353" customWidth="1" outlineLevel="1"/>
    <col min="76" max="76" width="9.90625" style="350" customWidth="1" outlineLevel="1"/>
    <col min="77" max="77" width="11.54296875" style="350" customWidth="1" outlineLevel="1"/>
    <col min="78" max="78" width="12.36328125" style="470" customWidth="1" outlineLevel="1"/>
    <col min="79" max="79" width="11.453125" style="353" customWidth="1" outlineLevel="1"/>
    <col min="80" max="80" width="29.90625" style="350" customWidth="1"/>
    <col min="81" max="81" width="2" style="333" customWidth="1"/>
    <col min="82" max="87" width="9.6328125" style="353" customWidth="1" outlineLevel="1"/>
    <col min="88" max="99" width="11.08984375" style="353" customWidth="1" outlineLevel="1"/>
    <col min="100" max="100" width="3.08984375" style="333" customWidth="1"/>
    <col min="101" max="16384" width="10.90625" style="333"/>
  </cols>
  <sheetData>
    <row r="1" spans="1:99" ht="20.149999999999999" customHeight="1" x14ac:dyDescent="0.25">
      <c r="A1" s="372" t="str">
        <f>Parametros!D4&amp;" - "&amp;Parametros!D5</f>
        <v>0917809451001 - GARCIA RODRIGUEZ CHARLES MILTON</v>
      </c>
      <c r="B1" s="325"/>
      <c r="C1" s="322"/>
      <c r="D1" s="322"/>
      <c r="E1" s="323"/>
      <c r="F1" s="429"/>
      <c r="G1" s="322"/>
      <c r="H1" s="322"/>
      <c r="I1" s="324"/>
      <c r="J1" s="323"/>
      <c r="K1" s="322"/>
      <c r="L1" s="322"/>
      <c r="M1" s="322"/>
      <c r="N1" s="322"/>
      <c r="O1" s="326"/>
      <c r="P1" s="326"/>
      <c r="Q1" s="326"/>
      <c r="R1" s="326"/>
      <c r="S1" s="326"/>
      <c r="T1" s="326"/>
      <c r="U1" s="326"/>
      <c r="V1" s="326"/>
      <c r="W1" s="326"/>
      <c r="X1" s="326"/>
      <c r="Y1" s="326"/>
      <c r="Z1" s="326"/>
      <c r="AA1" s="326"/>
      <c r="AB1" s="326"/>
      <c r="AC1" s="326"/>
      <c r="AD1" s="540"/>
      <c r="AE1" s="322"/>
      <c r="AF1" s="326"/>
      <c r="AG1" s="367"/>
      <c r="AH1" s="367"/>
      <c r="AI1" s="322"/>
      <c r="AJ1" s="429"/>
      <c r="AK1" s="326"/>
      <c r="AL1" s="429"/>
      <c r="AM1" s="326"/>
      <c r="AN1" s="432"/>
      <c r="AO1" s="326"/>
      <c r="AP1" s="540"/>
      <c r="AQ1" s="332"/>
      <c r="AR1" s="326"/>
      <c r="AS1" s="326"/>
      <c r="AT1" s="326"/>
      <c r="AU1" s="367"/>
      <c r="AV1" s="644"/>
      <c r="AW1" s="367"/>
      <c r="AX1" s="332"/>
      <c r="AY1" s="367"/>
      <c r="AZ1" s="367"/>
      <c r="BA1" s="540"/>
      <c r="BB1" s="332"/>
      <c r="BC1" s="332"/>
      <c r="BD1" s="540"/>
      <c r="BE1" s="321"/>
      <c r="BF1" s="321"/>
      <c r="BG1" s="326"/>
      <c r="BH1" s="327"/>
      <c r="BI1" s="326"/>
      <c r="BJ1" s="326"/>
      <c r="BK1" s="326"/>
      <c r="BL1" s="326"/>
      <c r="BM1" s="540"/>
      <c r="BN1" s="322"/>
      <c r="BO1" s="323"/>
      <c r="BP1" s="323"/>
      <c r="BQ1" s="323"/>
      <c r="BW1" s="326"/>
      <c r="BX1" s="322"/>
      <c r="BY1" s="322"/>
      <c r="BZ1" s="469"/>
      <c r="CA1" s="326"/>
      <c r="CB1" s="322"/>
      <c r="CC1" s="332"/>
      <c r="CD1" s="326"/>
      <c r="CE1" s="326"/>
      <c r="CF1" s="326"/>
      <c r="CG1" s="326"/>
      <c r="CH1" s="326"/>
      <c r="CI1" s="326"/>
      <c r="CJ1" s="326"/>
      <c r="CK1" s="326"/>
      <c r="CL1" s="326"/>
      <c r="CM1" s="326"/>
      <c r="CN1" s="326"/>
      <c r="CO1" s="326"/>
      <c r="CP1" s="326"/>
      <c r="CQ1" s="326"/>
      <c r="CR1" s="326"/>
      <c r="CS1" s="326"/>
      <c r="CT1" s="326"/>
      <c r="CU1" s="326"/>
    </row>
    <row r="2" spans="1:99" ht="19.5" customHeight="1" thickBot="1" x14ac:dyDescent="0.3">
      <c r="A2" s="373" t="s">
        <v>1186</v>
      </c>
      <c r="B2" s="334"/>
      <c r="C2" s="334"/>
      <c r="D2" s="334"/>
      <c r="E2" s="323"/>
      <c r="F2" s="429"/>
      <c r="G2" s="322"/>
      <c r="H2" s="322"/>
      <c r="I2" s="324"/>
      <c r="J2" s="323"/>
      <c r="K2" s="322"/>
      <c r="L2" s="322"/>
      <c r="M2" s="322"/>
      <c r="N2" s="322"/>
      <c r="O2" s="326"/>
      <c r="P2" s="326"/>
      <c r="Q2" s="326"/>
      <c r="R2" s="326"/>
      <c r="S2" s="326"/>
      <c r="T2" s="326"/>
      <c r="U2" s="326"/>
      <c r="V2" s="326"/>
      <c r="W2" s="326"/>
      <c r="X2" s="326"/>
      <c r="Y2" s="326"/>
      <c r="Z2" s="326"/>
      <c r="AA2" s="326"/>
      <c r="AB2" s="326"/>
      <c r="AC2" s="326"/>
      <c r="AD2" s="540"/>
      <c r="AE2" s="322"/>
      <c r="AF2" s="326"/>
      <c r="AG2" s="367"/>
      <c r="AH2" s="367"/>
      <c r="AI2" s="322"/>
      <c r="AJ2" s="429"/>
      <c r="AK2" s="326"/>
      <c r="AL2" s="429"/>
      <c r="AM2" s="326"/>
      <c r="AN2" s="432"/>
      <c r="AO2" s="326"/>
      <c r="AP2" s="540"/>
      <c r="AQ2" s="332"/>
      <c r="AR2" s="326"/>
      <c r="AS2" s="326"/>
      <c r="AT2" s="326"/>
      <c r="AU2" s="367"/>
      <c r="AV2" s="644"/>
      <c r="AW2" s="367"/>
      <c r="AX2" s="332"/>
      <c r="AY2" s="367"/>
      <c r="AZ2" s="367"/>
      <c r="BA2" s="540"/>
      <c r="BB2" s="332"/>
      <c r="BC2" s="332"/>
      <c r="BD2" s="540"/>
      <c r="BE2" s="321"/>
      <c r="BF2" s="321"/>
      <c r="BG2" s="326"/>
      <c r="BH2" s="327"/>
      <c r="BI2" s="326"/>
      <c r="BJ2" s="326"/>
      <c r="BK2" s="326"/>
      <c r="BL2" s="326"/>
      <c r="BM2" s="540"/>
      <c r="BR2" s="322" t="s">
        <v>1662</v>
      </c>
      <c r="BS2" s="322" t="s">
        <v>1663</v>
      </c>
      <c r="BT2" s="322" t="s">
        <v>1666</v>
      </c>
      <c r="BU2" s="322" t="s">
        <v>1665</v>
      </c>
      <c r="BV2" s="322" t="s">
        <v>1867</v>
      </c>
      <c r="BW2" s="326"/>
      <c r="BX2" s="322"/>
      <c r="BY2" s="322" t="s">
        <v>1869</v>
      </c>
      <c r="BZ2" s="469"/>
      <c r="CA2" s="326"/>
      <c r="CB2" s="322"/>
      <c r="CC2" s="332"/>
      <c r="CD2" s="326"/>
      <c r="CE2" s="326"/>
      <c r="CF2" s="326"/>
      <c r="CG2" s="326"/>
      <c r="CH2" s="326"/>
      <c r="CI2" s="326"/>
      <c r="CJ2" s="326"/>
      <c r="CK2" s="326"/>
      <c r="CL2" s="326"/>
      <c r="CM2" s="326"/>
      <c r="CN2" s="326"/>
      <c r="CO2" s="326"/>
      <c r="CP2" s="326"/>
      <c r="CQ2" s="326"/>
      <c r="CR2" s="326"/>
      <c r="CS2" s="326"/>
      <c r="CT2" s="326"/>
      <c r="CU2" s="326"/>
    </row>
    <row r="3" spans="1:99" s="344" customFormat="1" ht="15.9" hidden="1" customHeight="1" thickBot="1" x14ac:dyDescent="0.3">
      <c r="A3" s="336"/>
      <c r="B3" s="369"/>
      <c r="C3" s="338"/>
      <c r="D3" s="338"/>
      <c r="E3" s="338"/>
      <c r="F3" s="430"/>
      <c r="G3" s="338"/>
      <c r="H3" s="338"/>
      <c r="I3" s="339"/>
      <c r="J3" s="338"/>
      <c r="K3" s="338"/>
      <c r="L3" s="338"/>
      <c r="M3" s="340"/>
      <c r="N3" s="340"/>
      <c r="O3" s="340"/>
      <c r="P3" s="340"/>
      <c r="Q3" s="340"/>
      <c r="R3" s="340"/>
      <c r="S3" s="340"/>
      <c r="T3" s="340"/>
      <c r="U3" s="340"/>
      <c r="V3" s="340"/>
      <c r="W3" s="340"/>
      <c r="X3" s="340"/>
      <c r="Y3" s="340"/>
      <c r="Z3" s="340"/>
      <c r="AA3" s="340"/>
      <c r="AB3" s="340"/>
      <c r="AC3" s="340"/>
      <c r="AD3" s="541"/>
      <c r="AE3" s="338"/>
      <c r="AF3" s="340"/>
      <c r="AG3" s="336"/>
      <c r="AH3" s="336"/>
      <c r="AI3" s="338"/>
      <c r="AJ3" s="430"/>
      <c r="AK3" s="340"/>
      <c r="AL3" s="430"/>
      <c r="AM3" s="340"/>
      <c r="AN3" s="433"/>
      <c r="AO3" s="340"/>
      <c r="AP3" s="541"/>
      <c r="AQ3" s="341"/>
      <c r="AR3" s="340"/>
      <c r="AS3" s="340"/>
      <c r="AT3" s="340"/>
      <c r="AU3" s="336"/>
      <c r="AV3" s="339"/>
      <c r="AW3" s="336"/>
      <c r="AX3" s="339"/>
      <c r="AY3" s="338"/>
      <c r="AZ3" s="336"/>
      <c r="BA3" s="541"/>
      <c r="BB3" s="341"/>
      <c r="BC3" s="341"/>
      <c r="BD3" s="541"/>
      <c r="BE3" s="337"/>
      <c r="BF3" s="337"/>
      <c r="BG3" s="340"/>
      <c r="BH3" s="340"/>
      <c r="BI3" s="340"/>
      <c r="BJ3" s="340"/>
      <c r="BK3" s="340"/>
      <c r="BL3" s="340"/>
      <c r="BM3" s="541"/>
      <c r="BN3" s="465"/>
      <c r="BO3" s="376"/>
      <c r="BP3" s="323"/>
      <c r="BQ3" s="323"/>
      <c r="BR3" s="465"/>
      <c r="BS3" s="465"/>
      <c r="BT3" s="465"/>
      <c r="BU3" s="465"/>
      <c r="BV3" s="465"/>
      <c r="BW3" s="326"/>
      <c r="BX3" s="338"/>
      <c r="BY3" s="338"/>
      <c r="BZ3" s="430"/>
      <c r="CA3" s="340"/>
      <c r="CB3" s="338"/>
      <c r="CC3" s="341"/>
      <c r="CD3" s="340"/>
      <c r="CE3" s="340"/>
      <c r="CF3" s="340"/>
      <c r="CG3" s="340"/>
      <c r="CH3" s="340"/>
      <c r="CI3" s="340"/>
      <c r="CJ3" s="340"/>
      <c r="CK3" s="340"/>
      <c r="CL3" s="340"/>
      <c r="CM3" s="340"/>
      <c r="CN3" s="340"/>
      <c r="CO3" s="340"/>
      <c r="CP3" s="340"/>
      <c r="CQ3" s="340"/>
      <c r="CR3" s="340"/>
      <c r="CS3" s="340"/>
      <c r="CT3" s="340"/>
      <c r="CU3" s="340"/>
    </row>
    <row r="4" spans="1:99" s="615" customFormat="1" ht="14.4" customHeight="1" x14ac:dyDescent="0.25">
      <c r="A4" s="370"/>
      <c r="B4" s="371" t="str">
        <f>"# Registros VENTAS : " &amp; COUNTIF(I:I,"&gt;0")</f>
        <v># Registros VENTAS : 480</v>
      </c>
      <c r="C4" s="595" t="s">
        <v>2113</v>
      </c>
      <c r="D4" s="596"/>
      <c r="E4" s="599" t="s">
        <v>2112</v>
      </c>
      <c r="F4" s="640"/>
      <c r="G4" s="601"/>
      <c r="H4" s="601"/>
      <c r="I4" s="619"/>
      <c r="J4" s="619"/>
      <c r="K4" s="619"/>
      <c r="L4" s="619"/>
      <c r="M4" s="599" t="s">
        <v>2117</v>
      </c>
      <c r="N4" s="537"/>
      <c r="O4" s="537"/>
      <c r="P4" s="600"/>
      <c r="Q4" s="599"/>
      <c r="R4" s="537"/>
      <c r="S4" s="600"/>
      <c r="T4" s="599"/>
      <c r="U4" s="537"/>
      <c r="V4" s="600"/>
      <c r="W4" s="599"/>
      <c r="X4" s="537"/>
      <c r="Y4" s="537"/>
      <c r="Z4" s="537"/>
      <c r="AA4" s="537"/>
      <c r="AB4" s="537"/>
      <c r="AC4" s="600"/>
      <c r="AD4" s="602"/>
      <c r="AE4" s="603"/>
      <c r="AF4" s="641" t="s">
        <v>1974</v>
      </c>
      <c r="AG4" s="642"/>
      <c r="AH4" s="643"/>
      <c r="AI4" s="597"/>
      <c r="AJ4" s="604" t="s">
        <v>1953</v>
      </c>
      <c r="AK4" s="537"/>
      <c r="AL4" s="605"/>
      <c r="AM4" s="537"/>
      <c r="AN4" s="605"/>
      <c r="AO4" s="600"/>
      <c r="AP4" s="602"/>
      <c r="AQ4" s="594" t="s">
        <v>2109</v>
      </c>
      <c r="AR4" s="537"/>
      <c r="AS4" s="600"/>
      <c r="AT4" s="600"/>
      <c r="AU4" s="601"/>
      <c r="AV4" s="619"/>
      <c r="AW4" s="601"/>
      <c r="AX4" s="594" t="s">
        <v>1974</v>
      </c>
      <c r="AY4" s="601"/>
      <c r="AZ4" s="606"/>
      <c r="BA4" s="602"/>
      <c r="BB4" s="594" t="s">
        <v>1273</v>
      </c>
      <c r="BC4" s="607"/>
      <c r="BD4" s="602"/>
      <c r="BE4" s="608" t="s">
        <v>678</v>
      </c>
      <c r="BF4" s="608" t="s">
        <v>678</v>
      </c>
      <c r="BG4" s="609" t="s">
        <v>678</v>
      </c>
      <c r="BH4" s="609" t="s">
        <v>678</v>
      </c>
      <c r="BI4" s="609" t="s">
        <v>678</v>
      </c>
      <c r="BJ4" s="609" t="s">
        <v>678</v>
      </c>
      <c r="BK4" s="609" t="s">
        <v>678</v>
      </c>
      <c r="BL4" s="609" t="s">
        <v>678</v>
      </c>
      <c r="BM4" s="602"/>
      <c r="BN4" s="603"/>
      <c r="BO4" s="610"/>
      <c r="BP4" s="611"/>
      <c r="BQ4" s="611"/>
      <c r="BR4" s="603"/>
      <c r="BS4" s="603"/>
      <c r="BT4" s="603"/>
      <c r="BU4" s="603"/>
      <c r="BV4" s="603"/>
      <c r="BW4" s="327"/>
      <c r="BX4" s="603"/>
      <c r="BY4" s="603"/>
      <c r="BZ4" s="612"/>
      <c r="CA4" s="609" t="s">
        <v>678</v>
      </c>
      <c r="CB4" s="598"/>
      <c r="CC4" s="614"/>
      <c r="CD4" s="1348" t="s">
        <v>1119</v>
      </c>
      <c r="CE4" s="1349"/>
      <c r="CF4" s="1349"/>
      <c r="CG4" s="1349"/>
      <c r="CH4" s="1349"/>
      <c r="CI4" s="1350"/>
      <c r="CJ4" s="1348" t="s">
        <v>1118</v>
      </c>
      <c r="CK4" s="1349"/>
      <c r="CL4" s="1349"/>
      <c r="CM4" s="1349"/>
      <c r="CN4" s="1349"/>
      <c r="CO4" s="1349"/>
      <c r="CP4" s="1349"/>
      <c r="CQ4" s="1349"/>
      <c r="CR4" s="1349"/>
      <c r="CS4" s="1349"/>
      <c r="CT4" s="1349"/>
      <c r="CU4" s="1350"/>
    </row>
    <row r="5" spans="1:99" ht="15.9" customHeight="1" thickBot="1" x14ac:dyDescent="0.3">
      <c r="A5" s="1287" t="s">
        <v>679</v>
      </c>
      <c r="B5" s="1351" t="s">
        <v>997</v>
      </c>
      <c r="C5" s="1289" t="s">
        <v>681</v>
      </c>
      <c r="D5" s="1351" t="s">
        <v>998</v>
      </c>
      <c r="E5" s="1351" t="s">
        <v>683</v>
      </c>
      <c r="F5" s="1353" t="s">
        <v>999</v>
      </c>
      <c r="G5" s="1351" t="s">
        <v>1000</v>
      </c>
      <c r="H5" s="1351" t="s">
        <v>1001</v>
      </c>
      <c r="I5" s="1375" t="s">
        <v>689</v>
      </c>
      <c r="J5" s="1373" t="s">
        <v>1002</v>
      </c>
      <c r="K5" s="1371" t="s">
        <v>2110</v>
      </c>
      <c r="L5" s="1371" t="s">
        <v>2111</v>
      </c>
      <c r="M5" s="814">
        <f>SUBTOTAL(9,M$6:M1463)</f>
        <v>0</v>
      </c>
      <c r="N5" s="814">
        <f>SUBTOTAL(9,N$6:N1463)</f>
        <v>0</v>
      </c>
      <c r="O5" s="592">
        <f>SUBTOTAL(9,O$6:O1463)</f>
        <v>0</v>
      </c>
      <c r="P5" s="814">
        <f>SUBTOTAL(9,P$6:P1463)</f>
        <v>21109.250000000011</v>
      </c>
      <c r="Q5" s="1278" t="s">
        <v>2266</v>
      </c>
      <c r="R5" s="814">
        <f>SUBTOTAL(9,R$6:R1463)</f>
        <v>3166.8699999999944</v>
      </c>
      <c r="S5" s="814">
        <f>SUBTOTAL(9,S$6:S1463)</f>
        <v>0</v>
      </c>
      <c r="T5" s="1278" t="s">
        <v>2267</v>
      </c>
      <c r="U5" s="814">
        <f>SUBTOTAL(9,U$6:U1463)</f>
        <v>0</v>
      </c>
      <c r="V5" s="814">
        <f>SUBTOTAL(9,V$6:V1463)</f>
        <v>0</v>
      </c>
      <c r="W5" s="1278" t="s">
        <v>2276</v>
      </c>
      <c r="X5" s="814">
        <f>SUBTOTAL(9,X$6:X1463)</f>
        <v>0</v>
      </c>
      <c r="Y5" s="592">
        <f>SUBTOTAL(9,Y$6:Y1463)</f>
        <v>0</v>
      </c>
      <c r="Z5" s="592">
        <f>SUBTOTAL(9,Z$6:Z1463)</f>
        <v>0</v>
      </c>
      <c r="AA5" s="592">
        <f>SUBTOTAL(9,AA$6:AA1463)</f>
        <v>0</v>
      </c>
      <c r="AB5" s="592">
        <f>SUBTOTAL(9,AB$6:AB1463)</f>
        <v>24276.119999999995</v>
      </c>
      <c r="AC5" s="592">
        <f>SUBTOTAL(9,AC$6:AC1463)</f>
        <v>0</v>
      </c>
      <c r="AD5" s="542"/>
      <c r="AE5" s="1338" t="s">
        <v>2086</v>
      </c>
      <c r="AF5" s="1284" t="s">
        <v>1815</v>
      </c>
      <c r="AG5" s="1284"/>
      <c r="AH5" s="1284"/>
      <c r="AI5" s="1293" t="s">
        <v>2114</v>
      </c>
      <c r="AJ5" s="1365" t="s">
        <v>1960</v>
      </c>
      <c r="AK5" s="588">
        <f>SUBTOTAL(9,AK$6:AK1463)</f>
        <v>21109.250000000011</v>
      </c>
      <c r="AL5" s="1365" t="s">
        <v>1961</v>
      </c>
      <c r="AM5" s="588">
        <f>SUBTOTAL(9,AM$6:AM1463)</f>
        <v>0</v>
      </c>
      <c r="AN5" s="1365" t="s">
        <v>1962</v>
      </c>
      <c r="AO5" s="588">
        <f>SUBTOTAL(9,AO$6:AO1463)</f>
        <v>0</v>
      </c>
      <c r="AP5" s="542"/>
      <c r="AQ5" s="1366" t="s">
        <v>1259</v>
      </c>
      <c r="AR5" s="592">
        <f>SUBTOTAL(9,AR$6:AR1463)</f>
        <v>11.68</v>
      </c>
      <c r="AS5" s="592">
        <f>SUBTOTAL(9,AS$6:AS1463)</f>
        <v>3.33</v>
      </c>
      <c r="AT5" s="592">
        <f>SUBTOTAL(9,AT$6:AT1463)</f>
        <v>0</v>
      </c>
      <c r="AU5" s="1363" t="s">
        <v>2106</v>
      </c>
      <c r="AV5" s="1360" t="s">
        <v>2107</v>
      </c>
      <c r="AW5" s="1368" t="s">
        <v>2108</v>
      </c>
      <c r="AX5" s="1284" t="s">
        <v>1968</v>
      </c>
      <c r="AY5" s="1284"/>
      <c r="AZ5" s="1284"/>
      <c r="BA5" s="542"/>
      <c r="BB5" s="1313" t="s">
        <v>1005</v>
      </c>
      <c r="BC5" s="1359" t="s">
        <v>1006</v>
      </c>
      <c r="BD5" s="542"/>
      <c r="BE5" s="1370" t="s">
        <v>1182</v>
      </c>
      <c r="BF5" s="1362" t="s">
        <v>1262</v>
      </c>
      <c r="BG5" s="1307" t="s">
        <v>739</v>
      </c>
      <c r="BH5" s="1358" t="s">
        <v>740</v>
      </c>
      <c r="BI5" s="1358" t="s">
        <v>741</v>
      </c>
      <c r="BJ5" s="1307" t="s">
        <v>2096</v>
      </c>
      <c r="BK5" s="1307" t="s">
        <v>2097</v>
      </c>
      <c r="BL5" s="1316" t="s">
        <v>2268</v>
      </c>
      <c r="BM5" s="542"/>
      <c r="BN5" s="1357" t="s">
        <v>1970</v>
      </c>
      <c r="BO5" s="1357"/>
      <c r="BP5" s="1357"/>
      <c r="BQ5" s="1357"/>
      <c r="BR5" s="1357"/>
      <c r="BS5" s="1357"/>
      <c r="BT5" s="1357"/>
      <c r="BU5" s="1357"/>
      <c r="BV5" s="1357"/>
      <c r="BW5" s="1357"/>
      <c r="BX5" s="1357"/>
      <c r="BY5" s="1326" t="s">
        <v>1865</v>
      </c>
      <c r="BZ5" s="1328" t="s">
        <v>1753</v>
      </c>
      <c r="CA5" s="1355" t="s">
        <v>2154</v>
      </c>
      <c r="CB5" s="1320" t="s">
        <v>742</v>
      </c>
      <c r="CC5" s="346"/>
      <c r="CD5" s="377"/>
      <c r="CE5" s="645">
        <f>SUBTOTAL(9,CE$6:CE1463)</f>
        <v>0</v>
      </c>
      <c r="CF5" s="378"/>
      <c r="CG5" s="645">
        <f>SUBTOTAL(9,CG$6:CG1463)</f>
        <v>0</v>
      </c>
      <c r="CH5" s="378"/>
      <c r="CI5" s="645">
        <f>SUBTOTAL(9,CI$6:CI1463)</f>
        <v>0</v>
      </c>
      <c r="CJ5" s="345"/>
      <c r="CK5" s="645">
        <f>SUBTOTAL(9,CK$6:CK1463)</f>
        <v>0</v>
      </c>
      <c r="CL5" s="345"/>
      <c r="CM5" s="645">
        <f>SUBTOTAL(9,CM$6:CM1463)</f>
        <v>0</v>
      </c>
      <c r="CN5" s="345"/>
      <c r="CO5" s="645">
        <f>SUBTOTAL(9,CO$6:CO1463)</f>
        <v>0</v>
      </c>
      <c r="CP5" s="345"/>
      <c r="CQ5" s="645">
        <f>SUBTOTAL(9,CQ$6:CQ1463)</f>
        <v>0</v>
      </c>
      <c r="CR5" s="345"/>
      <c r="CS5" s="645">
        <f>SUBTOTAL(9,CS$6:CS1463)</f>
        <v>0</v>
      </c>
      <c r="CT5" s="345"/>
      <c r="CU5" s="645">
        <f>SUBTOTAL(9,CU$6:CU1463)</f>
        <v>0</v>
      </c>
    </row>
    <row r="6" spans="1:99" ht="47.15" customHeight="1" x14ac:dyDescent="0.25">
      <c r="A6" s="1288"/>
      <c r="B6" s="1352"/>
      <c r="C6" s="1290"/>
      <c r="D6" s="1352"/>
      <c r="E6" s="1352"/>
      <c r="F6" s="1354"/>
      <c r="G6" s="1352"/>
      <c r="H6" s="1352"/>
      <c r="I6" s="1376"/>
      <c r="J6" s="1374"/>
      <c r="K6" s="1338"/>
      <c r="L6" s="1372"/>
      <c r="M6" s="862" t="s">
        <v>695</v>
      </c>
      <c r="N6" s="862" t="s">
        <v>1260</v>
      </c>
      <c r="O6" s="815" t="s">
        <v>697</v>
      </c>
      <c r="P6" s="841" t="s">
        <v>2295</v>
      </c>
      <c r="Q6" s="1279"/>
      <c r="R6" s="862" t="s">
        <v>2296</v>
      </c>
      <c r="S6" s="841" t="s">
        <v>2297</v>
      </c>
      <c r="T6" s="1279"/>
      <c r="U6" s="862" t="s">
        <v>2298</v>
      </c>
      <c r="V6" s="841" t="s">
        <v>2299</v>
      </c>
      <c r="W6" s="1279"/>
      <c r="X6" s="862" t="s">
        <v>2300</v>
      </c>
      <c r="Y6" s="840" t="s">
        <v>1258</v>
      </c>
      <c r="Z6" s="840" t="s">
        <v>1183</v>
      </c>
      <c r="AA6" s="840" t="s">
        <v>2280</v>
      </c>
      <c r="AB6" s="840" t="s">
        <v>702</v>
      </c>
      <c r="AC6" s="841" t="s">
        <v>1257</v>
      </c>
      <c r="AD6" s="543"/>
      <c r="AE6" s="1339"/>
      <c r="AF6" s="589" t="s">
        <v>1813</v>
      </c>
      <c r="AG6" s="593" t="s">
        <v>1812</v>
      </c>
      <c r="AH6" s="589" t="s">
        <v>1814</v>
      </c>
      <c r="AI6" s="1294"/>
      <c r="AJ6" s="1291"/>
      <c r="AK6" s="590" t="s">
        <v>703</v>
      </c>
      <c r="AL6" s="1291"/>
      <c r="AM6" s="590" t="s">
        <v>703</v>
      </c>
      <c r="AN6" s="1291"/>
      <c r="AO6" s="590" t="s">
        <v>703</v>
      </c>
      <c r="AP6" s="543"/>
      <c r="AQ6" s="1367"/>
      <c r="AR6" s="840" t="s">
        <v>1003</v>
      </c>
      <c r="AS6" s="840" t="s">
        <v>1004</v>
      </c>
      <c r="AT6" s="840" t="s">
        <v>1878</v>
      </c>
      <c r="AU6" s="1364"/>
      <c r="AV6" s="1361"/>
      <c r="AW6" s="1369"/>
      <c r="AX6" s="589" t="s">
        <v>1813</v>
      </c>
      <c r="AY6" s="593" t="s">
        <v>1812</v>
      </c>
      <c r="AZ6" s="589" t="s">
        <v>1814</v>
      </c>
      <c r="BA6" s="543"/>
      <c r="BB6" s="1314"/>
      <c r="BC6" s="1342"/>
      <c r="BD6" s="543"/>
      <c r="BE6" s="1344"/>
      <c r="BF6" s="1346"/>
      <c r="BG6" s="1308"/>
      <c r="BH6" s="1307"/>
      <c r="BI6" s="1307"/>
      <c r="BJ6" s="1308"/>
      <c r="BK6" s="1308"/>
      <c r="BL6" s="1317"/>
      <c r="BM6" s="543"/>
      <c r="BN6" s="589" t="s">
        <v>1866</v>
      </c>
      <c r="BO6" s="589" t="s">
        <v>1522</v>
      </c>
      <c r="BP6" s="589" t="s">
        <v>1569</v>
      </c>
      <c r="BQ6" s="589" t="s">
        <v>1523</v>
      </c>
      <c r="BR6" s="589" t="s">
        <v>1660</v>
      </c>
      <c r="BS6" s="589" t="s">
        <v>1661</v>
      </c>
      <c r="BT6" s="589" t="s">
        <v>1971</v>
      </c>
      <c r="BU6" s="589" t="s">
        <v>1664</v>
      </c>
      <c r="BV6" s="589" t="s">
        <v>1680</v>
      </c>
      <c r="BW6" s="589" t="s">
        <v>1566</v>
      </c>
      <c r="BX6" s="589" t="s">
        <v>1883</v>
      </c>
      <c r="BY6" s="1327"/>
      <c r="BZ6" s="1329"/>
      <c r="CA6" s="1356"/>
      <c r="CB6" s="1321"/>
      <c r="CC6" s="349"/>
      <c r="CD6" s="589" t="s">
        <v>1100</v>
      </c>
      <c r="CE6" s="589" t="s">
        <v>1103</v>
      </c>
      <c r="CF6" s="589" t="s">
        <v>1102</v>
      </c>
      <c r="CG6" s="589" t="s">
        <v>1104</v>
      </c>
      <c r="CH6" s="589" t="s">
        <v>1101</v>
      </c>
      <c r="CI6" s="589" t="s">
        <v>1105</v>
      </c>
      <c r="CJ6" s="589" t="s">
        <v>1106</v>
      </c>
      <c r="CK6" s="589" t="s">
        <v>1107</v>
      </c>
      <c r="CL6" s="589" t="s">
        <v>1108</v>
      </c>
      <c r="CM6" s="589" t="s">
        <v>1109</v>
      </c>
      <c r="CN6" s="589" t="s">
        <v>1110</v>
      </c>
      <c r="CO6" s="589" t="s">
        <v>1111</v>
      </c>
      <c r="CP6" s="589" t="s">
        <v>1112</v>
      </c>
      <c r="CQ6" s="589" t="s">
        <v>1113</v>
      </c>
      <c r="CR6" s="589" t="s">
        <v>1114</v>
      </c>
      <c r="CS6" s="589" t="s">
        <v>1115</v>
      </c>
      <c r="CT6" s="589" t="s">
        <v>1116</v>
      </c>
      <c r="CU6" s="589" t="s">
        <v>1117</v>
      </c>
    </row>
    <row r="7" spans="1:99" x14ac:dyDescent="0.25">
      <c r="A7" s="880" t="s">
        <v>1787</v>
      </c>
      <c r="B7" s="881" t="s">
        <v>1788</v>
      </c>
      <c r="C7" s="880" t="s">
        <v>2642</v>
      </c>
      <c r="D7" s="880"/>
      <c r="E7" s="884" t="s">
        <v>744</v>
      </c>
      <c r="F7" s="888">
        <v>1</v>
      </c>
      <c r="G7" s="881" t="s">
        <v>1007</v>
      </c>
      <c r="H7" s="881" t="s">
        <v>19</v>
      </c>
      <c r="I7" s="865">
        <v>46142</v>
      </c>
      <c r="J7" s="882" t="s">
        <v>8</v>
      </c>
      <c r="K7" s="880"/>
      <c r="L7" s="880"/>
      <c r="M7" s="883">
        <v>0</v>
      </c>
      <c r="N7" s="883">
        <v>0</v>
      </c>
      <c r="O7" s="883">
        <v>0</v>
      </c>
      <c r="P7" s="883">
        <v>17.39</v>
      </c>
      <c r="Q7" s="883">
        <v>15</v>
      </c>
      <c r="R7" s="883">
        <f>ROUND(P7*Q7%,2)</f>
        <v>2.61</v>
      </c>
      <c r="S7" s="883">
        <v>0</v>
      </c>
      <c r="T7" s="883">
        <v>5</v>
      </c>
      <c r="U7" s="883">
        <f>ROUND(S7*T7%,2)</f>
        <v>0</v>
      </c>
      <c r="V7" s="883">
        <v>0</v>
      </c>
      <c r="W7" s="883">
        <v>8</v>
      </c>
      <c r="X7" s="883">
        <f>ROUND(V7*W7%,2)</f>
        <v>0</v>
      </c>
      <c r="Y7" s="883">
        <v>0</v>
      </c>
      <c r="Z7" s="883">
        <v>0</v>
      </c>
      <c r="AA7" s="883">
        <v>0</v>
      </c>
      <c r="AB7" s="883">
        <f>ROUND(SUM(M7:P7)+SUM(R7:S7)+SUM(U7:V7)+SUM(X7:AA7),2)</f>
        <v>20</v>
      </c>
      <c r="AC7" s="883">
        <v>0</v>
      </c>
      <c r="AD7" s="881"/>
      <c r="AE7" s="880"/>
      <c r="AF7" s="883"/>
      <c r="AG7" s="889"/>
      <c r="AH7" s="880"/>
      <c r="AI7" s="880" t="s">
        <v>1241</v>
      </c>
      <c r="AJ7" s="884">
        <v>411</v>
      </c>
      <c r="AK7" s="883">
        <f>IF(OR(AJ7=441,AJ7=444,AJ7=417,AJ7=418),IF(AJ7=441,SUM($M7:$N7)+SUM($Y7:$AA7),SUM($M7:$P7)+$S7+$V7),IF(AND(AJ7&gt;412,AJ7&lt;417),$O7,IF(OR(AJ7=411,AJ7=412),$P7,IF(AJ7=420,$V7,IF(AJ7=435,$S7,0)))))</f>
        <v>17.39</v>
      </c>
      <c r="AL7" s="884">
        <v>413</v>
      </c>
      <c r="AM7" s="883">
        <f>IF(OR(AL7=441,AL7=444,AL7=417,AL7=418),IF(AL7=441,SUM($M7:$N7)+SUM($Y7:$AA7),SUM($M7:$P7)+$S7+$V7),IF(AND(AL7&gt;412,AL7&lt;417),$O7,IF(OR(AL7=411,AL7=412),$P7,IF(AL7=420,$V7,IF(AL7=435,$S7,0)))))</f>
        <v>0</v>
      </c>
      <c r="AN7" s="884">
        <v>441</v>
      </c>
      <c r="AO7" s="883">
        <f>IF(OR(AN7=441,AN7=444,AN7=417,AN7=418),IF(AN7=441,SUM($M7:$N7)+SUM($Y7:$AA7),SUM($M7:$P7)+$S7+$V7),IF(AND(AN7&gt;412,AN7&lt;417),$O7,IF(OR(AN7=411,AN7=412),$P7,IF(AN7=420,$V7,IF(AN7=435,$S7,0)))))</f>
        <v>0</v>
      </c>
      <c r="AP7" s="881"/>
      <c r="AQ7" s="881"/>
      <c r="AR7" s="883">
        <v>0</v>
      </c>
      <c r="AS7" s="883">
        <v>0</v>
      </c>
      <c r="AT7" s="883">
        <v>0</v>
      </c>
      <c r="AU7" s="880"/>
      <c r="AV7" s="886"/>
      <c r="AW7" s="880"/>
      <c r="AX7" s="886"/>
      <c r="AY7" s="880"/>
      <c r="AZ7" s="880"/>
      <c r="BA7" s="881"/>
      <c r="BB7" s="881" t="s">
        <v>57</v>
      </c>
      <c r="BC7" s="881"/>
      <c r="BD7" s="881"/>
      <c r="BE7" s="884">
        <f>IF(ISNUMBER(I7),MONTH(I7),0)</f>
        <v>4</v>
      </c>
      <c r="BF7" s="887" t="str">
        <f t="shared" ref="BF7:BF486" si="0">IF(ISNUMBER(I7),IF(ISERROR(HLOOKUP(MONTH(I7),meses_104,1,0)),"NO","SI"),"NO")</f>
        <v>SI</v>
      </c>
      <c r="BG7" s="883">
        <f>IF(ISBLANK(H7),0,IF(OR((VALUE(LEFT(H7,2))=4),((LEFT(H7,3))="372")),0,AK7))</f>
        <v>17.39</v>
      </c>
      <c r="BH7" s="883">
        <f>IF(ISBLANK(H7),0,IF(OR((VALUE(LEFT(H7,2))=4),((LEFT(H7,3))="372")),0,AM7))</f>
        <v>0</v>
      </c>
      <c r="BI7" s="883">
        <f>IF(ISBLANK(H7),0,IF(OR((VALUE(LEFT(H7,2))=4),((LEFT(H7,3))="372")),0,AO7))</f>
        <v>0</v>
      </c>
      <c r="BJ7" s="883">
        <f>SUM(M7:O7)+SUM(Y7:AA7)</f>
        <v>0</v>
      </c>
      <c r="BK7" s="883">
        <f>ROUND((IF(AJ7=444,(R7+U7+X7),0)+IF(AL7=444,(R7+U7+X7),0)+IF(AN7=444,(R7+U7+X7),0)),2)</f>
        <v>0</v>
      </c>
      <c r="BL7" s="883">
        <f>R7+U7+X7-BK7</f>
        <v>2.61</v>
      </c>
      <c r="BM7" s="881"/>
      <c r="BN7" s="880"/>
      <c r="BO7" s="882" t="s">
        <v>1579</v>
      </c>
      <c r="BP7" s="882" t="s">
        <v>2286</v>
      </c>
      <c r="BQ7" s="882" t="s">
        <v>2285</v>
      </c>
      <c r="BR7" s="880"/>
      <c r="BS7" s="880"/>
      <c r="BT7" s="880"/>
      <c r="BU7" s="880"/>
      <c r="BV7" s="880"/>
      <c r="BW7" s="883">
        <v>0</v>
      </c>
      <c r="BX7" s="883">
        <v>0</v>
      </c>
      <c r="BY7" s="883">
        <v>0</v>
      </c>
      <c r="BZ7" s="890"/>
      <c r="CA7" s="883">
        <f>ROUND((IF(OR(AJ7=413,AJ7=414),AK7,0)+IF(OR(AL7=413,AL7=414),AM7,0)+IF(OR(AN7=413,AN7=414),AO7,0)),2)</f>
        <v>0</v>
      </c>
      <c r="CB7" s="880"/>
      <c r="CC7" s="881"/>
      <c r="CD7" s="883"/>
      <c r="CE7" s="883"/>
      <c r="CF7" s="883"/>
      <c r="CG7" s="883"/>
      <c r="CH7" s="883"/>
      <c r="CI7" s="883"/>
      <c r="CJ7" s="883"/>
      <c r="CK7" s="883"/>
      <c r="CL7" s="883"/>
      <c r="CM7" s="883"/>
      <c r="CN7" s="883"/>
      <c r="CO7" s="883"/>
      <c r="CP7" s="883"/>
      <c r="CQ7" s="883"/>
      <c r="CR7" s="883"/>
      <c r="CS7" s="883"/>
      <c r="CT7" s="883"/>
      <c r="CU7" s="883"/>
    </row>
    <row r="8" spans="1:99" x14ac:dyDescent="0.25">
      <c r="A8" s="880" t="s">
        <v>1787</v>
      </c>
      <c r="B8" s="881" t="s">
        <v>1788</v>
      </c>
      <c r="C8" s="880" t="s">
        <v>2643</v>
      </c>
      <c r="D8" s="880"/>
      <c r="E8" s="884" t="s">
        <v>744</v>
      </c>
      <c r="F8" s="888">
        <v>1</v>
      </c>
      <c r="G8" s="881" t="s">
        <v>1007</v>
      </c>
      <c r="H8" s="881" t="s">
        <v>19</v>
      </c>
      <c r="I8" s="865">
        <v>46142</v>
      </c>
      <c r="J8" s="882" t="s">
        <v>8</v>
      </c>
      <c r="K8" s="880"/>
      <c r="L8" s="880"/>
      <c r="M8" s="883">
        <v>0</v>
      </c>
      <c r="N8" s="883">
        <v>0</v>
      </c>
      <c r="O8" s="883">
        <v>0</v>
      </c>
      <c r="P8" s="883">
        <v>22.32</v>
      </c>
      <c r="Q8" s="883">
        <v>15</v>
      </c>
      <c r="R8" s="883">
        <f>ROUND(P8*Q8%,2)</f>
        <v>3.35</v>
      </c>
      <c r="S8" s="883">
        <v>0</v>
      </c>
      <c r="T8" s="883">
        <v>5</v>
      </c>
      <c r="U8" s="883">
        <f>ROUND(S8*T8%,2)</f>
        <v>0</v>
      </c>
      <c r="V8" s="883">
        <v>0</v>
      </c>
      <c r="W8" s="883">
        <v>8</v>
      </c>
      <c r="X8" s="883">
        <f>ROUND(V8*W8%,2)</f>
        <v>0</v>
      </c>
      <c r="Y8" s="883">
        <v>0</v>
      </c>
      <c r="Z8" s="883">
        <v>0</v>
      </c>
      <c r="AA8" s="883">
        <v>0</v>
      </c>
      <c r="AB8" s="883">
        <f>ROUND(SUM(M8:P8)+SUM(R8:S8)+SUM(U8:V8)+SUM(X8:AA8),2)</f>
        <v>25.67</v>
      </c>
      <c r="AC8" s="883">
        <v>0</v>
      </c>
      <c r="AD8" s="881"/>
      <c r="AE8" s="880"/>
      <c r="AF8" s="883"/>
      <c r="AG8" s="889"/>
      <c r="AH8" s="880"/>
      <c r="AI8" s="880" t="s">
        <v>1241</v>
      </c>
      <c r="AJ8" s="884">
        <v>411</v>
      </c>
      <c r="AK8" s="883">
        <f>IF(OR(AJ8=441,AJ8=444,AJ8=417,AJ8=418),IF(AJ8=441,SUM($M8:$N8)+SUM($Y8:$AA8),SUM($M8:$P8)+$S8+$V8),IF(AND(AJ8&gt;412,AJ8&lt;417),$O8,IF(OR(AJ8=411,AJ8=412),$P8,IF(AJ8=420,$V8,IF(AJ8=435,$S8,0)))))</f>
        <v>22.32</v>
      </c>
      <c r="AL8" s="884">
        <v>413</v>
      </c>
      <c r="AM8" s="883">
        <f>IF(OR(AL8=441,AL8=444,AL8=417,AL8=418),IF(AL8=441,SUM($M8:$N8)+SUM($Y8:$AA8),SUM($M8:$P8)+$S8+$V8),IF(AND(AL8&gt;412,AL8&lt;417),$O8,IF(OR(AL8=411,AL8=412),$P8,IF(AL8=420,$V8,IF(AL8=435,$S8,0)))))</f>
        <v>0</v>
      </c>
      <c r="AN8" s="884">
        <v>441</v>
      </c>
      <c r="AO8" s="883">
        <f>IF(OR(AN8=441,AN8=444,AN8=417,AN8=418),IF(AN8=441,SUM($M8:$N8)+SUM($Y8:$AA8),SUM($M8:$P8)+$S8+$V8),IF(AND(AN8&gt;412,AN8&lt;417),$O8,IF(OR(AN8=411,AN8=412),$P8,IF(AN8=420,$V8,IF(AN8=435,$S8,0)))))</f>
        <v>0</v>
      </c>
      <c r="AP8" s="881"/>
      <c r="AQ8" s="881"/>
      <c r="AR8" s="883">
        <v>0</v>
      </c>
      <c r="AS8" s="883">
        <v>0</v>
      </c>
      <c r="AT8" s="883">
        <v>0</v>
      </c>
      <c r="AU8" s="880"/>
      <c r="AV8" s="886"/>
      <c r="AW8" s="880"/>
      <c r="AX8" s="886"/>
      <c r="AY8" s="880"/>
      <c r="AZ8" s="880"/>
      <c r="BA8" s="881"/>
      <c r="BB8" s="881" t="s">
        <v>57</v>
      </c>
      <c r="BC8" s="881"/>
      <c r="BD8" s="881"/>
      <c r="BE8" s="884">
        <f>IF(ISNUMBER(I8),MONTH(I8),0)</f>
        <v>4</v>
      </c>
      <c r="BF8" s="887" t="str">
        <f t="shared" si="0"/>
        <v>SI</v>
      </c>
      <c r="BG8" s="883">
        <f>IF(ISBLANK(H8),0,IF(OR((VALUE(LEFT(H8,2))=4),((LEFT(H8,3))="372")),0,AK8))</f>
        <v>22.32</v>
      </c>
      <c r="BH8" s="883">
        <f>IF(ISBLANK(H8),0,IF(OR((VALUE(LEFT(H8,2))=4),((LEFT(H8,3))="372")),0,AM8))</f>
        <v>0</v>
      </c>
      <c r="BI8" s="883">
        <f>IF(ISBLANK(H8),0,IF(OR((VALUE(LEFT(H8,2))=4),((LEFT(H8,3))="372")),0,AO8))</f>
        <v>0</v>
      </c>
      <c r="BJ8" s="883">
        <f>SUM(M8:O8)+SUM(Y8:AA8)</f>
        <v>0</v>
      </c>
      <c r="BK8" s="883">
        <f>ROUND((IF(AJ8=444,(R8+U8+X8),0)+IF(AL8=444,(R8+U8+X8),0)+IF(AN8=444,(R8+U8+X8),0)),2)</f>
        <v>0</v>
      </c>
      <c r="BL8" s="883">
        <f>R8+U8+X8-BK8</f>
        <v>3.35</v>
      </c>
      <c r="BM8" s="881"/>
      <c r="BN8" s="880"/>
      <c r="BO8" s="882" t="s">
        <v>1579</v>
      </c>
      <c r="BP8" s="882" t="s">
        <v>2286</v>
      </c>
      <c r="BQ8" s="882" t="s">
        <v>2285</v>
      </c>
      <c r="BR8" s="880"/>
      <c r="BS8" s="880"/>
      <c r="BT8" s="880"/>
      <c r="BU8" s="880"/>
      <c r="BV8" s="880"/>
      <c r="BW8" s="883">
        <v>0</v>
      </c>
      <c r="BX8" s="883">
        <v>0</v>
      </c>
      <c r="BY8" s="883">
        <v>0</v>
      </c>
      <c r="BZ8" s="890"/>
      <c r="CA8" s="883">
        <f>ROUND((IF(OR(AJ8=413,AJ8=414),AK8,0)+IF(OR(AL8=413,AL8=414),AM8,0)+IF(OR(AN8=413,AN8=414),AO8,0)),2)</f>
        <v>0</v>
      </c>
      <c r="CB8" s="880"/>
      <c r="CC8" s="881"/>
      <c r="CD8" s="883"/>
      <c r="CE8" s="883"/>
      <c r="CF8" s="883"/>
      <c r="CG8" s="883"/>
      <c r="CH8" s="883"/>
      <c r="CI8" s="883"/>
      <c r="CJ8" s="883"/>
      <c r="CK8" s="883"/>
      <c r="CL8" s="883"/>
      <c r="CM8" s="883"/>
      <c r="CN8" s="883"/>
      <c r="CO8" s="883"/>
      <c r="CP8" s="883"/>
      <c r="CQ8" s="883"/>
      <c r="CR8" s="883"/>
      <c r="CS8" s="883"/>
      <c r="CT8" s="883"/>
      <c r="CU8" s="883"/>
    </row>
    <row r="9" spans="1:99" x14ac:dyDescent="0.25">
      <c r="A9" s="880" t="s">
        <v>1787</v>
      </c>
      <c r="B9" s="881" t="s">
        <v>1788</v>
      </c>
      <c r="C9" s="880" t="s">
        <v>2644</v>
      </c>
      <c r="D9" s="880"/>
      <c r="E9" s="884" t="s">
        <v>744</v>
      </c>
      <c r="F9" s="888">
        <v>1</v>
      </c>
      <c r="G9" s="881" t="s">
        <v>1007</v>
      </c>
      <c r="H9" s="881" t="s">
        <v>19</v>
      </c>
      <c r="I9" s="865">
        <v>46142</v>
      </c>
      <c r="J9" s="882" t="s">
        <v>8</v>
      </c>
      <c r="K9" s="880"/>
      <c r="L9" s="880"/>
      <c r="M9" s="883">
        <v>0</v>
      </c>
      <c r="N9" s="883">
        <v>0</v>
      </c>
      <c r="O9" s="883">
        <v>0</v>
      </c>
      <c r="P9" s="883">
        <v>26.09</v>
      </c>
      <c r="Q9" s="883">
        <v>15</v>
      </c>
      <c r="R9" s="883">
        <f t="shared" ref="R9:R485" si="1">ROUND(P9*Q9%,2)</f>
        <v>3.91</v>
      </c>
      <c r="S9" s="883">
        <v>0</v>
      </c>
      <c r="T9" s="883">
        <v>5</v>
      </c>
      <c r="U9" s="883">
        <f t="shared" ref="U9:U485" si="2">ROUND(S9*T9%,2)</f>
        <v>0</v>
      </c>
      <c r="V9" s="883">
        <v>0</v>
      </c>
      <c r="W9" s="883">
        <v>8</v>
      </c>
      <c r="X9" s="883">
        <f t="shared" ref="X9:X485" si="3">ROUND(V9*W9%,2)</f>
        <v>0</v>
      </c>
      <c r="Y9" s="883">
        <v>0</v>
      </c>
      <c r="Z9" s="883">
        <v>0</v>
      </c>
      <c r="AA9" s="883">
        <v>0</v>
      </c>
      <c r="AB9" s="883">
        <f t="shared" ref="AB9:AB485" si="4">ROUND(SUM(M9:P9)+SUM(R9:S9)+SUM(U9:V9)+SUM(X9:AA9),2)</f>
        <v>30</v>
      </c>
      <c r="AC9" s="883">
        <v>0</v>
      </c>
      <c r="AD9" s="881"/>
      <c r="AE9" s="880"/>
      <c r="AF9" s="883"/>
      <c r="AG9" s="889"/>
      <c r="AH9" s="880"/>
      <c r="AI9" s="880" t="s">
        <v>1241</v>
      </c>
      <c r="AJ9" s="884">
        <v>411</v>
      </c>
      <c r="AK9" s="883">
        <f t="shared" ref="AK9:AK485" si="5">IF(OR(AJ9=441,AJ9=444,AJ9=417,AJ9=418),IF(AJ9=441,SUM($M9:$N9)+SUM($Y9:$AA9),SUM($M9:$P9)+$S9+$V9),IF(AND(AJ9&gt;412,AJ9&lt;417),$O9,IF(OR(AJ9=411,AJ9=412),$P9,IF(AJ9=420,$V9,IF(AJ9=435,$S9,0)))))</f>
        <v>26.09</v>
      </c>
      <c r="AL9" s="884">
        <v>413</v>
      </c>
      <c r="AM9" s="883">
        <f t="shared" ref="AM9:AM485" si="6">IF(OR(AL9=441,AL9=444,AL9=417,AL9=418),IF(AL9=441,SUM($M9:$N9)+SUM($Y9:$AA9),SUM($M9:$P9)+$S9+$V9),IF(AND(AL9&gt;412,AL9&lt;417),$O9,IF(OR(AL9=411,AL9=412),$P9,IF(AL9=420,$V9,IF(AL9=435,$S9,0)))))</f>
        <v>0</v>
      </c>
      <c r="AN9" s="884">
        <v>441</v>
      </c>
      <c r="AO9" s="883">
        <f t="shared" ref="AO9:AO485" si="7">IF(OR(AN9=441,AN9=444,AN9=417,AN9=418),IF(AN9=441,SUM($M9:$N9)+SUM($Y9:$AA9),SUM($M9:$P9)+$S9+$V9),IF(AND(AN9&gt;412,AN9&lt;417),$O9,IF(OR(AN9=411,AN9=412),$P9,IF(AN9=420,$V9,IF(AN9=435,$S9,0)))))</f>
        <v>0</v>
      </c>
      <c r="AP9" s="881"/>
      <c r="AQ9" s="881"/>
      <c r="AR9" s="883">
        <v>0</v>
      </c>
      <c r="AS9" s="883">
        <v>0</v>
      </c>
      <c r="AT9" s="883">
        <v>0</v>
      </c>
      <c r="AU9" s="880"/>
      <c r="AV9" s="886"/>
      <c r="AW9" s="880"/>
      <c r="AX9" s="886"/>
      <c r="AY9" s="880"/>
      <c r="AZ9" s="880"/>
      <c r="BA9" s="881"/>
      <c r="BB9" s="881" t="s">
        <v>57</v>
      </c>
      <c r="BC9" s="881"/>
      <c r="BD9" s="881"/>
      <c r="BE9" s="884">
        <f t="shared" ref="BE9:BE485" si="8">IF(ISNUMBER(I9),MONTH(I9),0)</f>
        <v>4</v>
      </c>
      <c r="BF9" s="887" t="str">
        <f t="shared" si="0"/>
        <v>SI</v>
      </c>
      <c r="BG9" s="883">
        <f t="shared" ref="BG9:BG485" si="9">IF(ISBLANK(H9),0,IF(OR((VALUE(LEFT(H9,2))=4),((LEFT(H9,3))="372")),0,AK9))</f>
        <v>26.09</v>
      </c>
      <c r="BH9" s="883">
        <f t="shared" ref="BH9:BH485" si="10">IF(ISBLANK(H9),0,IF(OR((VALUE(LEFT(H9,2))=4),((LEFT(H9,3))="372")),0,AM9))</f>
        <v>0</v>
      </c>
      <c r="BI9" s="883">
        <f t="shared" ref="BI9:BI485" si="11">IF(ISBLANK(H9),0,IF(OR((VALUE(LEFT(H9,2))=4),((LEFT(H9,3))="372")),0,AO9))</f>
        <v>0</v>
      </c>
      <c r="BJ9" s="883">
        <f t="shared" ref="BJ9:BJ485" si="12">SUM(M9:O9)+SUM(Y9:AA9)</f>
        <v>0</v>
      </c>
      <c r="BK9" s="883">
        <f t="shared" ref="BK9:BK485" si="13">ROUND((IF(AJ9=444,(R9+U9+X9),0)+IF(AL9=444,(R9+U9+X9),0)+IF(AN9=444,(R9+U9+X9),0)),2)</f>
        <v>0</v>
      </c>
      <c r="BL9" s="883">
        <f t="shared" ref="BL9:BL485" si="14">R9+U9+X9-BK9</f>
        <v>3.91</v>
      </c>
      <c r="BM9" s="881"/>
      <c r="BN9" s="880"/>
      <c r="BO9" s="882" t="s">
        <v>1579</v>
      </c>
      <c r="BP9" s="882" t="s">
        <v>2286</v>
      </c>
      <c r="BQ9" s="882" t="s">
        <v>2285</v>
      </c>
      <c r="BR9" s="880"/>
      <c r="BS9" s="880"/>
      <c r="BT9" s="880"/>
      <c r="BU9" s="880"/>
      <c r="BV9" s="880"/>
      <c r="BW9" s="883">
        <v>0</v>
      </c>
      <c r="BX9" s="883">
        <v>0</v>
      </c>
      <c r="BY9" s="883">
        <v>0</v>
      </c>
      <c r="BZ9" s="890"/>
      <c r="CA9" s="883">
        <f t="shared" ref="CA9:CA485" si="15">ROUND((IF(OR(AJ9=413,AJ9=414),AK9,0)+IF(OR(AL9=413,AL9=414),AM9,0)+IF(OR(AN9=413,AN9=414),AO9,0)),2)</f>
        <v>0</v>
      </c>
      <c r="CB9" s="880"/>
      <c r="CC9" s="881"/>
      <c r="CD9" s="883"/>
      <c r="CE9" s="883"/>
      <c r="CF9" s="883"/>
      <c r="CG9" s="883"/>
      <c r="CH9" s="883"/>
      <c r="CI9" s="883"/>
      <c r="CJ9" s="883"/>
      <c r="CK9" s="883"/>
      <c r="CL9" s="883"/>
      <c r="CM9" s="883"/>
      <c r="CN9" s="883"/>
      <c r="CO9" s="883"/>
      <c r="CP9" s="883"/>
      <c r="CQ9" s="883"/>
      <c r="CR9" s="883"/>
      <c r="CS9" s="883"/>
      <c r="CT9" s="883"/>
      <c r="CU9" s="883"/>
    </row>
    <row r="10" spans="1:99" x14ac:dyDescent="0.25">
      <c r="A10" s="880" t="s">
        <v>1787</v>
      </c>
      <c r="B10" s="881" t="s">
        <v>1788</v>
      </c>
      <c r="C10" s="880" t="s">
        <v>2645</v>
      </c>
      <c r="D10" s="880"/>
      <c r="E10" s="884" t="s">
        <v>744</v>
      </c>
      <c r="F10" s="888">
        <v>1</v>
      </c>
      <c r="G10" s="881" t="s">
        <v>1007</v>
      </c>
      <c r="H10" s="881" t="s">
        <v>19</v>
      </c>
      <c r="I10" s="865">
        <v>46142</v>
      </c>
      <c r="J10" s="882" t="s">
        <v>8</v>
      </c>
      <c r="K10" s="880"/>
      <c r="L10" s="880"/>
      <c r="M10" s="883">
        <v>0</v>
      </c>
      <c r="N10" s="883">
        <v>0</v>
      </c>
      <c r="O10" s="883">
        <v>0</v>
      </c>
      <c r="P10" s="883">
        <v>22.32</v>
      </c>
      <c r="Q10" s="883">
        <v>15</v>
      </c>
      <c r="R10" s="883">
        <f t="shared" si="1"/>
        <v>3.35</v>
      </c>
      <c r="S10" s="883">
        <v>0</v>
      </c>
      <c r="T10" s="883">
        <v>5</v>
      </c>
      <c r="U10" s="883">
        <f t="shared" si="2"/>
        <v>0</v>
      </c>
      <c r="V10" s="883">
        <v>0</v>
      </c>
      <c r="W10" s="883">
        <v>8</v>
      </c>
      <c r="X10" s="883">
        <f t="shared" si="3"/>
        <v>0</v>
      </c>
      <c r="Y10" s="883">
        <v>0</v>
      </c>
      <c r="Z10" s="883">
        <v>0</v>
      </c>
      <c r="AA10" s="883">
        <v>0</v>
      </c>
      <c r="AB10" s="883">
        <f t="shared" si="4"/>
        <v>25.67</v>
      </c>
      <c r="AC10" s="883">
        <v>0</v>
      </c>
      <c r="AD10" s="881"/>
      <c r="AE10" s="880"/>
      <c r="AF10" s="883"/>
      <c r="AG10" s="889"/>
      <c r="AH10" s="880"/>
      <c r="AI10" s="880" t="s">
        <v>1241</v>
      </c>
      <c r="AJ10" s="884">
        <v>411</v>
      </c>
      <c r="AK10" s="883">
        <f t="shared" si="5"/>
        <v>22.32</v>
      </c>
      <c r="AL10" s="884">
        <v>413</v>
      </c>
      <c r="AM10" s="883">
        <f t="shared" si="6"/>
        <v>0</v>
      </c>
      <c r="AN10" s="884">
        <v>441</v>
      </c>
      <c r="AO10" s="883">
        <f t="shared" si="7"/>
        <v>0</v>
      </c>
      <c r="AP10" s="881"/>
      <c r="AQ10" s="881"/>
      <c r="AR10" s="883">
        <v>0</v>
      </c>
      <c r="AS10" s="883">
        <v>0</v>
      </c>
      <c r="AT10" s="883">
        <v>0</v>
      </c>
      <c r="AU10" s="880"/>
      <c r="AV10" s="886"/>
      <c r="AW10" s="880"/>
      <c r="AX10" s="886"/>
      <c r="AY10" s="880"/>
      <c r="AZ10" s="880"/>
      <c r="BA10" s="881"/>
      <c r="BB10" s="881" t="s">
        <v>57</v>
      </c>
      <c r="BC10" s="881"/>
      <c r="BD10" s="881"/>
      <c r="BE10" s="884">
        <f t="shared" si="8"/>
        <v>4</v>
      </c>
      <c r="BF10" s="887" t="str">
        <f t="shared" si="0"/>
        <v>SI</v>
      </c>
      <c r="BG10" s="883">
        <f t="shared" si="9"/>
        <v>22.32</v>
      </c>
      <c r="BH10" s="883">
        <f t="shared" si="10"/>
        <v>0</v>
      </c>
      <c r="BI10" s="883">
        <f t="shared" si="11"/>
        <v>0</v>
      </c>
      <c r="BJ10" s="883">
        <f t="shared" si="12"/>
        <v>0</v>
      </c>
      <c r="BK10" s="883">
        <f t="shared" si="13"/>
        <v>0</v>
      </c>
      <c r="BL10" s="883">
        <f t="shared" si="14"/>
        <v>3.35</v>
      </c>
      <c r="BM10" s="881"/>
      <c r="BN10" s="880"/>
      <c r="BO10" s="882" t="s">
        <v>1579</v>
      </c>
      <c r="BP10" s="882" t="s">
        <v>2286</v>
      </c>
      <c r="BQ10" s="882" t="s">
        <v>2285</v>
      </c>
      <c r="BR10" s="880"/>
      <c r="BS10" s="880"/>
      <c r="BT10" s="880"/>
      <c r="BU10" s="880"/>
      <c r="BV10" s="880"/>
      <c r="BW10" s="883">
        <v>0</v>
      </c>
      <c r="BX10" s="883">
        <v>0</v>
      </c>
      <c r="BY10" s="883">
        <v>0</v>
      </c>
      <c r="BZ10" s="890"/>
      <c r="CA10" s="883">
        <f t="shared" si="15"/>
        <v>0</v>
      </c>
      <c r="CB10" s="880"/>
      <c r="CC10" s="881"/>
      <c r="CD10" s="883"/>
      <c r="CE10" s="883"/>
      <c r="CF10" s="883"/>
      <c r="CG10" s="883"/>
      <c r="CH10" s="883"/>
      <c r="CI10" s="883"/>
      <c r="CJ10" s="883"/>
      <c r="CK10" s="883"/>
      <c r="CL10" s="883"/>
      <c r="CM10" s="883"/>
      <c r="CN10" s="883"/>
      <c r="CO10" s="883"/>
      <c r="CP10" s="883"/>
      <c r="CQ10" s="883"/>
      <c r="CR10" s="883"/>
      <c r="CS10" s="883"/>
      <c r="CT10" s="883"/>
      <c r="CU10" s="883"/>
    </row>
    <row r="11" spans="1:99" x14ac:dyDescent="0.25">
      <c r="A11" s="880" t="s">
        <v>1787</v>
      </c>
      <c r="B11" s="881" t="s">
        <v>1788</v>
      </c>
      <c r="C11" s="880" t="s">
        <v>2646</v>
      </c>
      <c r="D11" s="880"/>
      <c r="E11" s="884" t="s">
        <v>744</v>
      </c>
      <c r="F11" s="888">
        <v>1</v>
      </c>
      <c r="G11" s="881" t="s">
        <v>1007</v>
      </c>
      <c r="H11" s="881" t="s">
        <v>19</v>
      </c>
      <c r="I11" s="865">
        <v>46142</v>
      </c>
      <c r="J11" s="882" t="s">
        <v>8</v>
      </c>
      <c r="K11" s="880"/>
      <c r="L11" s="880"/>
      <c r="M11" s="883">
        <v>0</v>
      </c>
      <c r="N11" s="883">
        <v>0</v>
      </c>
      <c r="O11" s="883">
        <v>0</v>
      </c>
      <c r="P11" s="883">
        <v>8.6999999999999993</v>
      </c>
      <c r="Q11" s="883">
        <v>15</v>
      </c>
      <c r="R11" s="883">
        <f t="shared" ref="R11:R74" si="16">ROUND(P11*Q11%,2)</f>
        <v>1.31</v>
      </c>
      <c r="S11" s="883">
        <v>0</v>
      </c>
      <c r="T11" s="883">
        <v>5</v>
      </c>
      <c r="U11" s="883">
        <f t="shared" ref="U11:U74" si="17">ROUND(S11*T11%,2)</f>
        <v>0</v>
      </c>
      <c r="V11" s="883">
        <v>0</v>
      </c>
      <c r="W11" s="883">
        <v>8</v>
      </c>
      <c r="X11" s="883">
        <f t="shared" ref="X11:X74" si="18">ROUND(V11*W11%,2)</f>
        <v>0</v>
      </c>
      <c r="Y11" s="883">
        <v>0</v>
      </c>
      <c r="Z11" s="883">
        <v>0</v>
      </c>
      <c r="AA11" s="883">
        <v>0</v>
      </c>
      <c r="AB11" s="883">
        <f t="shared" ref="AB11:AB74" si="19">ROUND(SUM(M11:P11)+SUM(R11:S11)+SUM(U11:V11)+SUM(X11:AA11),2)</f>
        <v>10.01</v>
      </c>
      <c r="AC11" s="883">
        <v>0</v>
      </c>
      <c r="AD11" s="881"/>
      <c r="AE11" s="880"/>
      <c r="AF11" s="883"/>
      <c r="AG11" s="889"/>
      <c r="AH11" s="880"/>
      <c r="AI11" s="880" t="s">
        <v>1241</v>
      </c>
      <c r="AJ11" s="884">
        <v>411</v>
      </c>
      <c r="AK11" s="883">
        <f t="shared" ref="AK11:AK74" si="20">IF(OR(AJ11=441,AJ11=444,AJ11=417,AJ11=418),IF(AJ11=441,SUM($M11:$N11)+SUM($Y11:$AA11),SUM($M11:$P11)+$S11+$V11),IF(AND(AJ11&gt;412,AJ11&lt;417),$O11,IF(OR(AJ11=411,AJ11=412),$P11,IF(AJ11=420,$V11,IF(AJ11=435,$S11,0)))))</f>
        <v>8.6999999999999993</v>
      </c>
      <c r="AL11" s="884">
        <v>413</v>
      </c>
      <c r="AM11" s="883">
        <f t="shared" ref="AM11:AM74" si="21">IF(OR(AL11=441,AL11=444,AL11=417,AL11=418),IF(AL11=441,SUM($M11:$N11)+SUM($Y11:$AA11),SUM($M11:$P11)+$S11+$V11),IF(AND(AL11&gt;412,AL11&lt;417),$O11,IF(OR(AL11=411,AL11=412),$P11,IF(AL11=420,$V11,IF(AL11=435,$S11,0)))))</f>
        <v>0</v>
      </c>
      <c r="AN11" s="884">
        <v>441</v>
      </c>
      <c r="AO11" s="883">
        <f t="shared" ref="AO11:AO74" si="22">IF(OR(AN11=441,AN11=444,AN11=417,AN11=418),IF(AN11=441,SUM($M11:$N11)+SUM($Y11:$AA11),SUM($M11:$P11)+$S11+$V11),IF(AND(AN11&gt;412,AN11&lt;417),$O11,IF(OR(AN11=411,AN11=412),$P11,IF(AN11=420,$V11,IF(AN11=435,$S11,0)))))</f>
        <v>0</v>
      </c>
      <c r="AP11" s="881"/>
      <c r="AQ11" s="881"/>
      <c r="AR11" s="883">
        <v>0</v>
      </c>
      <c r="AS11" s="883">
        <v>0</v>
      </c>
      <c r="AT11" s="883">
        <v>0</v>
      </c>
      <c r="AU11" s="880"/>
      <c r="AV11" s="886"/>
      <c r="AW11" s="880"/>
      <c r="AX11" s="886"/>
      <c r="AY11" s="880"/>
      <c r="AZ11" s="880"/>
      <c r="BA11" s="881"/>
      <c r="BB11" s="881" t="s">
        <v>57</v>
      </c>
      <c r="BC11" s="881"/>
      <c r="BD11" s="881"/>
      <c r="BE11" s="884">
        <f t="shared" ref="BE11:BE74" si="23">IF(ISNUMBER(I11),MONTH(I11),0)</f>
        <v>4</v>
      </c>
      <c r="BF11" s="887" t="str">
        <f t="shared" ref="BF11:BF74" si="24">IF(ISNUMBER(I11),IF(ISERROR(HLOOKUP(MONTH(I11),meses_104,1,0)),"NO","SI"),"NO")</f>
        <v>SI</v>
      </c>
      <c r="BG11" s="883">
        <f t="shared" ref="BG11:BG74" si="25">IF(ISBLANK(H11),0,IF(OR((VALUE(LEFT(H11,2))=4),((LEFT(H11,3))="372")),0,AK11))</f>
        <v>8.6999999999999993</v>
      </c>
      <c r="BH11" s="883">
        <f t="shared" ref="BH11:BH74" si="26">IF(ISBLANK(H11),0,IF(OR((VALUE(LEFT(H11,2))=4),((LEFT(H11,3))="372")),0,AM11))</f>
        <v>0</v>
      </c>
      <c r="BI11" s="883">
        <f t="shared" ref="BI11:BI74" si="27">IF(ISBLANK(H11),0,IF(OR((VALUE(LEFT(H11,2))=4),((LEFT(H11,3))="372")),0,AO11))</f>
        <v>0</v>
      </c>
      <c r="BJ11" s="883">
        <f t="shared" ref="BJ11:BJ74" si="28">SUM(M11:O11)+SUM(Y11:AA11)</f>
        <v>0</v>
      </c>
      <c r="BK11" s="883">
        <f t="shared" ref="BK11:BK74" si="29">ROUND((IF(AJ11=444,(R11+U11+X11),0)+IF(AL11=444,(R11+U11+X11),0)+IF(AN11=444,(R11+U11+X11),0)),2)</f>
        <v>0</v>
      </c>
      <c r="BL11" s="883">
        <f t="shared" ref="BL11:BL74" si="30">R11+U11+X11-BK11</f>
        <v>1.31</v>
      </c>
      <c r="BM11" s="881"/>
      <c r="BN11" s="880"/>
      <c r="BO11" s="882" t="s">
        <v>1579</v>
      </c>
      <c r="BP11" s="882" t="s">
        <v>2286</v>
      </c>
      <c r="BQ11" s="882" t="s">
        <v>2285</v>
      </c>
      <c r="BR11" s="880"/>
      <c r="BS11" s="880"/>
      <c r="BT11" s="880"/>
      <c r="BU11" s="880"/>
      <c r="BV11" s="880"/>
      <c r="BW11" s="883">
        <v>0</v>
      </c>
      <c r="BX11" s="883">
        <v>0</v>
      </c>
      <c r="BY11" s="883">
        <v>0</v>
      </c>
      <c r="BZ11" s="890"/>
      <c r="CA11" s="883">
        <f t="shared" ref="CA11:CA74" si="31">ROUND((IF(OR(AJ11=413,AJ11=414),AK11,0)+IF(OR(AL11=413,AL11=414),AM11,0)+IF(OR(AN11=413,AN11=414),AO11,0)),2)</f>
        <v>0</v>
      </c>
      <c r="CB11" s="880"/>
      <c r="CC11" s="881"/>
      <c r="CD11" s="883"/>
      <c r="CE11" s="883"/>
      <c r="CF11" s="883"/>
      <c r="CG11" s="883"/>
      <c r="CH11" s="883"/>
      <c r="CI11" s="883"/>
      <c r="CJ11" s="883"/>
      <c r="CK11" s="883"/>
      <c r="CL11" s="883"/>
      <c r="CM11" s="883"/>
      <c r="CN11" s="883"/>
      <c r="CO11" s="883"/>
      <c r="CP11" s="883"/>
      <c r="CQ11" s="883"/>
      <c r="CR11" s="883"/>
      <c r="CS11" s="883"/>
      <c r="CT11" s="883"/>
      <c r="CU11" s="883"/>
    </row>
    <row r="12" spans="1:99" x14ac:dyDescent="0.25">
      <c r="A12" s="880" t="s">
        <v>1787</v>
      </c>
      <c r="B12" s="881" t="s">
        <v>1788</v>
      </c>
      <c r="C12" s="880" t="s">
        <v>2647</v>
      </c>
      <c r="D12" s="880"/>
      <c r="E12" s="884" t="s">
        <v>744</v>
      </c>
      <c r="F12" s="888">
        <v>1</v>
      </c>
      <c r="G12" s="881" t="s">
        <v>1007</v>
      </c>
      <c r="H12" s="881" t="s">
        <v>19</v>
      </c>
      <c r="I12" s="865">
        <v>46142</v>
      </c>
      <c r="J12" s="882" t="s">
        <v>8</v>
      </c>
      <c r="K12" s="880"/>
      <c r="L12" s="880"/>
      <c r="M12" s="883">
        <v>0</v>
      </c>
      <c r="N12" s="883">
        <v>0</v>
      </c>
      <c r="O12" s="883">
        <v>0</v>
      </c>
      <c r="P12" s="883">
        <v>22.32</v>
      </c>
      <c r="Q12" s="883">
        <v>15</v>
      </c>
      <c r="R12" s="883">
        <f t="shared" si="16"/>
        <v>3.35</v>
      </c>
      <c r="S12" s="883">
        <v>0</v>
      </c>
      <c r="T12" s="883">
        <v>5</v>
      </c>
      <c r="U12" s="883">
        <f t="shared" si="17"/>
        <v>0</v>
      </c>
      <c r="V12" s="883">
        <v>0</v>
      </c>
      <c r="W12" s="883">
        <v>8</v>
      </c>
      <c r="X12" s="883">
        <f t="shared" si="18"/>
        <v>0</v>
      </c>
      <c r="Y12" s="883">
        <v>0</v>
      </c>
      <c r="Z12" s="883">
        <v>0</v>
      </c>
      <c r="AA12" s="883">
        <v>0</v>
      </c>
      <c r="AB12" s="883">
        <f t="shared" si="19"/>
        <v>25.67</v>
      </c>
      <c r="AC12" s="883">
        <v>0</v>
      </c>
      <c r="AD12" s="881"/>
      <c r="AE12" s="880"/>
      <c r="AF12" s="883"/>
      <c r="AG12" s="889"/>
      <c r="AH12" s="880"/>
      <c r="AI12" s="880" t="s">
        <v>1241</v>
      </c>
      <c r="AJ12" s="884">
        <v>411</v>
      </c>
      <c r="AK12" s="883">
        <f t="shared" si="20"/>
        <v>22.32</v>
      </c>
      <c r="AL12" s="884">
        <v>413</v>
      </c>
      <c r="AM12" s="883">
        <f t="shared" si="21"/>
        <v>0</v>
      </c>
      <c r="AN12" s="884">
        <v>441</v>
      </c>
      <c r="AO12" s="883">
        <f t="shared" si="22"/>
        <v>0</v>
      </c>
      <c r="AP12" s="881"/>
      <c r="AQ12" s="881"/>
      <c r="AR12" s="883">
        <v>0</v>
      </c>
      <c r="AS12" s="883">
        <v>0</v>
      </c>
      <c r="AT12" s="883">
        <v>0</v>
      </c>
      <c r="AU12" s="880"/>
      <c r="AV12" s="886"/>
      <c r="AW12" s="880"/>
      <c r="AX12" s="886"/>
      <c r="AY12" s="880"/>
      <c r="AZ12" s="880"/>
      <c r="BA12" s="881"/>
      <c r="BB12" s="881" t="s">
        <v>57</v>
      </c>
      <c r="BC12" s="881"/>
      <c r="BD12" s="881"/>
      <c r="BE12" s="884">
        <f t="shared" si="23"/>
        <v>4</v>
      </c>
      <c r="BF12" s="887" t="str">
        <f t="shared" si="24"/>
        <v>SI</v>
      </c>
      <c r="BG12" s="883">
        <f t="shared" si="25"/>
        <v>22.32</v>
      </c>
      <c r="BH12" s="883">
        <f t="shared" si="26"/>
        <v>0</v>
      </c>
      <c r="BI12" s="883">
        <f t="shared" si="27"/>
        <v>0</v>
      </c>
      <c r="BJ12" s="883">
        <f t="shared" si="28"/>
        <v>0</v>
      </c>
      <c r="BK12" s="883">
        <f t="shared" si="29"/>
        <v>0</v>
      </c>
      <c r="BL12" s="883">
        <f t="shared" si="30"/>
        <v>3.35</v>
      </c>
      <c r="BM12" s="881"/>
      <c r="BN12" s="880"/>
      <c r="BO12" s="882" t="s">
        <v>1579</v>
      </c>
      <c r="BP12" s="882" t="s">
        <v>2286</v>
      </c>
      <c r="BQ12" s="882" t="s">
        <v>2285</v>
      </c>
      <c r="BR12" s="880"/>
      <c r="BS12" s="880"/>
      <c r="BT12" s="880"/>
      <c r="BU12" s="880"/>
      <c r="BV12" s="880"/>
      <c r="BW12" s="883">
        <v>0</v>
      </c>
      <c r="BX12" s="883">
        <v>0</v>
      </c>
      <c r="BY12" s="883">
        <v>0</v>
      </c>
      <c r="BZ12" s="890"/>
      <c r="CA12" s="883">
        <f t="shared" si="31"/>
        <v>0</v>
      </c>
      <c r="CB12" s="880"/>
      <c r="CC12" s="881"/>
      <c r="CD12" s="883"/>
      <c r="CE12" s="883"/>
      <c r="CF12" s="883"/>
      <c r="CG12" s="883"/>
      <c r="CH12" s="883"/>
      <c r="CI12" s="883"/>
      <c r="CJ12" s="883"/>
      <c r="CK12" s="883"/>
      <c r="CL12" s="883"/>
      <c r="CM12" s="883"/>
      <c r="CN12" s="883"/>
      <c r="CO12" s="883"/>
      <c r="CP12" s="883"/>
      <c r="CQ12" s="883"/>
      <c r="CR12" s="883"/>
      <c r="CS12" s="883"/>
      <c r="CT12" s="883"/>
      <c r="CU12" s="883"/>
    </row>
    <row r="13" spans="1:99" x14ac:dyDescent="0.25">
      <c r="A13" s="880" t="s">
        <v>1787</v>
      </c>
      <c r="B13" s="881" t="s">
        <v>1788</v>
      </c>
      <c r="C13" s="880" t="s">
        <v>2648</v>
      </c>
      <c r="D13" s="880"/>
      <c r="E13" s="884" t="s">
        <v>744</v>
      </c>
      <c r="F13" s="888">
        <v>1</v>
      </c>
      <c r="G13" s="881" t="s">
        <v>1007</v>
      </c>
      <c r="H13" s="881" t="s">
        <v>19</v>
      </c>
      <c r="I13" s="865">
        <v>46142</v>
      </c>
      <c r="J13" s="882" t="s">
        <v>8</v>
      </c>
      <c r="K13" s="880"/>
      <c r="L13" s="880"/>
      <c r="M13" s="883">
        <v>0</v>
      </c>
      <c r="N13" s="883">
        <v>0</v>
      </c>
      <c r="O13" s="883">
        <v>0</v>
      </c>
      <c r="P13" s="883">
        <v>17.850000000000001</v>
      </c>
      <c r="Q13" s="883">
        <v>15</v>
      </c>
      <c r="R13" s="883">
        <f t="shared" si="16"/>
        <v>2.68</v>
      </c>
      <c r="S13" s="883">
        <v>0</v>
      </c>
      <c r="T13" s="883">
        <v>5</v>
      </c>
      <c r="U13" s="883">
        <f t="shared" si="17"/>
        <v>0</v>
      </c>
      <c r="V13" s="883">
        <v>0</v>
      </c>
      <c r="W13" s="883">
        <v>8</v>
      </c>
      <c r="X13" s="883">
        <f t="shared" si="18"/>
        <v>0</v>
      </c>
      <c r="Y13" s="883">
        <v>0</v>
      </c>
      <c r="Z13" s="883">
        <v>0</v>
      </c>
      <c r="AA13" s="883">
        <v>0</v>
      </c>
      <c r="AB13" s="883">
        <f t="shared" si="19"/>
        <v>20.53</v>
      </c>
      <c r="AC13" s="883">
        <v>0</v>
      </c>
      <c r="AD13" s="881"/>
      <c r="AE13" s="880"/>
      <c r="AF13" s="883"/>
      <c r="AG13" s="889"/>
      <c r="AH13" s="880"/>
      <c r="AI13" s="880" t="s">
        <v>1241</v>
      </c>
      <c r="AJ13" s="884">
        <v>411</v>
      </c>
      <c r="AK13" s="883">
        <f t="shared" si="20"/>
        <v>17.850000000000001</v>
      </c>
      <c r="AL13" s="884">
        <v>413</v>
      </c>
      <c r="AM13" s="883">
        <f t="shared" si="21"/>
        <v>0</v>
      </c>
      <c r="AN13" s="884">
        <v>441</v>
      </c>
      <c r="AO13" s="883">
        <f t="shared" si="22"/>
        <v>0</v>
      </c>
      <c r="AP13" s="881"/>
      <c r="AQ13" s="881"/>
      <c r="AR13" s="883">
        <v>0</v>
      </c>
      <c r="AS13" s="883">
        <v>0</v>
      </c>
      <c r="AT13" s="883">
        <v>0</v>
      </c>
      <c r="AU13" s="880"/>
      <c r="AV13" s="886"/>
      <c r="AW13" s="880"/>
      <c r="AX13" s="886"/>
      <c r="AY13" s="880"/>
      <c r="AZ13" s="880"/>
      <c r="BA13" s="881"/>
      <c r="BB13" s="881" t="s">
        <v>57</v>
      </c>
      <c r="BC13" s="881"/>
      <c r="BD13" s="881"/>
      <c r="BE13" s="884">
        <f t="shared" si="23"/>
        <v>4</v>
      </c>
      <c r="BF13" s="887" t="str">
        <f t="shared" si="24"/>
        <v>SI</v>
      </c>
      <c r="BG13" s="883">
        <f t="shared" si="25"/>
        <v>17.850000000000001</v>
      </c>
      <c r="BH13" s="883">
        <f t="shared" si="26"/>
        <v>0</v>
      </c>
      <c r="BI13" s="883">
        <f t="shared" si="27"/>
        <v>0</v>
      </c>
      <c r="BJ13" s="883">
        <f t="shared" si="28"/>
        <v>0</v>
      </c>
      <c r="BK13" s="883">
        <f t="shared" si="29"/>
        <v>0</v>
      </c>
      <c r="BL13" s="883">
        <f t="shared" si="30"/>
        <v>2.68</v>
      </c>
      <c r="BM13" s="881"/>
      <c r="BN13" s="880"/>
      <c r="BO13" s="882" t="s">
        <v>1579</v>
      </c>
      <c r="BP13" s="882" t="s">
        <v>2286</v>
      </c>
      <c r="BQ13" s="882" t="s">
        <v>2285</v>
      </c>
      <c r="BR13" s="880"/>
      <c r="BS13" s="880"/>
      <c r="BT13" s="880"/>
      <c r="BU13" s="880"/>
      <c r="BV13" s="880"/>
      <c r="BW13" s="883">
        <v>0</v>
      </c>
      <c r="BX13" s="883">
        <v>0</v>
      </c>
      <c r="BY13" s="883">
        <v>0</v>
      </c>
      <c r="BZ13" s="890"/>
      <c r="CA13" s="883">
        <f t="shared" si="31"/>
        <v>0</v>
      </c>
      <c r="CB13" s="880"/>
      <c r="CC13" s="881"/>
      <c r="CD13" s="883"/>
      <c r="CE13" s="883"/>
      <c r="CF13" s="883"/>
      <c r="CG13" s="883"/>
      <c r="CH13" s="883"/>
      <c r="CI13" s="883"/>
      <c r="CJ13" s="883"/>
      <c r="CK13" s="883"/>
      <c r="CL13" s="883"/>
      <c r="CM13" s="883"/>
      <c r="CN13" s="883"/>
      <c r="CO13" s="883"/>
      <c r="CP13" s="883"/>
      <c r="CQ13" s="883"/>
      <c r="CR13" s="883"/>
      <c r="CS13" s="883"/>
      <c r="CT13" s="883"/>
      <c r="CU13" s="883"/>
    </row>
    <row r="14" spans="1:99" x14ac:dyDescent="0.25">
      <c r="A14" s="880" t="s">
        <v>1787</v>
      </c>
      <c r="B14" s="881" t="s">
        <v>1788</v>
      </c>
      <c r="C14" s="880" t="s">
        <v>2649</v>
      </c>
      <c r="D14" s="880"/>
      <c r="E14" s="884" t="s">
        <v>744</v>
      </c>
      <c r="F14" s="888">
        <v>1</v>
      </c>
      <c r="G14" s="881" t="s">
        <v>1007</v>
      </c>
      <c r="H14" s="881" t="s">
        <v>19</v>
      </c>
      <c r="I14" s="865">
        <v>46142</v>
      </c>
      <c r="J14" s="882" t="s">
        <v>8</v>
      </c>
      <c r="K14" s="880"/>
      <c r="L14" s="880"/>
      <c r="M14" s="883">
        <v>0</v>
      </c>
      <c r="N14" s="883">
        <v>0</v>
      </c>
      <c r="O14" s="883">
        <v>0</v>
      </c>
      <c r="P14" s="883">
        <v>21.73</v>
      </c>
      <c r="Q14" s="883">
        <v>15</v>
      </c>
      <c r="R14" s="883">
        <f t="shared" si="16"/>
        <v>3.26</v>
      </c>
      <c r="S14" s="883">
        <v>0</v>
      </c>
      <c r="T14" s="883">
        <v>5</v>
      </c>
      <c r="U14" s="883">
        <f t="shared" si="17"/>
        <v>0</v>
      </c>
      <c r="V14" s="883">
        <v>0</v>
      </c>
      <c r="W14" s="883">
        <v>8</v>
      </c>
      <c r="X14" s="883">
        <f t="shared" si="18"/>
        <v>0</v>
      </c>
      <c r="Y14" s="883">
        <v>0</v>
      </c>
      <c r="Z14" s="883">
        <v>0</v>
      </c>
      <c r="AA14" s="883">
        <v>0</v>
      </c>
      <c r="AB14" s="883">
        <f t="shared" si="19"/>
        <v>24.99</v>
      </c>
      <c r="AC14" s="883">
        <v>0</v>
      </c>
      <c r="AD14" s="881"/>
      <c r="AE14" s="880"/>
      <c r="AF14" s="883"/>
      <c r="AG14" s="889"/>
      <c r="AH14" s="880"/>
      <c r="AI14" s="880" t="s">
        <v>1241</v>
      </c>
      <c r="AJ14" s="884">
        <v>411</v>
      </c>
      <c r="AK14" s="883">
        <f t="shared" si="20"/>
        <v>21.73</v>
      </c>
      <c r="AL14" s="884">
        <v>413</v>
      </c>
      <c r="AM14" s="883">
        <f t="shared" si="21"/>
        <v>0</v>
      </c>
      <c r="AN14" s="884">
        <v>441</v>
      </c>
      <c r="AO14" s="883">
        <f t="shared" si="22"/>
        <v>0</v>
      </c>
      <c r="AP14" s="881"/>
      <c r="AQ14" s="881"/>
      <c r="AR14" s="883">
        <v>0</v>
      </c>
      <c r="AS14" s="883">
        <v>0</v>
      </c>
      <c r="AT14" s="883">
        <v>0</v>
      </c>
      <c r="AU14" s="880"/>
      <c r="AV14" s="886"/>
      <c r="AW14" s="880"/>
      <c r="AX14" s="886"/>
      <c r="AY14" s="880"/>
      <c r="AZ14" s="880"/>
      <c r="BA14" s="881"/>
      <c r="BB14" s="881" t="s">
        <v>57</v>
      </c>
      <c r="BC14" s="881"/>
      <c r="BD14" s="881"/>
      <c r="BE14" s="884">
        <f t="shared" si="23"/>
        <v>4</v>
      </c>
      <c r="BF14" s="887" t="str">
        <f t="shared" si="24"/>
        <v>SI</v>
      </c>
      <c r="BG14" s="883">
        <f t="shared" si="25"/>
        <v>21.73</v>
      </c>
      <c r="BH14" s="883">
        <f t="shared" si="26"/>
        <v>0</v>
      </c>
      <c r="BI14" s="883">
        <f t="shared" si="27"/>
        <v>0</v>
      </c>
      <c r="BJ14" s="883">
        <f t="shared" si="28"/>
        <v>0</v>
      </c>
      <c r="BK14" s="883">
        <f t="shared" si="29"/>
        <v>0</v>
      </c>
      <c r="BL14" s="883">
        <f t="shared" si="30"/>
        <v>3.26</v>
      </c>
      <c r="BM14" s="881"/>
      <c r="BN14" s="880"/>
      <c r="BO14" s="882" t="s">
        <v>1579</v>
      </c>
      <c r="BP14" s="882" t="s">
        <v>2286</v>
      </c>
      <c r="BQ14" s="882" t="s">
        <v>2285</v>
      </c>
      <c r="BR14" s="880"/>
      <c r="BS14" s="880"/>
      <c r="BT14" s="880"/>
      <c r="BU14" s="880"/>
      <c r="BV14" s="880"/>
      <c r="BW14" s="883">
        <v>0</v>
      </c>
      <c r="BX14" s="883">
        <v>0</v>
      </c>
      <c r="BY14" s="883">
        <v>0</v>
      </c>
      <c r="BZ14" s="890"/>
      <c r="CA14" s="883">
        <f t="shared" si="31"/>
        <v>0</v>
      </c>
      <c r="CB14" s="880"/>
      <c r="CC14" s="881"/>
      <c r="CD14" s="883"/>
      <c r="CE14" s="883"/>
      <c r="CF14" s="883"/>
      <c r="CG14" s="883"/>
      <c r="CH14" s="883"/>
      <c r="CI14" s="883"/>
      <c r="CJ14" s="883"/>
      <c r="CK14" s="883"/>
      <c r="CL14" s="883"/>
      <c r="CM14" s="883"/>
      <c r="CN14" s="883"/>
      <c r="CO14" s="883"/>
      <c r="CP14" s="883"/>
      <c r="CQ14" s="883"/>
      <c r="CR14" s="883"/>
      <c r="CS14" s="883"/>
      <c r="CT14" s="883"/>
      <c r="CU14" s="883"/>
    </row>
    <row r="15" spans="1:99" x14ac:dyDescent="0.25">
      <c r="A15" s="880" t="s">
        <v>1787</v>
      </c>
      <c r="B15" s="881" t="s">
        <v>1788</v>
      </c>
      <c r="C15" s="880" t="s">
        <v>2650</v>
      </c>
      <c r="D15" s="880"/>
      <c r="E15" s="884" t="s">
        <v>744</v>
      </c>
      <c r="F15" s="888">
        <v>1</v>
      </c>
      <c r="G15" s="881" t="s">
        <v>1007</v>
      </c>
      <c r="H15" s="881" t="s">
        <v>19</v>
      </c>
      <c r="I15" s="865">
        <v>46142</v>
      </c>
      <c r="J15" s="882" t="s">
        <v>8</v>
      </c>
      <c r="K15" s="880"/>
      <c r="L15" s="880"/>
      <c r="M15" s="883">
        <v>0</v>
      </c>
      <c r="N15" s="883">
        <v>0</v>
      </c>
      <c r="O15" s="883">
        <v>0</v>
      </c>
      <c r="P15" s="883">
        <v>17.39</v>
      </c>
      <c r="Q15" s="883">
        <v>15</v>
      </c>
      <c r="R15" s="883">
        <f t="shared" si="16"/>
        <v>2.61</v>
      </c>
      <c r="S15" s="883">
        <v>0</v>
      </c>
      <c r="T15" s="883">
        <v>5</v>
      </c>
      <c r="U15" s="883">
        <f t="shared" si="17"/>
        <v>0</v>
      </c>
      <c r="V15" s="883">
        <v>0</v>
      </c>
      <c r="W15" s="883">
        <v>8</v>
      </c>
      <c r="X15" s="883">
        <f t="shared" si="18"/>
        <v>0</v>
      </c>
      <c r="Y15" s="883">
        <v>0</v>
      </c>
      <c r="Z15" s="883">
        <v>0</v>
      </c>
      <c r="AA15" s="883">
        <v>0</v>
      </c>
      <c r="AB15" s="883">
        <f t="shared" si="19"/>
        <v>20</v>
      </c>
      <c r="AC15" s="883">
        <v>0</v>
      </c>
      <c r="AD15" s="881"/>
      <c r="AE15" s="880"/>
      <c r="AF15" s="883"/>
      <c r="AG15" s="889"/>
      <c r="AH15" s="880"/>
      <c r="AI15" s="880" t="s">
        <v>1241</v>
      </c>
      <c r="AJ15" s="884">
        <v>411</v>
      </c>
      <c r="AK15" s="883">
        <f t="shared" si="20"/>
        <v>17.39</v>
      </c>
      <c r="AL15" s="884">
        <v>413</v>
      </c>
      <c r="AM15" s="883">
        <f t="shared" si="21"/>
        <v>0</v>
      </c>
      <c r="AN15" s="884">
        <v>441</v>
      </c>
      <c r="AO15" s="883">
        <f t="shared" si="22"/>
        <v>0</v>
      </c>
      <c r="AP15" s="881"/>
      <c r="AQ15" s="881"/>
      <c r="AR15" s="883">
        <v>0</v>
      </c>
      <c r="AS15" s="883">
        <v>0</v>
      </c>
      <c r="AT15" s="883">
        <v>0</v>
      </c>
      <c r="AU15" s="880"/>
      <c r="AV15" s="886"/>
      <c r="AW15" s="880"/>
      <c r="AX15" s="886"/>
      <c r="AY15" s="880"/>
      <c r="AZ15" s="880"/>
      <c r="BA15" s="881"/>
      <c r="BB15" s="881" t="s">
        <v>57</v>
      </c>
      <c r="BC15" s="881"/>
      <c r="BD15" s="881"/>
      <c r="BE15" s="884">
        <f t="shared" si="23"/>
        <v>4</v>
      </c>
      <c r="BF15" s="887" t="str">
        <f t="shared" si="24"/>
        <v>SI</v>
      </c>
      <c r="BG15" s="883">
        <f t="shared" si="25"/>
        <v>17.39</v>
      </c>
      <c r="BH15" s="883">
        <f t="shared" si="26"/>
        <v>0</v>
      </c>
      <c r="BI15" s="883">
        <f t="shared" si="27"/>
        <v>0</v>
      </c>
      <c r="BJ15" s="883">
        <f t="shared" si="28"/>
        <v>0</v>
      </c>
      <c r="BK15" s="883">
        <f t="shared" si="29"/>
        <v>0</v>
      </c>
      <c r="BL15" s="883">
        <f t="shared" si="30"/>
        <v>2.61</v>
      </c>
      <c r="BM15" s="881"/>
      <c r="BN15" s="880"/>
      <c r="BO15" s="882" t="s">
        <v>1579</v>
      </c>
      <c r="BP15" s="882" t="s">
        <v>2286</v>
      </c>
      <c r="BQ15" s="882" t="s">
        <v>2285</v>
      </c>
      <c r="BR15" s="880"/>
      <c r="BS15" s="880"/>
      <c r="BT15" s="880"/>
      <c r="BU15" s="880"/>
      <c r="BV15" s="880"/>
      <c r="BW15" s="883">
        <v>0</v>
      </c>
      <c r="BX15" s="883">
        <v>0</v>
      </c>
      <c r="BY15" s="883">
        <v>0</v>
      </c>
      <c r="BZ15" s="890"/>
      <c r="CA15" s="883">
        <f t="shared" si="31"/>
        <v>0</v>
      </c>
      <c r="CB15" s="880"/>
      <c r="CC15" s="881"/>
      <c r="CD15" s="883"/>
      <c r="CE15" s="883"/>
      <c r="CF15" s="883"/>
      <c r="CG15" s="883"/>
      <c r="CH15" s="883"/>
      <c r="CI15" s="883"/>
      <c r="CJ15" s="883"/>
      <c r="CK15" s="883"/>
      <c r="CL15" s="883"/>
      <c r="CM15" s="883"/>
      <c r="CN15" s="883"/>
      <c r="CO15" s="883"/>
      <c r="CP15" s="883"/>
      <c r="CQ15" s="883"/>
      <c r="CR15" s="883"/>
      <c r="CS15" s="883"/>
      <c r="CT15" s="883"/>
      <c r="CU15" s="883"/>
    </row>
    <row r="16" spans="1:99" x14ac:dyDescent="0.25">
      <c r="A16" s="880" t="s">
        <v>1787</v>
      </c>
      <c r="B16" s="881" t="s">
        <v>1788</v>
      </c>
      <c r="C16" s="880" t="s">
        <v>2651</v>
      </c>
      <c r="D16" s="880"/>
      <c r="E16" s="884" t="s">
        <v>744</v>
      </c>
      <c r="F16" s="888">
        <v>1</v>
      </c>
      <c r="G16" s="881" t="s">
        <v>1007</v>
      </c>
      <c r="H16" s="881" t="s">
        <v>19</v>
      </c>
      <c r="I16" s="865">
        <v>46142</v>
      </c>
      <c r="J16" s="882" t="s">
        <v>8</v>
      </c>
      <c r="K16" s="880"/>
      <c r="L16" s="880"/>
      <c r="M16" s="883">
        <v>0</v>
      </c>
      <c r="N16" s="883">
        <v>0</v>
      </c>
      <c r="O16" s="883">
        <v>0</v>
      </c>
      <c r="P16" s="883">
        <v>21.73</v>
      </c>
      <c r="Q16" s="883">
        <v>15</v>
      </c>
      <c r="R16" s="883">
        <f t="shared" si="16"/>
        <v>3.26</v>
      </c>
      <c r="S16" s="883">
        <v>0</v>
      </c>
      <c r="T16" s="883">
        <v>5</v>
      </c>
      <c r="U16" s="883">
        <f t="shared" si="17"/>
        <v>0</v>
      </c>
      <c r="V16" s="883">
        <v>0</v>
      </c>
      <c r="W16" s="883">
        <v>8</v>
      </c>
      <c r="X16" s="883">
        <f t="shared" si="18"/>
        <v>0</v>
      </c>
      <c r="Y16" s="883">
        <v>0</v>
      </c>
      <c r="Z16" s="883">
        <v>0</v>
      </c>
      <c r="AA16" s="883">
        <v>0</v>
      </c>
      <c r="AB16" s="883">
        <f t="shared" si="19"/>
        <v>24.99</v>
      </c>
      <c r="AC16" s="883">
        <v>0</v>
      </c>
      <c r="AD16" s="881"/>
      <c r="AE16" s="880"/>
      <c r="AF16" s="883"/>
      <c r="AG16" s="889"/>
      <c r="AH16" s="880"/>
      <c r="AI16" s="880" t="s">
        <v>1241</v>
      </c>
      <c r="AJ16" s="884">
        <v>411</v>
      </c>
      <c r="AK16" s="883">
        <f t="shared" si="20"/>
        <v>21.73</v>
      </c>
      <c r="AL16" s="884">
        <v>413</v>
      </c>
      <c r="AM16" s="883">
        <f t="shared" si="21"/>
        <v>0</v>
      </c>
      <c r="AN16" s="884">
        <v>441</v>
      </c>
      <c r="AO16" s="883">
        <f t="shared" si="22"/>
        <v>0</v>
      </c>
      <c r="AP16" s="881"/>
      <c r="AQ16" s="881"/>
      <c r="AR16" s="883">
        <v>0</v>
      </c>
      <c r="AS16" s="883">
        <v>0</v>
      </c>
      <c r="AT16" s="883">
        <v>0</v>
      </c>
      <c r="AU16" s="880"/>
      <c r="AV16" s="886"/>
      <c r="AW16" s="880"/>
      <c r="AX16" s="886"/>
      <c r="AY16" s="880"/>
      <c r="AZ16" s="880"/>
      <c r="BA16" s="881"/>
      <c r="BB16" s="881" t="s">
        <v>57</v>
      </c>
      <c r="BC16" s="881"/>
      <c r="BD16" s="881"/>
      <c r="BE16" s="884">
        <f t="shared" si="23"/>
        <v>4</v>
      </c>
      <c r="BF16" s="887" t="str">
        <f t="shared" si="24"/>
        <v>SI</v>
      </c>
      <c r="BG16" s="883">
        <f t="shared" si="25"/>
        <v>21.73</v>
      </c>
      <c r="BH16" s="883">
        <f t="shared" si="26"/>
        <v>0</v>
      </c>
      <c r="BI16" s="883">
        <f t="shared" si="27"/>
        <v>0</v>
      </c>
      <c r="BJ16" s="883">
        <f t="shared" si="28"/>
        <v>0</v>
      </c>
      <c r="BK16" s="883">
        <f t="shared" si="29"/>
        <v>0</v>
      </c>
      <c r="BL16" s="883">
        <f t="shared" si="30"/>
        <v>3.26</v>
      </c>
      <c r="BM16" s="881"/>
      <c r="BN16" s="880"/>
      <c r="BO16" s="882" t="s">
        <v>1579</v>
      </c>
      <c r="BP16" s="882" t="s">
        <v>2286</v>
      </c>
      <c r="BQ16" s="882" t="s">
        <v>2285</v>
      </c>
      <c r="BR16" s="880"/>
      <c r="BS16" s="880"/>
      <c r="BT16" s="880"/>
      <c r="BU16" s="880"/>
      <c r="BV16" s="880"/>
      <c r="BW16" s="883">
        <v>0</v>
      </c>
      <c r="BX16" s="883">
        <v>0</v>
      </c>
      <c r="BY16" s="883">
        <v>0</v>
      </c>
      <c r="BZ16" s="890"/>
      <c r="CA16" s="883">
        <f t="shared" si="31"/>
        <v>0</v>
      </c>
      <c r="CB16" s="880"/>
      <c r="CC16" s="881"/>
      <c r="CD16" s="883"/>
      <c r="CE16" s="883"/>
      <c r="CF16" s="883"/>
      <c r="CG16" s="883"/>
      <c r="CH16" s="883"/>
      <c r="CI16" s="883"/>
      <c r="CJ16" s="883"/>
      <c r="CK16" s="883"/>
      <c r="CL16" s="883"/>
      <c r="CM16" s="883"/>
      <c r="CN16" s="883"/>
      <c r="CO16" s="883"/>
      <c r="CP16" s="883"/>
      <c r="CQ16" s="883"/>
      <c r="CR16" s="883"/>
      <c r="CS16" s="883"/>
      <c r="CT16" s="883"/>
      <c r="CU16" s="883"/>
    </row>
    <row r="17" spans="1:99" x14ac:dyDescent="0.25">
      <c r="A17" s="880" t="s">
        <v>1787</v>
      </c>
      <c r="B17" s="881" t="s">
        <v>1788</v>
      </c>
      <c r="C17" s="880" t="s">
        <v>2652</v>
      </c>
      <c r="D17" s="880"/>
      <c r="E17" s="884" t="s">
        <v>744</v>
      </c>
      <c r="F17" s="888">
        <v>1</v>
      </c>
      <c r="G17" s="881" t="s">
        <v>1007</v>
      </c>
      <c r="H17" s="881" t="s">
        <v>19</v>
      </c>
      <c r="I17" s="865">
        <v>46142</v>
      </c>
      <c r="J17" s="882" t="s">
        <v>8</v>
      </c>
      <c r="K17" s="880"/>
      <c r="L17" s="880"/>
      <c r="M17" s="883">
        <v>0</v>
      </c>
      <c r="N17" s="883">
        <v>0</v>
      </c>
      <c r="O17" s="883">
        <v>0</v>
      </c>
      <c r="P17" s="883">
        <v>17.86</v>
      </c>
      <c r="Q17" s="883">
        <v>15</v>
      </c>
      <c r="R17" s="883">
        <f t="shared" si="16"/>
        <v>2.68</v>
      </c>
      <c r="S17" s="883">
        <v>0</v>
      </c>
      <c r="T17" s="883">
        <v>5</v>
      </c>
      <c r="U17" s="883">
        <f t="shared" si="17"/>
        <v>0</v>
      </c>
      <c r="V17" s="883">
        <v>0</v>
      </c>
      <c r="W17" s="883">
        <v>8</v>
      </c>
      <c r="X17" s="883">
        <f t="shared" si="18"/>
        <v>0</v>
      </c>
      <c r="Y17" s="883">
        <v>0</v>
      </c>
      <c r="Z17" s="883">
        <v>0</v>
      </c>
      <c r="AA17" s="883">
        <v>0</v>
      </c>
      <c r="AB17" s="883">
        <f t="shared" si="19"/>
        <v>20.54</v>
      </c>
      <c r="AC17" s="883">
        <v>0</v>
      </c>
      <c r="AD17" s="881"/>
      <c r="AE17" s="880"/>
      <c r="AF17" s="883"/>
      <c r="AG17" s="889"/>
      <c r="AH17" s="880"/>
      <c r="AI17" s="880" t="s">
        <v>1241</v>
      </c>
      <c r="AJ17" s="884">
        <v>411</v>
      </c>
      <c r="AK17" s="883">
        <f t="shared" si="20"/>
        <v>17.86</v>
      </c>
      <c r="AL17" s="884">
        <v>413</v>
      </c>
      <c r="AM17" s="883">
        <f t="shared" si="21"/>
        <v>0</v>
      </c>
      <c r="AN17" s="884">
        <v>441</v>
      </c>
      <c r="AO17" s="883">
        <f t="shared" si="22"/>
        <v>0</v>
      </c>
      <c r="AP17" s="881"/>
      <c r="AQ17" s="881"/>
      <c r="AR17" s="883">
        <v>0</v>
      </c>
      <c r="AS17" s="883">
        <v>0</v>
      </c>
      <c r="AT17" s="883">
        <v>0</v>
      </c>
      <c r="AU17" s="880"/>
      <c r="AV17" s="886"/>
      <c r="AW17" s="880"/>
      <c r="AX17" s="886"/>
      <c r="AY17" s="880"/>
      <c r="AZ17" s="880"/>
      <c r="BA17" s="881"/>
      <c r="BB17" s="881" t="s">
        <v>57</v>
      </c>
      <c r="BC17" s="881"/>
      <c r="BD17" s="881"/>
      <c r="BE17" s="884">
        <f t="shared" si="23"/>
        <v>4</v>
      </c>
      <c r="BF17" s="887" t="str">
        <f t="shared" si="24"/>
        <v>SI</v>
      </c>
      <c r="BG17" s="883">
        <f t="shared" si="25"/>
        <v>17.86</v>
      </c>
      <c r="BH17" s="883">
        <f t="shared" si="26"/>
        <v>0</v>
      </c>
      <c r="BI17" s="883">
        <f t="shared" si="27"/>
        <v>0</v>
      </c>
      <c r="BJ17" s="883">
        <f t="shared" si="28"/>
        <v>0</v>
      </c>
      <c r="BK17" s="883">
        <f t="shared" si="29"/>
        <v>0</v>
      </c>
      <c r="BL17" s="883">
        <f t="shared" si="30"/>
        <v>2.68</v>
      </c>
      <c r="BM17" s="881"/>
      <c r="BN17" s="880"/>
      <c r="BO17" s="882" t="s">
        <v>1579</v>
      </c>
      <c r="BP17" s="882" t="s">
        <v>2286</v>
      </c>
      <c r="BQ17" s="882" t="s">
        <v>2285</v>
      </c>
      <c r="BR17" s="880"/>
      <c r="BS17" s="880"/>
      <c r="BT17" s="880"/>
      <c r="BU17" s="880"/>
      <c r="BV17" s="880"/>
      <c r="BW17" s="883">
        <v>0</v>
      </c>
      <c r="BX17" s="883">
        <v>0</v>
      </c>
      <c r="BY17" s="883">
        <v>0</v>
      </c>
      <c r="BZ17" s="890"/>
      <c r="CA17" s="883">
        <f t="shared" si="31"/>
        <v>0</v>
      </c>
      <c r="CB17" s="880"/>
      <c r="CC17" s="881"/>
      <c r="CD17" s="883"/>
      <c r="CE17" s="883"/>
      <c r="CF17" s="883"/>
      <c r="CG17" s="883"/>
      <c r="CH17" s="883"/>
      <c r="CI17" s="883"/>
      <c r="CJ17" s="883"/>
      <c r="CK17" s="883"/>
      <c r="CL17" s="883"/>
      <c r="CM17" s="883"/>
      <c r="CN17" s="883"/>
      <c r="CO17" s="883"/>
      <c r="CP17" s="883"/>
      <c r="CQ17" s="883"/>
      <c r="CR17" s="883"/>
      <c r="CS17" s="883"/>
      <c r="CT17" s="883"/>
      <c r="CU17" s="883"/>
    </row>
    <row r="18" spans="1:99" x14ac:dyDescent="0.25">
      <c r="A18" s="880" t="s">
        <v>1787</v>
      </c>
      <c r="B18" s="881" t="s">
        <v>1788</v>
      </c>
      <c r="C18" s="880" t="s">
        <v>2653</v>
      </c>
      <c r="D18" s="880"/>
      <c r="E18" s="884" t="s">
        <v>744</v>
      </c>
      <c r="F18" s="888">
        <v>1</v>
      </c>
      <c r="G18" s="881" t="s">
        <v>1007</v>
      </c>
      <c r="H18" s="881" t="s">
        <v>19</v>
      </c>
      <c r="I18" s="865">
        <v>46142</v>
      </c>
      <c r="J18" s="882" t="s">
        <v>8</v>
      </c>
      <c r="K18" s="880"/>
      <c r="L18" s="880"/>
      <c r="M18" s="883">
        <v>0</v>
      </c>
      <c r="N18" s="883">
        <v>0</v>
      </c>
      <c r="O18" s="883">
        <v>0</v>
      </c>
      <c r="P18" s="883">
        <v>8.6999999999999993</v>
      </c>
      <c r="Q18" s="883">
        <v>15</v>
      </c>
      <c r="R18" s="883">
        <f t="shared" si="16"/>
        <v>1.31</v>
      </c>
      <c r="S18" s="883">
        <v>0</v>
      </c>
      <c r="T18" s="883">
        <v>5</v>
      </c>
      <c r="U18" s="883">
        <f t="shared" si="17"/>
        <v>0</v>
      </c>
      <c r="V18" s="883">
        <v>0</v>
      </c>
      <c r="W18" s="883">
        <v>8</v>
      </c>
      <c r="X18" s="883">
        <f t="shared" si="18"/>
        <v>0</v>
      </c>
      <c r="Y18" s="883">
        <v>0</v>
      </c>
      <c r="Z18" s="883">
        <v>0</v>
      </c>
      <c r="AA18" s="883">
        <v>0</v>
      </c>
      <c r="AB18" s="883">
        <f t="shared" si="19"/>
        <v>10.01</v>
      </c>
      <c r="AC18" s="883">
        <v>0</v>
      </c>
      <c r="AD18" s="881"/>
      <c r="AE18" s="880"/>
      <c r="AF18" s="883"/>
      <c r="AG18" s="889"/>
      <c r="AH18" s="880"/>
      <c r="AI18" s="880" t="s">
        <v>1241</v>
      </c>
      <c r="AJ18" s="884">
        <v>411</v>
      </c>
      <c r="AK18" s="883">
        <f t="shared" si="20"/>
        <v>8.6999999999999993</v>
      </c>
      <c r="AL18" s="884">
        <v>413</v>
      </c>
      <c r="AM18" s="883">
        <f t="shared" si="21"/>
        <v>0</v>
      </c>
      <c r="AN18" s="884">
        <v>441</v>
      </c>
      <c r="AO18" s="883">
        <f t="shared" si="22"/>
        <v>0</v>
      </c>
      <c r="AP18" s="881"/>
      <c r="AQ18" s="881"/>
      <c r="AR18" s="883">
        <v>0</v>
      </c>
      <c r="AS18" s="883">
        <v>0</v>
      </c>
      <c r="AT18" s="883">
        <v>0</v>
      </c>
      <c r="AU18" s="880"/>
      <c r="AV18" s="886"/>
      <c r="AW18" s="880"/>
      <c r="AX18" s="886"/>
      <c r="AY18" s="880"/>
      <c r="AZ18" s="880"/>
      <c r="BA18" s="881"/>
      <c r="BB18" s="881" t="s">
        <v>57</v>
      </c>
      <c r="BC18" s="881"/>
      <c r="BD18" s="881"/>
      <c r="BE18" s="884">
        <f t="shared" si="23"/>
        <v>4</v>
      </c>
      <c r="BF18" s="887" t="str">
        <f t="shared" si="24"/>
        <v>SI</v>
      </c>
      <c r="BG18" s="883">
        <f t="shared" si="25"/>
        <v>8.6999999999999993</v>
      </c>
      <c r="BH18" s="883">
        <f t="shared" si="26"/>
        <v>0</v>
      </c>
      <c r="BI18" s="883">
        <f t="shared" si="27"/>
        <v>0</v>
      </c>
      <c r="BJ18" s="883">
        <f t="shared" si="28"/>
        <v>0</v>
      </c>
      <c r="BK18" s="883">
        <f t="shared" si="29"/>
        <v>0</v>
      </c>
      <c r="BL18" s="883">
        <f t="shared" si="30"/>
        <v>1.31</v>
      </c>
      <c r="BM18" s="881"/>
      <c r="BN18" s="880"/>
      <c r="BO18" s="882" t="s">
        <v>1579</v>
      </c>
      <c r="BP18" s="882" t="s">
        <v>2286</v>
      </c>
      <c r="BQ18" s="882" t="s">
        <v>2285</v>
      </c>
      <c r="BR18" s="880"/>
      <c r="BS18" s="880"/>
      <c r="BT18" s="880"/>
      <c r="BU18" s="880"/>
      <c r="BV18" s="880"/>
      <c r="BW18" s="883">
        <v>0</v>
      </c>
      <c r="BX18" s="883">
        <v>0</v>
      </c>
      <c r="BY18" s="883">
        <v>0</v>
      </c>
      <c r="BZ18" s="890"/>
      <c r="CA18" s="883">
        <f t="shared" si="31"/>
        <v>0</v>
      </c>
      <c r="CB18" s="880"/>
      <c r="CC18" s="881"/>
      <c r="CD18" s="883"/>
      <c r="CE18" s="883"/>
      <c r="CF18" s="883"/>
      <c r="CG18" s="883"/>
      <c r="CH18" s="883"/>
      <c r="CI18" s="883"/>
      <c r="CJ18" s="883"/>
      <c r="CK18" s="883"/>
      <c r="CL18" s="883"/>
      <c r="CM18" s="883"/>
      <c r="CN18" s="883"/>
      <c r="CO18" s="883"/>
      <c r="CP18" s="883"/>
      <c r="CQ18" s="883"/>
      <c r="CR18" s="883"/>
      <c r="CS18" s="883"/>
      <c r="CT18" s="883"/>
      <c r="CU18" s="883"/>
    </row>
    <row r="19" spans="1:99" x14ac:dyDescent="0.25">
      <c r="A19" s="880" t="s">
        <v>1787</v>
      </c>
      <c r="B19" s="881" t="s">
        <v>1788</v>
      </c>
      <c r="C19" s="880" t="s">
        <v>2654</v>
      </c>
      <c r="D19" s="880"/>
      <c r="E19" s="884" t="s">
        <v>744</v>
      </c>
      <c r="F19" s="888">
        <v>1</v>
      </c>
      <c r="G19" s="881" t="s">
        <v>1007</v>
      </c>
      <c r="H19" s="881" t="s">
        <v>19</v>
      </c>
      <c r="I19" s="865">
        <v>46142</v>
      </c>
      <c r="J19" s="882" t="s">
        <v>8</v>
      </c>
      <c r="K19" s="880"/>
      <c r="L19" s="880"/>
      <c r="M19" s="883">
        <v>0</v>
      </c>
      <c r="N19" s="883">
        <v>0</v>
      </c>
      <c r="O19" s="883">
        <v>0</v>
      </c>
      <c r="P19" s="883">
        <v>21.74</v>
      </c>
      <c r="Q19" s="883">
        <v>15</v>
      </c>
      <c r="R19" s="883">
        <f t="shared" si="16"/>
        <v>3.26</v>
      </c>
      <c r="S19" s="883">
        <v>0</v>
      </c>
      <c r="T19" s="883">
        <v>5</v>
      </c>
      <c r="U19" s="883">
        <f t="shared" si="17"/>
        <v>0</v>
      </c>
      <c r="V19" s="883">
        <v>0</v>
      </c>
      <c r="W19" s="883">
        <v>8</v>
      </c>
      <c r="X19" s="883">
        <f t="shared" si="18"/>
        <v>0</v>
      </c>
      <c r="Y19" s="883">
        <v>0</v>
      </c>
      <c r="Z19" s="883">
        <v>0</v>
      </c>
      <c r="AA19" s="883">
        <v>0</v>
      </c>
      <c r="AB19" s="883">
        <f t="shared" si="19"/>
        <v>25</v>
      </c>
      <c r="AC19" s="883">
        <v>0</v>
      </c>
      <c r="AD19" s="881"/>
      <c r="AE19" s="880"/>
      <c r="AF19" s="883"/>
      <c r="AG19" s="889"/>
      <c r="AH19" s="880"/>
      <c r="AI19" s="880" t="s">
        <v>1241</v>
      </c>
      <c r="AJ19" s="884">
        <v>411</v>
      </c>
      <c r="AK19" s="883">
        <f t="shared" si="20"/>
        <v>21.74</v>
      </c>
      <c r="AL19" s="884">
        <v>413</v>
      </c>
      <c r="AM19" s="883">
        <f t="shared" si="21"/>
        <v>0</v>
      </c>
      <c r="AN19" s="884">
        <v>441</v>
      </c>
      <c r="AO19" s="883">
        <f t="shared" si="22"/>
        <v>0</v>
      </c>
      <c r="AP19" s="881"/>
      <c r="AQ19" s="881"/>
      <c r="AR19" s="883">
        <v>0</v>
      </c>
      <c r="AS19" s="883">
        <v>0</v>
      </c>
      <c r="AT19" s="883">
        <v>0</v>
      </c>
      <c r="AU19" s="880"/>
      <c r="AV19" s="886"/>
      <c r="AW19" s="880"/>
      <c r="AX19" s="886"/>
      <c r="AY19" s="880"/>
      <c r="AZ19" s="880"/>
      <c r="BA19" s="881"/>
      <c r="BB19" s="881" t="s">
        <v>57</v>
      </c>
      <c r="BC19" s="881"/>
      <c r="BD19" s="881"/>
      <c r="BE19" s="884">
        <f t="shared" si="23"/>
        <v>4</v>
      </c>
      <c r="BF19" s="887" t="str">
        <f t="shared" si="24"/>
        <v>SI</v>
      </c>
      <c r="BG19" s="883">
        <f t="shared" si="25"/>
        <v>21.74</v>
      </c>
      <c r="BH19" s="883">
        <f t="shared" si="26"/>
        <v>0</v>
      </c>
      <c r="BI19" s="883">
        <f t="shared" si="27"/>
        <v>0</v>
      </c>
      <c r="BJ19" s="883">
        <f t="shared" si="28"/>
        <v>0</v>
      </c>
      <c r="BK19" s="883">
        <f t="shared" si="29"/>
        <v>0</v>
      </c>
      <c r="BL19" s="883">
        <f t="shared" si="30"/>
        <v>3.26</v>
      </c>
      <c r="BM19" s="881"/>
      <c r="BN19" s="880"/>
      <c r="BO19" s="882" t="s">
        <v>1579</v>
      </c>
      <c r="BP19" s="882" t="s">
        <v>2286</v>
      </c>
      <c r="BQ19" s="882" t="s">
        <v>2285</v>
      </c>
      <c r="BR19" s="880"/>
      <c r="BS19" s="880"/>
      <c r="BT19" s="880"/>
      <c r="BU19" s="880"/>
      <c r="BV19" s="880"/>
      <c r="BW19" s="883">
        <v>0</v>
      </c>
      <c r="BX19" s="883">
        <v>0</v>
      </c>
      <c r="BY19" s="883">
        <v>0</v>
      </c>
      <c r="BZ19" s="890"/>
      <c r="CA19" s="883">
        <f t="shared" si="31"/>
        <v>0</v>
      </c>
      <c r="CB19" s="880"/>
      <c r="CC19" s="881"/>
      <c r="CD19" s="883"/>
      <c r="CE19" s="883"/>
      <c r="CF19" s="883"/>
      <c r="CG19" s="883"/>
      <c r="CH19" s="883"/>
      <c r="CI19" s="883"/>
      <c r="CJ19" s="883"/>
      <c r="CK19" s="883"/>
      <c r="CL19" s="883"/>
      <c r="CM19" s="883"/>
      <c r="CN19" s="883"/>
      <c r="CO19" s="883"/>
      <c r="CP19" s="883"/>
      <c r="CQ19" s="883"/>
      <c r="CR19" s="883"/>
      <c r="CS19" s="883"/>
      <c r="CT19" s="883"/>
      <c r="CU19" s="883"/>
    </row>
    <row r="20" spans="1:99" x14ac:dyDescent="0.25">
      <c r="A20" s="880" t="s">
        <v>1787</v>
      </c>
      <c r="B20" s="881" t="s">
        <v>1788</v>
      </c>
      <c r="C20" s="880" t="s">
        <v>2655</v>
      </c>
      <c r="D20" s="880"/>
      <c r="E20" s="884" t="s">
        <v>744</v>
      </c>
      <c r="F20" s="888">
        <v>1</v>
      </c>
      <c r="G20" s="881" t="s">
        <v>1007</v>
      </c>
      <c r="H20" s="881" t="s">
        <v>19</v>
      </c>
      <c r="I20" s="865">
        <v>46142</v>
      </c>
      <c r="J20" s="882" t="s">
        <v>8</v>
      </c>
      <c r="K20" s="880"/>
      <c r="L20" s="880"/>
      <c r="M20" s="883">
        <v>0</v>
      </c>
      <c r="N20" s="883">
        <v>0</v>
      </c>
      <c r="O20" s="883">
        <v>0</v>
      </c>
      <c r="P20" s="883">
        <v>40.17</v>
      </c>
      <c r="Q20" s="883">
        <v>15</v>
      </c>
      <c r="R20" s="883">
        <f t="shared" si="16"/>
        <v>6.03</v>
      </c>
      <c r="S20" s="883">
        <v>0</v>
      </c>
      <c r="T20" s="883">
        <v>5</v>
      </c>
      <c r="U20" s="883">
        <f t="shared" si="17"/>
        <v>0</v>
      </c>
      <c r="V20" s="883">
        <v>0</v>
      </c>
      <c r="W20" s="883">
        <v>8</v>
      </c>
      <c r="X20" s="883">
        <f t="shared" si="18"/>
        <v>0</v>
      </c>
      <c r="Y20" s="883">
        <v>0</v>
      </c>
      <c r="Z20" s="883">
        <v>0</v>
      </c>
      <c r="AA20" s="883">
        <v>0</v>
      </c>
      <c r="AB20" s="883">
        <f t="shared" si="19"/>
        <v>46.2</v>
      </c>
      <c r="AC20" s="883">
        <v>0</v>
      </c>
      <c r="AD20" s="881"/>
      <c r="AE20" s="880"/>
      <c r="AF20" s="883"/>
      <c r="AG20" s="889"/>
      <c r="AH20" s="880"/>
      <c r="AI20" s="880" t="s">
        <v>1241</v>
      </c>
      <c r="AJ20" s="884">
        <v>411</v>
      </c>
      <c r="AK20" s="883">
        <f t="shared" si="20"/>
        <v>40.17</v>
      </c>
      <c r="AL20" s="884">
        <v>413</v>
      </c>
      <c r="AM20" s="883">
        <f t="shared" si="21"/>
        <v>0</v>
      </c>
      <c r="AN20" s="884">
        <v>441</v>
      </c>
      <c r="AO20" s="883">
        <f t="shared" si="22"/>
        <v>0</v>
      </c>
      <c r="AP20" s="881"/>
      <c r="AQ20" s="881"/>
      <c r="AR20" s="883">
        <v>0</v>
      </c>
      <c r="AS20" s="883">
        <v>0</v>
      </c>
      <c r="AT20" s="883">
        <v>0</v>
      </c>
      <c r="AU20" s="880"/>
      <c r="AV20" s="886"/>
      <c r="AW20" s="880"/>
      <c r="AX20" s="886"/>
      <c r="AY20" s="880"/>
      <c r="AZ20" s="880"/>
      <c r="BA20" s="881"/>
      <c r="BB20" s="881" t="s">
        <v>57</v>
      </c>
      <c r="BC20" s="881"/>
      <c r="BD20" s="881"/>
      <c r="BE20" s="884">
        <f t="shared" si="23"/>
        <v>4</v>
      </c>
      <c r="BF20" s="887" t="str">
        <f t="shared" si="24"/>
        <v>SI</v>
      </c>
      <c r="BG20" s="883">
        <f t="shared" si="25"/>
        <v>40.17</v>
      </c>
      <c r="BH20" s="883">
        <f t="shared" si="26"/>
        <v>0</v>
      </c>
      <c r="BI20" s="883">
        <f t="shared" si="27"/>
        <v>0</v>
      </c>
      <c r="BJ20" s="883">
        <f t="shared" si="28"/>
        <v>0</v>
      </c>
      <c r="BK20" s="883">
        <f t="shared" si="29"/>
        <v>0</v>
      </c>
      <c r="BL20" s="883">
        <f t="shared" si="30"/>
        <v>6.03</v>
      </c>
      <c r="BM20" s="881"/>
      <c r="BN20" s="880"/>
      <c r="BO20" s="882" t="s">
        <v>1579</v>
      </c>
      <c r="BP20" s="882" t="s">
        <v>2286</v>
      </c>
      <c r="BQ20" s="882" t="s">
        <v>2285</v>
      </c>
      <c r="BR20" s="880"/>
      <c r="BS20" s="880"/>
      <c r="BT20" s="880"/>
      <c r="BU20" s="880"/>
      <c r="BV20" s="880"/>
      <c r="BW20" s="883">
        <v>0</v>
      </c>
      <c r="BX20" s="883">
        <v>0</v>
      </c>
      <c r="BY20" s="883">
        <v>0</v>
      </c>
      <c r="BZ20" s="890"/>
      <c r="CA20" s="883">
        <f t="shared" si="31"/>
        <v>0</v>
      </c>
      <c r="CB20" s="880"/>
      <c r="CC20" s="881"/>
      <c r="CD20" s="883"/>
      <c r="CE20" s="883"/>
      <c r="CF20" s="883"/>
      <c r="CG20" s="883"/>
      <c r="CH20" s="883"/>
      <c r="CI20" s="883"/>
      <c r="CJ20" s="883"/>
      <c r="CK20" s="883"/>
      <c r="CL20" s="883"/>
      <c r="CM20" s="883"/>
      <c r="CN20" s="883"/>
      <c r="CO20" s="883"/>
      <c r="CP20" s="883"/>
      <c r="CQ20" s="883"/>
      <c r="CR20" s="883"/>
      <c r="CS20" s="883"/>
      <c r="CT20" s="883"/>
      <c r="CU20" s="883"/>
    </row>
    <row r="21" spans="1:99" x14ac:dyDescent="0.25">
      <c r="A21" s="880" t="s">
        <v>1787</v>
      </c>
      <c r="B21" s="881" t="s">
        <v>1788</v>
      </c>
      <c r="C21" s="880" t="s">
        <v>2656</v>
      </c>
      <c r="D21" s="880"/>
      <c r="E21" s="884" t="s">
        <v>744</v>
      </c>
      <c r="F21" s="888">
        <v>1</v>
      </c>
      <c r="G21" s="881" t="s">
        <v>1007</v>
      </c>
      <c r="H21" s="881" t="s">
        <v>19</v>
      </c>
      <c r="I21" s="865">
        <v>46142</v>
      </c>
      <c r="J21" s="882" t="s">
        <v>8</v>
      </c>
      <c r="K21" s="880"/>
      <c r="L21" s="880"/>
      <c r="M21" s="883">
        <v>0</v>
      </c>
      <c r="N21" s="883">
        <v>0</v>
      </c>
      <c r="O21" s="883">
        <v>0</v>
      </c>
      <c r="P21" s="883">
        <v>21.74</v>
      </c>
      <c r="Q21" s="883">
        <v>15</v>
      </c>
      <c r="R21" s="883">
        <f t="shared" si="16"/>
        <v>3.26</v>
      </c>
      <c r="S21" s="883">
        <v>0</v>
      </c>
      <c r="T21" s="883">
        <v>5</v>
      </c>
      <c r="U21" s="883">
        <f t="shared" si="17"/>
        <v>0</v>
      </c>
      <c r="V21" s="883">
        <v>0</v>
      </c>
      <c r="W21" s="883">
        <v>8</v>
      </c>
      <c r="X21" s="883">
        <f t="shared" si="18"/>
        <v>0</v>
      </c>
      <c r="Y21" s="883">
        <v>0</v>
      </c>
      <c r="Z21" s="883">
        <v>0</v>
      </c>
      <c r="AA21" s="883">
        <v>0</v>
      </c>
      <c r="AB21" s="883">
        <f t="shared" si="19"/>
        <v>25</v>
      </c>
      <c r="AC21" s="883">
        <v>0</v>
      </c>
      <c r="AD21" s="881"/>
      <c r="AE21" s="880"/>
      <c r="AF21" s="883"/>
      <c r="AG21" s="889"/>
      <c r="AH21" s="880"/>
      <c r="AI21" s="880" t="s">
        <v>1241</v>
      </c>
      <c r="AJ21" s="884">
        <v>411</v>
      </c>
      <c r="AK21" s="883">
        <f t="shared" si="20"/>
        <v>21.74</v>
      </c>
      <c r="AL21" s="884">
        <v>413</v>
      </c>
      <c r="AM21" s="883">
        <f t="shared" si="21"/>
        <v>0</v>
      </c>
      <c r="AN21" s="884">
        <v>441</v>
      </c>
      <c r="AO21" s="883">
        <f t="shared" si="22"/>
        <v>0</v>
      </c>
      <c r="AP21" s="881"/>
      <c r="AQ21" s="881"/>
      <c r="AR21" s="883">
        <v>0</v>
      </c>
      <c r="AS21" s="883">
        <v>0</v>
      </c>
      <c r="AT21" s="883">
        <v>0</v>
      </c>
      <c r="AU21" s="880"/>
      <c r="AV21" s="886"/>
      <c r="AW21" s="880"/>
      <c r="AX21" s="886"/>
      <c r="AY21" s="880"/>
      <c r="AZ21" s="880"/>
      <c r="BA21" s="881"/>
      <c r="BB21" s="881" t="s">
        <v>57</v>
      </c>
      <c r="BC21" s="881"/>
      <c r="BD21" s="881"/>
      <c r="BE21" s="884">
        <f t="shared" si="23"/>
        <v>4</v>
      </c>
      <c r="BF21" s="887" t="str">
        <f t="shared" si="24"/>
        <v>SI</v>
      </c>
      <c r="BG21" s="883">
        <f t="shared" si="25"/>
        <v>21.74</v>
      </c>
      <c r="BH21" s="883">
        <f t="shared" si="26"/>
        <v>0</v>
      </c>
      <c r="BI21" s="883">
        <f t="shared" si="27"/>
        <v>0</v>
      </c>
      <c r="BJ21" s="883">
        <f t="shared" si="28"/>
        <v>0</v>
      </c>
      <c r="BK21" s="883">
        <f t="shared" si="29"/>
        <v>0</v>
      </c>
      <c r="BL21" s="883">
        <f t="shared" si="30"/>
        <v>3.26</v>
      </c>
      <c r="BM21" s="881"/>
      <c r="BN21" s="880"/>
      <c r="BO21" s="882" t="s">
        <v>1579</v>
      </c>
      <c r="BP21" s="882" t="s">
        <v>2286</v>
      </c>
      <c r="BQ21" s="882" t="s">
        <v>2285</v>
      </c>
      <c r="BR21" s="880"/>
      <c r="BS21" s="880"/>
      <c r="BT21" s="880"/>
      <c r="BU21" s="880"/>
      <c r="BV21" s="880"/>
      <c r="BW21" s="883">
        <v>0</v>
      </c>
      <c r="BX21" s="883">
        <v>0</v>
      </c>
      <c r="BY21" s="883">
        <v>0</v>
      </c>
      <c r="BZ21" s="890"/>
      <c r="CA21" s="883">
        <f t="shared" si="31"/>
        <v>0</v>
      </c>
      <c r="CB21" s="880"/>
      <c r="CC21" s="881"/>
      <c r="CD21" s="883"/>
      <c r="CE21" s="883"/>
      <c r="CF21" s="883"/>
      <c r="CG21" s="883"/>
      <c r="CH21" s="883"/>
      <c r="CI21" s="883"/>
      <c r="CJ21" s="883"/>
      <c r="CK21" s="883"/>
      <c r="CL21" s="883"/>
      <c r="CM21" s="883"/>
      <c r="CN21" s="883"/>
      <c r="CO21" s="883"/>
      <c r="CP21" s="883"/>
      <c r="CQ21" s="883"/>
      <c r="CR21" s="883"/>
      <c r="CS21" s="883"/>
      <c r="CT21" s="883"/>
      <c r="CU21" s="883"/>
    </row>
    <row r="22" spans="1:99" x14ac:dyDescent="0.25">
      <c r="A22" s="880" t="s">
        <v>1787</v>
      </c>
      <c r="B22" s="881" t="s">
        <v>1788</v>
      </c>
      <c r="C22" s="880" t="s">
        <v>2657</v>
      </c>
      <c r="D22" s="880"/>
      <c r="E22" s="884" t="s">
        <v>744</v>
      </c>
      <c r="F22" s="888">
        <v>1</v>
      </c>
      <c r="G22" s="881" t="s">
        <v>1007</v>
      </c>
      <c r="H22" s="881" t="s">
        <v>19</v>
      </c>
      <c r="I22" s="865">
        <v>46142</v>
      </c>
      <c r="J22" s="882" t="s">
        <v>8</v>
      </c>
      <c r="K22" s="880"/>
      <c r="L22" s="880"/>
      <c r="M22" s="883">
        <v>0</v>
      </c>
      <c r="N22" s="883">
        <v>0</v>
      </c>
      <c r="O22" s="883">
        <v>0</v>
      </c>
      <c r="P22" s="883">
        <v>34.78</v>
      </c>
      <c r="Q22" s="883">
        <v>15</v>
      </c>
      <c r="R22" s="883">
        <f t="shared" si="16"/>
        <v>5.22</v>
      </c>
      <c r="S22" s="883">
        <v>0</v>
      </c>
      <c r="T22" s="883">
        <v>5</v>
      </c>
      <c r="U22" s="883">
        <f t="shared" si="17"/>
        <v>0</v>
      </c>
      <c r="V22" s="883">
        <v>0</v>
      </c>
      <c r="W22" s="883">
        <v>8</v>
      </c>
      <c r="X22" s="883">
        <f t="shared" si="18"/>
        <v>0</v>
      </c>
      <c r="Y22" s="883">
        <v>0</v>
      </c>
      <c r="Z22" s="883">
        <v>0</v>
      </c>
      <c r="AA22" s="883">
        <v>0</v>
      </c>
      <c r="AB22" s="883">
        <f t="shared" si="19"/>
        <v>40</v>
      </c>
      <c r="AC22" s="883">
        <v>0</v>
      </c>
      <c r="AD22" s="881"/>
      <c r="AE22" s="880"/>
      <c r="AF22" s="883"/>
      <c r="AG22" s="889"/>
      <c r="AH22" s="880"/>
      <c r="AI22" s="880" t="s">
        <v>1241</v>
      </c>
      <c r="AJ22" s="884">
        <v>411</v>
      </c>
      <c r="AK22" s="883">
        <f t="shared" si="20"/>
        <v>34.78</v>
      </c>
      <c r="AL22" s="884">
        <v>413</v>
      </c>
      <c r="AM22" s="883">
        <f t="shared" si="21"/>
        <v>0</v>
      </c>
      <c r="AN22" s="884">
        <v>441</v>
      </c>
      <c r="AO22" s="883">
        <f t="shared" si="22"/>
        <v>0</v>
      </c>
      <c r="AP22" s="881"/>
      <c r="AQ22" s="881"/>
      <c r="AR22" s="883">
        <v>0</v>
      </c>
      <c r="AS22" s="883">
        <v>0</v>
      </c>
      <c r="AT22" s="883">
        <v>0</v>
      </c>
      <c r="AU22" s="880"/>
      <c r="AV22" s="886"/>
      <c r="AW22" s="880"/>
      <c r="AX22" s="886"/>
      <c r="AY22" s="880"/>
      <c r="AZ22" s="880"/>
      <c r="BA22" s="881"/>
      <c r="BB22" s="881" t="s">
        <v>57</v>
      </c>
      <c r="BC22" s="881"/>
      <c r="BD22" s="881"/>
      <c r="BE22" s="884">
        <f t="shared" si="23"/>
        <v>4</v>
      </c>
      <c r="BF22" s="887" t="str">
        <f t="shared" si="24"/>
        <v>SI</v>
      </c>
      <c r="BG22" s="883">
        <f t="shared" si="25"/>
        <v>34.78</v>
      </c>
      <c r="BH22" s="883">
        <f t="shared" si="26"/>
        <v>0</v>
      </c>
      <c r="BI22" s="883">
        <f t="shared" si="27"/>
        <v>0</v>
      </c>
      <c r="BJ22" s="883">
        <f t="shared" si="28"/>
        <v>0</v>
      </c>
      <c r="BK22" s="883">
        <f t="shared" si="29"/>
        <v>0</v>
      </c>
      <c r="BL22" s="883">
        <f t="shared" si="30"/>
        <v>5.22</v>
      </c>
      <c r="BM22" s="881"/>
      <c r="BN22" s="880"/>
      <c r="BO22" s="882" t="s">
        <v>1579</v>
      </c>
      <c r="BP22" s="882" t="s">
        <v>2286</v>
      </c>
      <c r="BQ22" s="882" t="s">
        <v>2285</v>
      </c>
      <c r="BR22" s="880"/>
      <c r="BS22" s="880"/>
      <c r="BT22" s="880"/>
      <c r="BU22" s="880"/>
      <c r="BV22" s="880"/>
      <c r="BW22" s="883">
        <v>0</v>
      </c>
      <c r="BX22" s="883">
        <v>0</v>
      </c>
      <c r="BY22" s="883">
        <v>0</v>
      </c>
      <c r="BZ22" s="890"/>
      <c r="CA22" s="883">
        <f t="shared" si="31"/>
        <v>0</v>
      </c>
      <c r="CB22" s="880"/>
      <c r="CC22" s="881"/>
      <c r="CD22" s="883"/>
      <c r="CE22" s="883"/>
      <c r="CF22" s="883"/>
      <c r="CG22" s="883"/>
      <c r="CH22" s="883"/>
      <c r="CI22" s="883"/>
      <c r="CJ22" s="883"/>
      <c r="CK22" s="883"/>
      <c r="CL22" s="883"/>
      <c r="CM22" s="883"/>
      <c r="CN22" s="883"/>
      <c r="CO22" s="883"/>
      <c r="CP22" s="883"/>
      <c r="CQ22" s="883"/>
      <c r="CR22" s="883"/>
      <c r="CS22" s="883"/>
      <c r="CT22" s="883"/>
      <c r="CU22" s="883"/>
    </row>
    <row r="23" spans="1:99" x14ac:dyDescent="0.25">
      <c r="A23" s="880" t="s">
        <v>1787</v>
      </c>
      <c r="B23" s="881" t="s">
        <v>1788</v>
      </c>
      <c r="C23" s="880" t="s">
        <v>2658</v>
      </c>
      <c r="D23" s="880"/>
      <c r="E23" s="884" t="s">
        <v>744</v>
      </c>
      <c r="F23" s="888">
        <v>1</v>
      </c>
      <c r="G23" s="881" t="s">
        <v>1007</v>
      </c>
      <c r="H23" s="881" t="s">
        <v>19</v>
      </c>
      <c r="I23" s="865">
        <v>46142</v>
      </c>
      <c r="J23" s="882" t="s">
        <v>8</v>
      </c>
      <c r="K23" s="880"/>
      <c r="L23" s="880"/>
      <c r="M23" s="883">
        <v>0</v>
      </c>
      <c r="N23" s="883">
        <v>0</v>
      </c>
      <c r="O23" s="883">
        <v>0</v>
      </c>
      <c r="P23" s="883">
        <v>21.74</v>
      </c>
      <c r="Q23" s="883">
        <v>15</v>
      </c>
      <c r="R23" s="883">
        <f t="shared" si="16"/>
        <v>3.26</v>
      </c>
      <c r="S23" s="883">
        <v>0</v>
      </c>
      <c r="T23" s="883">
        <v>5</v>
      </c>
      <c r="U23" s="883">
        <f t="shared" si="17"/>
        <v>0</v>
      </c>
      <c r="V23" s="883">
        <v>0</v>
      </c>
      <c r="W23" s="883">
        <v>8</v>
      </c>
      <c r="X23" s="883">
        <f t="shared" si="18"/>
        <v>0</v>
      </c>
      <c r="Y23" s="883">
        <v>0</v>
      </c>
      <c r="Z23" s="883">
        <v>0</v>
      </c>
      <c r="AA23" s="883">
        <v>0</v>
      </c>
      <c r="AB23" s="883">
        <f t="shared" si="19"/>
        <v>25</v>
      </c>
      <c r="AC23" s="883">
        <v>0</v>
      </c>
      <c r="AD23" s="881"/>
      <c r="AE23" s="880"/>
      <c r="AF23" s="883"/>
      <c r="AG23" s="889"/>
      <c r="AH23" s="880"/>
      <c r="AI23" s="880" t="s">
        <v>1241</v>
      </c>
      <c r="AJ23" s="884">
        <v>411</v>
      </c>
      <c r="AK23" s="883">
        <f t="shared" si="20"/>
        <v>21.74</v>
      </c>
      <c r="AL23" s="884">
        <v>413</v>
      </c>
      <c r="AM23" s="883">
        <f t="shared" si="21"/>
        <v>0</v>
      </c>
      <c r="AN23" s="884">
        <v>441</v>
      </c>
      <c r="AO23" s="883">
        <f t="shared" si="22"/>
        <v>0</v>
      </c>
      <c r="AP23" s="881"/>
      <c r="AQ23" s="881"/>
      <c r="AR23" s="883">
        <v>0</v>
      </c>
      <c r="AS23" s="883">
        <v>0</v>
      </c>
      <c r="AT23" s="883">
        <v>0</v>
      </c>
      <c r="AU23" s="880"/>
      <c r="AV23" s="886"/>
      <c r="AW23" s="880"/>
      <c r="AX23" s="886"/>
      <c r="AY23" s="880"/>
      <c r="AZ23" s="880"/>
      <c r="BA23" s="881"/>
      <c r="BB23" s="881" t="s">
        <v>57</v>
      </c>
      <c r="BC23" s="881"/>
      <c r="BD23" s="881"/>
      <c r="BE23" s="884">
        <f t="shared" si="23"/>
        <v>4</v>
      </c>
      <c r="BF23" s="887" t="str">
        <f t="shared" si="24"/>
        <v>SI</v>
      </c>
      <c r="BG23" s="883">
        <f t="shared" si="25"/>
        <v>21.74</v>
      </c>
      <c r="BH23" s="883">
        <f t="shared" si="26"/>
        <v>0</v>
      </c>
      <c r="BI23" s="883">
        <f t="shared" si="27"/>
        <v>0</v>
      </c>
      <c r="BJ23" s="883">
        <f t="shared" si="28"/>
        <v>0</v>
      </c>
      <c r="BK23" s="883">
        <f t="shared" si="29"/>
        <v>0</v>
      </c>
      <c r="BL23" s="883">
        <f t="shared" si="30"/>
        <v>3.26</v>
      </c>
      <c r="BM23" s="881"/>
      <c r="BN23" s="880"/>
      <c r="BO23" s="882" t="s">
        <v>1579</v>
      </c>
      <c r="BP23" s="882" t="s">
        <v>2286</v>
      </c>
      <c r="BQ23" s="882" t="s">
        <v>2285</v>
      </c>
      <c r="BR23" s="880"/>
      <c r="BS23" s="880"/>
      <c r="BT23" s="880"/>
      <c r="BU23" s="880"/>
      <c r="BV23" s="880"/>
      <c r="BW23" s="883">
        <v>0</v>
      </c>
      <c r="BX23" s="883">
        <v>0</v>
      </c>
      <c r="BY23" s="883">
        <v>0</v>
      </c>
      <c r="BZ23" s="890"/>
      <c r="CA23" s="883">
        <f t="shared" si="31"/>
        <v>0</v>
      </c>
      <c r="CB23" s="880"/>
      <c r="CC23" s="881"/>
      <c r="CD23" s="883"/>
      <c r="CE23" s="883"/>
      <c r="CF23" s="883"/>
      <c r="CG23" s="883"/>
      <c r="CH23" s="883"/>
      <c r="CI23" s="883"/>
      <c r="CJ23" s="883"/>
      <c r="CK23" s="883"/>
      <c r="CL23" s="883"/>
      <c r="CM23" s="883"/>
      <c r="CN23" s="883"/>
      <c r="CO23" s="883"/>
      <c r="CP23" s="883"/>
      <c r="CQ23" s="883"/>
      <c r="CR23" s="883"/>
      <c r="CS23" s="883"/>
      <c r="CT23" s="883"/>
      <c r="CU23" s="883"/>
    </row>
    <row r="24" spans="1:99" x14ac:dyDescent="0.25">
      <c r="A24" s="880" t="s">
        <v>1787</v>
      </c>
      <c r="B24" s="881" t="s">
        <v>1788</v>
      </c>
      <c r="C24" s="880" t="s">
        <v>2659</v>
      </c>
      <c r="D24" s="880"/>
      <c r="E24" s="884" t="s">
        <v>744</v>
      </c>
      <c r="F24" s="888">
        <v>1</v>
      </c>
      <c r="G24" s="881" t="s">
        <v>1007</v>
      </c>
      <c r="H24" s="881" t="s">
        <v>19</v>
      </c>
      <c r="I24" s="865">
        <v>46142</v>
      </c>
      <c r="J24" s="882" t="s">
        <v>8</v>
      </c>
      <c r="K24" s="880"/>
      <c r="L24" s="880"/>
      <c r="M24" s="883">
        <v>0</v>
      </c>
      <c r="N24" s="883">
        <v>0</v>
      </c>
      <c r="O24" s="883">
        <v>0</v>
      </c>
      <c r="P24" s="883">
        <v>21.73</v>
      </c>
      <c r="Q24" s="883">
        <v>15</v>
      </c>
      <c r="R24" s="883">
        <f t="shared" si="16"/>
        <v>3.26</v>
      </c>
      <c r="S24" s="883">
        <v>0</v>
      </c>
      <c r="T24" s="883">
        <v>5</v>
      </c>
      <c r="U24" s="883">
        <f t="shared" si="17"/>
        <v>0</v>
      </c>
      <c r="V24" s="883">
        <v>0</v>
      </c>
      <c r="W24" s="883">
        <v>8</v>
      </c>
      <c r="X24" s="883">
        <f t="shared" si="18"/>
        <v>0</v>
      </c>
      <c r="Y24" s="883">
        <v>0</v>
      </c>
      <c r="Z24" s="883">
        <v>0</v>
      </c>
      <c r="AA24" s="883">
        <v>0</v>
      </c>
      <c r="AB24" s="883">
        <f t="shared" si="19"/>
        <v>24.99</v>
      </c>
      <c r="AC24" s="883">
        <v>0</v>
      </c>
      <c r="AD24" s="881"/>
      <c r="AE24" s="880"/>
      <c r="AF24" s="883"/>
      <c r="AG24" s="889"/>
      <c r="AH24" s="880"/>
      <c r="AI24" s="880" t="s">
        <v>1241</v>
      </c>
      <c r="AJ24" s="884">
        <v>411</v>
      </c>
      <c r="AK24" s="883">
        <f t="shared" si="20"/>
        <v>21.73</v>
      </c>
      <c r="AL24" s="884">
        <v>413</v>
      </c>
      <c r="AM24" s="883">
        <f t="shared" si="21"/>
        <v>0</v>
      </c>
      <c r="AN24" s="884">
        <v>441</v>
      </c>
      <c r="AO24" s="883">
        <f t="shared" si="22"/>
        <v>0</v>
      </c>
      <c r="AP24" s="881"/>
      <c r="AQ24" s="881"/>
      <c r="AR24" s="883">
        <v>0</v>
      </c>
      <c r="AS24" s="883">
        <v>0</v>
      </c>
      <c r="AT24" s="883">
        <v>0</v>
      </c>
      <c r="AU24" s="880"/>
      <c r="AV24" s="886"/>
      <c r="AW24" s="880"/>
      <c r="AX24" s="886"/>
      <c r="AY24" s="880"/>
      <c r="AZ24" s="880"/>
      <c r="BA24" s="881"/>
      <c r="BB24" s="881" t="s">
        <v>57</v>
      </c>
      <c r="BC24" s="881"/>
      <c r="BD24" s="881"/>
      <c r="BE24" s="884">
        <f t="shared" si="23"/>
        <v>4</v>
      </c>
      <c r="BF24" s="887" t="str">
        <f t="shared" si="24"/>
        <v>SI</v>
      </c>
      <c r="BG24" s="883">
        <f t="shared" si="25"/>
        <v>21.73</v>
      </c>
      <c r="BH24" s="883">
        <f t="shared" si="26"/>
        <v>0</v>
      </c>
      <c r="BI24" s="883">
        <f t="shared" si="27"/>
        <v>0</v>
      </c>
      <c r="BJ24" s="883">
        <f t="shared" si="28"/>
        <v>0</v>
      </c>
      <c r="BK24" s="883">
        <f t="shared" si="29"/>
        <v>0</v>
      </c>
      <c r="BL24" s="883">
        <f t="shared" si="30"/>
        <v>3.26</v>
      </c>
      <c r="BM24" s="881"/>
      <c r="BN24" s="880"/>
      <c r="BO24" s="882" t="s">
        <v>1579</v>
      </c>
      <c r="BP24" s="882" t="s">
        <v>2286</v>
      </c>
      <c r="BQ24" s="882" t="s">
        <v>2285</v>
      </c>
      <c r="BR24" s="880"/>
      <c r="BS24" s="880"/>
      <c r="BT24" s="880"/>
      <c r="BU24" s="880"/>
      <c r="BV24" s="880"/>
      <c r="BW24" s="883">
        <v>0</v>
      </c>
      <c r="BX24" s="883">
        <v>0</v>
      </c>
      <c r="BY24" s="883">
        <v>0</v>
      </c>
      <c r="BZ24" s="890"/>
      <c r="CA24" s="883">
        <f t="shared" si="31"/>
        <v>0</v>
      </c>
      <c r="CB24" s="880"/>
      <c r="CC24" s="881"/>
      <c r="CD24" s="883"/>
      <c r="CE24" s="883"/>
      <c r="CF24" s="883"/>
      <c r="CG24" s="883"/>
      <c r="CH24" s="883"/>
      <c r="CI24" s="883"/>
      <c r="CJ24" s="883"/>
      <c r="CK24" s="883"/>
      <c r="CL24" s="883"/>
      <c r="CM24" s="883"/>
      <c r="CN24" s="883"/>
      <c r="CO24" s="883"/>
      <c r="CP24" s="883"/>
      <c r="CQ24" s="883"/>
      <c r="CR24" s="883"/>
      <c r="CS24" s="883"/>
      <c r="CT24" s="883"/>
      <c r="CU24" s="883"/>
    </row>
    <row r="25" spans="1:99" x14ac:dyDescent="0.25">
      <c r="A25" s="880" t="s">
        <v>1787</v>
      </c>
      <c r="B25" s="881" t="s">
        <v>1788</v>
      </c>
      <c r="C25" s="880" t="s">
        <v>2659</v>
      </c>
      <c r="D25" s="880"/>
      <c r="E25" s="884" t="s">
        <v>744</v>
      </c>
      <c r="F25" s="888">
        <v>1</v>
      </c>
      <c r="G25" s="881" t="s">
        <v>1007</v>
      </c>
      <c r="H25" s="881" t="s">
        <v>19</v>
      </c>
      <c r="I25" s="865">
        <v>46142</v>
      </c>
      <c r="J25" s="882" t="s">
        <v>8</v>
      </c>
      <c r="K25" s="880"/>
      <c r="L25" s="880"/>
      <c r="M25" s="883">
        <v>0</v>
      </c>
      <c r="N25" s="883">
        <v>0</v>
      </c>
      <c r="O25" s="883">
        <v>0</v>
      </c>
      <c r="P25" s="883">
        <v>43.47</v>
      </c>
      <c r="Q25" s="883">
        <v>15</v>
      </c>
      <c r="R25" s="883">
        <f t="shared" si="16"/>
        <v>6.52</v>
      </c>
      <c r="S25" s="883">
        <v>0</v>
      </c>
      <c r="T25" s="883">
        <v>5</v>
      </c>
      <c r="U25" s="883">
        <f t="shared" si="17"/>
        <v>0</v>
      </c>
      <c r="V25" s="883">
        <v>0</v>
      </c>
      <c r="W25" s="883">
        <v>8</v>
      </c>
      <c r="X25" s="883">
        <f t="shared" si="18"/>
        <v>0</v>
      </c>
      <c r="Y25" s="883">
        <v>0</v>
      </c>
      <c r="Z25" s="883">
        <v>0</v>
      </c>
      <c r="AA25" s="883">
        <v>0</v>
      </c>
      <c r="AB25" s="883">
        <f t="shared" si="19"/>
        <v>49.99</v>
      </c>
      <c r="AC25" s="883">
        <v>0</v>
      </c>
      <c r="AD25" s="881"/>
      <c r="AE25" s="880"/>
      <c r="AF25" s="883"/>
      <c r="AG25" s="889"/>
      <c r="AH25" s="880"/>
      <c r="AI25" s="880" t="s">
        <v>1241</v>
      </c>
      <c r="AJ25" s="884">
        <v>411</v>
      </c>
      <c r="AK25" s="883">
        <f t="shared" si="20"/>
        <v>43.47</v>
      </c>
      <c r="AL25" s="884">
        <v>413</v>
      </c>
      <c r="AM25" s="883">
        <f t="shared" si="21"/>
        <v>0</v>
      </c>
      <c r="AN25" s="884">
        <v>441</v>
      </c>
      <c r="AO25" s="883">
        <f t="shared" si="22"/>
        <v>0</v>
      </c>
      <c r="AP25" s="881"/>
      <c r="AQ25" s="881"/>
      <c r="AR25" s="883">
        <v>0</v>
      </c>
      <c r="AS25" s="883">
        <v>0</v>
      </c>
      <c r="AT25" s="883">
        <v>0</v>
      </c>
      <c r="AU25" s="880"/>
      <c r="AV25" s="886"/>
      <c r="AW25" s="880"/>
      <c r="AX25" s="886"/>
      <c r="AY25" s="880"/>
      <c r="AZ25" s="880"/>
      <c r="BA25" s="881"/>
      <c r="BB25" s="881" t="s">
        <v>57</v>
      </c>
      <c r="BC25" s="881"/>
      <c r="BD25" s="881"/>
      <c r="BE25" s="884">
        <f t="shared" si="23"/>
        <v>4</v>
      </c>
      <c r="BF25" s="887" t="str">
        <f t="shared" si="24"/>
        <v>SI</v>
      </c>
      <c r="BG25" s="883">
        <f t="shared" si="25"/>
        <v>43.47</v>
      </c>
      <c r="BH25" s="883">
        <f t="shared" si="26"/>
        <v>0</v>
      </c>
      <c r="BI25" s="883">
        <f t="shared" si="27"/>
        <v>0</v>
      </c>
      <c r="BJ25" s="883">
        <f t="shared" si="28"/>
        <v>0</v>
      </c>
      <c r="BK25" s="883">
        <f t="shared" si="29"/>
        <v>0</v>
      </c>
      <c r="BL25" s="883">
        <f t="shared" si="30"/>
        <v>6.52</v>
      </c>
      <c r="BM25" s="881"/>
      <c r="BN25" s="880"/>
      <c r="BO25" s="882" t="s">
        <v>1579</v>
      </c>
      <c r="BP25" s="882" t="s">
        <v>2286</v>
      </c>
      <c r="BQ25" s="882" t="s">
        <v>2285</v>
      </c>
      <c r="BR25" s="880"/>
      <c r="BS25" s="880"/>
      <c r="BT25" s="880"/>
      <c r="BU25" s="880"/>
      <c r="BV25" s="880"/>
      <c r="BW25" s="883">
        <v>0</v>
      </c>
      <c r="BX25" s="883">
        <v>0</v>
      </c>
      <c r="BY25" s="883">
        <v>0</v>
      </c>
      <c r="BZ25" s="890"/>
      <c r="CA25" s="883">
        <f t="shared" si="31"/>
        <v>0</v>
      </c>
      <c r="CB25" s="880"/>
      <c r="CC25" s="881"/>
      <c r="CD25" s="883"/>
      <c r="CE25" s="883"/>
      <c r="CF25" s="883"/>
      <c r="CG25" s="883"/>
      <c r="CH25" s="883"/>
      <c r="CI25" s="883"/>
      <c r="CJ25" s="883"/>
      <c r="CK25" s="883"/>
      <c r="CL25" s="883"/>
      <c r="CM25" s="883"/>
      <c r="CN25" s="883"/>
      <c r="CO25" s="883"/>
      <c r="CP25" s="883"/>
      <c r="CQ25" s="883"/>
      <c r="CR25" s="883"/>
      <c r="CS25" s="883"/>
      <c r="CT25" s="883"/>
      <c r="CU25" s="883"/>
    </row>
    <row r="26" spans="1:99" x14ac:dyDescent="0.25">
      <c r="A26" s="880" t="s">
        <v>1787</v>
      </c>
      <c r="B26" s="881" t="s">
        <v>1788</v>
      </c>
      <c r="C26" s="880" t="s">
        <v>2660</v>
      </c>
      <c r="D26" s="880"/>
      <c r="E26" s="884" t="s">
        <v>744</v>
      </c>
      <c r="F26" s="888">
        <v>1</v>
      </c>
      <c r="G26" s="881" t="s">
        <v>1007</v>
      </c>
      <c r="H26" s="881" t="s">
        <v>19</v>
      </c>
      <c r="I26" s="865">
        <v>46142</v>
      </c>
      <c r="J26" s="882" t="s">
        <v>8</v>
      </c>
      <c r="K26" s="880"/>
      <c r="L26" s="880"/>
      <c r="M26" s="883">
        <v>0</v>
      </c>
      <c r="N26" s="883">
        <v>0</v>
      </c>
      <c r="O26" s="883">
        <v>0</v>
      </c>
      <c r="P26" s="883">
        <v>13.04</v>
      </c>
      <c r="Q26" s="883">
        <v>15</v>
      </c>
      <c r="R26" s="883">
        <f t="shared" si="16"/>
        <v>1.96</v>
      </c>
      <c r="S26" s="883">
        <v>0</v>
      </c>
      <c r="T26" s="883">
        <v>5</v>
      </c>
      <c r="U26" s="883">
        <f t="shared" si="17"/>
        <v>0</v>
      </c>
      <c r="V26" s="883">
        <v>0</v>
      </c>
      <c r="W26" s="883">
        <v>8</v>
      </c>
      <c r="X26" s="883">
        <f t="shared" si="18"/>
        <v>0</v>
      </c>
      <c r="Y26" s="883">
        <v>0</v>
      </c>
      <c r="Z26" s="883">
        <v>0</v>
      </c>
      <c r="AA26" s="883">
        <v>0</v>
      </c>
      <c r="AB26" s="883">
        <f t="shared" si="19"/>
        <v>15</v>
      </c>
      <c r="AC26" s="883">
        <v>0</v>
      </c>
      <c r="AD26" s="881"/>
      <c r="AE26" s="880"/>
      <c r="AF26" s="883"/>
      <c r="AG26" s="889"/>
      <c r="AH26" s="880"/>
      <c r="AI26" s="880" t="s">
        <v>1241</v>
      </c>
      <c r="AJ26" s="884">
        <v>411</v>
      </c>
      <c r="AK26" s="883">
        <f t="shared" si="20"/>
        <v>13.04</v>
      </c>
      <c r="AL26" s="884">
        <v>413</v>
      </c>
      <c r="AM26" s="883">
        <f t="shared" si="21"/>
        <v>0</v>
      </c>
      <c r="AN26" s="884">
        <v>441</v>
      </c>
      <c r="AO26" s="883">
        <f t="shared" si="22"/>
        <v>0</v>
      </c>
      <c r="AP26" s="881"/>
      <c r="AQ26" s="881"/>
      <c r="AR26" s="883">
        <v>0</v>
      </c>
      <c r="AS26" s="883">
        <v>0</v>
      </c>
      <c r="AT26" s="883">
        <v>0</v>
      </c>
      <c r="AU26" s="880"/>
      <c r="AV26" s="886"/>
      <c r="AW26" s="880"/>
      <c r="AX26" s="886"/>
      <c r="AY26" s="880"/>
      <c r="AZ26" s="880"/>
      <c r="BA26" s="881"/>
      <c r="BB26" s="881" t="s">
        <v>57</v>
      </c>
      <c r="BC26" s="881"/>
      <c r="BD26" s="881"/>
      <c r="BE26" s="884">
        <f t="shared" si="23"/>
        <v>4</v>
      </c>
      <c r="BF26" s="887" t="str">
        <f t="shared" si="24"/>
        <v>SI</v>
      </c>
      <c r="BG26" s="883">
        <f t="shared" si="25"/>
        <v>13.04</v>
      </c>
      <c r="BH26" s="883">
        <f t="shared" si="26"/>
        <v>0</v>
      </c>
      <c r="BI26" s="883">
        <f t="shared" si="27"/>
        <v>0</v>
      </c>
      <c r="BJ26" s="883">
        <f t="shared" si="28"/>
        <v>0</v>
      </c>
      <c r="BK26" s="883">
        <f t="shared" si="29"/>
        <v>0</v>
      </c>
      <c r="BL26" s="883">
        <f t="shared" si="30"/>
        <v>1.96</v>
      </c>
      <c r="BM26" s="881"/>
      <c r="BN26" s="880"/>
      <c r="BO26" s="882" t="s">
        <v>1579</v>
      </c>
      <c r="BP26" s="882" t="s">
        <v>2286</v>
      </c>
      <c r="BQ26" s="882" t="s">
        <v>2285</v>
      </c>
      <c r="BR26" s="880"/>
      <c r="BS26" s="880"/>
      <c r="BT26" s="880"/>
      <c r="BU26" s="880"/>
      <c r="BV26" s="880"/>
      <c r="BW26" s="883">
        <v>0</v>
      </c>
      <c r="BX26" s="883">
        <v>0</v>
      </c>
      <c r="BY26" s="883">
        <v>0</v>
      </c>
      <c r="BZ26" s="890"/>
      <c r="CA26" s="883">
        <f t="shared" si="31"/>
        <v>0</v>
      </c>
      <c r="CB26" s="880"/>
      <c r="CC26" s="881"/>
      <c r="CD26" s="883"/>
      <c r="CE26" s="883"/>
      <c r="CF26" s="883"/>
      <c r="CG26" s="883"/>
      <c r="CH26" s="883"/>
      <c r="CI26" s="883"/>
      <c r="CJ26" s="883"/>
      <c r="CK26" s="883"/>
      <c r="CL26" s="883"/>
      <c r="CM26" s="883"/>
      <c r="CN26" s="883"/>
      <c r="CO26" s="883"/>
      <c r="CP26" s="883"/>
      <c r="CQ26" s="883"/>
      <c r="CR26" s="883"/>
      <c r="CS26" s="883"/>
      <c r="CT26" s="883"/>
      <c r="CU26" s="883"/>
    </row>
    <row r="27" spans="1:99" x14ac:dyDescent="0.25">
      <c r="A27" s="880" t="s">
        <v>1787</v>
      </c>
      <c r="B27" s="881" t="s">
        <v>1788</v>
      </c>
      <c r="C27" s="880" t="s">
        <v>2661</v>
      </c>
      <c r="D27" s="880"/>
      <c r="E27" s="884" t="s">
        <v>744</v>
      </c>
      <c r="F27" s="888">
        <v>1</v>
      </c>
      <c r="G27" s="881" t="s">
        <v>1007</v>
      </c>
      <c r="H27" s="881" t="s">
        <v>19</v>
      </c>
      <c r="I27" s="865">
        <v>46142</v>
      </c>
      <c r="J27" s="882" t="s">
        <v>8</v>
      </c>
      <c r="K27" s="880"/>
      <c r="L27" s="880"/>
      <c r="M27" s="883">
        <v>0</v>
      </c>
      <c r="N27" s="883">
        <v>0</v>
      </c>
      <c r="O27" s="883">
        <v>0</v>
      </c>
      <c r="P27" s="883">
        <v>21.73</v>
      </c>
      <c r="Q27" s="883">
        <v>15</v>
      </c>
      <c r="R27" s="883">
        <f t="shared" si="16"/>
        <v>3.26</v>
      </c>
      <c r="S27" s="883">
        <v>0</v>
      </c>
      <c r="T27" s="883">
        <v>5</v>
      </c>
      <c r="U27" s="883">
        <f t="shared" si="17"/>
        <v>0</v>
      </c>
      <c r="V27" s="883">
        <v>0</v>
      </c>
      <c r="W27" s="883">
        <v>8</v>
      </c>
      <c r="X27" s="883">
        <f t="shared" si="18"/>
        <v>0</v>
      </c>
      <c r="Y27" s="883">
        <v>0</v>
      </c>
      <c r="Z27" s="883">
        <v>0</v>
      </c>
      <c r="AA27" s="883">
        <v>0</v>
      </c>
      <c r="AB27" s="883">
        <f t="shared" si="19"/>
        <v>24.99</v>
      </c>
      <c r="AC27" s="883">
        <v>0</v>
      </c>
      <c r="AD27" s="881"/>
      <c r="AE27" s="880"/>
      <c r="AF27" s="883"/>
      <c r="AG27" s="889"/>
      <c r="AH27" s="880"/>
      <c r="AI27" s="880" t="s">
        <v>1241</v>
      </c>
      <c r="AJ27" s="884">
        <v>411</v>
      </c>
      <c r="AK27" s="883">
        <f t="shared" si="20"/>
        <v>21.73</v>
      </c>
      <c r="AL27" s="884">
        <v>413</v>
      </c>
      <c r="AM27" s="883">
        <f t="shared" si="21"/>
        <v>0</v>
      </c>
      <c r="AN27" s="884">
        <v>441</v>
      </c>
      <c r="AO27" s="883">
        <f t="shared" si="22"/>
        <v>0</v>
      </c>
      <c r="AP27" s="881"/>
      <c r="AQ27" s="881"/>
      <c r="AR27" s="883">
        <v>0</v>
      </c>
      <c r="AS27" s="883">
        <v>0</v>
      </c>
      <c r="AT27" s="883">
        <v>0</v>
      </c>
      <c r="AU27" s="880"/>
      <c r="AV27" s="886"/>
      <c r="AW27" s="880"/>
      <c r="AX27" s="886"/>
      <c r="AY27" s="880"/>
      <c r="AZ27" s="880"/>
      <c r="BA27" s="881"/>
      <c r="BB27" s="881" t="s">
        <v>57</v>
      </c>
      <c r="BC27" s="881"/>
      <c r="BD27" s="881"/>
      <c r="BE27" s="884">
        <f t="shared" si="23"/>
        <v>4</v>
      </c>
      <c r="BF27" s="887" t="str">
        <f t="shared" si="24"/>
        <v>SI</v>
      </c>
      <c r="BG27" s="883">
        <f t="shared" si="25"/>
        <v>21.73</v>
      </c>
      <c r="BH27" s="883">
        <f t="shared" si="26"/>
        <v>0</v>
      </c>
      <c r="BI27" s="883">
        <f t="shared" si="27"/>
        <v>0</v>
      </c>
      <c r="BJ27" s="883">
        <f t="shared" si="28"/>
        <v>0</v>
      </c>
      <c r="BK27" s="883">
        <f t="shared" si="29"/>
        <v>0</v>
      </c>
      <c r="BL27" s="883">
        <f t="shared" si="30"/>
        <v>3.26</v>
      </c>
      <c r="BM27" s="881"/>
      <c r="BN27" s="880"/>
      <c r="BO27" s="882" t="s">
        <v>1579</v>
      </c>
      <c r="BP27" s="882" t="s">
        <v>2286</v>
      </c>
      <c r="BQ27" s="882" t="s">
        <v>2285</v>
      </c>
      <c r="BR27" s="880"/>
      <c r="BS27" s="880"/>
      <c r="BT27" s="880"/>
      <c r="BU27" s="880"/>
      <c r="BV27" s="880"/>
      <c r="BW27" s="883">
        <v>0</v>
      </c>
      <c r="BX27" s="883">
        <v>0</v>
      </c>
      <c r="BY27" s="883">
        <v>0</v>
      </c>
      <c r="BZ27" s="890"/>
      <c r="CA27" s="883">
        <f t="shared" si="31"/>
        <v>0</v>
      </c>
      <c r="CB27" s="880"/>
      <c r="CC27" s="881"/>
      <c r="CD27" s="883"/>
      <c r="CE27" s="883"/>
      <c r="CF27" s="883"/>
      <c r="CG27" s="883"/>
      <c r="CH27" s="883"/>
      <c r="CI27" s="883"/>
      <c r="CJ27" s="883"/>
      <c r="CK27" s="883"/>
      <c r="CL27" s="883"/>
      <c r="CM27" s="883"/>
      <c r="CN27" s="883"/>
      <c r="CO27" s="883"/>
      <c r="CP27" s="883"/>
      <c r="CQ27" s="883"/>
      <c r="CR27" s="883"/>
      <c r="CS27" s="883"/>
      <c r="CT27" s="883"/>
      <c r="CU27" s="883"/>
    </row>
    <row r="28" spans="1:99" x14ac:dyDescent="0.25">
      <c r="A28" s="880" t="s">
        <v>1787</v>
      </c>
      <c r="B28" s="881" t="s">
        <v>1788</v>
      </c>
      <c r="C28" s="880" t="s">
        <v>2662</v>
      </c>
      <c r="D28" s="880"/>
      <c r="E28" s="884" t="s">
        <v>744</v>
      </c>
      <c r="F28" s="888">
        <v>1</v>
      </c>
      <c r="G28" s="881" t="s">
        <v>1007</v>
      </c>
      <c r="H28" s="881" t="s">
        <v>19</v>
      </c>
      <c r="I28" s="865">
        <v>46142</v>
      </c>
      <c r="J28" s="882" t="s">
        <v>8</v>
      </c>
      <c r="K28" s="880"/>
      <c r="L28" s="880"/>
      <c r="M28" s="883">
        <v>0</v>
      </c>
      <c r="N28" s="883">
        <v>0</v>
      </c>
      <c r="O28" s="883">
        <v>0</v>
      </c>
      <c r="P28" s="883">
        <v>26.09</v>
      </c>
      <c r="Q28" s="883">
        <v>15</v>
      </c>
      <c r="R28" s="883">
        <f t="shared" si="16"/>
        <v>3.91</v>
      </c>
      <c r="S28" s="883">
        <v>0</v>
      </c>
      <c r="T28" s="883">
        <v>5</v>
      </c>
      <c r="U28" s="883">
        <f t="shared" si="17"/>
        <v>0</v>
      </c>
      <c r="V28" s="883">
        <v>0</v>
      </c>
      <c r="W28" s="883">
        <v>8</v>
      </c>
      <c r="X28" s="883">
        <f t="shared" si="18"/>
        <v>0</v>
      </c>
      <c r="Y28" s="883">
        <v>0</v>
      </c>
      <c r="Z28" s="883">
        <v>0</v>
      </c>
      <c r="AA28" s="883">
        <v>0</v>
      </c>
      <c r="AB28" s="883">
        <f t="shared" si="19"/>
        <v>30</v>
      </c>
      <c r="AC28" s="883">
        <v>0</v>
      </c>
      <c r="AD28" s="881"/>
      <c r="AE28" s="880"/>
      <c r="AF28" s="883"/>
      <c r="AG28" s="889"/>
      <c r="AH28" s="880"/>
      <c r="AI28" s="880" t="s">
        <v>1241</v>
      </c>
      <c r="AJ28" s="884">
        <v>411</v>
      </c>
      <c r="AK28" s="883">
        <f t="shared" si="20"/>
        <v>26.09</v>
      </c>
      <c r="AL28" s="884">
        <v>413</v>
      </c>
      <c r="AM28" s="883">
        <f t="shared" si="21"/>
        <v>0</v>
      </c>
      <c r="AN28" s="884">
        <v>441</v>
      </c>
      <c r="AO28" s="883">
        <f t="shared" si="22"/>
        <v>0</v>
      </c>
      <c r="AP28" s="881"/>
      <c r="AQ28" s="881"/>
      <c r="AR28" s="883">
        <v>0</v>
      </c>
      <c r="AS28" s="883">
        <v>0</v>
      </c>
      <c r="AT28" s="883">
        <v>0</v>
      </c>
      <c r="AU28" s="880"/>
      <c r="AV28" s="886"/>
      <c r="AW28" s="880"/>
      <c r="AX28" s="886"/>
      <c r="AY28" s="880"/>
      <c r="AZ28" s="880"/>
      <c r="BA28" s="881"/>
      <c r="BB28" s="881" t="s">
        <v>57</v>
      </c>
      <c r="BC28" s="881"/>
      <c r="BD28" s="881"/>
      <c r="BE28" s="884">
        <f t="shared" si="23"/>
        <v>4</v>
      </c>
      <c r="BF28" s="887" t="str">
        <f t="shared" si="24"/>
        <v>SI</v>
      </c>
      <c r="BG28" s="883">
        <f t="shared" si="25"/>
        <v>26.09</v>
      </c>
      <c r="BH28" s="883">
        <f t="shared" si="26"/>
        <v>0</v>
      </c>
      <c r="BI28" s="883">
        <f t="shared" si="27"/>
        <v>0</v>
      </c>
      <c r="BJ28" s="883">
        <f t="shared" si="28"/>
        <v>0</v>
      </c>
      <c r="BK28" s="883">
        <f t="shared" si="29"/>
        <v>0</v>
      </c>
      <c r="BL28" s="883">
        <f t="shared" si="30"/>
        <v>3.91</v>
      </c>
      <c r="BM28" s="881"/>
      <c r="BN28" s="880"/>
      <c r="BO28" s="882" t="s">
        <v>1579</v>
      </c>
      <c r="BP28" s="882" t="s">
        <v>2286</v>
      </c>
      <c r="BQ28" s="882" t="s">
        <v>2285</v>
      </c>
      <c r="BR28" s="880"/>
      <c r="BS28" s="880"/>
      <c r="BT28" s="880"/>
      <c r="BU28" s="880"/>
      <c r="BV28" s="880"/>
      <c r="BW28" s="883">
        <v>0</v>
      </c>
      <c r="BX28" s="883">
        <v>0</v>
      </c>
      <c r="BY28" s="883">
        <v>0</v>
      </c>
      <c r="BZ28" s="890"/>
      <c r="CA28" s="883">
        <f t="shared" si="31"/>
        <v>0</v>
      </c>
      <c r="CB28" s="880"/>
      <c r="CC28" s="881"/>
      <c r="CD28" s="883"/>
      <c r="CE28" s="883"/>
      <c r="CF28" s="883"/>
      <c r="CG28" s="883"/>
      <c r="CH28" s="883"/>
      <c r="CI28" s="883"/>
      <c r="CJ28" s="883"/>
      <c r="CK28" s="883"/>
      <c r="CL28" s="883"/>
      <c r="CM28" s="883"/>
      <c r="CN28" s="883"/>
      <c r="CO28" s="883"/>
      <c r="CP28" s="883"/>
      <c r="CQ28" s="883"/>
      <c r="CR28" s="883"/>
      <c r="CS28" s="883"/>
      <c r="CT28" s="883"/>
      <c r="CU28" s="883"/>
    </row>
    <row r="29" spans="1:99" x14ac:dyDescent="0.25">
      <c r="A29" s="880" t="s">
        <v>1787</v>
      </c>
      <c r="B29" s="881" t="s">
        <v>1788</v>
      </c>
      <c r="C29" s="880" t="s">
        <v>2663</v>
      </c>
      <c r="D29" s="880"/>
      <c r="E29" s="884" t="s">
        <v>744</v>
      </c>
      <c r="F29" s="888">
        <v>1</v>
      </c>
      <c r="G29" s="881" t="s">
        <v>1007</v>
      </c>
      <c r="H29" s="881" t="s">
        <v>19</v>
      </c>
      <c r="I29" s="865">
        <v>46142</v>
      </c>
      <c r="J29" s="882" t="s">
        <v>8</v>
      </c>
      <c r="K29" s="880"/>
      <c r="L29" s="880"/>
      <c r="M29" s="883">
        <v>0</v>
      </c>
      <c r="N29" s="883">
        <v>0</v>
      </c>
      <c r="O29" s="883">
        <v>0</v>
      </c>
      <c r="P29" s="883">
        <v>26.09</v>
      </c>
      <c r="Q29" s="883">
        <v>15</v>
      </c>
      <c r="R29" s="883">
        <f t="shared" si="16"/>
        <v>3.91</v>
      </c>
      <c r="S29" s="883">
        <v>0</v>
      </c>
      <c r="T29" s="883">
        <v>5</v>
      </c>
      <c r="U29" s="883">
        <f t="shared" si="17"/>
        <v>0</v>
      </c>
      <c r="V29" s="883">
        <v>0</v>
      </c>
      <c r="W29" s="883">
        <v>8</v>
      </c>
      <c r="X29" s="883">
        <f t="shared" si="18"/>
        <v>0</v>
      </c>
      <c r="Y29" s="883">
        <v>0</v>
      </c>
      <c r="Z29" s="883">
        <v>0</v>
      </c>
      <c r="AA29" s="883">
        <v>0</v>
      </c>
      <c r="AB29" s="883">
        <f t="shared" si="19"/>
        <v>30</v>
      </c>
      <c r="AC29" s="883">
        <v>0</v>
      </c>
      <c r="AD29" s="881"/>
      <c r="AE29" s="880"/>
      <c r="AF29" s="883"/>
      <c r="AG29" s="889"/>
      <c r="AH29" s="880"/>
      <c r="AI29" s="880" t="s">
        <v>1241</v>
      </c>
      <c r="AJ29" s="884">
        <v>411</v>
      </c>
      <c r="AK29" s="883">
        <f t="shared" si="20"/>
        <v>26.09</v>
      </c>
      <c r="AL29" s="884">
        <v>413</v>
      </c>
      <c r="AM29" s="883">
        <f t="shared" si="21"/>
        <v>0</v>
      </c>
      <c r="AN29" s="884">
        <v>441</v>
      </c>
      <c r="AO29" s="883">
        <f t="shared" si="22"/>
        <v>0</v>
      </c>
      <c r="AP29" s="881"/>
      <c r="AQ29" s="881"/>
      <c r="AR29" s="883">
        <v>0</v>
      </c>
      <c r="AS29" s="883">
        <v>0</v>
      </c>
      <c r="AT29" s="883">
        <v>0</v>
      </c>
      <c r="AU29" s="880"/>
      <c r="AV29" s="886"/>
      <c r="AW29" s="880"/>
      <c r="AX29" s="886"/>
      <c r="AY29" s="880"/>
      <c r="AZ29" s="880"/>
      <c r="BA29" s="881"/>
      <c r="BB29" s="881" t="s">
        <v>57</v>
      </c>
      <c r="BC29" s="881"/>
      <c r="BD29" s="881"/>
      <c r="BE29" s="884">
        <f t="shared" si="23"/>
        <v>4</v>
      </c>
      <c r="BF29" s="887" t="str">
        <f t="shared" si="24"/>
        <v>SI</v>
      </c>
      <c r="BG29" s="883">
        <f t="shared" si="25"/>
        <v>26.09</v>
      </c>
      <c r="BH29" s="883">
        <f t="shared" si="26"/>
        <v>0</v>
      </c>
      <c r="BI29" s="883">
        <f t="shared" si="27"/>
        <v>0</v>
      </c>
      <c r="BJ29" s="883">
        <f t="shared" si="28"/>
        <v>0</v>
      </c>
      <c r="BK29" s="883">
        <f t="shared" si="29"/>
        <v>0</v>
      </c>
      <c r="BL29" s="883">
        <f t="shared" si="30"/>
        <v>3.91</v>
      </c>
      <c r="BM29" s="881"/>
      <c r="BN29" s="880"/>
      <c r="BO29" s="882" t="s">
        <v>1579</v>
      </c>
      <c r="BP29" s="882" t="s">
        <v>2286</v>
      </c>
      <c r="BQ29" s="882" t="s">
        <v>2285</v>
      </c>
      <c r="BR29" s="880"/>
      <c r="BS29" s="880"/>
      <c r="BT29" s="880"/>
      <c r="BU29" s="880"/>
      <c r="BV29" s="880"/>
      <c r="BW29" s="883">
        <v>0</v>
      </c>
      <c r="BX29" s="883">
        <v>0</v>
      </c>
      <c r="BY29" s="883">
        <v>0</v>
      </c>
      <c r="BZ29" s="890"/>
      <c r="CA29" s="883">
        <f t="shared" si="31"/>
        <v>0</v>
      </c>
      <c r="CB29" s="880"/>
      <c r="CC29" s="881"/>
      <c r="CD29" s="883"/>
      <c r="CE29" s="883"/>
      <c r="CF29" s="883"/>
      <c r="CG29" s="883"/>
      <c r="CH29" s="883"/>
      <c r="CI29" s="883"/>
      <c r="CJ29" s="883"/>
      <c r="CK29" s="883"/>
      <c r="CL29" s="883"/>
      <c r="CM29" s="883"/>
      <c r="CN29" s="883"/>
      <c r="CO29" s="883"/>
      <c r="CP29" s="883"/>
      <c r="CQ29" s="883"/>
      <c r="CR29" s="883"/>
      <c r="CS29" s="883"/>
      <c r="CT29" s="883"/>
      <c r="CU29" s="883"/>
    </row>
    <row r="30" spans="1:99" x14ac:dyDescent="0.25">
      <c r="A30" s="880" t="s">
        <v>1787</v>
      </c>
      <c r="B30" s="881" t="s">
        <v>1788</v>
      </c>
      <c r="C30" s="880" t="s">
        <v>2664</v>
      </c>
      <c r="D30" s="880"/>
      <c r="E30" s="884" t="s">
        <v>744</v>
      </c>
      <c r="F30" s="888">
        <v>1</v>
      </c>
      <c r="G30" s="881" t="s">
        <v>1007</v>
      </c>
      <c r="H30" s="881" t="s">
        <v>19</v>
      </c>
      <c r="I30" s="865">
        <v>46142</v>
      </c>
      <c r="J30" s="882" t="s">
        <v>8</v>
      </c>
      <c r="K30" s="880"/>
      <c r="L30" s="880"/>
      <c r="M30" s="883">
        <v>0</v>
      </c>
      <c r="N30" s="883">
        <v>0</v>
      </c>
      <c r="O30" s="883">
        <v>0</v>
      </c>
      <c r="P30" s="883">
        <v>17.39</v>
      </c>
      <c r="Q30" s="883">
        <v>15</v>
      </c>
      <c r="R30" s="883">
        <f t="shared" si="16"/>
        <v>2.61</v>
      </c>
      <c r="S30" s="883">
        <v>0</v>
      </c>
      <c r="T30" s="883">
        <v>5</v>
      </c>
      <c r="U30" s="883">
        <f t="shared" si="17"/>
        <v>0</v>
      </c>
      <c r="V30" s="883">
        <v>0</v>
      </c>
      <c r="W30" s="883">
        <v>8</v>
      </c>
      <c r="X30" s="883">
        <f t="shared" si="18"/>
        <v>0</v>
      </c>
      <c r="Y30" s="883">
        <v>0</v>
      </c>
      <c r="Z30" s="883">
        <v>0</v>
      </c>
      <c r="AA30" s="883">
        <v>0</v>
      </c>
      <c r="AB30" s="883">
        <f t="shared" si="19"/>
        <v>20</v>
      </c>
      <c r="AC30" s="883">
        <v>0</v>
      </c>
      <c r="AD30" s="881"/>
      <c r="AE30" s="880"/>
      <c r="AF30" s="883"/>
      <c r="AG30" s="889"/>
      <c r="AH30" s="880"/>
      <c r="AI30" s="880" t="s">
        <v>1241</v>
      </c>
      <c r="AJ30" s="884">
        <v>411</v>
      </c>
      <c r="AK30" s="883">
        <f t="shared" si="20"/>
        <v>17.39</v>
      </c>
      <c r="AL30" s="884">
        <v>413</v>
      </c>
      <c r="AM30" s="883">
        <f t="shared" si="21"/>
        <v>0</v>
      </c>
      <c r="AN30" s="884">
        <v>441</v>
      </c>
      <c r="AO30" s="883">
        <f t="shared" si="22"/>
        <v>0</v>
      </c>
      <c r="AP30" s="881"/>
      <c r="AQ30" s="881"/>
      <c r="AR30" s="883">
        <v>0</v>
      </c>
      <c r="AS30" s="883">
        <v>0</v>
      </c>
      <c r="AT30" s="883">
        <v>0</v>
      </c>
      <c r="AU30" s="880"/>
      <c r="AV30" s="886"/>
      <c r="AW30" s="880"/>
      <c r="AX30" s="886"/>
      <c r="AY30" s="880"/>
      <c r="AZ30" s="880"/>
      <c r="BA30" s="881"/>
      <c r="BB30" s="881" t="s">
        <v>57</v>
      </c>
      <c r="BC30" s="881"/>
      <c r="BD30" s="881"/>
      <c r="BE30" s="884">
        <f t="shared" si="23"/>
        <v>4</v>
      </c>
      <c r="BF30" s="887" t="str">
        <f t="shared" si="24"/>
        <v>SI</v>
      </c>
      <c r="BG30" s="883">
        <f t="shared" si="25"/>
        <v>17.39</v>
      </c>
      <c r="BH30" s="883">
        <f t="shared" si="26"/>
        <v>0</v>
      </c>
      <c r="BI30" s="883">
        <f t="shared" si="27"/>
        <v>0</v>
      </c>
      <c r="BJ30" s="883">
        <f t="shared" si="28"/>
        <v>0</v>
      </c>
      <c r="BK30" s="883">
        <f t="shared" si="29"/>
        <v>0</v>
      </c>
      <c r="BL30" s="883">
        <f t="shared" si="30"/>
        <v>2.61</v>
      </c>
      <c r="BM30" s="881"/>
      <c r="BN30" s="880"/>
      <c r="BO30" s="882" t="s">
        <v>1579</v>
      </c>
      <c r="BP30" s="882" t="s">
        <v>2286</v>
      </c>
      <c r="BQ30" s="882" t="s">
        <v>2285</v>
      </c>
      <c r="BR30" s="880"/>
      <c r="BS30" s="880"/>
      <c r="BT30" s="880"/>
      <c r="BU30" s="880"/>
      <c r="BV30" s="880"/>
      <c r="BW30" s="883">
        <v>0</v>
      </c>
      <c r="BX30" s="883">
        <v>0</v>
      </c>
      <c r="BY30" s="883">
        <v>0</v>
      </c>
      <c r="BZ30" s="890"/>
      <c r="CA30" s="883">
        <f t="shared" si="31"/>
        <v>0</v>
      </c>
      <c r="CB30" s="880"/>
      <c r="CC30" s="881"/>
      <c r="CD30" s="883"/>
      <c r="CE30" s="883"/>
      <c r="CF30" s="883"/>
      <c r="CG30" s="883"/>
      <c r="CH30" s="883"/>
      <c r="CI30" s="883"/>
      <c r="CJ30" s="883"/>
      <c r="CK30" s="883"/>
      <c r="CL30" s="883"/>
      <c r="CM30" s="883"/>
      <c r="CN30" s="883"/>
      <c r="CO30" s="883"/>
      <c r="CP30" s="883"/>
      <c r="CQ30" s="883"/>
      <c r="CR30" s="883"/>
      <c r="CS30" s="883"/>
      <c r="CT30" s="883"/>
      <c r="CU30" s="883"/>
    </row>
    <row r="31" spans="1:99" x14ac:dyDescent="0.25">
      <c r="A31" s="880" t="s">
        <v>1787</v>
      </c>
      <c r="B31" s="881" t="s">
        <v>1788</v>
      </c>
      <c r="C31" s="880" t="s">
        <v>2665</v>
      </c>
      <c r="D31" s="880"/>
      <c r="E31" s="884" t="s">
        <v>744</v>
      </c>
      <c r="F31" s="888">
        <v>1</v>
      </c>
      <c r="G31" s="881" t="s">
        <v>1007</v>
      </c>
      <c r="H31" s="881" t="s">
        <v>19</v>
      </c>
      <c r="I31" s="865">
        <v>46142</v>
      </c>
      <c r="J31" s="882" t="s">
        <v>8</v>
      </c>
      <c r="K31" s="880"/>
      <c r="L31" s="880"/>
      <c r="M31" s="883">
        <v>0</v>
      </c>
      <c r="N31" s="883">
        <v>0</v>
      </c>
      <c r="O31" s="883">
        <v>0</v>
      </c>
      <c r="P31" s="883">
        <v>21.74</v>
      </c>
      <c r="Q31" s="883">
        <v>15</v>
      </c>
      <c r="R31" s="883">
        <f t="shared" si="16"/>
        <v>3.26</v>
      </c>
      <c r="S31" s="883">
        <v>0</v>
      </c>
      <c r="T31" s="883">
        <v>5</v>
      </c>
      <c r="U31" s="883">
        <f t="shared" si="17"/>
        <v>0</v>
      </c>
      <c r="V31" s="883">
        <v>0</v>
      </c>
      <c r="W31" s="883">
        <v>8</v>
      </c>
      <c r="X31" s="883">
        <f t="shared" si="18"/>
        <v>0</v>
      </c>
      <c r="Y31" s="883">
        <v>0</v>
      </c>
      <c r="Z31" s="883">
        <v>0</v>
      </c>
      <c r="AA31" s="883">
        <v>0</v>
      </c>
      <c r="AB31" s="883">
        <f t="shared" si="19"/>
        <v>25</v>
      </c>
      <c r="AC31" s="883">
        <v>0</v>
      </c>
      <c r="AD31" s="881"/>
      <c r="AE31" s="880"/>
      <c r="AF31" s="883"/>
      <c r="AG31" s="889"/>
      <c r="AH31" s="880"/>
      <c r="AI31" s="880" t="s">
        <v>1241</v>
      </c>
      <c r="AJ31" s="884">
        <v>411</v>
      </c>
      <c r="AK31" s="883">
        <f t="shared" si="20"/>
        <v>21.74</v>
      </c>
      <c r="AL31" s="884">
        <v>413</v>
      </c>
      <c r="AM31" s="883">
        <f t="shared" si="21"/>
        <v>0</v>
      </c>
      <c r="AN31" s="884">
        <v>441</v>
      </c>
      <c r="AO31" s="883">
        <f t="shared" si="22"/>
        <v>0</v>
      </c>
      <c r="AP31" s="881"/>
      <c r="AQ31" s="881"/>
      <c r="AR31" s="883">
        <v>0</v>
      </c>
      <c r="AS31" s="883">
        <v>0</v>
      </c>
      <c r="AT31" s="883">
        <v>0</v>
      </c>
      <c r="AU31" s="880"/>
      <c r="AV31" s="886"/>
      <c r="AW31" s="880"/>
      <c r="AX31" s="886"/>
      <c r="AY31" s="880"/>
      <c r="AZ31" s="880"/>
      <c r="BA31" s="881"/>
      <c r="BB31" s="881" t="s">
        <v>57</v>
      </c>
      <c r="BC31" s="881"/>
      <c r="BD31" s="881"/>
      <c r="BE31" s="884">
        <f t="shared" si="23"/>
        <v>4</v>
      </c>
      <c r="BF31" s="887" t="str">
        <f t="shared" si="24"/>
        <v>SI</v>
      </c>
      <c r="BG31" s="883">
        <f t="shared" si="25"/>
        <v>21.74</v>
      </c>
      <c r="BH31" s="883">
        <f t="shared" si="26"/>
        <v>0</v>
      </c>
      <c r="BI31" s="883">
        <f t="shared" si="27"/>
        <v>0</v>
      </c>
      <c r="BJ31" s="883">
        <f t="shared" si="28"/>
        <v>0</v>
      </c>
      <c r="BK31" s="883">
        <f t="shared" si="29"/>
        <v>0</v>
      </c>
      <c r="BL31" s="883">
        <f t="shared" si="30"/>
        <v>3.26</v>
      </c>
      <c r="BM31" s="881"/>
      <c r="BN31" s="880"/>
      <c r="BO31" s="882" t="s">
        <v>1579</v>
      </c>
      <c r="BP31" s="882" t="s">
        <v>2286</v>
      </c>
      <c r="BQ31" s="882" t="s">
        <v>2285</v>
      </c>
      <c r="BR31" s="880"/>
      <c r="BS31" s="880"/>
      <c r="BT31" s="880"/>
      <c r="BU31" s="880"/>
      <c r="BV31" s="880"/>
      <c r="BW31" s="883">
        <v>0</v>
      </c>
      <c r="BX31" s="883">
        <v>0</v>
      </c>
      <c r="BY31" s="883">
        <v>0</v>
      </c>
      <c r="BZ31" s="890"/>
      <c r="CA31" s="883">
        <f t="shared" si="31"/>
        <v>0</v>
      </c>
      <c r="CB31" s="880"/>
      <c r="CC31" s="881"/>
      <c r="CD31" s="883"/>
      <c r="CE31" s="883"/>
      <c r="CF31" s="883"/>
      <c r="CG31" s="883"/>
      <c r="CH31" s="883"/>
      <c r="CI31" s="883"/>
      <c r="CJ31" s="883"/>
      <c r="CK31" s="883"/>
      <c r="CL31" s="883"/>
      <c r="CM31" s="883"/>
      <c r="CN31" s="883"/>
      <c r="CO31" s="883"/>
      <c r="CP31" s="883"/>
      <c r="CQ31" s="883"/>
      <c r="CR31" s="883"/>
      <c r="CS31" s="883"/>
      <c r="CT31" s="883"/>
      <c r="CU31" s="883"/>
    </row>
    <row r="32" spans="1:99" x14ac:dyDescent="0.25">
      <c r="A32" s="880" t="s">
        <v>1787</v>
      </c>
      <c r="B32" s="881" t="s">
        <v>1788</v>
      </c>
      <c r="C32" s="880" t="s">
        <v>2666</v>
      </c>
      <c r="D32" s="880"/>
      <c r="E32" s="884" t="s">
        <v>744</v>
      </c>
      <c r="F32" s="888">
        <v>1</v>
      </c>
      <c r="G32" s="881" t="s">
        <v>1007</v>
      </c>
      <c r="H32" s="881" t="s">
        <v>19</v>
      </c>
      <c r="I32" s="865">
        <v>46142</v>
      </c>
      <c r="J32" s="882" t="s">
        <v>8</v>
      </c>
      <c r="K32" s="880"/>
      <c r="L32" s="880"/>
      <c r="M32" s="883">
        <v>0</v>
      </c>
      <c r="N32" s="883">
        <v>0</v>
      </c>
      <c r="O32" s="883">
        <v>0</v>
      </c>
      <c r="P32" s="883">
        <v>21.73</v>
      </c>
      <c r="Q32" s="883">
        <v>15</v>
      </c>
      <c r="R32" s="883">
        <f t="shared" si="16"/>
        <v>3.26</v>
      </c>
      <c r="S32" s="883">
        <v>0</v>
      </c>
      <c r="T32" s="883">
        <v>5</v>
      </c>
      <c r="U32" s="883">
        <f t="shared" si="17"/>
        <v>0</v>
      </c>
      <c r="V32" s="883">
        <v>0</v>
      </c>
      <c r="W32" s="883">
        <v>8</v>
      </c>
      <c r="X32" s="883">
        <f t="shared" si="18"/>
        <v>0</v>
      </c>
      <c r="Y32" s="883">
        <v>0</v>
      </c>
      <c r="Z32" s="883">
        <v>0</v>
      </c>
      <c r="AA32" s="883">
        <v>0</v>
      </c>
      <c r="AB32" s="883">
        <f t="shared" si="19"/>
        <v>24.99</v>
      </c>
      <c r="AC32" s="883">
        <v>0</v>
      </c>
      <c r="AD32" s="881"/>
      <c r="AE32" s="880"/>
      <c r="AF32" s="883"/>
      <c r="AG32" s="889"/>
      <c r="AH32" s="880"/>
      <c r="AI32" s="880" t="s">
        <v>1241</v>
      </c>
      <c r="AJ32" s="884">
        <v>411</v>
      </c>
      <c r="AK32" s="883">
        <f t="shared" si="20"/>
        <v>21.73</v>
      </c>
      <c r="AL32" s="884">
        <v>413</v>
      </c>
      <c r="AM32" s="883">
        <f t="shared" si="21"/>
        <v>0</v>
      </c>
      <c r="AN32" s="884">
        <v>441</v>
      </c>
      <c r="AO32" s="883">
        <f t="shared" si="22"/>
        <v>0</v>
      </c>
      <c r="AP32" s="881"/>
      <c r="AQ32" s="881"/>
      <c r="AR32" s="883">
        <v>0</v>
      </c>
      <c r="AS32" s="883">
        <v>0</v>
      </c>
      <c r="AT32" s="883">
        <v>0</v>
      </c>
      <c r="AU32" s="880"/>
      <c r="AV32" s="886"/>
      <c r="AW32" s="880"/>
      <c r="AX32" s="886"/>
      <c r="AY32" s="880"/>
      <c r="AZ32" s="880"/>
      <c r="BA32" s="881"/>
      <c r="BB32" s="881" t="s">
        <v>57</v>
      </c>
      <c r="BC32" s="881"/>
      <c r="BD32" s="881"/>
      <c r="BE32" s="884">
        <f t="shared" si="23"/>
        <v>4</v>
      </c>
      <c r="BF32" s="887" t="str">
        <f t="shared" si="24"/>
        <v>SI</v>
      </c>
      <c r="BG32" s="883">
        <f t="shared" si="25"/>
        <v>21.73</v>
      </c>
      <c r="BH32" s="883">
        <f t="shared" si="26"/>
        <v>0</v>
      </c>
      <c r="BI32" s="883">
        <f t="shared" si="27"/>
        <v>0</v>
      </c>
      <c r="BJ32" s="883">
        <f t="shared" si="28"/>
        <v>0</v>
      </c>
      <c r="BK32" s="883">
        <f t="shared" si="29"/>
        <v>0</v>
      </c>
      <c r="BL32" s="883">
        <f t="shared" si="30"/>
        <v>3.26</v>
      </c>
      <c r="BM32" s="881"/>
      <c r="BN32" s="880"/>
      <c r="BO32" s="882" t="s">
        <v>1579</v>
      </c>
      <c r="BP32" s="882" t="s">
        <v>2286</v>
      </c>
      <c r="BQ32" s="882" t="s">
        <v>2285</v>
      </c>
      <c r="BR32" s="880"/>
      <c r="BS32" s="880"/>
      <c r="BT32" s="880"/>
      <c r="BU32" s="880"/>
      <c r="BV32" s="880"/>
      <c r="BW32" s="883">
        <v>0</v>
      </c>
      <c r="BX32" s="883">
        <v>0</v>
      </c>
      <c r="BY32" s="883">
        <v>0</v>
      </c>
      <c r="BZ32" s="890"/>
      <c r="CA32" s="883">
        <f t="shared" si="31"/>
        <v>0</v>
      </c>
      <c r="CB32" s="880"/>
      <c r="CC32" s="881"/>
      <c r="CD32" s="883"/>
      <c r="CE32" s="883"/>
      <c r="CF32" s="883"/>
      <c r="CG32" s="883"/>
      <c r="CH32" s="883"/>
      <c r="CI32" s="883"/>
      <c r="CJ32" s="883"/>
      <c r="CK32" s="883"/>
      <c r="CL32" s="883"/>
      <c r="CM32" s="883"/>
      <c r="CN32" s="883"/>
      <c r="CO32" s="883"/>
      <c r="CP32" s="883"/>
      <c r="CQ32" s="883"/>
      <c r="CR32" s="883"/>
      <c r="CS32" s="883"/>
      <c r="CT32" s="883"/>
      <c r="CU32" s="883"/>
    </row>
    <row r="33" spans="1:99" x14ac:dyDescent="0.25">
      <c r="A33" s="880" t="s">
        <v>2878</v>
      </c>
      <c r="B33" s="881" t="s">
        <v>2287</v>
      </c>
      <c r="C33" s="880" t="s">
        <v>2667</v>
      </c>
      <c r="D33" s="880"/>
      <c r="E33" s="884" t="s">
        <v>744</v>
      </c>
      <c r="F33" s="888">
        <v>1</v>
      </c>
      <c r="G33" s="881" t="s">
        <v>1007</v>
      </c>
      <c r="H33" s="881" t="s">
        <v>19</v>
      </c>
      <c r="I33" s="865">
        <v>46142</v>
      </c>
      <c r="J33" s="882" t="s">
        <v>8</v>
      </c>
      <c r="K33" s="880"/>
      <c r="L33" s="880"/>
      <c r="M33" s="883">
        <v>0</v>
      </c>
      <c r="N33" s="883">
        <v>0</v>
      </c>
      <c r="O33" s="883">
        <v>0</v>
      </c>
      <c r="P33" s="883">
        <v>21.74</v>
      </c>
      <c r="Q33" s="883">
        <v>15</v>
      </c>
      <c r="R33" s="883">
        <f t="shared" si="16"/>
        <v>3.26</v>
      </c>
      <c r="S33" s="883">
        <v>0</v>
      </c>
      <c r="T33" s="883">
        <v>5</v>
      </c>
      <c r="U33" s="883">
        <f t="shared" si="17"/>
        <v>0</v>
      </c>
      <c r="V33" s="883">
        <v>0</v>
      </c>
      <c r="W33" s="883">
        <v>8</v>
      </c>
      <c r="X33" s="883">
        <f t="shared" si="18"/>
        <v>0</v>
      </c>
      <c r="Y33" s="883">
        <v>0</v>
      </c>
      <c r="Z33" s="883">
        <v>0</v>
      </c>
      <c r="AA33" s="883">
        <v>0</v>
      </c>
      <c r="AB33" s="883">
        <f t="shared" si="19"/>
        <v>25</v>
      </c>
      <c r="AC33" s="883">
        <v>0</v>
      </c>
      <c r="AD33" s="881"/>
      <c r="AE33" s="880"/>
      <c r="AF33" s="883"/>
      <c r="AG33" s="889"/>
      <c r="AH33" s="880"/>
      <c r="AI33" s="880" t="s">
        <v>1241</v>
      </c>
      <c r="AJ33" s="884">
        <v>411</v>
      </c>
      <c r="AK33" s="883">
        <f t="shared" si="20"/>
        <v>21.74</v>
      </c>
      <c r="AL33" s="884">
        <v>413</v>
      </c>
      <c r="AM33" s="883">
        <f t="shared" si="21"/>
        <v>0</v>
      </c>
      <c r="AN33" s="884">
        <v>441</v>
      </c>
      <c r="AO33" s="883">
        <f t="shared" si="22"/>
        <v>0</v>
      </c>
      <c r="AP33" s="881"/>
      <c r="AQ33" s="881"/>
      <c r="AR33" s="883">
        <v>0</v>
      </c>
      <c r="AS33" s="883">
        <v>0</v>
      </c>
      <c r="AT33" s="883">
        <v>0</v>
      </c>
      <c r="AU33" s="880"/>
      <c r="AV33" s="886"/>
      <c r="AW33" s="880"/>
      <c r="AX33" s="886"/>
      <c r="AY33" s="880"/>
      <c r="AZ33" s="880"/>
      <c r="BA33" s="881"/>
      <c r="BB33" s="881" t="s">
        <v>57</v>
      </c>
      <c r="BC33" s="881"/>
      <c r="BD33" s="881"/>
      <c r="BE33" s="884">
        <f t="shared" si="23"/>
        <v>4</v>
      </c>
      <c r="BF33" s="887" t="str">
        <f t="shared" si="24"/>
        <v>SI</v>
      </c>
      <c r="BG33" s="883">
        <f t="shared" si="25"/>
        <v>21.74</v>
      </c>
      <c r="BH33" s="883">
        <f t="shared" si="26"/>
        <v>0</v>
      </c>
      <c r="BI33" s="883">
        <f t="shared" si="27"/>
        <v>0</v>
      </c>
      <c r="BJ33" s="883">
        <f t="shared" si="28"/>
        <v>0</v>
      </c>
      <c r="BK33" s="883">
        <f t="shared" si="29"/>
        <v>0</v>
      </c>
      <c r="BL33" s="883">
        <f t="shared" si="30"/>
        <v>3.26</v>
      </c>
      <c r="BM33" s="881"/>
      <c r="BN33" s="880"/>
      <c r="BO33" s="882" t="s">
        <v>1579</v>
      </c>
      <c r="BP33" s="882" t="s">
        <v>2286</v>
      </c>
      <c r="BQ33" s="882" t="s">
        <v>2285</v>
      </c>
      <c r="BR33" s="880"/>
      <c r="BS33" s="880"/>
      <c r="BT33" s="880"/>
      <c r="BU33" s="880"/>
      <c r="BV33" s="880"/>
      <c r="BW33" s="883">
        <v>0</v>
      </c>
      <c r="BX33" s="883">
        <v>0</v>
      </c>
      <c r="BY33" s="883">
        <v>0</v>
      </c>
      <c r="BZ33" s="890"/>
      <c r="CA33" s="883">
        <f t="shared" si="31"/>
        <v>0</v>
      </c>
      <c r="CB33" s="880"/>
      <c r="CC33" s="881"/>
      <c r="CD33" s="883"/>
      <c r="CE33" s="883"/>
      <c r="CF33" s="883"/>
      <c r="CG33" s="883"/>
      <c r="CH33" s="883"/>
      <c r="CI33" s="883"/>
      <c r="CJ33" s="883"/>
      <c r="CK33" s="883"/>
      <c r="CL33" s="883"/>
      <c r="CM33" s="883"/>
      <c r="CN33" s="883"/>
      <c r="CO33" s="883"/>
      <c r="CP33" s="883"/>
      <c r="CQ33" s="883"/>
      <c r="CR33" s="883"/>
      <c r="CS33" s="883"/>
      <c r="CT33" s="883"/>
      <c r="CU33" s="883"/>
    </row>
    <row r="34" spans="1:99" x14ac:dyDescent="0.25">
      <c r="A34" s="880" t="s">
        <v>2875</v>
      </c>
      <c r="B34" s="881" t="s">
        <v>2287</v>
      </c>
      <c r="C34" s="880" t="s">
        <v>2668</v>
      </c>
      <c r="D34" s="880"/>
      <c r="E34" s="884" t="s">
        <v>744</v>
      </c>
      <c r="F34" s="888">
        <v>1</v>
      </c>
      <c r="G34" s="881" t="s">
        <v>1007</v>
      </c>
      <c r="H34" s="881" t="s">
        <v>19</v>
      </c>
      <c r="I34" s="865">
        <v>46142</v>
      </c>
      <c r="J34" s="882" t="s">
        <v>8</v>
      </c>
      <c r="K34" s="880"/>
      <c r="L34" s="880"/>
      <c r="M34" s="883">
        <v>0</v>
      </c>
      <c r="N34" s="883">
        <v>0</v>
      </c>
      <c r="O34" s="883">
        <v>0</v>
      </c>
      <c r="P34" s="883">
        <v>17.39</v>
      </c>
      <c r="Q34" s="883">
        <v>15</v>
      </c>
      <c r="R34" s="883">
        <f t="shared" si="16"/>
        <v>2.61</v>
      </c>
      <c r="S34" s="883">
        <v>0</v>
      </c>
      <c r="T34" s="883">
        <v>5</v>
      </c>
      <c r="U34" s="883">
        <f t="shared" si="17"/>
        <v>0</v>
      </c>
      <c r="V34" s="883">
        <v>0</v>
      </c>
      <c r="W34" s="883">
        <v>8</v>
      </c>
      <c r="X34" s="883">
        <f t="shared" si="18"/>
        <v>0</v>
      </c>
      <c r="Y34" s="883">
        <v>0</v>
      </c>
      <c r="Z34" s="883">
        <v>0</v>
      </c>
      <c r="AA34" s="883">
        <v>0</v>
      </c>
      <c r="AB34" s="883">
        <f t="shared" si="19"/>
        <v>20</v>
      </c>
      <c r="AC34" s="883">
        <v>0</v>
      </c>
      <c r="AD34" s="881"/>
      <c r="AE34" s="880"/>
      <c r="AF34" s="883"/>
      <c r="AG34" s="889"/>
      <c r="AH34" s="880"/>
      <c r="AI34" s="880" t="s">
        <v>1241</v>
      </c>
      <c r="AJ34" s="884">
        <v>411</v>
      </c>
      <c r="AK34" s="883">
        <f t="shared" si="20"/>
        <v>17.39</v>
      </c>
      <c r="AL34" s="884">
        <v>413</v>
      </c>
      <c r="AM34" s="883">
        <f t="shared" si="21"/>
        <v>0</v>
      </c>
      <c r="AN34" s="884">
        <v>441</v>
      </c>
      <c r="AO34" s="883">
        <f t="shared" si="22"/>
        <v>0</v>
      </c>
      <c r="AP34" s="881"/>
      <c r="AQ34" s="881"/>
      <c r="AR34" s="883">
        <v>0</v>
      </c>
      <c r="AS34" s="883">
        <v>0</v>
      </c>
      <c r="AT34" s="883">
        <v>0</v>
      </c>
      <c r="AU34" s="880"/>
      <c r="AV34" s="886"/>
      <c r="AW34" s="880"/>
      <c r="AX34" s="886"/>
      <c r="AY34" s="880"/>
      <c r="AZ34" s="880"/>
      <c r="BA34" s="881"/>
      <c r="BB34" s="881" t="s">
        <v>57</v>
      </c>
      <c r="BC34" s="881"/>
      <c r="BD34" s="881"/>
      <c r="BE34" s="884">
        <f t="shared" si="23"/>
        <v>4</v>
      </c>
      <c r="BF34" s="887" t="str">
        <f t="shared" si="24"/>
        <v>SI</v>
      </c>
      <c r="BG34" s="883">
        <f t="shared" si="25"/>
        <v>17.39</v>
      </c>
      <c r="BH34" s="883">
        <f t="shared" si="26"/>
        <v>0</v>
      </c>
      <c r="BI34" s="883">
        <f t="shared" si="27"/>
        <v>0</v>
      </c>
      <c r="BJ34" s="883">
        <f t="shared" si="28"/>
        <v>0</v>
      </c>
      <c r="BK34" s="883">
        <f t="shared" si="29"/>
        <v>0</v>
      </c>
      <c r="BL34" s="883">
        <f t="shared" si="30"/>
        <v>2.61</v>
      </c>
      <c r="BM34" s="881"/>
      <c r="BN34" s="880"/>
      <c r="BO34" s="882" t="s">
        <v>1579</v>
      </c>
      <c r="BP34" s="882" t="s">
        <v>2286</v>
      </c>
      <c r="BQ34" s="882" t="s">
        <v>2285</v>
      </c>
      <c r="BR34" s="880"/>
      <c r="BS34" s="880"/>
      <c r="BT34" s="880"/>
      <c r="BU34" s="880"/>
      <c r="BV34" s="880"/>
      <c r="BW34" s="883">
        <v>0</v>
      </c>
      <c r="BX34" s="883">
        <v>0</v>
      </c>
      <c r="BY34" s="883">
        <v>0</v>
      </c>
      <c r="BZ34" s="890"/>
      <c r="CA34" s="883">
        <f t="shared" si="31"/>
        <v>0</v>
      </c>
      <c r="CB34" s="880"/>
      <c r="CC34" s="881"/>
      <c r="CD34" s="883"/>
      <c r="CE34" s="883"/>
      <c r="CF34" s="883"/>
      <c r="CG34" s="883"/>
      <c r="CH34" s="883"/>
      <c r="CI34" s="883"/>
      <c r="CJ34" s="883"/>
      <c r="CK34" s="883"/>
      <c r="CL34" s="883"/>
      <c r="CM34" s="883"/>
      <c r="CN34" s="883"/>
      <c r="CO34" s="883"/>
      <c r="CP34" s="883"/>
      <c r="CQ34" s="883"/>
      <c r="CR34" s="883"/>
      <c r="CS34" s="883"/>
      <c r="CT34" s="883"/>
      <c r="CU34" s="883"/>
    </row>
    <row r="35" spans="1:99" x14ac:dyDescent="0.25">
      <c r="A35" s="880" t="s">
        <v>1787</v>
      </c>
      <c r="B35" s="881" t="s">
        <v>1788</v>
      </c>
      <c r="C35" s="880" t="s">
        <v>2669</v>
      </c>
      <c r="D35" s="880"/>
      <c r="E35" s="884" t="s">
        <v>744</v>
      </c>
      <c r="F35" s="888">
        <v>1</v>
      </c>
      <c r="G35" s="881" t="s">
        <v>1007</v>
      </c>
      <c r="H35" s="881" t="s">
        <v>19</v>
      </c>
      <c r="I35" s="865">
        <v>46142</v>
      </c>
      <c r="J35" s="882" t="s">
        <v>8</v>
      </c>
      <c r="K35" s="880"/>
      <c r="L35" s="880"/>
      <c r="M35" s="883">
        <v>0</v>
      </c>
      <c r="N35" s="883">
        <v>0</v>
      </c>
      <c r="O35" s="883">
        <v>0</v>
      </c>
      <c r="P35" s="883">
        <v>13.39</v>
      </c>
      <c r="Q35" s="883">
        <v>15</v>
      </c>
      <c r="R35" s="883">
        <f t="shared" si="16"/>
        <v>2.0099999999999998</v>
      </c>
      <c r="S35" s="883">
        <v>0</v>
      </c>
      <c r="T35" s="883">
        <v>5</v>
      </c>
      <c r="U35" s="883">
        <f t="shared" si="17"/>
        <v>0</v>
      </c>
      <c r="V35" s="883">
        <v>0</v>
      </c>
      <c r="W35" s="883">
        <v>8</v>
      </c>
      <c r="X35" s="883">
        <f t="shared" si="18"/>
        <v>0</v>
      </c>
      <c r="Y35" s="883">
        <v>0</v>
      </c>
      <c r="Z35" s="883">
        <v>0</v>
      </c>
      <c r="AA35" s="883">
        <v>0</v>
      </c>
      <c r="AB35" s="883">
        <f t="shared" si="19"/>
        <v>15.4</v>
      </c>
      <c r="AC35" s="883">
        <v>0</v>
      </c>
      <c r="AD35" s="881"/>
      <c r="AE35" s="880"/>
      <c r="AF35" s="883"/>
      <c r="AG35" s="889"/>
      <c r="AH35" s="880"/>
      <c r="AI35" s="880" t="s">
        <v>1241</v>
      </c>
      <c r="AJ35" s="884">
        <v>411</v>
      </c>
      <c r="AK35" s="883">
        <f t="shared" si="20"/>
        <v>13.39</v>
      </c>
      <c r="AL35" s="884">
        <v>413</v>
      </c>
      <c r="AM35" s="883">
        <f t="shared" si="21"/>
        <v>0</v>
      </c>
      <c r="AN35" s="884">
        <v>441</v>
      </c>
      <c r="AO35" s="883">
        <f t="shared" si="22"/>
        <v>0</v>
      </c>
      <c r="AP35" s="881"/>
      <c r="AQ35" s="881"/>
      <c r="AR35" s="883">
        <v>0</v>
      </c>
      <c r="AS35" s="883">
        <v>0</v>
      </c>
      <c r="AT35" s="883">
        <v>0</v>
      </c>
      <c r="AU35" s="880"/>
      <c r="AV35" s="886"/>
      <c r="AW35" s="880"/>
      <c r="AX35" s="886"/>
      <c r="AY35" s="880"/>
      <c r="AZ35" s="880"/>
      <c r="BA35" s="881"/>
      <c r="BB35" s="881" t="s">
        <v>57</v>
      </c>
      <c r="BC35" s="881"/>
      <c r="BD35" s="881"/>
      <c r="BE35" s="884">
        <f t="shared" si="23"/>
        <v>4</v>
      </c>
      <c r="BF35" s="887" t="str">
        <f t="shared" si="24"/>
        <v>SI</v>
      </c>
      <c r="BG35" s="883">
        <f t="shared" si="25"/>
        <v>13.39</v>
      </c>
      <c r="BH35" s="883">
        <f t="shared" si="26"/>
        <v>0</v>
      </c>
      <c r="BI35" s="883">
        <f t="shared" si="27"/>
        <v>0</v>
      </c>
      <c r="BJ35" s="883">
        <f t="shared" si="28"/>
        <v>0</v>
      </c>
      <c r="BK35" s="883">
        <f t="shared" si="29"/>
        <v>0</v>
      </c>
      <c r="BL35" s="883">
        <f t="shared" si="30"/>
        <v>2.0099999999999998</v>
      </c>
      <c r="BM35" s="881"/>
      <c r="BN35" s="880"/>
      <c r="BO35" s="882" t="s">
        <v>1579</v>
      </c>
      <c r="BP35" s="882" t="s">
        <v>2286</v>
      </c>
      <c r="BQ35" s="882" t="s">
        <v>2285</v>
      </c>
      <c r="BR35" s="880"/>
      <c r="BS35" s="880"/>
      <c r="BT35" s="880"/>
      <c r="BU35" s="880"/>
      <c r="BV35" s="880"/>
      <c r="BW35" s="883">
        <v>0</v>
      </c>
      <c r="BX35" s="883">
        <v>0</v>
      </c>
      <c r="BY35" s="883">
        <v>0</v>
      </c>
      <c r="BZ35" s="890"/>
      <c r="CA35" s="883">
        <f t="shared" si="31"/>
        <v>0</v>
      </c>
      <c r="CB35" s="880"/>
      <c r="CC35" s="881"/>
      <c r="CD35" s="883"/>
      <c r="CE35" s="883"/>
      <c r="CF35" s="883"/>
      <c r="CG35" s="883"/>
      <c r="CH35" s="883"/>
      <c r="CI35" s="883"/>
      <c r="CJ35" s="883"/>
      <c r="CK35" s="883"/>
      <c r="CL35" s="883"/>
      <c r="CM35" s="883"/>
      <c r="CN35" s="883"/>
      <c r="CO35" s="883"/>
      <c r="CP35" s="883"/>
      <c r="CQ35" s="883"/>
      <c r="CR35" s="883"/>
      <c r="CS35" s="883"/>
      <c r="CT35" s="883"/>
      <c r="CU35" s="883"/>
    </row>
    <row r="36" spans="1:99" x14ac:dyDescent="0.25">
      <c r="A36" s="880" t="s">
        <v>1787</v>
      </c>
      <c r="B36" s="881" t="s">
        <v>1788</v>
      </c>
      <c r="C36" s="880" t="s">
        <v>2670</v>
      </c>
      <c r="D36" s="880"/>
      <c r="E36" s="884" t="s">
        <v>744</v>
      </c>
      <c r="F36" s="888">
        <v>1</v>
      </c>
      <c r="G36" s="881" t="s">
        <v>1007</v>
      </c>
      <c r="H36" s="881" t="s">
        <v>19</v>
      </c>
      <c r="I36" s="865">
        <v>46142</v>
      </c>
      <c r="J36" s="882" t="s">
        <v>8</v>
      </c>
      <c r="K36" s="880"/>
      <c r="L36" s="880"/>
      <c r="M36" s="883">
        <v>0</v>
      </c>
      <c r="N36" s="883">
        <v>0</v>
      </c>
      <c r="O36" s="883">
        <v>0</v>
      </c>
      <c r="P36" s="883">
        <v>17.39</v>
      </c>
      <c r="Q36" s="883">
        <v>15</v>
      </c>
      <c r="R36" s="883">
        <f t="shared" si="16"/>
        <v>2.61</v>
      </c>
      <c r="S36" s="883">
        <v>0</v>
      </c>
      <c r="T36" s="883">
        <v>5</v>
      </c>
      <c r="U36" s="883">
        <f t="shared" si="17"/>
        <v>0</v>
      </c>
      <c r="V36" s="883">
        <v>0</v>
      </c>
      <c r="W36" s="883">
        <v>8</v>
      </c>
      <c r="X36" s="883">
        <f t="shared" si="18"/>
        <v>0</v>
      </c>
      <c r="Y36" s="883">
        <v>0</v>
      </c>
      <c r="Z36" s="883">
        <v>0</v>
      </c>
      <c r="AA36" s="883">
        <v>0</v>
      </c>
      <c r="AB36" s="883">
        <f t="shared" si="19"/>
        <v>20</v>
      </c>
      <c r="AC36" s="883">
        <v>0</v>
      </c>
      <c r="AD36" s="881"/>
      <c r="AE36" s="880"/>
      <c r="AF36" s="883"/>
      <c r="AG36" s="889"/>
      <c r="AH36" s="880"/>
      <c r="AI36" s="880" t="s">
        <v>1241</v>
      </c>
      <c r="AJ36" s="884">
        <v>411</v>
      </c>
      <c r="AK36" s="883">
        <f t="shared" si="20"/>
        <v>17.39</v>
      </c>
      <c r="AL36" s="884">
        <v>413</v>
      </c>
      <c r="AM36" s="883">
        <f t="shared" si="21"/>
        <v>0</v>
      </c>
      <c r="AN36" s="884">
        <v>441</v>
      </c>
      <c r="AO36" s="883">
        <f t="shared" si="22"/>
        <v>0</v>
      </c>
      <c r="AP36" s="881"/>
      <c r="AQ36" s="881"/>
      <c r="AR36" s="883">
        <v>0</v>
      </c>
      <c r="AS36" s="883">
        <v>0</v>
      </c>
      <c r="AT36" s="883">
        <v>0</v>
      </c>
      <c r="AU36" s="880"/>
      <c r="AV36" s="886"/>
      <c r="AW36" s="880"/>
      <c r="AX36" s="886"/>
      <c r="AY36" s="880"/>
      <c r="AZ36" s="880"/>
      <c r="BA36" s="881"/>
      <c r="BB36" s="881" t="s">
        <v>57</v>
      </c>
      <c r="BC36" s="881"/>
      <c r="BD36" s="881"/>
      <c r="BE36" s="884">
        <f t="shared" si="23"/>
        <v>4</v>
      </c>
      <c r="BF36" s="887" t="str">
        <f t="shared" si="24"/>
        <v>SI</v>
      </c>
      <c r="BG36" s="883">
        <f t="shared" si="25"/>
        <v>17.39</v>
      </c>
      <c r="BH36" s="883">
        <f t="shared" si="26"/>
        <v>0</v>
      </c>
      <c r="BI36" s="883">
        <f t="shared" si="27"/>
        <v>0</v>
      </c>
      <c r="BJ36" s="883">
        <f t="shared" si="28"/>
        <v>0</v>
      </c>
      <c r="BK36" s="883">
        <f t="shared" si="29"/>
        <v>0</v>
      </c>
      <c r="BL36" s="883">
        <f t="shared" si="30"/>
        <v>2.61</v>
      </c>
      <c r="BM36" s="881"/>
      <c r="BN36" s="880"/>
      <c r="BO36" s="882" t="s">
        <v>1579</v>
      </c>
      <c r="BP36" s="882" t="s">
        <v>2286</v>
      </c>
      <c r="BQ36" s="882" t="s">
        <v>2285</v>
      </c>
      <c r="BR36" s="880"/>
      <c r="BS36" s="880"/>
      <c r="BT36" s="880"/>
      <c r="BU36" s="880"/>
      <c r="BV36" s="880"/>
      <c r="BW36" s="883">
        <v>0</v>
      </c>
      <c r="BX36" s="883">
        <v>0</v>
      </c>
      <c r="BY36" s="883">
        <v>0</v>
      </c>
      <c r="BZ36" s="890"/>
      <c r="CA36" s="883">
        <f t="shared" si="31"/>
        <v>0</v>
      </c>
      <c r="CB36" s="880"/>
      <c r="CC36" s="881"/>
      <c r="CD36" s="883"/>
      <c r="CE36" s="883"/>
      <c r="CF36" s="883"/>
      <c r="CG36" s="883"/>
      <c r="CH36" s="883"/>
      <c r="CI36" s="883"/>
      <c r="CJ36" s="883"/>
      <c r="CK36" s="883"/>
      <c r="CL36" s="883"/>
      <c r="CM36" s="883"/>
      <c r="CN36" s="883"/>
      <c r="CO36" s="883"/>
      <c r="CP36" s="883"/>
      <c r="CQ36" s="883"/>
      <c r="CR36" s="883"/>
      <c r="CS36" s="883"/>
      <c r="CT36" s="883"/>
      <c r="CU36" s="883"/>
    </row>
    <row r="37" spans="1:99" x14ac:dyDescent="0.25">
      <c r="A37" s="880" t="s">
        <v>1787</v>
      </c>
      <c r="B37" s="881" t="s">
        <v>1788</v>
      </c>
      <c r="C37" s="880" t="s">
        <v>2671</v>
      </c>
      <c r="D37" s="880"/>
      <c r="E37" s="884" t="s">
        <v>744</v>
      </c>
      <c r="F37" s="888">
        <v>1</v>
      </c>
      <c r="G37" s="881" t="s">
        <v>1007</v>
      </c>
      <c r="H37" s="881" t="s">
        <v>19</v>
      </c>
      <c r="I37" s="865">
        <v>46142</v>
      </c>
      <c r="J37" s="882" t="s">
        <v>8</v>
      </c>
      <c r="K37" s="880"/>
      <c r="L37" s="880"/>
      <c r="M37" s="883">
        <v>0</v>
      </c>
      <c r="N37" s="883">
        <v>0</v>
      </c>
      <c r="O37" s="883">
        <v>0</v>
      </c>
      <c r="P37" s="883">
        <v>17.39</v>
      </c>
      <c r="Q37" s="883">
        <v>15</v>
      </c>
      <c r="R37" s="883">
        <f t="shared" si="16"/>
        <v>2.61</v>
      </c>
      <c r="S37" s="883">
        <v>0</v>
      </c>
      <c r="T37" s="883">
        <v>5</v>
      </c>
      <c r="U37" s="883">
        <f t="shared" si="17"/>
        <v>0</v>
      </c>
      <c r="V37" s="883">
        <v>0</v>
      </c>
      <c r="W37" s="883">
        <v>8</v>
      </c>
      <c r="X37" s="883">
        <f t="shared" si="18"/>
        <v>0</v>
      </c>
      <c r="Y37" s="883">
        <v>0</v>
      </c>
      <c r="Z37" s="883">
        <v>0</v>
      </c>
      <c r="AA37" s="883">
        <v>0</v>
      </c>
      <c r="AB37" s="883">
        <f t="shared" si="19"/>
        <v>20</v>
      </c>
      <c r="AC37" s="883">
        <v>0</v>
      </c>
      <c r="AD37" s="881"/>
      <c r="AE37" s="880"/>
      <c r="AF37" s="883"/>
      <c r="AG37" s="889"/>
      <c r="AH37" s="880"/>
      <c r="AI37" s="880" t="s">
        <v>1241</v>
      </c>
      <c r="AJ37" s="884">
        <v>411</v>
      </c>
      <c r="AK37" s="883">
        <f t="shared" si="20"/>
        <v>17.39</v>
      </c>
      <c r="AL37" s="884">
        <v>413</v>
      </c>
      <c r="AM37" s="883">
        <f t="shared" si="21"/>
        <v>0</v>
      </c>
      <c r="AN37" s="884">
        <v>441</v>
      </c>
      <c r="AO37" s="883">
        <f t="shared" si="22"/>
        <v>0</v>
      </c>
      <c r="AP37" s="881"/>
      <c r="AQ37" s="881"/>
      <c r="AR37" s="883">
        <v>0</v>
      </c>
      <c r="AS37" s="883">
        <v>0</v>
      </c>
      <c r="AT37" s="883">
        <v>0</v>
      </c>
      <c r="AU37" s="880"/>
      <c r="AV37" s="886"/>
      <c r="AW37" s="880"/>
      <c r="AX37" s="886"/>
      <c r="AY37" s="880"/>
      <c r="AZ37" s="880"/>
      <c r="BA37" s="881"/>
      <c r="BB37" s="881" t="s">
        <v>57</v>
      </c>
      <c r="BC37" s="881"/>
      <c r="BD37" s="881"/>
      <c r="BE37" s="884">
        <f t="shared" si="23"/>
        <v>4</v>
      </c>
      <c r="BF37" s="887" t="str">
        <f t="shared" si="24"/>
        <v>SI</v>
      </c>
      <c r="BG37" s="883">
        <f t="shared" si="25"/>
        <v>17.39</v>
      </c>
      <c r="BH37" s="883">
        <f t="shared" si="26"/>
        <v>0</v>
      </c>
      <c r="BI37" s="883">
        <f t="shared" si="27"/>
        <v>0</v>
      </c>
      <c r="BJ37" s="883">
        <f t="shared" si="28"/>
        <v>0</v>
      </c>
      <c r="BK37" s="883">
        <f t="shared" si="29"/>
        <v>0</v>
      </c>
      <c r="BL37" s="883">
        <f t="shared" si="30"/>
        <v>2.61</v>
      </c>
      <c r="BM37" s="881"/>
      <c r="BN37" s="880"/>
      <c r="BO37" s="882" t="s">
        <v>1579</v>
      </c>
      <c r="BP37" s="882" t="s">
        <v>2286</v>
      </c>
      <c r="BQ37" s="882" t="s">
        <v>2285</v>
      </c>
      <c r="BR37" s="880"/>
      <c r="BS37" s="880"/>
      <c r="BT37" s="880"/>
      <c r="BU37" s="880"/>
      <c r="BV37" s="880"/>
      <c r="BW37" s="883">
        <v>0</v>
      </c>
      <c r="BX37" s="883">
        <v>0</v>
      </c>
      <c r="BY37" s="883">
        <v>0</v>
      </c>
      <c r="BZ37" s="890"/>
      <c r="CA37" s="883">
        <f t="shared" si="31"/>
        <v>0</v>
      </c>
      <c r="CB37" s="880"/>
      <c r="CC37" s="881"/>
      <c r="CD37" s="883"/>
      <c r="CE37" s="883"/>
      <c r="CF37" s="883"/>
      <c r="CG37" s="883"/>
      <c r="CH37" s="883"/>
      <c r="CI37" s="883"/>
      <c r="CJ37" s="883"/>
      <c r="CK37" s="883"/>
      <c r="CL37" s="883"/>
      <c r="CM37" s="883"/>
      <c r="CN37" s="883"/>
      <c r="CO37" s="883"/>
      <c r="CP37" s="883"/>
      <c r="CQ37" s="883"/>
      <c r="CR37" s="883"/>
      <c r="CS37" s="883"/>
      <c r="CT37" s="883"/>
      <c r="CU37" s="883"/>
    </row>
    <row r="38" spans="1:99" x14ac:dyDescent="0.25">
      <c r="A38" s="880" t="s">
        <v>1787</v>
      </c>
      <c r="B38" s="881" t="s">
        <v>1788</v>
      </c>
      <c r="C38" s="880" t="s">
        <v>2672</v>
      </c>
      <c r="D38" s="880"/>
      <c r="E38" s="884" t="s">
        <v>744</v>
      </c>
      <c r="F38" s="888">
        <v>1</v>
      </c>
      <c r="G38" s="881" t="s">
        <v>1007</v>
      </c>
      <c r="H38" s="881" t="s">
        <v>19</v>
      </c>
      <c r="I38" s="865">
        <v>46142</v>
      </c>
      <c r="J38" s="882" t="s">
        <v>8</v>
      </c>
      <c r="K38" s="880"/>
      <c r="L38" s="880"/>
      <c r="M38" s="883">
        <v>0</v>
      </c>
      <c r="N38" s="883">
        <v>0</v>
      </c>
      <c r="O38" s="883">
        <v>0</v>
      </c>
      <c r="P38" s="883">
        <v>21.73</v>
      </c>
      <c r="Q38" s="883">
        <v>15</v>
      </c>
      <c r="R38" s="883">
        <f t="shared" si="16"/>
        <v>3.26</v>
      </c>
      <c r="S38" s="883">
        <v>0</v>
      </c>
      <c r="T38" s="883">
        <v>5</v>
      </c>
      <c r="U38" s="883">
        <f t="shared" si="17"/>
        <v>0</v>
      </c>
      <c r="V38" s="883">
        <v>0</v>
      </c>
      <c r="W38" s="883">
        <v>8</v>
      </c>
      <c r="X38" s="883">
        <f t="shared" si="18"/>
        <v>0</v>
      </c>
      <c r="Y38" s="883">
        <v>0</v>
      </c>
      <c r="Z38" s="883">
        <v>0</v>
      </c>
      <c r="AA38" s="883">
        <v>0</v>
      </c>
      <c r="AB38" s="883">
        <f t="shared" si="19"/>
        <v>24.99</v>
      </c>
      <c r="AC38" s="883">
        <v>0</v>
      </c>
      <c r="AD38" s="881"/>
      <c r="AE38" s="880"/>
      <c r="AF38" s="883"/>
      <c r="AG38" s="889"/>
      <c r="AH38" s="880"/>
      <c r="AI38" s="880" t="s">
        <v>1241</v>
      </c>
      <c r="AJ38" s="884">
        <v>411</v>
      </c>
      <c r="AK38" s="883">
        <f t="shared" si="20"/>
        <v>21.73</v>
      </c>
      <c r="AL38" s="884">
        <v>413</v>
      </c>
      <c r="AM38" s="883">
        <f t="shared" si="21"/>
        <v>0</v>
      </c>
      <c r="AN38" s="884">
        <v>441</v>
      </c>
      <c r="AO38" s="883">
        <f t="shared" si="22"/>
        <v>0</v>
      </c>
      <c r="AP38" s="881"/>
      <c r="AQ38" s="881"/>
      <c r="AR38" s="883">
        <v>0</v>
      </c>
      <c r="AS38" s="883">
        <v>0</v>
      </c>
      <c r="AT38" s="883">
        <v>0</v>
      </c>
      <c r="AU38" s="880"/>
      <c r="AV38" s="886"/>
      <c r="AW38" s="880"/>
      <c r="AX38" s="886"/>
      <c r="AY38" s="880"/>
      <c r="AZ38" s="880"/>
      <c r="BA38" s="881"/>
      <c r="BB38" s="881" t="s">
        <v>57</v>
      </c>
      <c r="BC38" s="881"/>
      <c r="BD38" s="881"/>
      <c r="BE38" s="884">
        <f t="shared" si="23"/>
        <v>4</v>
      </c>
      <c r="BF38" s="887" t="str">
        <f t="shared" si="24"/>
        <v>SI</v>
      </c>
      <c r="BG38" s="883">
        <f t="shared" si="25"/>
        <v>21.73</v>
      </c>
      <c r="BH38" s="883">
        <f t="shared" si="26"/>
        <v>0</v>
      </c>
      <c r="BI38" s="883">
        <f t="shared" si="27"/>
        <v>0</v>
      </c>
      <c r="BJ38" s="883">
        <f t="shared" si="28"/>
        <v>0</v>
      </c>
      <c r="BK38" s="883">
        <f t="shared" si="29"/>
        <v>0</v>
      </c>
      <c r="BL38" s="883">
        <f t="shared" si="30"/>
        <v>3.26</v>
      </c>
      <c r="BM38" s="881"/>
      <c r="BN38" s="880"/>
      <c r="BO38" s="882" t="s">
        <v>1579</v>
      </c>
      <c r="BP38" s="882" t="s">
        <v>2286</v>
      </c>
      <c r="BQ38" s="882" t="s">
        <v>2285</v>
      </c>
      <c r="BR38" s="880"/>
      <c r="BS38" s="880"/>
      <c r="BT38" s="880"/>
      <c r="BU38" s="880"/>
      <c r="BV38" s="880"/>
      <c r="BW38" s="883">
        <v>0</v>
      </c>
      <c r="BX38" s="883">
        <v>0</v>
      </c>
      <c r="BY38" s="883">
        <v>0</v>
      </c>
      <c r="BZ38" s="890"/>
      <c r="CA38" s="883">
        <f t="shared" si="31"/>
        <v>0</v>
      </c>
      <c r="CB38" s="880"/>
      <c r="CC38" s="881"/>
      <c r="CD38" s="883"/>
      <c r="CE38" s="883"/>
      <c r="CF38" s="883"/>
      <c r="CG38" s="883"/>
      <c r="CH38" s="883"/>
      <c r="CI38" s="883"/>
      <c r="CJ38" s="883"/>
      <c r="CK38" s="883"/>
      <c r="CL38" s="883"/>
      <c r="CM38" s="883"/>
      <c r="CN38" s="883"/>
      <c r="CO38" s="883"/>
      <c r="CP38" s="883"/>
      <c r="CQ38" s="883"/>
      <c r="CR38" s="883"/>
      <c r="CS38" s="883"/>
      <c r="CT38" s="883"/>
      <c r="CU38" s="883"/>
    </row>
    <row r="39" spans="1:99" x14ac:dyDescent="0.25">
      <c r="A39" s="880" t="s">
        <v>1787</v>
      </c>
      <c r="B39" s="881" t="s">
        <v>1788</v>
      </c>
      <c r="C39" s="880" t="s">
        <v>2673</v>
      </c>
      <c r="D39" s="880"/>
      <c r="E39" s="884" t="s">
        <v>744</v>
      </c>
      <c r="F39" s="888">
        <v>1</v>
      </c>
      <c r="G39" s="881" t="s">
        <v>1007</v>
      </c>
      <c r="H39" s="881" t="s">
        <v>19</v>
      </c>
      <c r="I39" s="865">
        <v>46142</v>
      </c>
      <c r="J39" s="882" t="s">
        <v>8</v>
      </c>
      <c r="K39" s="880"/>
      <c r="L39" s="880"/>
      <c r="M39" s="883">
        <v>0</v>
      </c>
      <c r="N39" s="883">
        <v>0</v>
      </c>
      <c r="O39" s="883">
        <v>0</v>
      </c>
      <c r="P39" s="883">
        <v>22.32</v>
      </c>
      <c r="Q39" s="883">
        <v>15</v>
      </c>
      <c r="R39" s="883">
        <f t="shared" si="16"/>
        <v>3.35</v>
      </c>
      <c r="S39" s="883">
        <v>0</v>
      </c>
      <c r="T39" s="883">
        <v>5</v>
      </c>
      <c r="U39" s="883">
        <f t="shared" si="17"/>
        <v>0</v>
      </c>
      <c r="V39" s="883">
        <v>0</v>
      </c>
      <c r="W39" s="883">
        <v>8</v>
      </c>
      <c r="X39" s="883">
        <f t="shared" si="18"/>
        <v>0</v>
      </c>
      <c r="Y39" s="883">
        <v>0</v>
      </c>
      <c r="Z39" s="883">
        <v>0</v>
      </c>
      <c r="AA39" s="883">
        <v>0</v>
      </c>
      <c r="AB39" s="883">
        <f t="shared" si="19"/>
        <v>25.67</v>
      </c>
      <c r="AC39" s="883">
        <v>0</v>
      </c>
      <c r="AD39" s="881"/>
      <c r="AE39" s="880"/>
      <c r="AF39" s="883"/>
      <c r="AG39" s="889"/>
      <c r="AH39" s="880"/>
      <c r="AI39" s="880" t="s">
        <v>1241</v>
      </c>
      <c r="AJ39" s="884">
        <v>411</v>
      </c>
      <c r="AK39" s="883">
        <f t="shared" si="20"/>
        <v>22.32</v>
      </c>
      <c r="AL39" s="884">
        <v>413</v>
      </c>
      <c r="AM39" s="883">
        <f t="shared" si="21"/>
        <v>0</v>
      </c>
      <c r="AN39" s="884">
        <v>441</v>
      </c>
      <c r="AO39" s="883">
        <f t="shared" si="22"/>
        <v>0</v>
      </c>
      <c r="AP39" s="881"/>
      <c r="AQ39" s="881"/>
      <c r="AR39" s="883">
        <v>0</v>
      </c>
      <c r="AS39" s="883">
        <v>0</v>
      </c>
      <c r="AT39" s="883">
        <v>0</v>
      </c>
      <c r="AU39" s="880"/>
      <c r="AV39" s="886"/>
      <c r="AW39" s="880"/>
      <c r="AX39" s="886"/>
      <c r="AY39" s="880"/>
      <c r="AZ39" s="880"/>
      <c r="BA39" s="881"/>
      <c r="BB39" s="881" t="s">
        <v>57</v>
      </c>
      <c r="BC39" s="881"/>
      <c r="BD39" s="881"/>
      <c r="BE39" s="884">
        <f t="shared" si="23"/>
        <v>4</v>
      </c>
      <c r="BF39" s="887" t="str">
        <f t="shared" si="24"/>
        <v>SI</v>
      </c>
      <c r="BG39" s="883">
        <f t="shared" si="25"/>
        <v>22.32</v>
      </c>
      <c r="BH39" s="883">
        <f t="shared" si="26"/>
        <v>0</v>
      </c>
      <c r="BI39" s="883">
        <f t="shared" si="27"/>
        <v>0</v>
      </c>
      <c r="BJ39" s="883">
        <f t="shared" si="28"/>
        <v>0</v>
      </c>
      <c r="BK39" s="883">
        <f t="shared" si="29"/>
        <v>0</v>
      </c>
      <c r="BL39" s="883">
        <f t="shared" si="30"/>
        <v>3.35</v>
      </c>
      <c r="BM39" s="881"/>
      <c r="BN39" s="880"/>
      <c r="BO39" s="882" t="s">
        <v>1579</v>
      </c>
      <c r="BP39" s="882" t="s">
        <v>2286</v>
      </c>
      <c r="BQ39" s="882" t="s">
        <v>2285</v>
      </c>
      <c r="BR39" s="880"/>
      <c r="BS39" s="880"/>
      <c r="BT39" s="880"/>
      <c r="BU39" s="880"/>
      <c r="BV39" s="880"/>
      <c r="BW39" s="883">
        <v>0</v>
      </c>
      <c r="BX39" s="883">
        <v>0</v>
      </c>
      <c r="BY39" s="883">
        <v>0</v>
      </c>
      <c r="BZ39" s="890"/>
      <c r="CA39" s="883">
        <f t="shared" si="31"/>
        <v>0</v>
      </c>
      <c r="CB39" s="880"/>
      <c r="CC39" s="881"/>
      <c r="CD39" s="883"/>
      <c r="CE39" s="883"/>
      <c r="CF39" s="883"/>
      <c r="CG39" s="883"/>
      <c r="CH39" s="883"/>
      <c r="CI39" s="883"/>
      <c r="CJ39" s="883"/>
      <c r="CK39" s="883"/>
      <c r="CL39" s="883"/>
      <c r="CM39" s="883"/>
      <c r="CN39" s="883"/>
      <c r="CO39" s="883"/>
      <c r="CP39" s="883"/>
      <c r="CQ39" s="883"/>
      <c r="CR39" s="883"/>
      <c r="CS39" s="883"/>
      <c r="CT39" s="883"/>
      <c r="CU39" s="883"/>
    </row>
    <row r="40" spans="1:99" x14ac:dyDescent="0.25">
      <c r="A40" s="880" t="s">
        <v>1787</v>
      </c>
      <c r="B40" s="881" t="s">
        <v>1788</v>
      </c>
      <c r="C40" s="880" t="s">
        <v>2674</v>
      </c>
      <c r="D40" s="880"/>
      <c r="E40" s="884" t="s">
        <v>744</v>
      </c>
      <c r="F40" s="888">
        <v>1</v>
      </c>
      <c r="G40" s="881" t="s">
        <v>1007</v>
      </c>
      <c r="H40" s="881" t="s">
        <v>19</v>
      </c>
      <c r="I40" s="865">
        <v>46142</v>
      </c>
      <c r="J40" s="882" t="s">
        <v>8</v>
      </c>
      <c r="K40" s="880"/>
      <c r="L40" s="880"/>
      <c r="M40" s="883">
        <v>0</v>
      </c>
      <c r="N40" s="883">
        <v>0</v>
      </c>
      <c r="O40" s="883">
        <v>0</v>
      </c>
      <c r="P40" s="883">
        <v>21.74</v>
      </c>
      <c r="Q40" s="883">
        <v>15</v>
      </c>
      <c r="R40" s="883">
        <f t="shared" si="16"/>
        <v>3.26</v>
      </c>
      <c r="S40" s="883">
        <v>0</v>
      </c>
      <c r="T40" s="883">
        <v>5</v>
      </c>
      <c r="U40" s="883">
        <f t="shared" si="17"/>
        <v>0</v>
      </c>
      <c r="V40" s="883">
        <v>0</v>
      </c>
      <c r="W40" s="883">
        <v>8</v>
      </c>
      <c r="X40" s="883">
        <f t="shared" si="18"/>
        <v>0</v>
      </c>
      <c r="Y40" s="883">
        <v>0</v>
      </c>
      <c r="Z40" s="883">
        <v>0</v>
      </c>
      <c r="AA40" s="883">
        <v>0</v>
      </c>
      <c r="AB40" s="883">
        <f t="shared" si="19"/>
        <v>25</v>
      </c>
      <c r="AC40" s="883">
        <v>0</v>
      </c>
      <c r="AD40" s="881"/>
      <c r="AE40" s="880"/>
      <c r="AF40" s="883"/>
      <c r="AG40" s="889"/>
      <c r="AH40" s="880"/>
      <c r="AI40" s="880" t="s">
        <v>1241</v>
      </c>
      <c r="AJ40" s="884">
        <v>411</v>
      </c>
      <c r="AK40" s="883">
        <f t="shared" si="20"/>
        <v>21.74</v>
      </c>
      <c r="AL40" s="884">
        <v>413</v>
      </c>
      <c r="AM40" s="883">
        <f t="shared" si="21"/>
        <v>0</v>
      </c>
      <c r="AN40" s="884">
        <v>441</v>
      </c>
      <c r="AO40" s="883">
        <f t="shared" si="22"/>
        <v>0</v>
      </c>
      <c r="AP40" s="881"/>
      <c r="AQ40" s="881"/>
      <c r="AR40" s="883">
        <v>0</v>
      </c>
      <c r="AS40" s="883">
        <v>0</v>
      </c>
      <c r="AT40" s="883">
        <v>0</v>
      </c>
      <c r="AU40" s="880"/>
      <c r="AV40" s="886"/>
      <c r="AW40" s="880"/>
      <c r="AX40" s="886"/>
      <c r="AY40" s="880"/>
      <c r="AZ40" s="880"/>
      <c r="BA40" s="881"/>
      <c r="BB40" s="881" t="s">
        <v>57</v>
      </c>
      <c r="BC40" s="881"/>
      <c r="BD40" s="881"/>
      <c r="BE40" s="884">
        <f t="shared" si="23"/>
        <v>4</v>
      </c>
      <c r="BF40" s="887" t="str">
        <f t="shared" si="24"/>
        <v>SI</v>
      </c>
      <c r="BG40" s="883">
        <f t="shared" si="25"/>
        <v>21.74</v>
      </c>
      <c r="BH40" s="883">
        <f t="shared" si="26"/>
        <v>0</v>
      </c>
      <c r="BI40" s="883">
        <f t="shared" si="27"/>
        <v>0</v>
      </c>
      <c r="BJ40" s="883">
        <f t="shared" si="28"/>
        <v>0</v>
      </c>
      <c r="BK40" s="883">
        <f t="shared" si="29"/>
        <v>0</v>
      </c>
      <c r="BL40" s="883">
        <f t="shared" si="30"/>
        <v>3.26</v>
      </c>
      <c r="BM40" s="881"/>
      <c r="BN40" s="880"/>
      <c r="BO40" s="882" t="s">
        <v>1579</v>
      </c>
      <c r="BP40" s="882" t="s">
        <v>2286</v>
      </c>
      <c r="BQ40" s="882" t="s">
        <v>2285</v>
      </c>
      <c r="BR40" s="880"/>
      <c r="BS40" s="880"/>
      <c r="BT40" s="880"/>
      <c r="BU40" s="880"/>
      <c r="BV40" s="880"/>
      <c r="BW40" s="883">
        <v>0</v>
      </c>
      <c r="BX40" s="883">
        <v>0</v>
      </c>
      <c r="BY40" s="883">
        <v>0</v>
      </c>
      <c r="BZ40" s="890"/>
      <c r="CA40" s="883">
        <f t="shared" si="31"/>
        <v>0</v>
      </c>
      <c r="CB40" s="880"/>
      <c r="CC40" s="881"/>
      <c r="CD40" s="883"/>
      <c r="CE40" s="883"/>
      <c r="CF40" s="883"/>
      <c r="CG40" s="883"/>
      <c r="CH40" s="883"/>
      <c r="CI40" s="883"/>
      <c r="CJ40" s="883"/>
      <c r="CK40" s="883"/>
      <c r="CL40" s="883"/>
      <c r="CM40" s="883"/>
      <c r="CN40" s="883"/>
      <c r="CO40" s="883"/>
      <c r="CP40" s="883"/>
      <c r="CQ40" s="883"/>
      <c r="CR40" s="883"/>
      <c r="CS40" s="883"/>
      <c r="CT40" s="883"/>
      <c r="CU40" s="883"/>
    </row>
    <row r="41" spans="1:99" x14ac:dyDescent="0.25">
      <c r="A41" s="880" t="s">
        <v>1787</v>
      </c>
      <c r="B41" s="881" t="s">
        <v>1788</v>
      </c>
      <c r="C41" s="880" t="s">
        <v>2675</v>
      </c>
      <c r="D41" s="880"/>
      <c r="E41" s="884" t="s">
        <v>744</v>
      </c>
      <c r="F41" s="888">
        <v>1</v>
      </c>
      <c r="G41" s="881" t="s">
        <v>1007</v>
      </c>
      <c r="H41" s="881" t="s">
        <v>19</v>
      </c>
      <c r="I41" s="865">
        <v>46142</v>
      </c>
      <c r="J41" s="882" t="s">
        <v>8</v>
      </c>
      <c r="K41" s="880"/>
      <c r="L41" s="880"/>
      <c r="M41" s="883">
        <v>0</v>
      </c>
      <c r="N41" s="883">
        <v>0</v>
      </c>
      <c r="O41" s="883">
        <v>0</v>
      </c>
      <c r="P41" s="883">
        <v>21.73</v>
      </c>
      <c r="Q41" s="883">
        <v>15</v>
      </c>
      <c r="R41" s="883">
        <f t="shared" si="16"/>
        <v>3.26</v>
      </c>
      <c r="S41" s="883">
        <v>0</v>
      </c>
      <c r="T41" s="883">
        <v>5</v>
      </c>
      <c r="U41" s="883">
        <f t="shared" si="17"/>
        <v>0</v>
      </c>
      <c r="V41" s="883">
        <v>0</v>
      </c>
      <c r="W41" s="883">
        <v>8</v>
      </c>
      <c r="X41" s="883">
        <f t="shared" si="18"/>
        <v>0</v>
      </c>
      <c r="Y41" s="883">
        <v>0</v>
      </c>
      <c r="Z41" s="883">
        <v>0</v>
      </c>
      <c r="AA41" s="883">
        <v>0</v>
      </c>
      <c r="AB41" s="883">
        <f t="shared" si="19"/>
        <v>24.99</v>
      </c>
      <c r="AC41" s="883">
        <v>0</v>
      </c>
      <c r="AD41" s="881"/>
      <c r="AE41" s="880"/>
      <c r="AF41" s="883"/>
      <c r="AG41" s="889"/>
      <c r="AH41" s="880"/>
      <c r="AI41" s="880" t="s">
        <v>1241</v>
      </c>
      <c r="AJ41" s="884">
        <v>411</v>
      </c>
      <c r="AK41" s="883">
        <f t="shared" si="20"/>
        <v>21.73</v>
      </c>
      <c r="AL41" s="884">
        <v>413</v>
      </c>
      <c r="AM41" s="883">
        <f t="shared" si="21"/>
        <v>0</v>
      </c>
      <c r="AN41" s="884">
        <v>441</v>
      </c>
      <c r="AO41" s="883">
        <f t="shared" si="22"/>
        <v>0</v>
      </c>
      <c r="AP41" s="881"/>
      <c r="AQ41" s="881"/>
      <c r="AR41" s="883">
        <v>0</v>
      </c>
      <c r="AS41" s="883">
        <v>0</v>
      </c>
      <c r="AT41" s="883">
        <v>0</v>
      </c>
      <c r="AU41" s="880"/>
      <c r="AV41" s="886"/>
      <c r="AW41" s="880"/>
      <c r="AX41" s="886"/>
      <c r="AY41" s="880"/>
      <c r="AZ41" s="880"/>
      <c r="BA41" s="881"/>
      <c r="BB41" s="881" t="s">
        <v>57</v>
      </c>
      <c r="BC41" s="881"/>
      <c r="BD41" s="881"/>
      <c r="BE41" s="884">
        <f t="shared" si="23"/>
        <v>4</v>
      </c>
      <c r="BF41" s="887" t="str">
        <f t="shared" si="24"/>
        <v>SI</v>
      </c>
      <c r="BG41" s="883">
        <f t="shared" si="25"/>
        <v>21.73</v>
      </c>
      <c r="BH41" s="883">
        <f t="shared" si="26"/>
        <v>0</v>
      </c>
      <c r="BI41" s="883">
        <f t="shared" si="27"/>
        <v>0</v>
      </c>
      <c r="BJ41" s="883">
        <f t="shared" si="28"/>
        <v>0</v>
      </c>
      <c r="BK41" s="883">
        <f t="shared" si="29"/>
        <v>0</v>
      </c>
      <c r="BL41" s="883">
        <f t="shared" si="30"/>
        <v>3.26</v>
      </c>
      <c r="BM41" s="881"/>
      <c r="BN41" s="880"/>
      <c r="BO41" s="882" t="s">
        <v>1579</v>
      </c>
      <c r="BP41" s="882" t="s">
        <v>2286</v>
      </c>
      <c r="BQ41" s="882" t="s">
        <v>2285</v>
      </c>
      <c r="BR41" s="880"/>
      <c r="BS41" s="880"/>
      <c r="BT41" s="880"/>
      <c r="BU41" s="880"/>
      <c r="BV41" s="880"/>
      <c r="BW41" s="883">
        <v>0</v>
      </c>
      <c r="BX41" s="883">
        <v>0</v>
      </c>
      <c r="BY41" s="883">
        <v>0</v>
      </c>
      <c r="BZ41" s="890"/>
      <c r="CA41" s="883">
        <f t="shared" si="31"/>
        <v>0</v>
      </c>
      <c r="CB41" s="880"/>
      <c r="CC41" s="881"/>
      <c r="CD41" s="883"/>
      <c r="CE41" s="883"/>
      <c r="CF41" s="883"/>
      <c r="CG41" s="883"/>
      <c r="CH41" s="883"/>
      <c r="CI41" s="883"/>
      <c r="CJ41" s="883"/>
      <c r="CK41" s="883"/>
      <c r="CL41" s="883"/>
      <c r="CM41" s="883"/>
      <c r="CN41" s="883"/>
      <c r="CO41" s="883"/>
      <c r="CP41" s="883"/>
      <c r="CQ41" s="883"/>
      <c r="CR41" s="883"/>
      <c r="CS41" s="883"/>
      <c r="CT41" s="883"/>
      <c r="CU41" s="883"/>
    </row>
    <row r="42" spans="1:99" x14ac:dyDescent="0.25">
      <c r="A42" s="880" t="s">
        <v>1787</v>
      </c>
      <c r="B42" s="881" t="s">
        <v>1788</v>
      </c>
      <c r="C42" s="880" t="s">
        <v>2676</v>
      </c>
      <c r="D42" s="880"/>
      <c r="E42" s="884" t="s">
        <v>744</v>
      </c>
      <c r="F42" s="888">
        <v>1</v>
      </c>
      <c r="G42" s="881" t="s">
        <v>1007</v>
      </c>
      <c r="H42" s="881" t="s">
        <v>19</v>
      </c>
      <c r="I42" s="865">
        <v>46142</v>
      </c>
      <c r="J42" s="882" t="s">
        <v>8</v>
      </c>
      <c r="K42" s="880"/>
      <c r="L42" s="880"/>
      <c r="M42" s="883">
        <v>0</v>
      </c>
      <c r="N42" s="883">
        <v>0</v>
      </c>
      <c r="O42" s="883">
        <v>0</v>
      </c>
      <c r="P42" s="883">
        <v>8.93</v>
      </c>
      <c r="Q42" s="883">
        <v>15</v>
      </c>
      <c r="R42" s="883">
        <f t="shared" si="16"/>
        <v>1.34</v>
      </c>
      <c r="S42" s="883">
        <v>0</v>
      </c>
      <c r="T42" s="883">
        <v>5</v>
      </c>
      <c r="U42" s="883">
        <f t="shared" si="17"/>
        <v>0</v>
      </c>
      <c r="V42" s="883">
        <v>0</v>
      </c>
      <c r="W42" s="883">
        <v>8</v>
      </c>
      <c r="X42" s="883">
        <f t="shared" si="18"/>
        <v>0</v>
      </c>
      <c r="Y42" s="883">
        <v>0</v>
      </c>
      <c r="Z42" s="883">
        <v>0</v>
      </c>
      <c r="AA42" s="883">
        <v>0</v>
      </c>
      <c r="AB42" s="883">
        <f t="shared" si="19"/>
        <v>10.27</v>
      </c>
      <c r="AC42" s="883">
        <v>0</v>
      </c>
      <c r="AD42" s="881"/>
      <c r="AE42" s="880"/>
      <c r="AF42" s="883"/>
      <c r="AG42" s="889"/>
      <c r="AH42" s="880"/>
      <c r="AI42" s="880" t="s">
        <v>1241</v>
      </c>
      <c r="AJ42" s="884">
        <v>411</v>
      </c>
      <c r="AK42" s="883">
        <f t="shared" si="20"/>
        <v>8.93</v>
      </c>
      <c r="AL42" s="884">
        <v>413</v>
      </c>
      <c r="AM42" s="883">
        <f t="shared" si="21"/>
        <v>0</v>
      </c>
      <c r="AN42" s="884">
        <v>441</v>
      </c>
      <c r="AO42" s="883">
        <f t="shared" si="22"/>
        <v>0</v>
      </c>
      <c r="AP42" s="881"/>
      <c r="AQ42" s="881"/>
      <c r="AR42" s="883">
        <v>0</v>
      </c>
      <c r="AS42" s="883">
        <v>0</v>
      </c>
      <c r="AT42" s="883">
        <v>0</v>
      </c>
      <c r="AU42" s="880"/>
      <c r="AV42" s="886"/>
      <c r="AW42" s="880"/>
      <c r="AX42" s="886"/>
      <c r="AY42" s="880"/>
      <c r="AZ42" s="880"/>
      <c r="BA42" s="881"/>
      <c r="BB42" s="881" t="s">
        <v>57</v>
      </c>
      <c r="BC42" s="881"/>
      <c r="BD42" s="881"/>
      <c r="BE42" s="884">
        <f t="shared" si="23"/>
        <v>4</v>
      </c>
      <c r="BF42" s="887" t="str">
        <f t="shared" si="24"/>
        <v>SI</v>
      </c>
      <c r="BG42" s="883">
        <f t="shared" si="25"/>
        <v>8.93</v>
      </c>
      <c r="BH42" s="883">
        <f t="shared" si="26"/>
        <v>0</v>
      </c>
      <c r="BI42" s="883">
        <f t="shared" si="27"/>
        <v>0</v>
      </c>
      <c r="BJ42" s="883">
        <f t="shared" si="28"/>
        <v>0</v>
      </c>
      <c r="BK42" s="883">
        <f t="shared" si="29"/>
        <v>0</v>
      </c>
      <c r="BL42" s="883">
        <f t="shared" si="30"/>
        <v>1.34</v>
      </c>
      <c r="BM42" s="881"/>
      <c r="BN42" s="880"/>
      <c r="BO42" s="882" t="s">
        <v>1579</v>
      </c>
      <c r="BP42" s="882" t="s">
        <v>2286</v>
      </c>
      <c r="BQ42" s="882" t="s">
        <v>2285</v>
      </c>
      <c r="BR42" s="880"/>
      <c r="BS42" s="880"/>
      <c r="BT42" s="880"/>
      <c r="BU42" s="880"/>
      <c r="BV42" s="880"/>
      <c r="BW42" s="883">
        <v>0</v>
      </c>
      <c r="BX42" s="883">
        <v>0</v>
      </c>
      <c r="BY42" s="883">
        <v>0</v>
      </c>
      <c r="BZ42" s="890"/>
      <c r="CA42" s="883">
        <f t="shared" si="31"/>
        <v>0</v>
      </c>
      <c r="CB42" s="880"/>
      <c r="CC42" s="881"/>
      <c r="CD42" s="883"/>
      <c r="CE42" s="883"/>
      <c r="CF42" s="883"/>
      <c r="CG42" s="883"/>
      <c r="CH42" s="883"/>
      <c r="CI42" s="883"/>
      <c r="CJ42" s="883"/>
      <c r="CK42" s="883"/>
      <c r="CL42" s="883"/>
      <c r="CM42" s="883"/>
      <c r="CN42" s="883"/>
      <c r="CO42" s="883"/>
      <c r="CP42" s="883"/>
      <c r="CQ42" s="883"/>
      <c r="CR42" s="883"/>
      <c r="CS42" s="883"/>
      <c r="CT42" s="883"/>
      <c r="CU42" s="883"/>
    </row>
    <row r="43" spans="1:99" x14ac:dyDescent="0.25">
      <c r="A43" s="880" t="s">
        <v>1787</v>
      </c>
      <c r="B43" s="881" t="s">
        <v>1788</v>
      </c>
      <c r="C43" s="880" t="s">
        <v>2677</v>
      </c>
      <c r="D43" s="880"/>
      <c r="E43" s="884" t="s">
        <v>744</v>
      </c>
      <c r="F43" s="888">
        <v>1</v>
      </c>
      <c r="G43" s="881" t="s">
        <v>1007</v>
      </c>
      <c r="H43" s="881" t="s">
        <v>19</v>
      </c>
      <c r="I43" s="865">
        <v>46142</v>
      </c>
      <c r="J43" s="882" t="s">
        <v>8</v>
      </c>
      <c r="K43" s="880"/>
      <c r="L43" s="880"/>
      <c r="M43" s="883">
        <v>0</v>
      </c>
      <c r="N43" s="883">
        <v>0</v>
      </c>
      <c r="O43" s="883">
        <v>0</v>
      </c>
      <c r="P43" s="883">
        <v>26.08</v>
      </c>
      <c r="Q43" s="883">
        <v>15</v>
      </c>
      <c r="R43" s="883">
        <f t="shared" si="16"/>
        <v>3.91</v>
      </c>
      <c r="S43" s="883">
        <v>0</v>
      </c>
      <c r="T43" s="883">
        <v>5</v>
      </c>
      <c r="U43" s="883">
        <f t="shared" si="17"/>
        <v>0</v>
      </c>
      <c r="V43" s="883">
        <v>0</v>
      </c>
      <c r="W43" s="883">
        <v>8</v>
      </c>
      <c r="X43" s="883">
        <f t="shared" si="18"/>
        <v>0</v>
      </c>
      <c r="Y43" s="883">
        <v>0</v>
      </c>
      <c r="Z43" s="883">
        <v>0</v>
      </c>
      <c r="AA43" s="883">
        <v>0</v>
      </c>
      <c r="AB43" s="883">
        <f t="shared" si="19"/>
        <v>29.99</v>
      </c>
      <c r="AC43" s="883">
        <v>0</v>
      </c>
      <c r="AD43" s="881"/>
      <c r="AE43" s="880"/>
      <c r="AF43" s="883"/>
      <c r="AG43" s="889"/>
      <c r="AH43" s="880"/>
      <c r="AI43" s="880" t="s">
        <v>1241</v>
      </c>
      <c r="AJ43" s="884">
        <v>411</v>
      </c>
      <c r="AK43" s="883">
        <f t="shared" si="20"/>
        <v>26.08</v>
      </c>
      <c r="AL43" s="884">
        <v>413</v>
      </c>
      <c r="AM43" s="883">
        <f t="shared" si="21"/>
        <v>0</v>
      </c>
      <c r="AN43" s="884">
        <v>441</v>
      </c>
      <c r="AO43" s="883">
        <f t="shared" si="22"/>
        <v>0</v>
      </c>
      <c r="AP43" s="881"/>
      <c r="AQ43" s="881"/>
      <c r="AR43" s="883">
        <v>0</v>
      </c>
      <c r="AS43" s="883">
        <v>0</v>
      </c>
      <c r="AT43" s="883">
        <v>0</v>
      </c>
      <c r="AU43" s="880"/>
      <c r="AV43" s="886"/>
      <c r="AW43" s="880"/>
      <c r="AX43" s="886"/>
      <c r="AY43" s="880"/>
      <c r="AZ43" s="880"/>
      <c r="BA43" s="881"/>
      <c r="BB43" s="881" t="s">
        <v>57</v>
      </c>
      <c r="BC43" s="881"/>
      <c r="BD43" s="881"/>
      <c r="BE43" s="884">
        <f t="shared" si="23"/>
        <v>4</v>
      </c>
      <c r="BF43" s="887" t="str">
        <f t="shared" si="24"/>
        <v>SI</v>
      </c>
      <c r="BG43" s="883">
        <f t="shared" si="25"/>
        <v>26.08</v>
      </c>
      <c r="BH43" s="883">
        <f t="shared" si="26"/>
        <v>0</v>
      </c>
      <c r="BI43" s="883">
        <f t="shared" si="27"/>
        <v>0</v>
      </c>
      <c r="BJ43" s="883">
        <f t="shared" si="28"/>
        <v>0</v>
      </c>
      <c r="BK43" s="883">
        <f t="shared" si="29"/>
        <v>0</v>
      </c>
      <c r="BL43" s="883">
        <f t="shared" si="30"/>
        <v>3.91</v>
      </c>
      <c r="BM43" s="881"/>
      <c r="BN43" s="880"/>
      <c r="BO43" s="882" t="s">
        <v>1579</v>
      </c>
      <c r="BP43" s="882" t="s">
        <v>2286</v>
      </c>
      <c r="BQ43" s="882" t="s">
        <v>2285</v>
      </c>
      <c r="BR43" s="880"/>
      <c r="BS43" s="880"/>
      <c r="BT43" s="880"/>
      <c r="BU43" s="880"/>
      <c r="BV43" s="880"/>
      <c r="BW43" s="883">
        <v>0</v>
      </c>
      <c r="BX43" s="883">
        <v>0</v>
      </c>
      <c r="BY43" s="883">
        <v>0</v>
      </c>
      <c r="BZ43" s="890"/>
      <c r="CA43" s="883">
        <f t="shared" si="31"/>
        <v>0</v>
      </c>
      <c r="CB43" s="880"/>
      <c r="CC43" s="881"/>
      <c r="CD43" s="883"/>
      <c r="CE43" s="883"/>
      <c r="CF43" s="883"/>
      <c r="CG43" s="883"/>
      <c r="CH43" s="883"/>
      <c r="CI43" s="883"/>
      <c r="CJ43" s="883"/>
      <c r="CK43" s="883"/>
      <c r="CL43" s="883"/>
      <c r="CM43" s="883"/>
      <c r="CN43" s="883"/>
      <c r="CO43" s="883"/>
      <c r="CP43" s="883"/>
      <c r="CQ43" s="883"/>
      <c r="CR43" s="883"/>
      <c r="CS43" s="883"/>
      <c r="CT43" s="883"/>
      <c r="CU43" s="883"/>
    </row>
    <row r="44" spans="1:99" x14ac:dyDescent="0.25">
      <c r="A44" s="880" t="s">
        <v>1787</v>
      </c>
      <c r="B44" s="881" t="s">
        <v>1788</v>
      </c>
      <c r="C44" s="880" t="s">
        <v>2678</v>
      </c>
      <c r="D44" s="880"/>
      <c r="E44" s="884" t="s">
        <v>744</v>
      </c>
      <c r="F44" s="888">
        <v>1</v>
      </c>
      <c r="G44" s="881" t="s">
        <v>1007</v>
      </c>
      <c r="H44" s="881" t="s">
        <v>19</v>
      </c>
      <c r="I44" s="865">
        <v>46142</v>
      </c>
      <c r="J44" s="882" t="s">
        <v>8</v>
      </c>
      <c r="K44" s="880"/>
      <c r="L44" s="880"/>
      <c r="M44" s="883">
        <v>0</v>
      </c>
      <c r="N44" s="883">
        <v>0</v>
      </c>
      <c r="O44" s="883">
        <v>0</v>
      </c>
      <c r="P44" s="883">
        <v>17.39</v>
      </c>
      <c r="Q44" s="883">
        <v>15</v>
      </c>
      <c r="R44" s="883">
        <f t="shared" si="16"/>
        <v>2.61</v>
      </c>
      <c r="S44" s="883">
        <v>0</v>
      </c>
      <c r="T44" s="883">
        <v>5</v>
      </c>
      <c r="U44" s="883">
        <f t="shared" si="17"/>
        <v>0</v>
      </c>
      <c r="V44" s="883">
        <v>0</v>
      </c>
      <c r="W44" s="883">
        <v>8</v>
      </c>
      <c r="X44" s="883">
        <f t="shared" si="18"/>
        <v>0</v>
      </c>
      <c r="Y44" s="883">
        <v>0</v>
      </c>
      <c r="Z44" s="883">
        <v>0</v>
      </c>
      <c r="AA44" s="883">
        <v>0</v>
      </c>
      <c r="AB44" s="883">
        <f t="shared" si="19"/>
        <v>20</v>
      </c>
      <c r="AC44" s="883">
        <v>0</v>
      </c>
      <c r="AD44" s="881"/>
      <c r="AE44" s="880"/>
      <c r="AF44" s="883"/>
      <c r="AG44" s="889"/>
      <c r="AH44" s="880"/>
      <c r="AI44" s="880" t="s">
        <v>1241</v>
      </c>
      <c r="AJ44" s="884">
        <v>411</v>
      </c>
      <c r="AK44" s="883">
        <f t="shared" si="20"/>
        <v>17.39</v>
      </c>
      <c r="AL44" s="884">
        <v>413</v>
      </c>
      <c r="AM44" s="883">
        <f t="shared" si="21"/>
        <v>0</v>
      </c>
      <c r="AN44" s="884">
        <v>441</v>
      </c>
      <c r="AO44" s="883">
        <f t="shared" si="22"/>
        <v>0</v>
      </c>
      <c r="AP44" s="881"/>
      <c r="AQ44" s="881"/>
      <c r="AR44" s="883">
        <v>0</v>
      </c>
      <c r="AS44" s="883">
        <v>0</v>
      </c>
      <c r="AT44" s="883">
        <v>0</v>
      </c>
      <c r="AU44" s="880"/>
      <c r="AV44" s="886"/>
      <c r="AW44" s="880"/>
      <c r="AX44" s="886"/>
      <c r="AY44" s="880"/>
      <c r="AZ44" s="880"/>
      <c r="BA44" s="881"/>
      <c r="BB44" s="881" t="s">
        <v>57</v>
      </c>
      <c r="BC44" s="881"/>
      <c r="BD44" s="881"/>
      <c r="BE44" s="884">
        <f t="shared" si="23"/>
        <v>4</v>
      </c>
      <c r="BF44" s="887" t="str">
        <f t="shared" si="24"/>
        <v>SI</v>
      </c>
      <c r="BG44" s="883">
        <f t="shared" si="25"/>
        <v>17.39</v>
      </c>
      <c r="BH44" s="883">
        <f t="shared" si="26"/>
        <v>0</v>
      </c>
      <c r="BI44" s="883">
        <f t="shared" si="27"/>
        <v>0</v>
      </c>
      <c r="BJ44" s="883">
        <f t="shared" si="28"/>
        <v>0</v>
      </c>
      <c r="BK44" s="883">
        <f t="shared" si="29"/>
        <v>0</v>
      </c>
      <c r="BL44" s="883">
        <f t="shared" si="30"/>
        <v>2.61</v>
      </c>
      <c r="BM44" s="881"/>
      <c r="BN44" s="880"/>
      <c r="BO44" s="882" t="s">
        <v>1579</v>
      </c>
      <c r="BP44" s="882" t="s">
        <v>2286</v>
      </c>
      <c r="BQ44" s="882" t="s">
        <v>2285</v>
      </c>
      <c r="BR44" s="880"/>
      <c r="BS44" s="880"/>
      <c r="BT44" s="880"/>
      <c r="BU44" s="880"/>
      <c r="BV44" s="880"/>
      <c r="BW44" s="883">
        <v>0</v>
      </c>
      <c r="BX44" s="883">
        <v>0</v>
      </c>
      <c r="BY44" s="883">
        <v>0</v>
      </c>
      <c r="BZ44" s="890"/>
      <c r="CA44" s="883">
        <f t="shared" si="31"/>
        <v>0</v>
      </c>
      <c r="CB44" s="880"/>
      <c r="CC44" s="881"/>
      <c r="CD44" s="883"/>
      <c r="CE44" s="883"/>
      <c r="CF44" s="883"/>
      <c r="CG44" s="883"/>
      <c r="CH44" s="883"/>
      <c r="CI44" s="883"/>
      <c r="CJ44" s="883"/>
      <c r="CK44" s="883"/>
      <c r="CL44" s="883"/>
      <c r="CM44" s="883"/>
      <c r="CN44" s="883"/>
      <c r="CO44" s="883"/>
      <c r="CP44" s="883"/>
      <c r="CQ44" s="883"/>
      <c r="CR44" s="883"/>
      <c r="CS44" s="883"/>
      <c r="CT44" s="883"/>
      <c r="CU44" s="883"/>
    </row>
    <row r="45" spans="1:99" x14ac:dyDescent="0.25">
      <c r="A45" s="880" t="s">
        <v>1787</v>
      </c>
      <c r="B45" s="881" t="s">
        <v>1788</v>
      </c>
      <c r="C45" s="880" t="s">
        <v>2679</v>
      </c>
      <c r="D45" s="880"/>
      <c r="E45" s="884" t="s">
        <v>744</v>
      </c>
      <c r="F45" s="888">
        <v>1</v>
      </c>
      <c r="G45" s="881" t="s">
        <v>1007</v>
      </c>
      <c r="H45" s="881" t="s">
        <v>19</v>
      </c>
      <c r="I45" s="865">
        <v>46142</v>
      </c>
      <c r="J45" s="882" t="s">
        <v>8</v>
      </c>
      <c r="K45" s="880"/>
      <c r="L45" s="880"/>
      <c r="M45" s="883">
        <v>0</v>
      </c>
      <c r="N45" s="883">
        <v>0</v>
      </c>
      <c r="O45" s="883">
        <v>0</v>
      </c>
      <c r="P45" s="883">
        <v>8.93</v>
      </c>
      <c r="Q45" s="883">
        <v>15</v>
      </c>
      <c r="R45" s="883">
        <f t="shared" si="16"/>
        <v>1.34</v>
      </c>
      <c r="S45" s="883">
        <v>0</v>
      </c>
      <c r="T45" s="883">
        <v>5</v>
      </c>
      <c r="U45" s="883">
        <f t="shared" si="17"/>
        <v>0</v>
      </c>
      <c r="V45" s="883">
        <v>0</v>
      </c>
      <c r="W45" s="883">
        <v>8</v>
      </c>
      <c r="X45" s="883">
        <f t="shared" si="18"/>
        <v>0</v>
      </c>
      <c r="Y45" s="883">
        <v>0</v>
      </c>
      <c r="Z45" s="883">
        <v>0</v>
      </c>
      <c r="AA45" s="883">
        <v>0</v>
      </c>
      <c r="AB45" s="883">
        <f t="shared" si="19"/>
        <v>10.27</v>
      </c>
      <c r="AC45" s="883">
        <v>0</v>
      </c>
      <c r="AD45" s="881"/>
      <c r="AE45" s="880"/>
      <c r="AF45" s="883"/>
      <c r="AG45" s="889"/>
      <c r="AH45" s="880"/>
      <c r="AI45" s="880" t="s">
        <v>1241</v>
      </c>
      <c r="AJ45" s="884">
        <v>411</v>
      </c>
      <c r="AK45" s="883">
        <f t="shared" si="20"/>
        <v>8.93</v>
      </c>
      <c r="AL45" s="884">
        <v>413</v>
      </c>
      <c r="AM45" s="883">
        <f t="shared" si="21"/>
        <v>0</v>
      </c>
      <c r="AN45" s="884">
        <v>441</v>
      </c>
      <c r="AO45" s="883">
        <f t="shared" si="22"/>
        <v>0</v>
      </c>
      <c r="AP45" s="881"/>
      <c r="AQ45" s="881"/>
      <c r="AR45" s="883">
        <v>0</v>
      </c>
      <c r="AS45" s="883">
        <v>0</v>
      </c>
      <c r="AT45" s="883">
        <v>0</v>
      </c>
      <c r="AU45" s="880"/>
      <c r="AV45" s="886"/>
      <c r="AW45" s="880"/>
      <c r="AX45" s="886"/>
      <c r="AY45" s="880"/>
      <c r="AZ45" s="880"/>
      <c r="BA45" s="881"/>
      <c r="BB45" s="881" t="s">
        <v>57</v>
      </c>
      <c r="BC45" s="881"/>
      <c r="BD45" s="881"/>
      <c r="BE45" s="884">
        <f t="shared" si="23"/>
        <v>4</v>
      </c>
      <c r="BF45" s="887" t="str">
        <f t="shared" si="24"/>
        <v>SI</v>
      </c>
      <c r="BG45" s="883">
        <f t="shared" si="25"/>
        <v>8.93</v>
      </c>
      <c r="BH45" s="883">
        <f t="shared" si="26"/>
        <v>0</v>
      </c>
      <c r="BI45" s="883">
        <f t="shared" si="27"/>
        <v>0</v>
      </c>
      <c r="BJ45" s="883">
        <f t="shared" si="28"/>
        <v>0</v>
      </c>
      <c r="BK45" s="883">
        <f t="shared" si="29"/>
        <v>0</v>
      </c>
      <c r="BL45" s="883">
        <f t="shared" si="30"/>
        <v>1.34</v>
      </c>
      <c r="BM45" s="881"/>
      <c r="BN45" s="880"/>
      <c r="BO45" s="882" t="s">
        <v>1579</v>
      </c>
      <c r="BP45" s="882" t="s">
        <v>2286</v>
      </c>
      <c r="BQ45" s="882" t="s">
        <v>2285</v>
      </c>
      <c r="BR45" s="880"/>
      <c r="BS45" s="880"/>
      <c r="BT45" s="880"/>
      <c r="BU45" s="880"/>
      <c r="BV45" s="880"/>
      <c r="BW45" s="883">
        <v>0</v>
      </c>
      <c r="BX45" s="883">
        <v>0</v>
      </c>
      <c r="BY45" s="883">
        <v>0</v>
      </c>
      <c r="BZ45" s="890"/>
      <c r="CA45" s="883">
        <f t="shared" si="31"/>
        <v>0</v>
      </c>
      <c r="CB45" s="880"/>
      <c r="CC45" s="881"/>
      <c r="CD45" s="883"/>
      <c r="CE45" s="883"/>
      <c r="CF45" s="883"/>
      <c r="CG45" s="883"/>
      <c r="CH45" s="883"/>
      <c r="CI45" s="883"/>
      <c r="CJ45" s="883"/>
      <c r="CK45" s="883"/>
      <c r="CL45" s="883"/>
      <c r="CM45" s="883"/>
      <c r="CN45" s="883"/>
      <c r="CO45" s="883"/>
      <c r="CP45" s="883"/>
      <c r="CQ45" s="883"/>
      <c r="CR45" s="883"/>
      <c r="CS45" s="883"/>
      <c r="CT45" s="883"/>
      <c r="CU45" s="883"/>
    </row>
    <row r="46" spans="1:99" x14ac:dyDescent="0.25">
      <c r="A46" s="880" t="s">
        <v>1787</v>
      </c>
      <c r="B46" s="881" t="s">
        <v>1788</v>
      </c>
      <c r="C46" s="880" t="s">
        <v>2680</v>
      </c>
      <c r="D46" s="880"/>
      <c r="E46" s="884" t="s">
        <v>744</v>
      </c>
      <c r="F46" s="888">
        <v>1</v>
      </c>
      <c r="G46" s="881" t="s">
        <v>1007</v>
      </c>
      <c r="H46" s="881" t="s">
        <v>19</v>
      </c>
      <c r="I46" s="865">
        <v>46142</v>
      </c>
      <c r="J46" s="882" t="s">
        <v>8</v>
      </c>
      <c r="K46" s="880"/>
      <c r="L46" s="880"/>
      <c r="M46" s="883">
        <v>0</v>
      </c>
      <c r="N46" s="883">
        <v>0</v>
      </c>
      <c r="O46" s="883">
        <v>0</v>
      </c>
      <c r="P46" s="883">
        <v>22.32</v>
      </c>
      <c r="Q46" s="883">
        <v>15</v>
      </c>
      <c r="R46" s="883">
        <f t="shared" si="16"/>
        <v>3.35</v>
      </c>
      <c r="S46" s="883">
        <v>0</v>
      </c>
      <c r="T46" s="883">
        <v>5</v>
      </c>
      <c r="U46" s="883">
        <f t="shared" si="17"/>
        <v>0</v>
      </c>
      <c r="V46" s="883">
        <v>0</v>
      </c>
      <c r="W46" s="883">
        <v>8</v>
      </c>
      <c r="X46" s="883">
        <f t="shared" si="18"/>
        <v>0</v>
      </c>
      <c r="Y46" s="883">
        <v>0</v>
      </c>
      <c r="Z46" s="883">
        <v>0</v>
      </c>
      <c r="AA46" s="883">
        <v>0</v>
      </c>
      <c r="AB46" s="883">
        <f t="shared" si="19"/>
        <v>25.67</v>
      </c>
      <c r="AC46" s="883">
        <v>0</v>
      </c>
      <c r="AD46" s="881"/>
      <c r="AE46" s="880"/>
      <c r="AF46" s="883"/>
      <c r="AG46" s="889"/>
      <c r="AH46" s="880"/>
      <c r="AI46" s="880" t="s">
        <v>1241</v>
      </c>
      <c r="AJ46" s="884">
        <v>411</v>
      </c>
      <c r="AK46" s="883">
        <f t="shared" si="20"/>
        <v>22.32</v>
      </c>
      <c r="AL46" s="884">
        <v>413</v>
      </c>
      <c r="AM46" s="883">
        <f t="shared" si="21"/>
        <v>0</v>
      </c>
      <c r="AN46" s="884">
        <v>441</v>
      </c>
      <c r="AO46" s="883">
        <f t="shared" si="22"/>
        <v>0</v>
      </c>
      <c r="AP46" s="881"/>
      <c r="AQ46" s="881"/>
      <c r="AR46" s="883">
        <v>0</v>
      </c>
      <c r="AS46" s="883">
        <v>0</v>
      </c>
      <c r="AT46" s="883">
        <v>0</v>
      </c>
      <c r="AU46" s="880"/>
      <c r="AV46" s="886"/>
      <c r="AW46" s="880"/>
      <c r="AX46" s="886"/>
      <c r="AY46" s="880"/>
      <c r="AZ46" s="880"/>
      <c r="BA46" s="881"/>
      <c r="BB46" s="881" t="s">
        <v>57</v>
      </c>
      <c r="BC46" s="881"/>
      <c r="BD46" s="881"/>
      <c r="BE46" s="884">
        <f t="shared" si="23"/>
        <v>4</v>
      </c>
      <c r="BF46" s="887" t="str">
        <f t="shared" si="24"/>
        <v>SI</v>
      </c>
      <c r="BG46" s="883">
        <f t="shared" si="25"/>
        <v>22.32</v>
      </c>
      <c r="BH46" s="883">
        <f t="shared" si="26"/>
        <v>0</v>
      </c>
      <c r="BI46" s="883">
        <f t="shared" si="27"/>
        <v>0</v>
      </c>
      <c r="BJ46" s="883">
        <f t="shared" si="28"/>
        <v>0</v>
      </c>
      <c r="BK46" s="883">
        <f t="shared" si="29"/>
        <v>0</v>
      </c>
      <c r="BL46" s="883">
        <f t="shared" si="30"/>
        <v>3.35</v>
      </c>
      <c r="BM46" s="881"/>
      <c r="BN46" s="880"/>
      <c r="BO46" s="882" t="s">
        <v>1579</v>
      </c>
      <c r="BP46" s="882" t="s">
        <v>2286</v>
      </c>
      <c r="BQ46" s="882" t="s">
        <v>2285</v>
      </c>
      <c r="BR46" s="880"/>
      <c r="BS46" s="880"/>
      <c r="BT46" s="880"/>
      <c r="BU46" s="880"/>
      <c r="BV46" s="880"/>
      <c r="BW46" s="883">
        <v>0</v>
      </c>
      <c r="BX46" s="883">
        <v>0</v>
      </c>
      <c r="BY46" s="883">
        <v>0</v>
      </c>
      <c r="BZ46" s="890"/>
      <c r="CA46" s="883">
        <f t="shared" si="31"/>
        <v>0</v>
      </c>
      <c r="CB46" s="880"/>
      <c r="CC46" s="881"/>
      <c r="CD46" s="883"/>
      <c r="CE46" s="883"/>
      <c r="CF46" s="883"/>
      <c r="CG46" s="883"/>
      <c r="CH46" s="883"/>
      <c r="CI46" s="883"/>
      <c r="CJ46" s="883"/>
      <c r="CK46" s="883"/>
      <c r="CL46" s="883"/>
      <c r="CM46" s="883"/>
      <c r="CN46" s="883"/>
      <c r="CO46" s="883"/>
      <c r="CP46" s="883"/>
      <c r="CQ46" s="883"/>
      <c r="CR46" s="883"/>
      <c r="CS46" s="883"/>
      <c r="CT46" s="883"/>
      <c r="CU46" s="883"/>
    </row>
    <row r="47" spans="1:99" x14ac:dyDescent="0.25">
      <c r="A47" s="880" t="s">
        <v>1787</v>
      </c>
      <c r="B47" s="881" t="s">
        <v>1788</v>
      </c>
      <c r="C47" s="880" t="s">
        <v>2681</v>
      </c>
      <c r="D47" s="880"/>
      <c r="E47" s="884" t="s">
        <v>744</v>
      </c>
      <c r="F47" s="888">
        <v>1</v>
      </c>
      <c r="G47" s="881" t="s">
        <v>1007</v>
      </c>
      <c r="H47" s="881" t="s">
        <v>19</v>
      </c>
      <c r="I47" s="865">
        <v>46142</v>
      </c>
      <c r="J47" s="882" t="s">
        <v>8</v>
      </c>
      <c r="K47" s="880"/>
      <c r="L47" s="880"/>
      <c r="M47" s="883">
        <v>0</v>
      </c>
      <c r="N47" s="883">
        <v>0</v>
      </c>
      <c r="O47" s="883">
        <v>0</v>
      </c>
      <c r="P47" s="883">
        <v>17.39</v>
      </c>
      <c r="Q47" s="883">
        <v>15</v>
      </c>
      <c r="R47" s="883">
        <f t="shared" si="16"/>
        <v>2.61</v>
      </c>
      <c r="S47" s="883">
        <v>0</v>
      </c>
      <c r="T47" s="883">
        <v>5</v>
      </c>
      <c r="U47" s="883">
        <f t="shared" si="17"/>
        <v>0</v>
      </c>
      <c r="V47" s="883">
        <v>0</v>
      </c>
      <c r="W47" s="883">
        <v>8</v>
      </c>
      <c r="X47" s="883">
        <f t="shared" si="18"/>
        <v>0</v>
      </c>
      <c r="Y47" s="883">
        <v>0</v>
      </c>
      <c r="Z47" s="883">
        <v>0</v>
      </c>
      <c r="AA47" s="883">
        <v>0</v>
      </c>
      <c r="AB47" s="883">
        <f t="shared" si="19"/>
        <v>20</v>
      </c>
      <c r="AC47" s="883">
        <v>0</v>
      </c>
      <c r="AD47" s="881"/>
      <c r="AE47" s="880"/>
      <c r="AF47" s="883"/>
      <c r="AG47" s="889"/>
      <c r="AH47" s="880"/>
      <c r="AI47" s="880" t="s">
        <v>1241</v>
      </c>
      <c r="AJ47" s="884">
        <v>411</v>
      </c>
      <c r="AK47" s="883">
        <f t="shared" si="20"/>
        <v>17.39</v>
      </c>
      <c r="AL47" s="884">
        <v>413</v>
      </c>
      <c r="AM47" s="883">
        <f t="shared" si="21"/>
        <v>0</v>
      </c>
      <c r="AN47" s="884">
        <v>441</v>
      </c>
      <c r="AO47" s="883">
        <f t="shared" si="22"/>
        <v>0</v>
      </c>
      <c r="AP47" s="881"/>
      <c r="AQ47" s="881"/>
      <c r="AR47" s="883">
        <v>0</v>
      </c>
      <c r="AS47" s="883">
        <v>0</v>
      </c>
      <c r="AT47" s="883">
        <v>0</v>
      </c>
      <c r="AU47" s="880"/>
      <c r="AV47" s="886"/>
      <c r="AW47" s="880"/>
      <c r="AX47" s="886"/>
      <c r="AY47" s="880"/>
      <c r="AZ47" s="880"/>
      <c r="BA47" s="881"/>
      <c r="BB47" s="881" t="s">
        <v>57</v>
      </c>
      <c r="BC47" s="881"/>
      <c r="BD47" s="881"/>
      <c r="BE47" s="884">
        <f t="shared" si="23"/>
        <v>4</v>
      </c>
      <c r="BF47" s="887" t="str">
        <f t="shared" si="24"/>
        <v>SI</v>
      </c>
      <c r="BG47" s="883">
        <f t="shared" si="25"/>
        <v>17.39</v>
      </c>
      <c r="BH47" s="883">
        <f t="shared" si="26"/>
        <v>0</v>
      </c>
      <c r="BI47" s="883">
        <f t="shared" si="27"/>
        <v>0</v>
      </c>
      <c r="BJ47" s="883">
        <f t="shared" si="28"/>
        <v>0</v>
      </c>
      <c r="BK47" s="883">
        <f t="shared" si="29"/>
        <v>0</v>
      </c>
      <c r="BL47" s="883">
        <f t="shared" si="30"/>
        <v>2.61</v>
      </c>
      <c r="BM47" s="881"/>
      <c r="BN47" s="880"/>
      <c r="BO47" s="882" t="s">
        <v>1579</v>
      </c>
      <c r="BP47" s="882" t="s">
        <v>2286</v>
      </c>
      <c r="BQ47" s="882" t="s">
        <v>2285</v>
      </c>
      <c r="BR47" s="880"/>
      <c r="BS47" s="880"/>
      <c r="BT47" s="880"/>
      <c r="BU47" s="880"/>
      <c r="BV47" s="880"/>
      <c r="BW47" s="883">
        <v>0</v>
      </c>
      <c r="BX47" s="883">
        <v>0</v>
      </c>
      <c r="BY47" s="883">
        <v>0</v>
      </c>
      <c r="BZ47" s="890"/>
      <c r="CA47" s="883">
        <f t="shared" si="31"/>
        <v>0</v>
      </c>
      <c r="CB47" s="880"/>
      <c r="CC47" s="881"/>
      <c r="CD47" s="883"/>
      <c r="CE47" s="883"/>
      <c r="CF47" s="883"/>
      <c r="CG47" s="883"/>
      <c r="CH47" s="883"/>
      <c r="CI47" s="883"/>
      <c r="CJ47" s="883"/>
      <c r="CK47" s="883"/>
      <c r="CL47" s="883"/>
      <c r="CM47" s="883"/>
      <c r="CN47" s="883"/>
      <c r="CO47" s="883"/>
      <c r="CP47" s="883"/>
      <c r="CQ47" s="883"/>
      <c r="CR47" s="883"/>
      <c r="CS47" s="883"/>
      <c r="CT47" s="883"/>
      <c r="CU47" s="883"/>
    </row>
    <row r="48" spans="1:99" x14ac:dyDescent="0.25">
      <c r="A48" s="880" t="s">
        <v>1787</v>
      </c>
      <c r="B48" s="881" t="s">
        <v>1788</v>
      </c>
      <c r="C48" s="880" t="s">
        <v>2682</v>
      </c>
      <c r="D48" s="880"/>
      <c r="E48" s="884" t="s">
        <v>744</v>
      </c>
      <c r="F48" s="888">
        <v>1</v>
      </c>
      <c r="G48" s="881" t="s">
        <v>1007</v>
      </c>
      <c r="H48" s="881" t="s">
        <v>19</v>
      </c>
      <c r="I48" s="865">
        <v>46142</v>
      </c>
      <c r="J48" s="882" t="s">
        <v>8</v>
      </c>
      <c r="K48" s="880"/>
      <c r="L48" s="880"/>
      <c r="M48" s="883">
        <v>0</v>
      </c>
      <c r="N48" s="883">
        <v>0</v>
      </c>
      <c r="O48" s="883">
        <v>0</v>
      </c>
      <c r="P48" s="883">
        <v>22.32</v>
      </c>
      <c r="Q48" s="883">
        <v>15</v>
      </c>
      <c r="R48" s="883">
        <f t="shared" si="16"/>
        <v>3.35</v>
      </c>
      <c r="S48" s="883">
        <v>0</v>
      </c>
      <c r="T48" s="883">
        <v>5</v>
      </c>
      <c r="U48" s="883">
        <f t="shared" si="17"/>
        <v>0</v>
      </c>
      <c r="V48" s="883">
        <v>0</v>
      </c>
      <c r="W48" s="883">
        <v>8</v>
      </c>
      <c r="X48" s="883">
        <f t="shared" si="18"/>
        <v>0</v>
      </c>
      <c r="Y48" s="883">
        <v>0</v>
      </c>
      <c r="Z48" s="883">
        <v>0</v>
      </c>
      <c r="AA48" s="883">
        <v>0</v>
      </c>
      <c r="AB48" s="883">
        <f t="shared" si="19"/>
        <v>25.67</v>
      </c>
      <c r="AC48" s="883">
        <v>0</v>
      </c>
      <c r="AD48" s="881"/>
      <c r="AE48" s="880"/>
      <c r="AF48" s="883"/>
      <c r="AG48" s="889"/>
      <c r="AH48" s="880"/>
      <c r="AI48" s="880" t="s">
        <v>1241</v>
      </c>
      <c r="AJ48" s="884">
        <v>411</v>
      </c>
      <c r="AK48" s="883">
        <f t="shared" si="20"/>
        <v>22.32</v>
      </c>
      <c r="AL48" s="884">
        <v>413</v>
      </c>
      <c r="AM48" s="883">
        <f t="shared" si="21"/>
        <v>0</v>
      </c>
      <c r="AN48" s="884">
        <v>441</v>
      </c>
      <c r="AO48" s="883">
        <f t="shared" si="22"/>
        <v>0</v>
      </c>
      <c r="AP48" s="881"/>
      <c r="AQ48" s="881"/>
      <c r="AR48" s="883">
        <v>0</v>
      </c>
      <c r="AS48" s="883">
        <v>0</v>
      </c>
      <c r="AT48" s="883">
        <v>0</v>
      </c>
      <c r="AU48" s="880"/>
      <c r="AV48" s="886"/>
      <c r="AW48" s="880"/>
      <c r="AX48" s="886"/>
      <c r="AY48" s="880"/>
      <c r="AZ48" s="880"/>
      <c r="BA48" s="881"/>
      <c r="BB48" s="881" t="s">
        <v>57</v>
      </c>
      <c r="BC48" s="881"/>
      <c r="BD48" s="881"/>
      <c r="BE48" s="884">
        <f t="shared" si="23"/>
        <v>4</v>
      </c>
      <c r="BF48" s="887" t="str">
        <f t="shared" si="24"/>
        <v>SI</v>
      </c>
      <c r="BG48" s="883">
        <f t="shared" si="25"/>
        <v>22.32</v>
      </c>
      <c r="BH48" s="883">
        <f t="shared" si="26"/>
        <v>0</v>
      </c>
      <c r="BI48" s="883">
        <f t="shared" si="27"/>
        <v>0</v>
      </c>
      <c r="BJ48" s="883">
        <f t="shared" si="28"/>
        <v>0</v>
      </c>
      <c r="BK48" s="883">
        <f t="shared" si="29"/>
        <v>0</v>
      </c>
      <c r="BL48" s="883">
        <f t="shared" si="30"/>
        <v>3.35</v>
      </c>
      <c r="BM48" s="881"/>
      <c r="BN48" s="880"/>
      <c r="BO48" s="882" t="s">
        <v>1579</v>
      </c>
      <c r="BP48" s="882" t="s">
        <v>2286</v>
      </c>
      <c r="BQ48" s="882" t="s">
        <v>2285</v>
      </c>
      <c r="BR48" s="880"/>
      <c r="BS48" s="880"/>
      <c r="BT48" s="880"/>
      <c r="BU48" s="880"/>
      <c r="BV48" s="880"/>
      <c r="BW48" s="883">
        <v>0</v>
      </c>
      <c r="BX48" s="883">
        <v>0</v>
      </c>
      <c r="BY48" s="883">
        <v>0</v>
      </c>
      <c r="BZ48" s="890"/>
      <c r="CA48" s="883">
        <f t="shared" si="31"/>
        <v>0</v>
      </c>
      <c r="CB48" s="880"/>
      <c r="CC48" s="881"/>
      <c r="CD48" s="883"/>
      <c r="CE48" s="883"/>
      <c r="CF48" s="883"/>
      <c r="CG48" s="883"/>
      <c r="CH48" s="883"/>
      <c r="CI48" s="883"/>
      <c r="CJ48" s="883"/>
      <c r="CK48" s="883"/>
      <c r="CL48" s="883"/>
      <c r="CM48" s="883"/>
      <c r="CN48" s="883"/>
      <c r="CO48" s="883"/>
      <c r="CP48" s="883"/>
      <c r="CQ48" s="883"/>
      <c r="CR48" s="883"/>
      <c r="CS48" s="883"/>
      <c r="CT48" s="883"/>
      <c r="CU48" s="883"/>
    </row>
    <row r="49" spans="1:99" x14ac:dyDescent="0.25">
      <c r="A49" s="880" t="s">
        <v>1787</v>
      </c>
      <c r="B49" s="881" t="s">
        <v>1788</v>
      </c>
      <c r="C49" s="880" t="s">
        <v>2683</v>
      </c>
      <c r="D49" s="880"/>
      <c r="E49" s="884" t="s">
        <v>744</v>
      </c>
      <c r="F49" s="888">
        <v>1</v>
      </c>
      <c r="G49" s="881" t="s">
        <v>1007</v>
      </c>
      <c r="H49" s="881" t="s">
        <v>19</v>
      </c>
      <c r="I49" s="865">
        <v>46142</v>
      </c>
      <c r="J49" s="882" t="s">
        <v>8</v>
      </c>
      <c r="K49" s="880"/>
      <c r="L49" s="880"/>
      <c r="M49" s="883">
        <v>0</v>
      </c>
      <c r="N49" s="883">
        <v>0</v>
      </c>
      <c r="O49" s="883">
        <v>0</v>
      </c>
      <c r="P49" s="883">
        <v>13.04</v>
      </c>
      <c r="Q49" s="883">
        <v>15</v>
      </c>
      <c r="R49" s="883">
        <f t="shared" si="16"/>
        <v>1.96</v>
      </c>
      <c r="S49" s="883">
        <v>0</v>
      </c>
      <c r="T49" s="883">
        <v>5</v>
      </c>
      <c r="U49" s="883">
        <f t="shared" si="17"/>
        <v>0</v>
      </c>
      <c r="V49" s="883">
        <v>0</v>
      </c>
      <c r="W49" s="883">
        <v>8</v>
      </c>
      <c r="X49" s="883">
        <f t="shared" si="18"/>
        <v>0</v>
      </c>
      <c r="Y49" s="883">
        <v>0</v>
      </c>
      <c r="Z49" s="883">
        <v>0</v>
      </c>
      <c r="AA49" s="883">
        <v>0</v>
      </c>
      <c r="AB49" s="883">
        <f t="shared" si="19"/>
        <v>15</v>
      </c>
      <c r="AC49" s="883">
        <v>0</v>
      </c>
      <c r="AD49" s="881"/>
      <c r="AE49" s="880"/>
      <c r="AF49" s="883"/>
      <c r="AG49" s="889"/>
      <c r="AH49" s="880"/>
      <c r="AI49" s="880" t="s">
        <v>1241</v>
      </c>
      <c r="AJ49" s="884">
        <v>411</v>
      </c>
      <c r="AK49" s="883">
        <f t="shared" si="20"/>
        <v>13.04</v>
      </c>
      <c r="AL49" s="884">
        <v>413</v>
      </c>
      <c r="AM49" s="883">
        <f t="shared" si="21"/>
        <v>0</v>
      </c>
      <c r="AN49" s="884">
        <v>441</v>
      </c>
      <c r="AO49" s="883">
        <f t="shared" si="22"/>
        <v>0</v>
      </c>
      <c r="AP49" s="881"/>
      <c r="AQ49" s="881"/>
      <c r="AR49" s="883">
        <v>0</v>
      </c>
      <c r="AS49" s="883">
        <v>0</v>
      </c>
      <c r="AT49" s="883">
        <v>0</v>
      </c>
      <c r="AU49" s="880"/>
      <c r="AV49" s="886"/>
      <c r="AW49" s="880"/>
      <c r="AX49" s="886"/>
      <c r="AY49" s="880"/>
      <c r="AZ49" s="880"/>
      <c r="BA49" s="881"/>
      <c r="BB49" s="881" t="s">
        <v>57</v>
      </c>
      <c r="BC49" s="881"/>
      <c r="BD49" s="881"/>
      <c r="BE49" s="884">
        <f t="shared" si="23"/>
        <v>4</v>
      </c>
      <c r="BF49" s="887" t="str">
        <f t="shared" si="24"/>
        <v>SI</v>
      </c>
      <c r="BG49" s="883">
        <f t="shared" si="25"/>
        <v>13.04</v>
      </c>
      <c r="BH49" s="883">
        <f t="shared" si="26"/>
        <v>0</v>
      </c>
      <c r="BI49" s="883">
        <f t="shared" si="27"/>
        <v>0</v>
      </c>
      <c r="BJ49" s="883">
        <f t="shared" si="28"/>
        <v>0</v>
      </c>
      <c r="BK49" s="883">
        <f t="shared" si="29"/>
        <v>0</v>
      </c>
      <c r="BL49" s="883">
        <f t="shared" si="30"/>
        <v>1.96</v>
      </c>
      <c r="BM49" s="881"/>
      <c r="BN49" s="880"/>
      <c r="BO49" s="882" t="s">
        <v>1579</v>
      </c>
      <c r="BP49" s="882" t="s">
        <v>2286</v>
      </c>
      <c r="BQ49" s="882" t="s">
        <v>2285</v>
      </c>
      <c r="BR49" s="880"/>
      <c r="BS49" s="880"/>
      <c r="BT49" s="880"/>
      <c r="BU49" s="880"/>
      <c r="BV49" s="880"/>
      <c r="BW49" s="883">
        <v>0</v>
      </c>
      <c r="BX49" s="883">
        <v>0</v>
      </c>
      <c r="BY49" s="883">
        <v>0</v>
      </c>
      <c r="BZ49" s="890"/>
      <c r="CA49" s="883">
        <f t="shared" si="31"/>
        <v>0</v>
      </c>
      <c r="CB49" s="880"/>
      <c r="CC49" s="881"/>
      <c r="CD49" s="883"/>
      <c r="CE49" s="883"/>
      <c r="CF49" s="883"/>
      <c r="CG49" s="883"/>
      <c r="CH49" s="883"/>
      <c r="CI49" s="883"/>
      <c r="CJ49" s="883"/>
      <c r="CK49" s="883"/>
      <c r="CL49" s="883"/>
      <c r="CM49" s="883"/>
      <c r="CN49" s="883"/>
      <c r="CO49" s="883"/>
      <c r="CP49" s="883"/>
      <c r="CQ49" s="883"/>
      <c r="CR49" s="883"/>
      <c r="CS49" s="883"/>
      <c r="CT49" s="883"/>
      <c r="CU49" s="883"/>
    </row>
    <row r="50" spans="1:99" x14ac:dyDescent="0.25">
      <c r="A50" s="880" t="s">
        <v>1787</v>
      </c>
      <c r="B50" s="881" t="s">
        <v>1788</v>
      </c>
      <c r="C50" s="880" t="s">
        <v>2684</v>
      </c>
      <c r="D50" s="880"/>
      <c r="E50" s="884" t="s">
        <v>744</v>
      </c>
      <c r="F50" s="888">
        <v>1</v>
      </c>
      <c r="G50" s="881" t="s">
        <v>1007</v>
      </c>
      <c r="H50" s="881" t="s">
        <v>19</v>
      </c>
      <c r="I50" s="865">
        <v>46142</v>
      </c>
      <c r="J50" s="882" t="s">
        <v>8</v>
      </c>
      <c r="K50" s="880"/>
      <c r="L50" s="880"/>
      <c r="M50" s="883">
        <v>0</v>
      </c>
      <c r="N50" s="883">
        <v>0</v>
      </c>
      <c r="O50" s="883">
        <v>0</v>
      </c>
      <c r="P50" s="883">
        <v>17.39</v>
      </c>
      <c r="Q50" s="883">
        <v>15</v>
      </c>
      <c r="R50" s="883">
        <f t="shared" si="16"/>
        <v>2.61</v>
      </c>
      <c r="S50" s="883">
        <v>0</v>
      </c>
      <c r="T50" s="883">
        <v>5</v>
      </c>
      <c r="U50" s="883">
        <f t="shared" si="17"/>
        <v>0</v>
      </c>
      <c r="V50" s="883">
        <v>0</v>
      </c>
      <c r="W50" s="883">
        <v>8</v>
      </c>
      <c r="X50" s="883">
        <f t="shared" si="18"/>
        <v>0</v>
      </c>
      <c r="Y50" s="883">
        <v>0</v>
      </c>
      <c r="Z50" s="883">
        <v>0</v>
      </c>
      <c r="AA50" s="883">
        <v>0</v>
      </c>
      <c r="AB50" s="883">
        <f t="shared" si="19"/>
        <v>20</v>
      </c>
      <c r="AC50" s="883">
        <v>0</v>
      </c>
      <c r="AD50" s="881"/>
      <c r="AE50" s="880"/>
      <c r="AF50" s="883"/>
      <c r="AG50" s="889"/>
      <c r="AH50" s="880"/>
      <c r="AI50" s="880" t="s">
        <v>1241</v>
      </c>
      <c r="AJ50" s="884">
        <v>411</v>
      </c>
      <c r="AK50" s="883">
        <f t="shared" si="20"/>
        <v>17.39</v>
      </c>
      <c r="AL50" s="884">
        <v>413</v>
      </c>
      <c r="AM50" s="883">
        <f t="shared" si="21"/>
        <v>0</v>
      </c>
      <c r="AN50" s="884">
        <v>441</v>
      </c>
      <c r="AO50" s="883">
        <f t="shared" si="22"/>
        <v>0</v>
      </c>
      <c r="AP50" s="881"/>
      <c r="AQ50" s="881"/>
      <c r="AR50" s="883">
        <v>0</v>
      </c>
      <c r="AS50" s="883">
        <v>0</v>
      </c>
      <c r="AT50" s="883">
        <v>0</v>
      </c>
      <c r="AU50" s="880"/>
      <c r="AV50" s="886"/>
      <c r="AW50" s="880"/>
      <c r="AX50" s="886"/>
      <c r="AY50" s="880"/>
      <c r="AZ50" s="880"/>
      <c r="BA50" s="881"/>
      <c r="BB50" s="881" t="s">
        <v>57</v>
      </c>
      <c r="BC50" s="881"/>
      <c r="BD50" s="881"/>
      <c r="BE50" s="884">
        <f t="shared" si="23"/>
        <v>4</v>
      </c>
      <c r="BF50" s="887" t="str">
        <f t="shared" si="24"/>
        <v>SI</v>
      </c>
      <c r="BG50" s="883">
        <f t="shared" si="25"/>
        <v>17.39</v>
      </c>
      <c r="BH50" s="883">
        <f t="shared" si="26"/>
        <v>0</v>
      </c>
      <c r="BI50" s="883">
        <f t="shared" si="27"/>
        <v>0</v>
      </c>
      <c r="BJ50" s="883">
        <f t="shared" si="28"/>
        <v>0</v>
      </c>
      <c r="BK50" s="883">
        <f t="shared" si="29"/>
        <v>0</v>
      </c>
      <c r="BL50" s="883">
        <f t="shared" si="30"/>
        <v>2.61</v>
      </c>
      <c r="BM50" s="881"/>
      <c r="BN50" s="880"/>
      <c r="BO50" s="882" t="s">
        <v>1579</v>
      </c>
      <c r="BP50" s="882" t="s">
        <v>2286</v>
      </c>
      <c r="BQ50" s="882" t="s">
        <v>2285</v>
      </c>
      <c r="BR50" s="880"/>
      <c r="BS50" s="880"/>
      <c r="BT50" s="880"/>
      <c r="BU50" s="880"/>
      <c r="BV50" s="880"/>
      <c r="BW50" s="883">
        <v>0</v>
      </c>
      <c r="BX50" s="883">
        <v>0</v>
      </c>
      <c r="BY50" s="883">
        <v>0</v>
      </c>
      <c r="BZ50" s="890"/>
      <c r="CA50" s="883">
        <f t="shared" si="31"/>
        <v>0</v>
      </c>
      <c r="CB50" s="880"/>
      <c r="CC50" s="881"/>
      <c r="CD50" s="883"/>
      <c r="CE50" s="883"/>
      <c r="CF50" s="883"/>
      <c r="CG50" s="883"/>
      <c r="CH50" s="883"/>
      <c r="CI50" s="883"/>
      <c r="CJ50" s="883"/>
      <c r="CK50" s="883"/>
      <c r="CL50" s="883"/>
      <c r="CM50" s="883"/>
      <c r="CN50" s="883"/>
      <c r="CO50" s="883"/>
      <c r="CP50" s="883"/>
      <c r="CQ50" s="883"/>
      <c r="CR50" s="883"/>
      <c r="CS50" s="883"/>
      <c r="CT50" s="883"/>
      <c r="CU50" s="883"/>
    </row>
    <row r="51" spans="1:99" x14ac:dyDescent="0.25">
      <c r="A51" s="880" t="s">
        <v>1787</v>
      </c>
      <c r="B51" s="881" t="s">
        <v>1788</v>
      </c>
      <c r="C51" s="880" t="s">
        <v>2685</v>
      </c>
      <c r="D51" s="880"/>
      <c r="E51" s="884" t="s">
        <v>744</v>
      </c>
      <c r="F51" s="888">
        <v>1</v>
      </c>
      <c r="G51" s="881" t="s">
        <v>1007</v>
      </c>
      <c r="H51" s="881" t="s">
        <v>19</v>
      </c>
      <c r="I51" s="865">
        <v>46142</v>
      </c>
      <c r="J51" s="882" t="s">
        <v>8</v>
      </c>
      <c r="K51" s="880"/>
      <c r="L51" s="880"/>
      <c r="M51" s="883">
        <v>0</v>
      </c>
      <c r="N51" s="883">
        <v>0</v>
      </c>
      <c r="O51" s="883">
        <v>0</v>
      </c>
      <c r="P51" s="883">
        <v>21.73</v>
      </c>
      <c r="Q51" s="883">
        <v>15</v>
      </c>
      <c r="R51" s="883">
        <f t="shared" si="16"/>
        <v>3.26</v>
      </c>
      <c r="S51" s="883">
        <v>0</v>
      </c>
      <c r="T51" s="883">
        <v>5</v>
      </c>
      <c r="U51" s="883">
        <f t="shared" si="17"/>
        <v>0</v>
      </c>
      <c r="V51" s="883">
        <v>0</v>
      </c>
      <c r="W51" s="883">
        <v>8</v>
      </c>
      <c r="X51" s="883">
        <f t="shared" si="18"/>
        <v>0</v>
      </c>
      <c r="Y51" s="883">
        <v>0</v>
      </c>
      <c r="Z51" s="883">
        <v>0</v>
      </c>
      <c r="AA51" s="883">
        <v>0</v>
      </c>
      <c r="AB51" s="883">
        <f t="shared" si="19"/>
        <v>24.99</v>
      </c>
      <c r="AC51" s="883">
        <v>0</v>
      </c>
      <c r="AD51" s="881"/>
      <c r="AE51" s="880"/>
      <c r="AF51" s="883"/>
      <c r="AG51" s="889"/>
      <c r="AH51" s="880"/>
      <c r="AI51" s="880" t="s">
        <v>1241</v>
      </c>
      <c r="AJ51" s="884">
        <v>411</v>
      </c>
      <c r="AK51" s="883">
        <f t="shared" si="20"/>
        <v>21.73</v>
      </c>
      <c r="AL51" s="884">
        <v>413</v>
      </c>
      <c r="AM51" s="883">
        <f t="shared" si="21"/>
        <v>0</v>
      </c>
      <c r="AN51" s="884">
        <v>441</v>
      </c>
      <c r="AO51" s="883">
        <f t="shared" si="22"/>
        <v>0</v>
      </c>
      <c r="AP51" s="881"/>
      <c r="AQ51" s="881"/>
      <c r="AR51" s="883">
        <v>0</v>
      </c>
      <c r="AS51" s="883">
        <v>0</v>
      </c>
      <c r="AT51" s="883">
        <v>0</v>
      </c>
      <c r="AU51" s="880"/>
      <c r="AV51" s="886"/>
      <c r="AW51" s="880"/>
      <c r="AX51" s="886"/>
      <c r="AY51" s="880"/>
      <c r="AZ51" s="880"/>
      <c r="BA51" s="881"/>
      <c r="BB51" s="881" t="s">
        <v>57</v>
      </c>
      <c r="BC51" s="881"/>
      <c r="BD51" s="881"/>
      <c r="BE51" s="884">
        <f t="shared" si="23"/>
        <v>4</v>
      </c>
      <c r="BF51" s="887" t="str">
        <f t="shared" si="24"/>
        <v>SI</v>
      </c>
      <c r="BG51" s="883">
        <f t="shared" si="25"/>
        <v>21.73</v>
      </c>
      <c r="BH51" s="883">
        <f t="shared" si="26"/>
        <v>0</v>
      </c>
      <c r="BI51" s="883">
        <f t="shared" si="27"/>
        <v>0</v>
      </c>
      <c r="BJ51" s="883">
        <f t="shared" si="28"/>
        <v>0</v>
      </c>
      <c r="BK51" s="883">
        <f t="shared" si="29"/>
        <v>0</v>
      </c>
      <c r="BL51" s="883">
        <f t="shared" si="30"/>
        <v>3.26</v>
      </c>
      <c r="BM51" s="881"/>
      <c r="BN51" s="880"/>
      <c r="BO51" s="882" t="s">
        <v>1579</v>
      </c>
      <c r="BP51" s="882" t="s">
        <v>2286</v>
      </c>
      <c r="BQ51" s="882" t="s">
        <v>2285</v>
      </c>
      <c r="BR51" s="880"/>
      <c r="BS51" s="880"/>
      <c r="BT51" s="880"/>
      <c r="BU51" s="880"/>
      <c r="BV51" s="880"/>
      <c r="BW51" s="883">
        <v>0</v>
      </c>
      <c r="BX51" s="883">
        <v>0</v>
      </c>
      <c r="BY51" s="883">
        <v>0</v>
      </c>
      <c r="BZ51" s="890"/>
      <c r="CA51" s="883">
        <f t="shared" si="31"/>
        <v>0</v>
      </c>
      <c r="CB51" s="880"/>
      <c r="CC51" s="881"/>
      <c r="CD51" s="883"/>
      <c r="CE51" s="883"/>
      <c r="CF51" s="883"/>
      <c r="CG51" s="883"/>
      <c r="CH51" s="883"/>
      <c r="CI51" s="883"/>
      <c r="CJ51" s="883"/>
      <c r="CK51" s="883"/>
      <c r="CL51" s="883"/>
      <c r="CM51" s="883"/>
      <c r="CN51" s="883"/>
      <c r="CO51" s="883"/>
      <c r="CP51" s="883"/>
      <c r="CQ51" s="883"/>
      <c r="CR51" s="883"/>
      <c r="CS51" s="883"/>
      <c r="CT51" s="883"/>
      <c r="CU51" s="883"/>
    </row>
    <row r="52" spans="1:99" x14ac:dyDescent="0.25">
      <c r="A52" s="880" t="s">
        <v>1787</v>
      </c>
      <c r="B52" s="881" t="s">
        <v>1788</v>
      </c>
      <c r="C52" s="880" t="s">
        <v>2686</v>
      </c>
      <c r="D52" s="880"/>
      <c r="E52" s="884" t="s">
        <v>744</v>
      </c>
      <c r="F52" s="888">
        <v>1</v>
      </c>
      <c r="G52" s="881" t="s">
        <v>1007</v>
      </c>
      <c r="H52" s="881" t="s">
        <v>19</v>
      </c>
      <c r="I52" s="865">
        <v>46142</v>
      </c>
      <c r="J52" s="882" t="s">
        <v>8</v>
      </c>
      <c r="K52" s="880"/>
      <c r="L52" s="880"/>
      <c r="M52" s="883">
        <v>0</v>
      </c>
      <c r="N52" s="883">
        <v>0</v>
      </c>
      <c r="O52" s="883">
        <v>0</v>
      </c>
      <c r="P52" s="883">
        <v>8.6999999999999993</v>
      </c>
      <c r="Q52" s="883">
        <v>15</v>
      </c>
      <c r="R52" s="883">
        <f t="shared" si="16"/>
        <v>1.31</v>
      </c>
      <c r="S52" s="883">
        <v>0</v>
      </c>
      <c r="T52" s="883">
        <v>5</v>
      </c>
      <c r="U52" s="883">
        <f t="shared" si="17"/>
        <v>0</v>
      </c>
      <c r="V52" s="883">
        <v>0</v>
      </c>
      <c r="W52" s="883">
        <v>8</v>
      </c>
      <c r="X52" s="883">
        <f t="shared" si="18"/>
        <v>0</v>
      </c>
      <c r="Y52" s="883">
        <v>0</v>
      </c>
      <c r="Z52" s="883">
        <v>0</v>
      </c>
      <c r="AA52" s="883">
        <v>0</v>
      </c>
      <c r="AB52" s="883">
        <f t="shared" si="19"/>
        <v>10.01</v>
      </c>
      <c r="AC52" s="883">
        <v>0</v>
      </c>
      <c r="AD52" s="881"/>
      <c r="AE52" s="880"/>
      <c r="AF52" s="883"/>
      <c r="AG52" s="889"/>
      <c r="AH52" s="880"/>
      <c r="AI52" s="880" t="s">
        <v>1241</v>
      </c>
      <c r="AJ52" s="884">
        <v>411</v>
      </c>
      <c r="AK52" s="883">
        <f t="shared" si="20"/>
        <v>8.6999999999999993</v>
      </c>
      <c r="AL52" s="884">
        <v>413</v>
      </c>
      <c r="AM52" s="883">
        <f t="shared" si="21"/>
        <v>0</v>
      </c>
      <c r="AN52" s="884">
        <v>441</v>
      </c>
      <c r="AO52" s="883">
        <f t="shared" si="22"/>
        <v>0</v>
      </c>
      <c r="AP52" s="881"/>
      <c r="AQ52" s="881"/>
      <c r="AR52" s="883">
        <v>0</v>
      </c>
      <c r="AS52" s="883">
        <v>0</v>
      </c>
      <c r="AT52" s="883">
        <v>0</v>
      </c>
      <c r="AU52" s="880"/>
      <c r="AV52" s="886"/>
      <c r="AW52" s="880"/>
      <c r="AX52" s="886"/>
      <c r="AY52" s="880"/>
      <c r="AZ52" s="880"/>
      <c r="BA52" s="881"/>
      <c r="BB52" s="881" t="s">
        <v>57</v>
      </c>
      <c r="BC52" s="881"/>
      <c r="BD52" s="881"/>
      <c r="BE52" s="884">
        <f t="shared" si="23"/>
        <v>4</v>
      </c>
      <c r="BF52" s="887" t="str">
        <f t="shared" si="24"/>
        <v>SI</v>
      </c>
      <c r="BG52" s="883">
        <f t="shared" si="25"/>
        <v>8.6999999999999993</v>
      </c>
      <c r="BH52" s="883">
        <f t="shared" si="26"/>
        <v>0</v>
      </c>
      <c r="BI52" s="883">
        <f t="shared" si="27"/>
        <v>0</v>
      </c>
      <c r="BJ52" s="883">
        <f t="shared" si="28"/>
        <v>0</v>
      </c>
      <c r="BK52" s="883">
        <f t="shared" si="29"/>
        <v>0</v>
      </c>
      <c r="BL52" s="883">
        <f t="shared" si="30"/>
        <v>1.31</v>
      </c>
      <c r="BM52" s="881"/>
      <c r="BN52" s="880"/>
      <c r="BO52" s="882" t="s">
        <v>1579</v>
      </c>
      <c r="BP52" s="882" t="s">
        <v>2286</v>
      </c>
      <c r="BQ52" s="882" t="s">
        <v>2285</v>
      </c>
      <c r="BR52" s="880"/>
      <c r="BS52" s="880"/>
      <c r="BT52" s="880"/>
      <c r="BU52" s="880"/>
      <c r="BV52" s="880"/>
      <c r="BW52" s="883">
        <v>0</v>
      </c>
      <c r="BX52" s="883">
        <v>0</v>
      </c>
      <c r="BY52" s="883">
        <v>0</v>
      </c>
      <c r="BZ52" s="890"/>
      <c r="CA52" s="883">
        <f t="shared" si="31"/>
        <v>0</v>
      </c>
      <c r="CB52" s="880"/>
      <c r="CC52" s="881"/>
      <c r="CD52" s="883"/>
      <c r="CE52" s="883"/>
      <c r="CF52" s="883"/>
      <c r="CG52" s="883"/>
      <c r="CH52" s="883"/>
      <c r="CI52" s="883"/>
      <c r="CJ52" s="883"/>
      <c r="CK52" s="883"/>
      <c r="CL52" s="883"/>
      <c r="CM52" s="883"/>
      <c r="CN52" s="883"/>
      <c r="CO52" s="883"/>
      <c r="CP52" s="883"/>
      <c r="CQ52" s="883"/>
      <c r="CR52" s="883"/>
      <c r="CS52" s="883"/>
      <c r="CT52" s="883"/>
      <c r="CU52" s="883"/>
    </row>
    <row r="53" spans="1:99" x14ac:dyDescent="0.25">
      <c r="A53" s="880" t="s">
        <v>1787</v>
      </c>
      <c r="B53" s="881" t="s">
        <v>1788</v>
      </c>
      <c r="C53" s="880" t="s">
        <v>2687</v>
      </c>
      <c r="D53" s="880"/>
      <c r="E53" s="884" t="s">
        <v>744</v>
      </c>
      <c r="F53" s="888">
        <v>1</v>
      </c>
      <c r="G53" s="881" t="s">
        <v>1007</v>
      </c>
      <c r="H53" s="881" t="s">
        <v>19</v>
      </c>
      <c r="I53" s="865">
        <v>46142</v>
      </c>
      <c r="J53" s="882" t="s">
        <v>8</v>
      </c>
      <c r="K53" s="880"/>
      <c r="L53" s="880"/>
      <c r="M53" s="883">
        <v>0</v>
      </c>
      <c r="N53" s="883">
        <v>0</v>
      </c>
      <c r="O53" s="883">
        <v>0</v>
      </c>
      <c r="P53" s="883">
        <v>86.95</v>
      </c>
      <c r="Q53" s="883">
        <v>15</v>
      </c>
      <c r="R53" s="883">
        <f t="shared" si="16"/>
        <v>13.04</v>
      </c>
      <c r="S53" s="883">
        <v>0</v>
      </c>
      <c r="T53" s="883">
        <v>5</v>
      </c>
      <c r="U53" s="883">
        <f t="shared" si="17"/>
        <v>0</v>
      </c>
      <c r="V53" s="883">
        <v>0</v>
      </c>
      <c r="W53" s="883">
        <v>8</v>
      </c>
      <c r="X53" s="883">
        <f t="shared" si="18"/>
        <v>0</v>
      </c>
      <c r="Y53" s="883">
        <v>0</v>
      </c>
      <c r="Z53" s="883">
        <v>0</v>
      </c>
      <c r="AA53" s="883">
        <v>0</v>
      </c>
      <c r="AB53" s="883">
        <f t="shared" si="19"/>
        <v>99.99</v>
      </c>
      <c r="AC53" s="883">
        <v>0</v>
      </c>
      <c r="AD53" s="881"/>
      <c r="AE53" s="880"/>
      <c r="AF53" s="883"/>
      <c r="AG53" s="889"/>
      <c r="AH53" s="880"/>
      <c r="AI53" s="880" t="s">
        <v>1241</v>
      </c>
      <c r="AJ53" s="884">
        <v>411</v>
      </c>
      <c r="AK53" s="883">
        <f t="shared" si="20"/>
        <v>86.95</v>
      </c>
      <c r="AL53" s="884">
        <v>413</v>
      </c>
      <c r="AM53" s="883">
        <f t="shared" si="21"/>
        <v>0</v>
      </c>
      <c r="AN53" s="884">
        <v>441</v>
      </c>
      <c r="AO53" s="883">
        <f t="shared" si="22"/>
        <v>0</v>
      </c>
      <c r="AP53" s="881"/>
      <c r="AQ53" s="881"/>
      <c r="AR53" s="883">
        <v>0</v>
      </c>
      <c r="AS53" s="883">
        <v>0</v>
      </c>
      <c r="AT53" s="883">
        <v>0</v>
      </c>
      <c r="AU53" s="880"/>
      <c r="AV53" s="886"/>
      <c r="AW53" s="880"/>
      <c r="AX53" s="886"/>
      <c r="AY53" s="880"/>
      <c r="AZ53" s="880"/>
      <c r="BA53" s="881"/>
      <c r="BB53" s="881" t="s">
        <v>57</v>
      </c>
      <c r="BC53" s="881"/>
      <c r="BD53" s="881"/>
      <c r="BE53" s="884">
        <f t="shared" si="23"/>
        <v>4</v>
      </c>
      <c r="BF53" s="887" t="str">
        <f t="shared" si="24"/>
        <v>SI</v>
      </c>
      <c r="BG53" s="883">
        <f t="shared" si="25"/>
        <v>86.95</v>
      </c>
      <c r="BH53" s="883">
        <f t="shared" si="26"/>
        <v>0</v>
      </c>
      <c r="BI53" s="883">
        <f t="shared" si="27"/>
        <v>0</v>
      </c>
      <c r="BJ53" s="883">
        <f t="shared" si="28"/>
        <v>0</v>
      </c>
      <c r="BK53" s="883">
        <f t="shared" si="29"/>
        <v>0</v>
      </c>
      <c r="BL53" s="883">
        <f t="shared" si="30"/>
        <v>13.04</v>
      </c>
      <c r="BM53" s="881"/>
      <c r="BN53" s="880"/>
      <c r="BO53" s="882" t="s">
        <v>1579</v>
      </c>
      <c r="BP53" s="882" t="s">
        <v>2286</v>
      </c>
      <c r="BQ53" s="882" t="s">
        <v>2285</v>
      </c>
      <c r="BR53" s="880"/>
      <c r="BS53" s="880"/>
      <c r="BT53" s="880"/>
      <c r="BU53" s="880"/>
      <c r="BV53" s="880"/>
      <c r="BW53" s="883">
        <v>0</v>
      </c>
      <c r="BX53" s="883">
        <v>0</v>
      </c>
      <c r="BY53" s="883">
        <v>0</v>
      </c>
      <c r="BZ53" s="890"/>
      <c r="CA53" s="883">
        <f t="shared" si="31"/>
        <v>0</v>
      </c>
      <c r="CB53" s="880"/>
      <c r="CC53" s="881"/>
      <c r="CD53" s="883"/>
      <c r="CE53" s="883"/>
      <c r="CF53" s="883"/>
      <c r="CG53" s="883"/>
      <c r="CH53" s="883"/>
      <c r="CI53" s="883"/>
      <c r="CJ53" s="883"/>
      <c r="CK53" s="883"/>
      <c r="CL53" s="883"/>
      <c r="CM53" s="883"/>
      <c r="CN53" s="883"/>
      <c r="CO53" s="883"/>
      <c r="CP53" s="883"/>
      <c r="CQ53" s="883"/>
      <c r="CR53" s="883"/>
      <c r="CS53" s="883"/>
      <c r="CT53" s="883"/>
      <c r="CU53" s="883"/>
    </row>
    <row r="54" spans="1:99" x14ac:dyDescent="0.25">
      <c r="A54" s="880" t="s">
        <v>1787</v>
      </c>
      <c r="B54" s="881" t="s">
        <v>1788</v>
      </c>
      <c r="C54" s="880" t="s">
        <v>2688</v>
      </c>
      <c r="D54" s="880"/>
      <c r="E54" s="884" t="s">
        <v>744</v>
      </c>
      <c r="F54" s="888">
        <v>1</v>
      </c>
      <c r="G54" s="881" t="s">
        <v>1007</v>
      </c>
      <c r="H54" s="881" t="s">
        <v>19</v>
      </c>
      <c r="I54" s="865">
        <v>46142</v>
      </c>
      <c r="J54" s="882" t="s">
        <v>8</v>
      </c>
      <c r="K54" s="880"/>
      <c r="L54" s="880"/>
      <c r="M54" s="883">
        <v>0</v>
      </c>
      <c r="N54" s="883">
        <v>0</v>
      </c>
      <c r="O54" s="883">
        <v>0</v>
      </c>
      <c r="P54" s="883">
        <v>17.86</v>
      </c>
      <c r="Q54" s="883">
        <v>15</v>
      </c>
      <c r="R54" s="883">
        <f t="shared" si="16"/>
        <v>2.68</v>
      </c>
      <c r="S54" s="883">
        <v>0</v>
      </c>
      <c r="T54" s="883">
        <v>5</v>
      </c>
      <c r="U54" s="883">
        <f t="shared" si="17"/>
        <v>0</v>
      </c>
      <c r="V54" s="883">
        <v>0</v>
      </c>
      <c r="W54" s="883">
        <v>8</v>
      </c>
      <c r="X54" s="883">
        <f t="shared" si="18"/>
        <v>0</v>
      </c>
      <c r="Y54" s="883">
        <v>0</v>
      </c>
      <c r="Z54" s="883">
        <v>0</v>
      </c>
      <c r="AA54" s="883">
        <v>0</v>
      </c>
      <c r="AB54" s="883">
        <f t="shared" si="19"/>
        <v>20.54</v>
      </c>
      <c r="AC54" s="883">
        <v>0</v>
      </c>
      <c r="AD54" s="881"/>
      <c r="AE54" s="880"/>
      <c r="AF54" s="883"/>
      <c r="AG54" s="889"/>
      <c r="AH54" s="880"/>
      <c r="AI54" s="880" t="s">
        <v>1241</v>
      </c>
      <c r="AJ54" s="884">
        <v>411</v>
      </c>
      <c r="AK54" s="883">
        <f t="shared" si="20"/>
        <v>17.86</v>
      </c>
      <c r="AL54" s="884">
        <v>413</v>
      </c>
      <c r="AM54" s="883">
        <f t="shared" si="21"/>
        <v>0</v>
      </c>
      <c r="AN54" s="884">
        <v>441</v>
      </c>
      <c r="AO54" s="883">
        <f t="shared" si="22"/>
        <v>0</v>
      </c>
      <c r="AP54" s="881"/>
      <c r="AQ54" s="881"/>
      <c r="AR54" s="883">
        <v>0</v>
      </c>
      <c r="AS54" s="883">
        <v>0</v>
      </c>
      <c r="AT54" s="883">
        <v>0</v>
      </c>
      <c r="AU54" s="880"/>
      <c r="AV54" s="886"/>
      <c r="AW54" s="880"/>
      <c r="AX54" s="886"/>
      <c r="AY54" s="880"/>
      <c r="AZ54" s="880"/>
      <c r="BA54" s="881"/>
      <c r="BB54" s="881" t="s">
        <v>57</v>
      </c>
      <c r="BC54" s="881"/>
      <c r="BD54" s="881"/>
      <c r="BE54" s="884">
        <f t="shared" si="23"/>
        <v>4</v>
      </c>
      <c r="BF54" s="887" t="str">
        <f t="shared" si="24"/>
        <v>SI</v>
      </c>
      <c r="BG54" s="883">
        <f t="shared" si="25"/>
        <v>17.86</v>
      </c>
      <c r="BH54" s="883">
        <f t="shared" si="26"/>
        <v>0</v>
      </c>
      <c r="BI54" s="883">
        <f t="shared" si="27"/>
        <v>0</v>
      </c>
      <c r="BJ54" s="883">
        <f t="shared" si="28"/>
        <v>0</v>
      </c>
      <c r="BK54" s="883">
        <f t="shared" si="29"/>
        <v>0</v>
      </c>
      <c r="BL54" s="883">
        <f t="shared" si="30"/>
        <v>2.68</v>
      </c>
      <c r="BM54" s="881"/>
      <c r="BN54" s="880"/>
      <c r="BO54" s="882" t="s">
        <v>1579</v>
      </c>
      <c r="BP54" s="882" t="s">
        <v>2286</v>
      </c>
      <c r="BQ54" s="882" t="s">
        <v>2285</v>
      </c>
      <c r="BR54" s="880"/>
      <c r="BS54" s="880"/>
      <c r="BT54" s="880"/>
      <c r="BU54" s="880"/>
      <c r="BV54" s="880"/>
      <c r="BW54" s="883">
        <v>0</v>
      </c>
      <c r="BX54" s="883">
        <v>0</v>
      </c>
      <c r="BY54" s="883">
        <v>0</v>
      </c>
      <c r="BZ54" s="890"/>
      <c r="CA54" s="883">
        <f t="shared" si="31"/>
        <v>0</v>
      </c>
      <c r="CB54" s="880"/>
      <c r="CC54" s="881"/>
      <c r="CD54" s="883"/>
      <c r="CE54" s="883"/>
      <c r="CF54" s="883"/>
      <c r="CG54" s="883"/>
      <c r="CH54" s="883"/>
      <c r="CI54" s="883"/>
      <c r="CJ54" s="883"/>
      <c r="CK54" s="883"/>
      <c r="CL54" s="883"/>
      <c r="CM54" s="883"/>
      <c r="CN54" s="883"/>
      <c r="CO54" s="883"/>
      <c r="CP54" s="883"/>
      <c r="CQ54" s="883"/>
      <c r="CR54" s="883"/>
      <c r="CS54" s="883"/>
      <c r="CT54" s="883"/>
      <c r="CU54" s="883"/>
    </row>
    <row r="55" spans="1:99" x14ac:dyDescent="0.25">
      <c r="A55" s="880" t="s">
        <v>1787</v>
      </c>
      <c r="B55" s="881" t="s">
        <v>1788</v>
      </c>
      <c r="C55" s="880" t="s">
        <v>2689</v>
      </c>
      <c r="D55" s="880"/>
      <c r="E55" s="884" t="s">
        <v>744</v>
      </c>
      <c r="F55" s="888">
        <v>1</v>
      </c>
      <c r="G55" s="881" t="s">
        <v>1007</v>
      </c>
      <c r="H55" s="881" t="s">
        <v>19</v>
      </c>
      <c r="I55" s="865">
        <v>46142</v>
      </c>
      <c r="J55" s="882" t="s">
        <v>8</v>
      </c>
      <c r="K55" s="880"/>
      <c r="L55" s="880"/>
      <c r="M55" s="883">
        <v>0</v>
      </c>
      <c r="N55" s="883">
        <v>0</v>
      </c>
      <c r="O55" s="883">
        <v>0</v>
      </c>
      <c r="P55" s="883">
        <v>35.71</v>
      </c>
      <c r="Q55" s="883">
        <v>15</v>
      </c>
      <c r="R55" s="883">
        <f t="shared" si="16"/>
        <v>5.36</v>
      </c>
      <c r="S55" s="883">
        <v>0</v>
      </c>
      <c r="T55" s="883">
        <v>5</v>
      </c>
      <c r="U55" s="883">
        <f t="shared" si="17"/>
        <v>0</v>
      </c>
      <c r="V55" s="883">
        <v>0</v>
      </c>
      <c r="W55" s="883">
        <v>8</v>
      </c>
      <c r="X55" s="883">
        <f t="shared" si="18"/>
        <v>0</v>
      </c>
      <c r="Y55" s="883">
        <v>0</v>
      </c>
      <c r="Z55" s="883">
        <v>0</v>
      </c>
      <c r="AA55" s="883">
        <v>0</v>
      </c>
      <c r="AB55" s="883">
        <f t="shared" si="19"/>
        <v>41.07</v>
      </c>
      <c r="AC55" s="883">
        <v>0</v>
      </c>
      <c r="AD55" s="881"/>
      <c r="AE55" s="880"/>
      <c r="AF55" s="883"/>
      <c r="AG55" s="889"/>
      <c r="AH55" s="880"/>
      <c r="AI55" s="880" t="s">
        <v>1241</v>
      </c>
      <c r="AJ55" s="884">
        <v>411</v>
      </c>
      <c r="AK55" s="883">
        <f t="shared" si="20"/>
        <v>35.71</v>
      </c>
      <c r="AL55" s="884">
        <v>413</v>
      </c>
      <c r="AM55" s="883">
        <f t="shared" si="21"/>
        <v>0</v>
      </c>
      <c r="AN55" s="884">
        <v>441</v>
      </c>
      <c r="AO55" s="883">
        <f t="shared" si="22"/>
        <v>0</v>
      </c>
      <c r="AP55" s="881"/>
      <c r="AQ55" s="881"/>
      <c r="AR55" s="883">
        <v>0</v>
      </c>
      <c r="AS55" s="883">
        <v>0</v>
      </c>
      <c r="AT55" s="883">
        <v>0</v>
      </c>
      <c r="AU55" s="880"/>
      <c r="AV55" s="886"/>
      <c r="AW55" s="880"/>
      <c r="AX55" s="886"/>
      <c r="AY55" s="880"/>
      <c r="AZ55" s="880"/>
      <c r="BA55" s="881"/>
      <c r="BB55" s="881" t="s">
        <v>57</v>
      </c>
      <c r="BC55" s="881"/>
      <c r="BD55" s="881"/>
      <c r="BE55" s="884">
        <f t="shared" si="23"/>
        <v>4</v>
      </c>
      <c r="BF55" s="887" t="str">
        <f t="shared" si="24"/>
        <v>SI</v>
      </c>
      <c r="BG55" s="883">
        <f t="shared" si="25"/>
        <v>35.71</v>
      </c>
      <c r="BH55" s="883">
        <f t="shared" si="26"/>
        <v>0</v>
      </c>
      <c r="BI55" s="883">
        <f t="shared" si="27"/>
        <v>0</v>
      </c>
      <c r="BJ55" s="883">
        <f t="shared" si="28"/>
        <v>0</v>
      </c>
      <c r="BK55" s="883">
        <f t="shared" si="29"/>
        <v>0</v>
      </c>
      <c r="BL55" s="883">
        <f t="shared" si="30"/>
        <v>5.36</v>
      </c>
      <c r="BM55" s="881"/>
      <c r="BN55" s="880"/>
      <c r="BO55" s="882" t="s">
        <v>1579</v>
      </c>
      <c r="BP55" s="882" t="s">
        <v>2286</v>
      </c>
      <c r="BQ55" s="882" t="s">
        <v>2285</v>
      </c>
      <c r="BR55" s="880"/>
      <c r="BS55" s="880"/>
      <c r="BT55" s="880"/>
      <c r="BU55" s="880"/>
      <c r="BV55" s="880"/>
      <c r="BW55" s="883">
        <v>0</v>
      </c>
      <c r="BX55" s="883">
        <v>0</v>
      </c>
      <c r="BY55" s="883">
        <v>0</v>
      </c>
      <c r="BZ55" s="890"/>
      <c r="CA55" s="883">
        <f t="shared" si="31"/>
        <v>0</v>
      </c>
      <c r="CB55" s="880"/>
      <c r="CC55" s="881"/>
      <c r="CD55" s="883"/>
      <c r="CE55" s="883"/>
      <c r="CF55" s="883"/>
      <c r="CG55" s="883"/>
      <c r="CH55" s="883"/>
      <c r="CI55" s="883"/>
      <c r="CJ55" s="883"/>
      <c r="CK55" s="883"/>
      <c r="CL55" s="883"/>
      <c r="CM55" s="883"/>
      <c r="CN55" s="883"/>
      <c r="CO55" s="883"/>
      <c r="CP55" s="883"/>
      <c r="CQ55" s="883"/>
      <c r="CR55" s="883"/>
      <c r="CS55" s="883"/>
      <c r="CT55" s="883"/>
      <c r="CU55" s="883"/>
    </row>
    <row r="56" spans="1:99" x14ac:dyDescent="0.25">
      <c r="A56" s="880" t="s">
        <v>1787</v>
      </c>
      <c r="B56" s="881" t="s">
        <v>1788</v>
      </c>
      <c r="C56" s="880" t="s">
        <v>2690</v>
      </c>
      <c r="D56" s="880"/>
      <c r="E56" s="884" t="s">
        <v>744</v>
      </c>
      <c r="F56" s="888">
        <v>1</v>
      </c>
      <c r="G56" s="881" t="s">
        <v>1007</v>
      </c>
      <c r="H56" s="881" t="s">
        <v>19</v>
      </c>
      <c r="I56" s="865">
        <v>46142</v>
      </c>
      <c r="J56" s="882" t="s">
        <v>8</v>
      </c>
      <c r="K56" s="880"/>
      <c r="L56" s="880"/>
      <c r="M56" s="883">
        <v>0</v>
      </c>
      <c r="N56" s="883">
        <v>0</v>
      </c>
      <c r="O56" s="883">
        <v>0</v>
      </c>
      <c r="P56" s="883">
        <v>21.74</v>
      </c>
      <c r="Q56" s="883">
        <v>15</v>
      </c>
      <c r="R56" s="883">
        <f t="shared" si="16"/>
        <v>3.26</v>
      </c>
      <c r="S56" s="883">
        <v>0</v>
      </c>
      <c r="T56" s="883">
        <v>5</v>
      </c>
      <c r="U56" s="883">
        <f t="shared" si="17"/>
        <v>0</v>
      </c>
      <c r="V56" s="883">
        <v>0</v>
      </c>
      <c r="W56" s="883">
        <v>8</v>
      </c>
      <c r="X56" s="883">
        <f t="shared" si="18"/>
        <v>0</v>
      </c>
      <c r="Y56" s="883">
        <v>0</v>
      </c>
      <c r="Z56" s="883">
        <v>0</v>
      </c>
      <c r="AA56" s="883">
        <v>0</v>
      </c>
      <c r="AB56" s="883">
        <f t="shared" si="19"/>
        <v>25</v>
      </c>
      <c r="AC56" s="883">
        <v>0</v>
      </c>
      <c r="AD56" s="881"/>
      <c r="AE56" s="880"/>
      <c r="AF56" s="883"/>
      <c r="AG56" s="889"/>
      <c r="AH56" s="880"/>
      <c r="AI56" s="880" t="s">
        <v>1241</v>
      </c>
      <c r="AJ56" s="884">
        <v>411</v>
      </c>
      <c r="AK56" s="883">
        <f t="shared" si="20"/>
        <v>21.74</v>
      </c>
      <c r="AL56" s="884">
        <v>413</v>
      </c>
      <c r="AM56" s="883">
        <f t="shared" si="21"/>
        <v>0</v>
      </c>
      <c r="AN56" s="884">
        <v>441</v>
      </c>
      <c r="AO56" s="883">
        <f t="shared" si="22"/>
        <v>0</v>
      </c>
      <c r="AP56" s="881"/>
      <c r="AQ56" s="881"/>
      <c r="AR56" s="883">
        <v>0</v>
      </c>
      <c r="AS56" s="883">
        <v>0</v>
      </c>
      <c r="AT56" s="883">
        <v>0</v>
      </c>
      <c r="AU56" s="880"/>
      <c r="AV56" s="886"/>
      <c r="AW56" s="880"/>
      <c r="AX56" s="886"/>
      <c r="AY56" s="880"/>
      <c r="AZ56" s="880"/>
      <c r="BA56" s="881"/>
      <c r="BB56" s="881" t="s">
        <v>57</v>
      </c>
      <c r="BC56" s="881"/>
      <c r="BD56" s="881"/>
      <c r="BE56" s="884">
        <f t="shared" si="23"/>
        <v>4</v>
      </c>
      <c r="BF56" s="887" t="str">
        <f t="shared" si="24"/>
        <v>SI</v>
      </c>
      <c r="BG56" s="883">
        <f t="shared" si="25"/>
        <v>21.74</v>
      </c>
      <c r="BH56" s="883">
        <f t="shared" si="26"/>
        <v>0</v>
      </c>
      <c r="BI56" s="883">
        <f t="shared" si="27"/>
        <v>0</v>
      </c>
      <c r="BJ56" s="883">
        <f t="shared" si="28"/>
        <v>0</v>
      </c>
      <c r="BK56" s="883">
        <f t="shared" si="29"/>
        <v>0</v>
      </c>
      <c r="BL56" s="883">
        <f t="shared" si="30"/>
        <v>3.26</v>
      </c>
      <c r="BM56" s="881"/>
      <c r="BN56" s="880"/>
      <c r="BO56" s="882" t="s">
        <v>1579</v>
      </c>
      <c r="BP56" s="882" t="s">
        <v>2286</v>
      </c>
      <c r="BQ56" s="882" t="s">
        <v>2285</v>
      </c>
      <c r="BR56" s="880"/>
      <c r="BS56" s="880"/>
      <c r="BT56" s="880"/>
      <c r="BU56" s="880"/>
      <c r="BV56" s="880"/>
      <c r="BW56" s="883">
        <v>0</v>
      </c>
      <c r="BX56" s="883">
        <v>0</v>
      </c>
      <c r="BY56" s="883">
        <v>0</v>
      </c>
      <c r="BZ56" s="890"/>
      <c r="CA56" s="883">
        <f t="shared" si="31"/>
        <v>0</v>
      </c>
      <c r="CB56" s="880"/>
      <c r="CC56" s="881"/>
      <c r="CD56" s="883"/>
      <c r="CE56" s="883"/>
      <c r="CF56" s="883"/>
      <c r="CG56" s="883"/>
      <c r="CH56" s="883"/>
      <c r="CI56" s="883"/>
      <c r="CJ56" s="883"/>
      <c r="CK56" s="883"/>
      <c r="CL56" s="883"/>
      <c r="CM56" s="883"/>
      <c r="CN56" s="883"/>
      <c r="CO56" s="883"/>
      <c r="CP56" s="883"/>
      <c r="CQ56" s="883"/>
      <c r="CR56" s="883"/>
      <c r="CS56" s="883"/>
      <c r="CT56" s="883"/>
      <c r="CU56" s="883"/>
    </row>
    <row r="57" spans="1:99" x14ac:dyDescent="0.25">
      <c r="A57" s="880" t="s">
        <v>1787</v>
      </c>
      <c r="B57" s="881" t="s">
        <v>1788</v>
      </c>
      <c r="C57" s="880" t="s">
        <v>2691</v>
      </c>
      <c r="D57" s="880"/>
      <c r="E57" s="884" t="s">
        <v>744</v>
      </c>
      <c r="F57" s="888">
        <v>1</v>
      </c>
      <c r="G57" s="881" t="s">
        <v>1007</v>
      </c>
      <c r="H57" s="881" t="s">
        <v>19</v>
      </c>
      <c r="I57" s="865">
        <v>46142</v>
      </c>
      <c r="J57" s="882" t="s">
        <v>8</v>
      </c>
      <c r="K57" s="880"/>
      <c r="L57" s="880"/>
      <c r="M57" s="883">
        <v>0</v>
      </c>
      <c r="N57" s="883">
        <v>0</v>
      </c>
      <c r="O57" s="883">
        <v>0</v>
      </c>
      <c r="P57" s="883">
        <v>17.39</v>
      </c>
      <c r="Q57" s="883">
        <v>15</v>
      </c>
      <c r="R57" s="883">
        <f t="shared" si="16"/>
        <v>2.61</v>
      </c>
      <c r="S57" s="883">
        <v>0</v>
      </c>
      <c r="T57" s="883">
        <v>5</v>
      </c>
      <c r="U57" s="883">
        <f t="shared" si="17"/>
        <v>0</v>
      </c>
      <c r="V57" s="883">
        <v>0</v>
      </c>
      <c r="W57" s="883">
        <v>8</v>
      </c>
      <c r="X57" s="883">
        <f t="shared" si="18"/>
        <v>0</v>
      </c>
      <c r="Y57" s="883">
        <v>0</v>
      </c>
      <c r="Z57" s="883">
        <v>0</v>
      </c>
      <c r="AA57" s="883">
        <v>0</v>
      </c>
      <c r="AB57" s="883">
        <f t="shared" si="19"/>
        <v>20</v>
      </c>
      <c r="AC57" s="883">
        <v>0</v>
      </c>
      <c r="AD57" s="881"/>
      <c r="AE57" s="880"/>
      <c r="AF57" s="883"/>
      <c r="AG57" s="889"/>
      <c r="AH57" s="880"/>
      <c r="AI57" s="880" t="s">
        <v>1241</v>
      </c>
      <c r="AJ57" s="884">
        <v>411</v>
      </c>
      <c r="AK57" s="883">
        <f t="shared" si="20"/>
        <v>17.39</v>
      </c>
      <c r="AL57" s="884">
        <v>413</v>
      </c>
      <c r="AM57" s="883">
        <f t="shared" si="21"/>
        <v>0</v>
      </c>
      <c r="AN57" s="884">
        <v>441</v>
      </c>
      <c r="AO57" s="883">
        <f t="shared" si="22"/>
        <v>0</v>
      </c>
      <c r="AP57" s="881"/>
      <c r="AQ57" s="881"/>
      <c r="AR57" s="883">
        <v>0</v>
      </c>
      <c r="AS57" s="883">
        <v>0</v>
      </c>
      <c r="AT57" s="883">
        <v>0</v>
      </c>
      <c r="AU57" s="880"/>
      <c r="AV57" s="886"/>
      <c r="AW57" s="880"/>
      <c r="AX57" s="886"/>
      <c r="AY57" s="880"/>
      <c r="AZ57" s="880"/>
      <c r="BA57" s="881"/>
      <c r="BB57" s="881" t="s">
        <v>57</v>
      </c>
      <c r="BC57" s="881"/>
      <c r="BD57" s="881"/>
      <c r="BE57" s="884">
        <f t="shared" si="23"/>
        <v>4</v>
      </c>
      <c r="BF57" s="887" t="str">
        <f t="shared" si="24"/>
        <v>SI</v>
      </c>
      <c r="BG57" s="883">
        <f t="shared" si="25"/>
        <v>17.39</v>
      </c>
      <c r="BH57" s="883">
        <f t="shared" si="26"/>
        <v>0</v>
      </c>
      <c r="BI57" s="883">
        <f t="shared" si="27"/>
        <v>0</v>
      </c>
      <c r="BJ57" s="883">
        <f t="shared" si="28"/>
        <v>0</v>
      </c>
      <c r="BK57" s="883">
        <f t="shared" si="29"/>
        <v>0</v>
      </c>
      <c r="BL57" s="883">
        <f t="shared" si="30"/>
        <v>2.61</v>
      </c>
      <c r="BM57" s="881"/>
      <c r="BN57" s="880"/>
      <c r="BO57" s="882" t="s">
        <v>1579</v>
      </c>
      <c r="BP57" s="882" t="s">
        <v>2286</v>
      </c>
      <c r="BQ57" s="882" t="s">
        <v>2285</v>
      </c>
      <c r="BR57" s="880"/>
      <c r="BS57" s="880"/>
      <c r="BT57" s="880"/>
      <c r="BU57" s="880"/>
      <c r="BV57" s="880"/>
      <c r="BW57" s="883">
        <v>0</v>
      </c>
      <c r="BX57" s="883">
        <v>0</v>
      </c>
      <c r="BY57" s="883">
        <v>0</v>
      </c>
      <c r="BZ57" s="890"/>
      <c r="CA57" s="883">
        <f t="shared" si="31"/>
        <v>0</v>
      </c>
      <c r="CB57" s="880"/>
      <c r="CC57" s="881"/>
      <c r="CD57" s="883"/>
      <c r="CE57" s="883"/>
      <c r="CF57" s="883"/>
      <c r="CG57" s="883"/>
      <c r="CH57" s="883"/>
      <c r="CI57" s="883"/>
      <c r="CJ57" s="883"/>
      <c r="CK57" s="883"/>
      <c r="CL57" s="883"/>
      <c r="CM57" s="883"/>
      <c r="CN57" s="883"/>
      <c r="CO57" s="883"/>
      <c r="CP57" s="883"/>
      <c r="CQ57" s="883"/>
      <c r="CR57" s="883"/>
      <c r="CS57" s="883"/>
      <c r="CT57" s="883"/>
      <c r="CU57" s="883"/>
    </row>
    <row r="58" spans="1:99" x14ac:dyDescent="0.25">
      <c r="A58" s="880" t="s">
        <v>1787</v>
      </c>
      <c r="B58" s="881" t="s">
        <v>1788</v>
      </c>
      <c r="C58" s="880" t="s">
        <v>2692</v>
      </c>
      <c r="D58" s="880"/>
      <c r="E58" s="884" t="s">
        <v>744</v>
      </c>
      <c r="F58" s="888">
        <v>1</v>
      </c>
      <c r="G58" s="881" t="s">
        <v>1007</v>
      </c>
      <c r="H58" s="881" t="s">
        <v>19</v>
      </c>
      <c r="I58" s="865">
        <v>46142</v>
      </c>
      <c r="J58" s="882" t="s">
        <v>8</v>
      </c>
      <c r="K58" s="880"/>
      <c r="L58" s="880"/>
      <c r="M58" s="883">
        <v>0</v>
      </c>
      <c r="N58" s="883">
        <v>0</v>
      </c>
      <c r="O58" s="883">
        <v>0</v>
      </c>
      <c r="P58" s="883">
        <v>21.73</v>
      </c>
      <c r="Q58" s="883">
        <v>15</v>
      </c>
      <c r="R58" s="883">
        <f t="shared" si="16"/>
        <v>3.26</v>
      </c>
      <c r="S58" s="883">
        <v>0</v>
      </c>
      <c r="T58" s="883">
        <v>5</v>
      </c>
      <c r="U58" s="883">
        <f t="shared" si="17"/>
        <v>0</v>
      </c>
      <c r="V58" s="883">
        <v>0</v>
      </c>
      <c r="W58" s="883">
        <v>8</v>
      </c>
      <c r="X58" s="883">
        <f t="shared" si="18"/>
        <v>0</v>
      </c>
      <c r="Y58" s="883">
        <v>0</v>
      </c>
      <c r="Z58" s="883">
        <v>0</v>
      </c>
      <c r="AA58" s="883">
        <v>0</v>
      </c>
      <c r="AB58" s="883">
        <f t="shared" si="19"/>
        <v>24.99</v>
      </c>
      <c r="AC58" s="883">
        <v>0</v>
      </c>
      <c r="AD58" s="881"/>
      <c r="AE58" s="880"/>
      <c r="AF58" s="883"/>
      <c r="AG58" s="889"/>
      <c r="AH58" s="880"/>
      <c r="AI58" s="880" t="s">
        <v>1241</v>
      </c>
      <c r="AJ58" s="884">
        <v>411</v>
      </c>
      <c r="AK58" s="883">
        <f t="shared" si="20"/>
        <v>21.73</v>
      </c>
      <c r="AL58" s="884">
        <v>413</v>
      </c>
      <c r="AM58" s="883">
        <f t="shared" si="21"/>
        <v>0</v>
      </c>
      <c r="AN58" s="884">
        <v>441</v>
      </c>
      <c r="AO58" s="883">
        <f t="shared" si="22"/>
        <v>0</v>
      </c>
      <c r="AP58" s="881"/>
      <c r="AQ58" s="881"/>
      <c r="AR58" s="883">
        <v>0</v>
      </c>
      <c r="AS58" s="883">
        <v>0</v>
      </c>
      <c r="AT58" s="883">
        <v>0</v>
      </c>
      <c r="AU58" s="880"/>
      <c r="AV58" s="886"/>
      <c r="AW58" s="880"/>
      <c r="AX58" s="886"/>
      <c r="AY58" s="880"/>
      <c r="AZ58" s="880"/>
      <c r="BA58" s="881"/>
      <c r="BB58" s="881" t="s">
        <v>57</v>
      </c>
      <c r="BC58" s="881"/>
      <c r="BD58" s="881"/>
      <c r="BE58" s="884">
        <f t="shared" si="23"/>
        <v>4</v>
      </c>
      <c r="BF58" s="887" t="str">
        <f t="shared" si="24"/>
        <v>SI</v>
      </c>
      <c r="BG58" s="883">
        <f t="shared" si="25"/>
        <v>21.73</v>
      </c>
      <c r="BH58" s="883">
        <f t="shared" si="26"/>
        <v>0</v>
      </c>
      <c r="BI58" s="883">
        <f t="shared" si="27"/>
        <v>0</v>
      </c>
      <c r="BJ58" s="883">
        <f t="shared" si="28"/>
        <v>0</v>
      </c>
      <c r="BK58" s="883">
        <f t="shared" si="29"/>
        <v>0</v>
      </c>
      <c r="BL58" s="883">
        <f t="shared" si="30"/>
        <v>3.26</v>
      </c>
      <c r="BM58" s="881"/>
      <c r="BN58" s="880"/>
      <c r="BO58" s="882" t="s">
        <v>1579</v>
      </c>
      <c r="BP58" s="882" t="s">
        <v>2286</v>
      </c>
      <c r="BQ58" s="882" t="s">
        <v>2285</v>
      </c>
      <c r="BR58" s="880"/>
      <c r="BS58" s="880"/>
      <c r="BT58" s="880"/>
      <c r="BU58" s="880"/>
      <c r="BV58" s="880"/>
      <c r="BW58" s="883">
        <v>0</v>
      </c>
      <c r="BX58" s="883">
        <v>0</v>
      </c>
      <c r="BY58" s="883">
        <v>0</v>
      </c>
      <c r="BZ58" s="890"/>
      <c r="CA58" s="883">
        <f t="shared" si="31"/>
        <v>0</v>
      </c>
      <c r="CB58" s="880"/>
      <c r="CC58" s="881"/>
      <c r="CD58" s="883"/>
      <c r="CE58" s="883"/>
      <c r="CF58" s="883"/>
      <c r="CG58" s="883"/>
      <c r="CH58" s="883"/>
      <c r="CI58" s="883"/>
      <c r="CJ58" s="883"/>
      <c r="CK58" s="883"/>
      <c r="CL58" s="883"/>
      <c r="CM58" s="883"/>
      <c r="CN58" s="883"/>
      <c r="CO58" s="883"/>
      <c r="CP58" s="883"/>
      <c r="CQ58" s="883"/>
      <c r="CR58" s="883"/>
      <c r="CS58" s="883"/>
      <c r="CT58" s="883"/>
      <c r="CU58" s="883"/>
    </row>
    <row r="59" spans="1:99" x14ac:dyDescent="0.25">
      <c r="A59" s="880" t="s">
        <v>1787</v>
      </c>
      <c r="B59" s="881" t="s">
        <v>1788</v>
      </c>
      <c r="C59" s="880" t="s">
        <v>2693</v>
      </c>
      <c r="D59" s="880"/>
      <c r="E59" s="884" t="s">
        <v>744</v>
      </c>
      <c r="F59" s="888">
        <v>1</v>
      </c>
      <c r="G59" s="881" t="s">
        <v>1007</v>
      </c>
      <c r="H59" s="881" t="s">
        <v>19</v>
      </c>
      <c r="I59" s="865">
        <v>46142</v>
      </c>
      <c r="J59" s="882" t="s">
        <v>8</v>
      </c>
      <c r="K59" s="880"/>
      <c r="L59" s="880"/>
      <c r="M59" s="883">
        <v>0</v>
      </c>
      <c r="N59" s="883">
        <v>0</v>
      </c>
      <c r="O59" s="883">
        <v>0</v>
      </c>
      <c r="P59" s="883">
        <v>8.93</v>
      </c>
      <c r="Q59" s="883">
        <v>15</v>
      </c>
      <c r="R59" s="883">
        <f t="shared" si="16"/>
        <v>1.34</v>
      </c>
      <c r="S59" s="883">
        <v>0</v>
      </c>
      <c r="T59" s="883">
        <v>5</v>
      </c>
      <c r="U59" s="883">
        <f t="shared" si="17"/>
        <v>0</v>
      </c>
      <c r="V59" s="883">
        <v>0</v>
      </c>
      <c r="W59" s="883">
        <v>8</v>
      </c>
      <c r="X59" s="883">
        <f t="shared" si="18"/>
        <v>0</v>
      </c>
      <c r="Y59" s="883">
        <v>0</v>
      </c>
      <c r="Z59" s="883">
        <v>0</v>
      </c>
      <c r="AA59" s="883">
        <v>0</v>
      </c>
      <c r="AB59" s="883">
        <f t="shared" si="19"/>
        <v>10.27</v>
      </c>
      <c r="AC59" s="883">
        <v>0</v>
      </c>
      <c r="AD59" s="881"/>
      <c r="AE59" s="880"/>
      <c r="AF59" s="883"/>
      <c r="AG59" s="889"/>
      <c r="AH59" s="880"/>
      <c r="AI59" s="880" t="s">
        <v>1241</v>
      </c>
      <c r="AJ59" s="884">
        <v>411</v>
      </c>
      <c r="AK59" s="883">
        <f t="shared" si="20"/>
        <v>8.93</v>
      </c>
      <c r="AL59" s="884">
        <v>413</v>
      </c>
      <c r="AM59" s="883">
        <f t="shared" si="21"/>
        <v>0</v>
      </c>
      <c r="AN59" s="884">
        <v>441</v>
      </c>
      <c r="AO59" s="883">
        <f t="shared" si="22"/>
        <v>0</v>
      </c>
      <c r="AP59" s="881"/>
      <c r="AQ59" s="881"/>
      <c r="AR59" s="883">
        <v>0</v>
      </c>
      <c r="AS59" s="883">
        <v>0</v>
      </c>
      <c r="AT59" s="883">
        <v>0</v>
      </c>
      <c r="AU59" s="880"/>
      <c r="AV59" s="886"/>
      <c r="AW59" s="880"/>
      <c r="AX59" s="886"/>
      <c r="AY59" s="880"/>
      <c r="AZ59" s="880"/>
      <c r="BA59" s="881"/>
      <c r="BB59" s="881" t="s">
        <v>57</v>
      </c>
      <c r="BC59" s="881"/>
      <c r="BD59" s="881"/>
      <c r="BE59" s="884">
        <f t="shared" si="23"/>
        <v>4</v>
      </c>
      <c r="BF59" s="887" t="str">
        <f t="shared" si="24"/>
        <v>SI</v>
      </c>
      <c r="BG59" s="883">
        <f t="shared" si="25"/>
        <v>8.93</v>
      </c>
      <c r="BH59" s="883">
        <f t="shared" si="26"/>
        <v>0</v>
      </c>
      <c r="BI59" s="883">
        <f t="shared" si="27"/>
        <v>0</v>
      </c>
      <c r="BJ59" s="883">
        <f t="shared" si="28"/>
        <v>0</v>
      </c>
      <c r="BK59" s="883">
        <f t="shared" si="29"/>
        <v>0</v>
      </c>
      <c r="BL59" s="883">
        <f t="shared" si="30"/>
        <v>1.34</v>
      </c>
      <c r="BM59" s="881"/>
      <c r="BN59" s="880"/>
      <c r="BO59" s="882" t="s">
        <v>1579</v>
      </c>
      <c r="BP59" s="882" t="s">
        <v>2286</v>
      </c>
      <c r="BQ59" s="882" t="s">
        <v>2285</v>
      </c>
      <c r="BR59" s="880"/>
      <c r="BS59" s="880"/>
      <c r="BT59" s="880"/>
      <c r="BU59" s="880"/>
      <c r="BV59" s="880"/>
      <c r="BW59" s="883">
        <v>0</v>
      </c>
      <c r="BX59" s="883">
        <v>0</v>
      </c>
      <c r="BY59" s="883">
        <v>0</v>
      </c>
      <c r="BZ59" s="890"/>
      <c r="CA59" s="883">
        <f t="shared" si="31"/>
        <v>0</v>
      </c>
      <c r="CB59" s="880"/>
      <c r="CC59" s="881"/>
      <c r="CD59" s="883"/>
      <c r="CE59" s="883"/>
      <c r="CF59" s="883"/>
      <c r="CG59" s="883"/>
      <c r="CH59" s="883"/>
      <c r="CI59" s="883"/>
      <c r="CJ59" s="883"/>
      <c r="CK59" s="883"/>
      <c r="CL59" s="883"/>
      <c r="CM59" s="883"/>
      <c r="CN59" s="883"/>
      <c r="CO59" s="883"/>
      <c r="CP59" s="883"/>
      <c r="CQ59" s="883"/>
      <c r="CR59" s="883"/>
      <c r="CS59" s="883"/>
      <c r="CT59" s="883"/>
      <c r="CU59" s="883"/>
    </row>
    <row r="60" spans="1:99" x14ac:dyDescent="0.25">
      <c r="A60" s="880" t="s">
        <v>1787</v>
      </c>
      <c r="B60" s="881" t="s">
        <v>1788</v>
      </c>
      <c r="C60" s="880" t="s">
        <v>2694</v>
      </c>
      <c r="D60" s="880"/>
      <c r="E60" s="884" t="s">
        <v>744</v>
      </c>
      <c r="F60" s="888">
        <v>1</v>
      </c>
      <c r="G60" s="881" t="s">
        <v>1007</v>
      </c>
      <c r="H60" s="881" t="s">
        <v>19</v>
      </c>
      <c r="I60" s="865">
        <v>46142</v>
      </c>
      <c r="J60" s="882" t="s">
        <v>8</v>
      </c>
      <c r="K60" s="880"/>
      <c r="L60" s="880"/>
      <c r="M60" s="883">
        <v>0</v>
      </c>
      <c r="N60" s="883">
        <v>0</v>
      </c>
      <c r="O60" s="883">
        <v>0</v>
      </c>
      <c r="P60" s="883">
        <v>4.46</v>
      </c>
      <c r="Q60" s="883">
        <v>15</v>
      </c>
      <c r="R60" s="883">
        <f t="shared" si="16"/>
        <v>0.67</v>
      </c>
      <c r="S60" s="883">
        <v>0</v>
      </c>
      <c r="T60" s="883">
        <v>5</v>
      </c>
      <c r="U60" s="883">
        <f t="shared" si="17"/>
        <v>0</v>
      </c>
      <c r="V60" s="883">
        <v>0</v>
      </c>
      <c r="W60" s="883">
        <v>8</v>
      </c>
      <c r="X60" s="883">
        <f t="shared" si="18"/>
        <v>0</v>
      </c>
      <c r="Y60" s="883">
        <v>0</v>
      </c>
      <c r="Z60" s="883">
        <v>0</v>
      </c>
      <c r="AA60" s="883">
        <v>0</v>
      </c>
      <c r="AB60" s="883">
        <f t="shared" si="19"/>
        <v>5.13</v>
      </c>
      <c r="AC60" s="883">
        <v>0</v>
      </c>
      <c r="AD60" s="881"/>
      <c r="AE60" s="880"/>
      <c r="AF60" s="883"/>
      <c r="AG60" s="889"/>
      <c r="AH60" s="880"/>
      <c r="AI60" s="880" t="s">
        <v>1241</v>
      </c>
      <c r="AJ60" s="884">
        <v>411</v>
      </c>
      <c r="AK60" s="883">
        <f t="shared" si="20"/>
        <v>4.46</v>
      </c>
      <c r="AL60" s="884">
        <v>413</v>
      </c>
      <c r="AM60" s="883">
        <f t="shared" si="21"/>
        <v>0</v>
      </c>
      <c r="AN60" s="884">
        <v>441</v>
      </c>
      <c r="AO60" s="883">
        <f t="shared" si="22"/>
        <v>0</v>
      </c>
      <c r="AP60" s="881"/>
      <c r="AQ60" s="881"/>
      <c r="AR60" s="883">
        <v>0</v>
      </c>
      <c r="AS60" s="883">
        <v>0</v>
      </c>
      <c r="AT60" s="883">
        <v>0</v>
      </c>
      <c r="AU60" s="880"/>
      <c r="AV60" s="886"/>
      <c r="AW60" s="880"/>
      <c r="AX60" s="886"/>
      <c r="AY60" s="880"/>
      <c r="AZ60" s="880"/>
      <c r="BA60" s="881"/>
      <c r="BB60" s="881" t="s">
        <v>57</v>
      </c>
      <c r="BC60" s="881"/>
      <c r="BD60" s="881"/>
      <c r="BE60" s="884">
        <f t="shared" si="23"/>
        <v>4</v>
      </c>
      <c r="BF60" s="887" t="str">
        <f t="shared" si="24"/>
        <v>SI</v>
      </c>
      <c r="BG60" s="883">
        <f t="shared" si="25"/>
        <v>4.46</v>
      </c>
      <c r="BH60" s="883">
        <f t="shared" si="26"/>
        <v>0</v>
      </c>
      <c r="BI60" s="883">
        <f t="shared" si="27"/>
        <v>0</v>
      </c>
      <c r="BJ60" s="883">
        <f t="shared" si="28"/>
        <v>0</v>
      </c>
      <c r="BK60" s="883">
        <f t="shared" si="29"/>
        <v>0</v>
      </c>
      <c r="BL60" s="883">
        <f t="shared" si="30"/>
        <v>0.67</v>
      </c>
      <c r="BM60" s="881"/>
      <c r="BN60" s="880"/>
      <c r="BO60" s="882" t="s">
        <v>1579</v>
      </c>
      <c r="BP60" s="882" t="s">
        <v>2286</v>
      </c>
      <c r="BQ60" s="882" t="s">
        <v>2285</v>
      </c>
      <c r="BR60" s="880"/>
      <c r="BS60" s="880"/>
      <c r="BT60" s="880"/>
      <c r="BU60" s="880"/>
      <c r="BV60" s="880"/>
      <c r="BW60" s="883">
        <v>0</v>
      </c>
      <c r="BX60" s="883">
        <v>0</v>
      </c>
      <c r="BY60" s="883">
        <v>0</v>
      </c>
      <c r="BZ60" s="890"/>
      <c r="CA60" s="883">
        <f t="shared" si="31"/>
        <v>0</v>
      </c>
      <c r="CB60" s="880"/>
      <c r="CC60" s="881"/>
      <c r="CD60" s="883"/>
      <c r="CE60" s="883"/>
      <c r="CF60" s="883"/>
      <c r="CG60" s="883"/>
      <c r="CH60" s="883"/>
      <c r="CI60" s="883"/>
      <c r="CJ60" s="883"/>
      <c r="CK60" s="883"/>
      <c r="CL60" s="883"/>
      <c r="CM60" s="883"/>
      <c r="CN60" s="883"/>
      <c r="CO60" s="883"/>
      <c r="CP60" s="883"/>
      <c r="CQ60" s="883"/>
      <c r="CR60" s="883"/>
      <c r="CS60" s="883"/>
      <c r="CT60" s="883"/>
      <c r="CU60" s="883"/>
    </row>
    <row r="61" spans="1:99" x14ac:dyDescent="0.25">
      <c r="A61" s="880" t="s">
        <v>1787</v>
      </c>
      <c r="B61" s="881" t="s">
        <v>1788</v>
      </c>
      <c r="C61" s="880" t="s">
        <v>2695</v>
      </c>
      <c r="D61" s="880"/>
      <c r="E61" s="884" t="s">
        <v>744</v>
      </c>
      <c r="F61" s="888">
        <v>1</v>
      </c>
      <c r="G61" s="881" t="s">
        <v>1007</v>
      </c>
      <c r="H61" s="881" t="s">
        <v>19</v>
      </c>
      <c r="I61" s="865">
        <v>46142</v>
      </c>
      <c r="J61" s="882" t="s">
        <v>8</v>
      </c>
      <c r="K61" s="880"/>
      <c r="L61" s="880"/>
      <c r="M61" s="883">
        <v>0</v>
      </c>
      <c r="N61" s="883">
        <v>0</v>
      </c>
      <c r="O61" s="883">
        <v>0</v>
      </c>
      <c r="P61" s="883">
        <v>21.74</v>
      </c>
      <c r="Q61" s="883">
        <v>15</v>
      </c>
      <c r="R61" s="883">
        <f t="shared" si="16"/>
        <v>3.26</v>
      </c>
      <c r="S61" s="883">
        <v>0</v>
      </c>
      <c r="T61" s="883">
        <v>5</v>
      </c>
      <c r="U61" s="883">
        <f t="shared" si="17"/>
        <v>0</v>
      </c>
      <c r="V61" s="883">
        <v>0</v>
      </c>
      <c r="W61" s="883">
        <v>8</v>
      </c>
      <c r="X61" s="883">
        <f t="shared" si="18"/>
        <v>0</v>
      </c>
      <c r="Y61" s="883">
        <v>0</v>
      </c>
      <c r="Z61" s="883">
        <v>0</v>
      </c>
      <c r="AA61" s="883">
        <v>0</v>
      </c>
      <c r="AB61" s="883">
        <f t="shared" si="19"/>
        <v>25</v>
      </c>
      <c r="AC61" s="883">
        <v>0</v>
      </c>
      <c r="AD61" s="881"/>
      <c r="AE61" s="880"/>
      <c r="AF61" s="883"/>
      <c r="AG61" s="889"/>
      <c r="AH61" s="880"/>
      <c r="AI61" s="880" t="s">
        <v>1241</v>
      </c>
      <c r="AJ61" s="884">
        <v>411</v>
      </c>
      <c r="AK61" s="883">
        <f t="shared" si="20"/>
        <v>21.74</v>
      </c>
      <c r="AL61" s="884">
        <v>413</v>
      </c>
      <c r="AM61" s="883">
        <f t="shared" si="21"/>
        <v>0</v>
      </c>
      <c r="AN61" s="884">
        <v>441</v>
      </c>
      <c r="AO61" s="883">
        <f t="shared" si="22"/>
        <v>0</v>
      </c>
      <c r="AP61" s="881"/>
      <c r="AQ61" s="881"/>
      <c r="AR61" s="883">
        <v>0</v>
      </c>
      <c r="AS61" s="883">
        <v>0</v>
      </c>
      <c r="AT61" s="883">
        <v>0</v>
      </c>
      <c r="AU61" s="880"/>
      <c r="AV61" s="886"/>
      <c r="AW61" s="880"/>
      <c r="AX61" s="886"/>
      <c r="AY61" s="880"/>
      <c r="AZ61" s="880"/>
      <c r="BA61" s="881"/>
      <c r="BB61" s="881" t="s">
        <v>57</v>
      </c>
      <c r="BC61" s="881"/>
      <c r="BD61" s="881"/>
      <c r="BE61" s="884">
        <f t="shared" si="23"/>
        <v>4</v>
      </c>
      <c r="BF61" s="887" t="str">
        <f t="shared" si="24"/>
        <v>SI</v>
      </c>
      <c r="BG61" s="883">
        <f t="shared" si="25"/>
        <v>21.74</v>
      </c>
      <c r="BH61" s="883">
        <f t="shared" si="26"/>
        <v>0</v>
      </c>
      <c r="BI61" s="883">
        <f t="shared" si="27"/>
        <v>0</v>
      </c>
      <c r="BJ61" s="883">
        <f t="shared" si="28"/>
        <v>0</v>
      </c>
      <c r="BK61" s="883">
        <f t="shared" si="29"/>
        <v>0</v>
      </c>
      <c r="BL61" s="883">
        <f t="shared" si="30"/>
        <v>3.26</v>
      </c>
      <c r="BM61" s="881"/>
      <c r="BN61" s="880"/>
      <c r="BO61" s="882" t="s">
        <v>1579</v>
      </c>
      <c r="BP61" s="882" t="s">
        <v>2286</v>
      </c>
      <c r="BQ61" s="882" t="s">
        <v>2285</v>
      </c>
      <c r="BR61" s="880"/>
      <c r="BS61" s="880"/>
      <c r="BT61" s="880"/>
      <c r="BU61" s="880"/>
      <c r="BV61" s="880"/>
      <c r="BW61" s="883">
        <v>0</v>
      </c>
      <c r="BX61" s="883">
        <v>0</v>
      </c>
      <c r="BY61" s="883">
        <v>0</v>
      </c>
      <c r="BZ61" s="890"/>
      <c r="CA61" s="883">
        <f t="shared" si="31"/>
        <v>0</v>
      </c>
      <c r="CB61" s="880"/>
      <c r="CC61" s="881"/>
      <c r="CD61" s="883"/>
      <c r="CE61" s="883"/>
      <c r="CF61" s="883"/>
      <c r="CG61" s="883"/>
      <c r="CH61" s="883"/>
      <c r="CI61" s="883"/>
      <c r="CJ61" s="883"/>
      <c r="CK61" s="883"/>
      <c r="CL61" s="883"/>
      <c r="CM61" s="883"/>
      <c r="CN61" s="883"/>
      <c r="CO61" s="883"/>
      <c r="CP61" s="883"/>
      <c r="CQ61" s="883"/>
      <c r="CR61" s="883"/>
      <c r="CS61" s="883"/>
      <c r="CT61" s="883"/>
      <c r="CU61" s="883"/>
    </row>
    <row r="62" spans="1:99" x14ac:dyDescent="0.25">
      <c r="A62" s="880" t="s">
        <v>1787</v>
      </c>
      <c r="B62" s="881" t="s">
        <v>1788</v>
      </c>
      <c r="C62" s="880" t="s">
        <v>2696</v>
      </c>
      <c r="D62" s="880"/>
      <c r="E62" s="884" t="s">
        <v>744</v>
      </c>
      <c r="F62" s="888">
        <v>1</v>
      </c>
      <c r="G62" s="881" t="s">
        <v>1007</v>
      </c>
      <c r="H62" s="881" t="s">
        <v>19</v>
      </c>
      <c r="I62" s="865">
        <v>46142</v>
      </c>
      <c r="J62" s="882" t="s">
        <v>8</v>
      </c>
      <c r="K62" s="880"/>
      <c r="L62" s="880"/>
      <c r="M62" s="883">
        <v>0</v>
      </c>
      <c r="N62" s="883">
        <v>0</v>
      </c>
      <c r="O62" s="883">
        <v>0</v>
      </c>
      <c r="P62" s="883">
        <v>22.32</v>
      </c>
      <c r="Q62" s="883">
        <v>15</v>
      </c>
      <c r="R62" s="883">
        <f t="shared" si="16"/>
        <v>3.35</v>
      </c>
      <c r="S62" s="883">
        <v>0</v>
      </c>
      <c r="T62" s="883">
        <v>5</v>
      </c>
      <c r="U62" s="883">
        <f t="shared" si="17"/>
        <v>0</v>
      </c>
      <c r="V62" s="883">
        <v>0</v>
      </c>
      <c r="W62" s="883">
        <v>8</v>
      </c>
      <c r="X62" s="883">
        <f t="shared" si="18"/>
        <v>0</v>
      </c>
      <c r="Y62" s="883">
        <v>0</v>
      </c>
      <c r="Z62" s="883">
        <v>0</v>
      </c>
      <c r="AA62" s="883">
        <v>0</v>
      </c>
      <c r="AB62" s="883">
        <f t="shared" si="19"/>
        <v>25.67</v>
      </c>
      <c r="AC62" s="883">
        <v>0</v>
      </c>
      <c r="AD62" s="881"/>
      <c r="AE62" s="880"/>
      <c r="AF62" s="883"/>
      <c r="AG62" s="889"/>
      <c r="AH62" s="880"/>
      <c r="AI62" s="880" t="s">
        <v>1241</v>
      </c>
      <c r="AJ62" s="884">
        <v>411</v>
      </c>
      <c r="AK62" s="883">
        <f t="shared" si="20"/>
        <v>22.32</v>
      </c>
      <c r="AL62" s="884">
        <v>413</v>
      </c>
      <c r="AM62" s="883">
        <f t="shared" si="21"/>
        <v>0</v>
      </c>
      <c r="AN62" s="884">
        <v>441</v>
      </c>
      <c r="AO62" s="883">
        <f t="shared" si="22"/>
        <v>0</v>
      </c>
      <c r="AP62" s="881"/>
      <c r="AQ62" s="881"/>
      <c r="AR62" s="883">
        <v>0</v>
      </c>
      <c r="AS62" s="883">
        <v>0</v>
      </c>
      <c r="AT62" s="883">
        <v>0</v>
      </c>
      <c r="AU62" s="880"/>
      <c r="AV62" s="886"/>
      <c r="AW62" s="880"/>
      <c r="AX62" s="886"/>
      <c r="AY62" s="880"/>
      <c r="AZ62" s="880"/>
      <c r="BA62" s="881"/>
      <c r="BB62" s="881" t="s">
        <v>57</v>
      </c>
      <c r="BC62" s="881"/>
      <c r="BD62" s="881"/>
      <c r="BE62" s="884">
        <f t="shared" si="23"/>
        <v>4</v>
      </c>
      <c r="BF62" s="887" t="str">
        <f t="shared" si="24"/>
        <v>SI</v>
      </c>
      <c r="BG62" s="883">
        <f t="shared" si="25"/>
        <v>22.32</v>
      </c>
      <c r="BH62" s="883">
        <f t="shared" si="26"/>
        <v>0</v>
      </c>
      <c r="BI62" s="883">
        <f t="shared" si="27"/>
        <v>0</v>
      </c>
      <c r="BJ62" s="883">
        <f t="shared" si="28"/>
        <v>0</v>
      </c>
      <c r="BK62" s="883">
        <f t="shared" si="29"/>
        <v>0</v>
      </c>
      <c r="BL62" s="883">
        <f t="shared" si="30"/>
        <v>3.35</v>
      </c>
      <c r="BM62" s="881"/>
      <c r="BN62" s="880"/>
      <c r="BO62" s="882" t="s">
        <v>1579</v>
      </c>
      <c r="BP62" s="882" t="s">
        <v>2286</v>
      </c>
      <c r="BQ62" s="882" t="s">
        <v>2285</v>
      </c>
      <c r="BR62" s="880"/>
      <c r="BS62" s="880"/>
      <c r="BT62" s="880"/>
      <c r="BU62" s="880"/>
      <c r="BV62" s="880"/>
      <c r="BW62" s="883">
        <v>0</v>
      </c>
      <c r="BX62" s="883">
        <v>0</v>
      </c>
      <c r="BY62" s="883">
        <v>0</v>
      </c>
      <c r="BZ62" s="890"/>
      <c r="CA62" s="883">
        <f t="shared" si="31"/>
        <v>0</v>
      </c>
      <c r="CB62" s="880"/>
      <c r="CC62" s="881"/>
      <c r="CD62" s="883"/>
      <c r="CE62" s="883"/>
      <c r="CF62" s="883"/>
      <c r="CG62" s="883"/>
      <c r="CH62" s="883"/>
      <c r="CI62" s="883"/>
      <c r="CJ62" s="883"/>
      <c r="CK62" s="883"/>
      <c r="CL62" s="883"/>
      <c r="CM62" s="883"/>
      <c r="CN62" s="883"/>
      <c r="CO62" s="883"/>
      <c r="CP62" s="883"/>
      <c r="CQ62" s="883"/>
      <c r="CR62" s="883"/>
      <c r="CS62" s="883"/>
      <c r="CT62" s="883"/>
      <c r="CU62" s="883"/>
    </row>
    <row r="63" spans="1:99" x14ac:dyDescent="0.25">
      <c r="A63" s="880" t="s">
        <v>1787</v>
      </c>
      <c r="B63" s="881" t="s">
        <v>1788</v>
      </c>
      <c r="C63" s="880" t="s">
        <v>2697</v>
      </c>
      <c r="D63" s="880"/>
      <c r="E63" s="884" t="s">
        <v>744</v>
      </c>
      <c r="F63" s="888">
        <v>1</v>
      </c>
      <c r="G63" s="881" t="s">
        <v>1007</v>
      </c>
      <c r="H63" s="881" t="s">
        <v>19</v>
      </c>
      <c r="I63" s="865">
        <v>46142</v>
      </c>
      <c r="J63" s="882" t="s">
        <v>8</v>
      </c>
      <c r="K63" s="880"/>
      <c r="L63" s="880"/>
      <c r="M63" s="883">
        <v>0</v>
      </c>
      <c r="N63" s="883">
        <v>0</v>
      </c>
      <c r="O63" s="883">
        <v>0</v>
      </c>
      <c r="P63" s="883">
        <v>22.32</v>
      </c>
      <c r="Q63" s="883">
        <v>15</v>
      </c>
      <c r="R63" s="883">
        <f t="shared" si="16"/>
        <v>3.35</v>
      </c>
      <c r="S63" s="883">
        <v>0</v>
      </c>
      <c r="T63" s="883">
        <v>5</v>
      </c>
      <c r="U63" s="883">
        <f t="shared" si="17"/>
        <v>0</v>
      </c>
      <c r="V63" s="883">
        <v>0</v>
      </c>
      <c r="W63" s="883">
        <v>8</v>
      </c>
      <c r="X63" s="883">
        <f t="shared" si="18"/>
        <v>0</v>
      </c>
      <c r="Y63" s="883">
        <v>0</v>
      </c>
      <c r="Z63" s="883">
        <v>0</v>
      </c>
      <c r="AA63" s="883">
        <v>0</v>
      </c>
      <c r="AB63" s="883">
        <f t="shared" si="19"/>
        <v>25.67</v>
      </c>
      <c r="AC63" s="883">
        <v>0</v>
      </c>
      <c r="AD63" s="881"/>
      <c r="AE63" s="880"/>
      <c r="AF63" s="883"/>
      <c r="AG63" s="889"/>
      <c r="AH63" s="880"/>
      <c r="AI63" s="880" t="s">
        <v>1241</v>
      </c>
      <c r="AJ63" s="884">
        <v>411</v>
      </c>
      <c r="AK63" s="883">
        <f t="shared" si="20"/>
        <v>22.32</v>
      </c>
      <c r="AL63" s="884">
        <v>413</v>
      </c>
      <c r="AM63" s="883">
        <f t="shared" si="21"/>
        <v>0</v>
      </c>
      <c r="AN63" s="884">
        <v>441</v>
      </c>
      <c r="AO63" s="883">
        <f t="shared" si="22"/>
        <v>0</v>
      </c>
      <c r="AP63" s="881"/>
      <c r="AQ63" s="881"/>
      <c r="AR63" s="883">
        <v>0</v>
      </c>
      <c r="AS63" s="883">
        <v>0</v>
      </c>
      <c r="AT63" s="883">
        <v>0</v>
      </c>
      <c r="AU63" s="880"/>
      <c r="AV63" s="886"/>
      <c r="AW63" s="880"/>
      <c r="AX63" s="886"/>
      <c r="AY63" s="880"/>
      <c r="AZ63" s="880"/>
      <c r="BA63" s="881"/>
      <c r="BB63" s="881" t="s">
        <v>57</v>
      </c>
      <c r="BC63" s="881"/>
      <c r="BD63" s="881"/>
      <c r="BE63" s="884">
        <f t="shared" si="23"/>
        <v>4</v>
      </c>
      <c r="BF63" s="887" t="str">
        <f t="shared" si="24"/>
        <v>SI</v>
      </c>
      <c r="BG63" s="883">
        <f t="shared" si="25"/>
        <v>22.32</v>
      </c>
      <c r="BH63" s="883">
        <f t="shared" si="26"/>
        <v>0</v>
      </c>
      <c r="BI63" s="883">
        <f t="shared" si="27"/>
        <v>0</v>
      </c>
      <c r="BJ63" s="883">
        <f t="shared" si="28"/>
        <v>0</v>
      </c>
      <c r="BK63" s="883">
        <f t="shared" si="29"/>
        <v>0</v>
      </c>
      <c r="BL63" s="883">
        <f t="shared" si="30"/>
        <v>3.35</v>
      </c>
      <c r="BM63" s="881"/>
      <c r="BN63" s="880"/>
      <c r="BO63" s="882" t="s">
        <v>1579</v>
      </c>
      <c r="BP63" s="882" t="s">
        <v>2286</v>
      </c>
      <c r="BQ63" s="882" t="s">
        <v>2285</v>
      </c>
      <c r="BR63" s="880"/>
      <c r="BS63" s="880"/>
      <c r="BT63" s="880"/>
      <c r="BU63" s="880"/>
      <c r="BV63" s="880"/>
      <c r="BW63" s="883">
        <v>0</v>
      </c>
      <c r="BX63" s="883">
        <v>0</v>
      </c>
      <c r="BY63" s="883">
        <v>0</v>
      </c>
      <c r="BZ63" s="890"/>
      <c r="CA63" s="883">
        <f t="shared" si="31"/>
        <v>0</v>
      </c>
      <c r="CB63" s="880"/>
      <c r="CC63" s="881"/>
      <c r="CD63" s="883"/>
      <c r="CE63" s="883"/>
      <c r="CF63" s="883"/>
      <c r="CG63" s="883"/>
      <c r="CH63" s="883"/>
      <c r="CI63" s="883"/>
      <c r="CJ63" s="883"/>
      <c r="CK63" s="883"/>
      <c r="CL63" s="883"/>
      <c r="CM63" s="883"/>
      <c r="CN63" s="883"/>
      <c r="CO63" s="883"/>
      <c r="CP63" s="883"/>
      <c r="CQ63" s="883"/>
      <c r="CR63" s="883"/>
      <c r="CS63" s="883"/>
      <c r="CT63" s="883"/>
      <c r="CU63" s="883"/>
    </row>
    <row r="64" spans="1:99" x14ac:dyDescent="0.25">
      <c r="A64" s="880" t="s">
        <v>1787</v>
      </c>
      <c r="B64" s="881" t="s">
        <v>1788</v>
      </c>
      <c r="C64" s="880" t="s">
        <v>2698</v>
      </c>
      <c r="D64" s="880"/>
      <c r="E64" s="884" t="s">
        <v>744</v>
      </c>
      <c r="F64" s="888">
        <v>1</v>
      </c>
      <c r="G64" s="881" t="s">
        <v>1007</v>
      </c>
      <c r="H64" s="881" t="s">
        <v>19</v>
      </c>
      <c r="I64" s="865">
        <v>46142</v>
      </c>
      <c r="J64" s="882" t="s">
        <v>8</v>
      </c>
      <c r="K64" s="880"/>
      <c r="L64" s="880"/>
      <c r="M64" s="883">
        <v>0</v>
      </c>
      <c r="N64" s="883">
        <v>0</v>
      </c>
      <c r="O64" s="883">
        <v>0</v>
      </c>
      <c r="P64" s="883">
        <v>13.04</v>
      </c>
      <c r="Q64" s="883">
        <v>15</v>
      </c>
      <c r="R64" s="883">
        <f t="shared" si="16"/>
        <v>1.96</v>
      </c>
      <c r="S64" s="883">
        <v>0</v>
      </c>
      <c r="T64" s="883">
        <v>5</v>
      </c>
      <c r="U64" s="883">
        <f t="shared" si="17"/>
        <v>0</v>
      </c>
      <c r="V64" s="883">
        <v>0</v>
      </c>
      <c r="W64" s="883">
        <v>8</v>
      </c>
      <c r="X64" s="883">
        <f t="shared" si="18"/>
        <v>0</v>
      </c>
      <c r="Y64" s="883">
        <v>0</v>
      </c>
      <c r="Z64" s="883">
        <v>0</v>
      </c>
      <c r="AA64" s="883">
        <v>0</v>
      </c>
      <c r="AB64" s="883">
        <f t="shared" si="19"/>
        <v>15</v>
      </c>
      <c r="AC64" s="883">
        <v>0</v>
      </c>
      <c r="AD64" s="881"/>
      <c r="AE64" s="880"/>
      <c r="AF64" s="883"/>
      <c r="AG64" s="889"/>
      <c r="AH64" s="880"/>
      <c r="AI64" s="880" t="s">
        <v>1241</v>
      </c>
      <c r="AJ64" s="884">
        <v>411</v>
      </c>
      <c r="AK64" s="883">
        <f t="shared" si="20"/>
        <v>13.04</v>
      </c>
      <c r="AL64" s="884">
        <v>413</v>
      </c>
      <c r="AM64" s="883">
        <f t="shared" si="21"/>
        <v>0</v>
      </c>
      <c r="AN64" s="884">
        <v>441</v>
      </c>
      <c r="AO64" s="883">
        <f t="shared" si="22"/>
        <v>0</v>
      </c>
      <c r="AP64" s="881"/>
      <c r="AQ64" s="881"/>
      <c r="AR64" s="883">
        <v>0</v>
      </c>
      <c r="AS64" s="883">
        <v>0</v>
      </c>
      <c r="AT64" s="883">
        <v>0</v>
      </c>
      <c r="AU64" s="880"/>
      <c r="AV64" s="886"/>
      <c r="AW64" s="880"/>
      <c r="AX64" s="886"/>
      <c r="AY64" s="880"/>
      <c r="AZ64" s="880"/>
      <c r="BA64" s="881"/>
      <c r="BB64" s="881" t="s">
        <v>57</v>
      </c>
      <c r="BC64" s="881"/>
      <c r="BD64" s="881"/>
      <c r="BE64" s="884">
        <f t="shared" si="23"/>
        <v>4</v>
      </c>
      <c r="BF64" s="887" t="str">
        <f t="shared" si="24"/>
        <v>SI</v>
      </c>
      <c r="BG64" s="883">
        <f t="shared" si="25"/>
        <v>13.04</v>
      </c>
      <c r="BH64" s="883">
        <f t="shared" si="26"/>
        <v>0</v>
      </c>
      <c r="BI64" s="883">
        <f t="shared" si="27"/>
        <v>0</v>
      </c>
      <c r="BJ64" s="883">
        <f t="shared" si="28"/>
        <v>0</v>
      </c>
      <c r="BK64" s="883">
        <f t="shared" si="29"/>
        <v>0</v>
      </c>
      <c r="BL64" s="883">
        <f t="shared" si="30"/>
        <v>1.96</v>
      </c>
      <c r="BM64" s="881"/>
      <c r="BN64" s="880"/>
      <c r="BO64" s="882" t="s">
        <v>1579</v>
      </c>
      <c r="BP64" s="882" t="s">
        <v>2286</v>
      </c>
      <c r="BQ64" s="882" t="s">
        <v>2285</v>
      </c>
      <c r="BR64" s="880"/>
      <c r="BS64" s="880"/>
      <c r="BT64" s="880"/>
      <c r="BU64" s="880"/>
      <c r="BV64" s="880"/>
      <c r="BW64" s="883">
        <v>0</v>
      </c>
      <c r="BX64" s="883">
        <v>0</v>
      </c>
      <c r="BY64" s="883">
        <v>0</v>
      </c>
      <c r="BZ64" s="890"/>
      <c r="CA64" s="883">
        <f t="shared" si="31"/>
        <v>0</v>
      </c>
      <c r="CB64" s="880"/>
      <c r="CC64" s="881"/>
      <c r="CD64" s="883"/>
      <c r="CE64" s="883"/>
      <c r="CF64" s="883"/>
      <c r="CG64" s="883"/>
      <c r="CH64" s="883"/>
      <c r="CI64" s="883"/>
      <c r="CJ64" s="883"/>
      <c r="CK64" s="883"/>
      <c r="CL64" s="883"/>
      <c r="CM64" s="883"/>
      <c r="CN64" s="883"/>
      <c r="CO64" s="883"/>
      <c r="CP64" s="883"/>
      <c r="CQ64" s="883"/>
      <c r="CR64" s="883"/>
      <c r="CS64" s="883"/>
      <c r="CT64" s="883"/>
      <c r="CU64" s="883"/>
    </row>
    <row r="65" spans="1:99" x14ac:dyDescent="0.25">
      <c r="A65" s="880" t="s">
        <v>1787</v>
      </c>
      <c r="B65" s="881" t="s">
        <v>1788</v>
      </c>
      <c r="C65" s="880" t="s">
        <v>2699</v>
      </c>
      <c r="D65" s="880"/>
      <c r="E65" s="884" t="s">
        <v>744</v>
      </c>
      <c r="F65" s="888">
        <v>1</v>
      </c>
      <c r="G65" s="881" t="s">
        <v>1007</v>
      </c>
      <c r="H65" s="881" t="s">
        <v>19</v>
      </c>
      <c r="I65" s="865">
        <v>46142</v>
      </c>
      <c r="J65" s="882" t="s">
        <v>8</v>
      </c>
      <c r="K65" s="880"/>
      <c r="L65" s="880"/>
      <c r="M65" s="883">
        <v>0</v>
      </c>
      <c r="N65" s="883">
        <v>0</v>
      </c>
      <c r="O65" s="883">
        <v>0</v>
      </c>
      <c r="P65" s="883">
        <v>22.32</v>
      </c>
      <c r="Q65" s="883">
        <v>15</v>
      </c>
      <c r="R65" s="883">
        <f t="shared" si="16"/>
        <v>3.35</v>
      </c>
      <c r="S65" s="883">
        <v>0</v>
      </c>
      <c r="T65" s="883">
        <v>5</v>
      </c>
      <c r="U65" s="883">
        <f t="shared" si="17"/>
        <v>0</v>
      </c>
      <c r="V65" s="883">
        <v>0</v>
      </c>
      <c r="W65" s="883">
        <v>8</v>
      </c>
      <c r="X65" s="883">
        <f t="shared" si="18"/>
        <v>0</v>
      </c>
      <c r="Y65" s="883">
        <v>0</v>
      </c>
      <c r="Z65" s="883">
        <v>0</v>
      </c>
      <c r="AA65" s="883">
        <v>0</v>
      </c>
      <c r="AB65" s="883">
        <f t="shared" si="19"/>
        <v>25.67</v>
      </c>
      <c r="AC65" s="883">
        <v>0</v>
      </c>
      <c r="AD65" s="881"/>
      <c r="AE65" s="880"/>
      <c r="AF65" s="883"/>
      <c r="AG65" s="889"/>
      <c r="AH65" s="880"/>
      <c r="AI65" s="880" t="s">
        <v>1241</v>
      </c>
      <c r="AJ65" s="884">
        <v>411</v>
      </c>
      <c r="AK65" s="883">
        <f t="shared" si="20"/>
        <v>22.32</v>
      </c>
      <c r="AL65" s="884">
        <v>413</v>
      </c>
      <c r="AM65" s="883">
        <f t="shared" si="21"/>
        <v>0</v>
      </c>
      <c r="AN65" s="884">
        <v>441</v>
      </c>
      <c r="AO65" s="883">
        <f t="shared" si="22"/>
        <v>0</v>
      </c>
      <c r="AP65" s="881"/>
      <c r="AQ65" s="881"/>
      <c r="AR65" s="883">
        <v>0</v>
      </c>
      <c r="AS65" s="883">
        <v>0</v>
      </c>
      <c r="AT65" s="883">
        <v>0</v>
      </c>
      <c r="AU65" s="880"/>
      <c r="AV65" s="886"/>
      <c r="AW65" s="880"/>
      <c r="AX65" s="886"/>
      <c r="AY65" s="880"/>
      <c r="AZ65" s="880"/>
      <c r="BA65" s="881"/>
      <c r="BB65" s="881" t="s">
        <v>57</v>
      </c>
      <c r="BC65" s="881"/>
      <c r="BD65" s="881"/>
      <c r="BE65" s="884">
        <f t="shared" si="23"/>
        <v>4</v>
      </c>
      <c r="BF65" s="887" t="str">
        <f t="shared" si="24"/>
        <v>SI</v>
      </c>
      <c r="BG65" s="883">
        <f t="shared" si="25"/>
        <v>22.32</v>
      </c>
      <c r="BH65" s="883">
        <f t="shared" si="26"/>
        <v>0</v>
      </c>
      <c r="BI65" s="883">
        <f t="shared" si="27"/>
        <v>0</v>
      </c>
      <c r="BJ65" s="883">
        <f t="shared" si="28"/>
        <v>0</v>
      </c>
      <c r="BK65" s="883">
        <f t="shared" si="29"/>
        <v>0</v>
      </c>
      <c r="BL65" s="883">
        <f t="shared" si="30"/>
        <v>3.35</v>
      </c>
      <c r="BM65" s="881"/>
      <c r="BN65" s="880"/>
      <c r="BO65" s="882" t="s">
        <v>1579</v>
      </c>
      <c r="BP65" s="882" t="s">
        <v>2286</v>
      </c>
      <c r="BQ65" s="882" t="s">
        <v>2285</v>
      </c>
      <c r="BR65" s="880"/>
      <c r="BS65" s="880"/>
      <c r="BT65" s="880"/>
      <c r="BU65" s="880"/>
      <c r="BV65" s="880"/>
      <c r="BW65" s="883">
        <v>0</v>
      </c>
      <c r="BX65" s="883">
        <v>0</v>
      </c>
      <c r="BY65" s="883">
        <v>0</v>
      </c>
      <c r="BZ65" s="890"/>
      <c r="CA65" s="883">
        <f t="shared" si="31"/>
        <v>0</v>
      </c>
      <c r="CB65" s="880"/>
      <c r="CC65" s="881"/>
      <c r="CD65" s="883"/>
      <c r="CE65" s="883"/>
      <c r="CF65" s="883"/>
      <c r="CG65" s="883"/>
      <c r="CH65" s="883"/>
      <c r="CI65" s="883"/>
      <c r="CJ65" s="883"/>
      <c r="CK65" s="883"/>
      <c r="CL65" s="883"/>
      <c r="CM65" s="883"/>
      <c r="CN65" s="883"/>
      <c r="CO65" s="883"/>
      <c r="CP65" s="883"/>
      <c r="CQ65" s="883"/>
      <c r="CR65" s="883"/>
      <c r="CS65" s="883"/>
      <c r="CT65" s="883"/>
      <c r="CU65" s="883"/>
    </row>
    <row r="66" spans="1:99" x14ac:dyDescent="0.25">
      <c r="A66" s="880" t="s">
        <v>1787</v>
      </c>
      <c r="B66" s="881" t="s">
        <v>1788</v>
      </c>
      <c r="C66" s="880" t="s">
        <v>2700</v>
      </c>
      <c r="D66" s="880"/>
      <c r="E66" s="884" t="s">
        <v>744</v>
      </c>
      <c r="F66" s="888">
        <v>1</v>
      </c>
      <c r="G66" s="881" t="s">
        <v>1007</v>
      </c>
      <c r="H66" s="881" t="s">
        <v>19</v>
      </c>
      <c r="I66" s="865">
        <v>46142</v>
      </c>
      <c r="J66" s="882" t="s">
        <v>8</v>
      </c>
      <c r="K66" s="880"/>
      <c r="L66" s="880"/>
      <c r="M66" s="883">
        <v>0</v>
      </c>
      <c r="N66" s="883">
        <v>0</v>
      </c>
      <c r="O66" s="883">
        <v>0</v>
      </c>
      <c r="P66" s="883">
        <v>21.74</v>
      </c>
      <c r="Q66" s="883">
        <v>15</v>
      </c>
      <c r="R66" s="883">
        <f t="shared" si="16"/>
        <v>3.26</v>
      </c>
      <c r="S66" s="883">
        <v>0</v>
      </c>
      <c r="T66" s="883">
        <v>5</v>
      </c>
      <c r="U66" s="883">
        <f t="shared" si="17"/>
        <v>0</v>
      </c>
      <c r="V66" s="883">
        <v>0</v>
      </c>
      <c r="W66" s="883">
        <v>8</v>
      </c>
      <c r="X66" s="883">
        <f t="shared" si="18"/>
        <v>0</v>
      </c>
      <c r="Y66" s="883">
        <v>0</v>
      </c>
      <c r="Z66" s="883">
        <v>0</v>
      </c>
      <c r="AA66" s="883">
        <v>0</v>
      </c>
      <c r="AB66" s="883">
        <f t="shared" si="19"/>
        <v>25</v>
      </c>
      <c r="AC66" s="883">
        <v>0</v>
      </c>
      <c r="AD66" s="881"/>
      <c r="AE66" s="880"/>
      <c r="AF66" s="883"/>
      <c r="AG66" s="889"/>
      <c r="AH66" s="880"/>
      <c r="AI66" s="880" t="s">
        <v>1241</v>
      </c>
      <c r="AJ66" s="884">
        <v>411</v>
      </c>
      <c r="AK66" s="883">
        <f t="shared" si="20"/>
        <v>21.74</v>
      </c>
      <c r="AL66" s="884">
        <v>413</v>
      </c>
      <c r="AM66" s="883">
        <f t="shared" si="21"/>
        <v>0</v>
      </c>
      <c r="AN66" s="884">
        <v>441</v>
      </c>
      <c r="AO66" s="883">
        <f t="shared" si="22"/>
        <v>0</v>
      </c>
      <c r="AP66" s="881"/>
      <c r="AQ66" s="881"/>
      <c r="AR66" s="883">
        <v>0</v>
      </c>
      <c r="AS66" s="883">
        <v>0</v>
      </c>
      <c r="AT66" s="883">
        <v>0</v>
      </c>
      <c r="AU66" s="880"/>
      <c r="AV66" s="886"/>
      <c r="AW66" s="880"/>
      <c r="AX66" s="886"/>
      <c r="AY66" s="880"/>
      <c r="AZ66" s="880"/>
      <c r="BA66" s="881"/>
      <c r="BB66" s="881" t="s">
        <v>57</v>
      </c>
      <c r="BC66" s="881"/>
      <c r="BD66" s="881"/>
      <c r="BE66" s="884">
        <f t="shared" si="23"/>
        <v>4</v>
      </c>
      <c r="BF66" s="887" t="str">
        <f t="shared" si="24"/>
        <v>SI</v>
      </c>
      <c r="BG66" s="883">
        <f t="shared" si="25"/>
        <v>21.74</v>
      </c>
      <c r="BH66" s="883">
        <f t="shared" si="26"/>
        <v>0</v>
      </c>
      <c r="BI66" s="883">
        <f t="shared" si="27"/>
        <v>0</v>
      </c>
      <c r="BJ66" s="883">
        <f t="shared" si="28"/>
        <v>0</v>
      </c>
      <c r="BK66" s="883">
        <f t="shared" si="29"/>
        <v>0</v>
      </c>
      <c r="BL66" s="883">
        <f t="shared" si="30"/>
        <v>3.26</v>
      </c>
      <c r="BM66" s="881"/>
      <c r="BN66" s="880"/>
      <c r="BO66" s="882" t="s">
        <v>1579</v>
      </c>
      <c r="BP66" s="882" t="s">
        <v>2286</v>
      </c>
      <c r="BQ66" s="882" t="s">
        <v>2285</v>
      </c>
      <c r="BR66" s="880"/>
      <c r="BS66" s="880"/>
      <c r="BT66" s="880"/>
      <c r="BU66" s="880"/>
      <c r="BV66" s="880"/>
      <c r="BW66" s="883">
        <v>0</v>
      </c>
      <c r="BX66" s="883">
        <v>0</v>
      </c>
      <c r="BY66" s="883">
        <v>0</v>
      </c>
      <c r="BZ66" s="890"/>
      <c r="CA66" s="883">
        <f t="shared" si="31"/>
        <v>0</v>
      </c>
      <c r="CB66" s="880"/>
      <c r="CC66" s="881"/>
      <c r="CD66" s="883"/>
      <c r="CE66" s="883"/>
      <c r="CF66" s="883"/>
      <c r="CG66" s="883"/>
      <c r="CH66" s="883"/>
      <c r="CI66" s="883"/>
      <c r="CJ66" s="883"/>
      <c r="CK66" s="883"/>
      <c r="CL66" s="883"/>
      <c r="CM66" s="883"/>
      <c r="CN66" s="883"/>
      <c r="CO66" s="883"/>
      <c r="CP66" s="883"/>
      <c r="CQ66" s="883"/>
      <c r="CR66" s="883"/>
      <c r="CS66" s="883"/>
      <c r="CT66" s="883"/>
      <c r="CU66" s="883"/>
    </row>
    <row r="67" spans="1:99" x14ac:dyDescent="0.25">
      <c r="A67" s="880" t="s">
        <v>1787</v>
      </c>
      <c r="B67" s="881" t="s">
        <v>1788</v>
      </c>
      <c r="C67" s="880" t="s">
        <v>2701</v>
      </c>
      <c r="D67" s="880"/>
      <c r="E67" s="884" t="s">
        <v>744</v>
      </c>
      <c r="F67" s="888">
        <v>1</v>
      </c>
      <c r="G67" s="881" t="s">
        <v>1007</v>
      </c>
      <c r="H67" s="881" t="s">
        <v>19</v>
      </c>
      <c r="I67" s="865">
        <v>46142</v>
      </c>
      <c r="J67" s="882" t="s">
        <v>8</v>
      </c>
      <c r="K67" s="880"/>
      <c r="L67" s="880"/>
      <c r="M67" s="883">
        <v>0</v>
      </c>
      <c r="N67" s="883">
        <v>0</v>
      </c>
      <c r="O67" s="883">
        <v>0</v>
      </c>
      <c r="P67" s="883">
        <v>21.73</v>
      </c>
      <c r="Q67" s="883">
        <v>15</v>
      </c>
      <c r="R67" s="883">
        <f t="shared" si="16"/>
        <v>3.26</v>
      </c>
      <c r="S67" s="883">
        <v>0</v>
      </c>
      <c r="T67" s="883">
        <v>5</v>
      </c>
      <c r="U67" s="883">
        <f t="shared" si="17"/>
        <v>0</v>
      </c>
      <c r="V67" s="883">
        <v>0</v>
      </c>
      <c r="W67" s="883">
        <v>8</v>
      </c>
      <c r="X67" s="883">
        <f t="shared" si="18"/>
        <v>0</v>
      </c>
      <c r="Y67" s="883">
        <v>0</v>
      </c>
      <c r="Z67" s="883">
        <v>0</v>
      </c>
      <c r="AA67" s="883">
        <v>0</v>
      </c>
      <c r="AB67" s="883">
        <f t="shared" si="19"/>
        <v>24.99</v>
      </c>
      <c r="AC67" s="883">
        <v>0</v>
      </c>
      <c r="AD67" s="881"/>
      <c r="AE67" s="880"/>
      <c r="AF67" s="883"/>
      <c r="AG67" s="889"/>
      <c r="AH67" s="880"/>
      <c r="AI67" s="880" t="s">
        <v>1241</v>
      </c>
      <c r="AJ67" s="884">
        <v>411</v>
      </c>
      <c r="AK67" s="883">
        <f t="shared" si="20"/>
        <v>21.73</v>
      </c>
      <c r="AL67" s="884">
        <v>413</v>
      </c>
      <c r="AM67" s="883">
        <f t="shared" si="21"/>
        <v>0</v>
      </c>
      <c r="AN67" s="884">
        <v>441</v>
      </c>
      <c r="AO67" s="883">
        <f t="shared" si="22"/>
        <v>0</v>
      </c>
      <c r="AP67" s="881"/>
      <c r="AQ67" s="881"/>
      <c r="AR67" s="883">
        <v>0</v>
      </c>
      <c r="AS67" s="883">
        <v>0</v>
      </c>
      <c r="AT67" s="883">
        <v>0</v>
      </c>
      <c r="AU67" s="880"/>
      <c r="AV67" s="886"/>
      <c r="AW67" s="880"/>
      <c r="AX67" s="886"/>
      <c r="AY67" s="880"/>
      <c r="AZ67" s="880"/>
      <c r="BA67" s="881"/>
      <c r="BB67" s="881" t="s">
        <v>57</v>
      </c>
      <c r="BC67" s="881"/>
      <c r="BD67" s="881"/>
      <c r="BE67" s="884">
        <f t="shared" si="23"/>
        <v>4</v>
      </c>
      <c r="BF67" s="887" t="str">
        <f t="shared" si="24"/>
        <v>SI</v>
      </c>
      <c r="BG67" s="883">
        <f t="shared" si="25"/>
        <v>21.73</v>
      </c>
      <c r="BH67" s="883">
        <f t="shared" si="26"/>
        <v>0</v>
      </c>
      <c r="BI67" s="883">
        <f t="shared" si="27"/>
        <v>0</v>
      </c>
      <c r="BJ67" s="883">
        <f t="shared" si="28"/>
        <v>0</v>
      </c>
      <c r="BK67" s="883">
        <f t="shared" si="29"/>
        <v>0</v>
      </c>
      <c r="BL67" s="883">
        <f t="shared" si="30"/>
        <v>3.26</v>
      </c>
      <c r="BM67" s="881"/>
      <c r="BN67" s="880"/>
      <c r="BO67" s="882" t="s">
        <v>1579</v>
      </c>
      <c r="BP67" s="882" t="s">
        <v>2286</v>
      </c>
      <c r="BQ67" s="882" t="s">
        <v>2285</v>
      </c>
      <c r="BR67" s="880"/>
      <c r="BS67" s="880"/>
      <c r="BT67" s="880"/>
      <c r="BU67" s="880"/>
      <c r="BV67" s="880"/>
      <c r="BW67" s="883">
        <v>0</v>
      </c>
      <c r="BX67" s="883">
        <v>0</v>
      </c>
      <c r="BY67" s="883">
        <v>0</v>
      </c>
      <c r="BZ67" s="890"/>
      <c r="CA67" s="883">
        <f t="shared" si="31"/>
        <v>0</v>
      </c>
      <c r="CB67" s="880"/>
      <c r="CC67" s="881"/>
      <c r="CD67" s="883"/>
      <c r="CE67" s="883"/>
      <c r="CF67" s="883"/>
      <c r="CG67" s="883"/>
      <c r="CH67" s="883"/>
      <c r="CI67" s="883"/>
      <c r="CJ67" s="883"/>
      <c r="CK67" s="883"/>
      <c r="CL67" s="883"/>
      <c r="CM67" s="883"/>
      <c r="CN67" s="883"/>
      <c r="CO67" s="883"/>
      <c r="CP67" s="883"/>
      <c r="CQ67" s="883"/>
      <c r="CR67" s="883"/>
      <c r="CS67" s="883"/>
      <c r="CT67" s="883"/>
      <c r="CU67" s="883"/>
    </row>
    <row r="68" spans="1:99" x14ac:dyDescent="0.25">
      <c r="A68" s="880" t="s">
        <v>1787</v>
      </c>
      <c r="B68" s="881" t="s">
        <v>1788</v>
      </c>
      <c r="C68" s="880" t="s">
        <v>2702</v>
      </c>
      <c r="D68" s="880"/>
      <c r="E68" s="884" t="s">
        <v>744</v>
      </c>
      <c r="F68" s="888">
        <v>1</v>
      </c>
      <c r="G68" s="881" t="s">
        <v>1007</v>
      </c>
      <c r="H68" s="881" t="s">
        <v>19</v>
      </c>
      <c r="I68" s="865">
        <v>46142</v>
      </c>
      <c r="J68" s="882" t="s">
        <v>8</v>
      </c>
      <c r="K68" s="880"/>
      <c r="L68" s="880"/>
      <c r="M68" s="883">
        <v>0</v>
      </c>
      <c r="N68" s="883">
        <v>0</v>
      </c>
      <c r="O68" s="883">
        <v>0</v>
      </c>
      <c r="P68" s="883">
        <v>22.32</v>
      </c>
      <c r="Q68" s="883">
        <v>15</v>
      </c>
      <c r="R68" s="883">
        <f t="shared" si="16"/>
        <v>3.35</v>
      </c>
      <c r="S68" s="883">
        <v>0</v>
      </c>
      <c r="T68" s="883">
        <v>5</v>
      </c>
      <c r="U68" s="883">
        <f t="shared" si="17"/>
        <v>0</v>
      </c>
      <c r="V68" s="883">
        <v>0</v>
      </c>
      <c r="W68" s="883">
        <v>8</v>
      </c>
      <c r="X68" s="883">
        <f t="shared" si="18"/>
        <v>0</v>
      </c>
      <c r="Y68" s="883">
        <v>0</v>
      </c>
      <c r="Z68" s="883">
        <v>0</v>
      </c>
      <c r="AA68" s="883">
        <v>0</v>
      </c>
      <c r="AB68" s="883">
        <f t="shared" si="19"/>
        <v>25.67</v>
      </c>
      <c r="AC68" s="883">
        <v>0</v>
      </c>
      <c r="AD68" s="881"/>
      <c r="AE68" s="880"/>
      <c r="AF68" s="883"/>
      <c r="AG68" s="889"/>
      <c r="AH68" s="880"/>
      <c r="AI68" s="880" t="s">
        <v>1241</v>
      </c>
      <c r="AJ68" s="884">
        <v>411</v>
      </c>
      <c r="AK68" s="883">
        <f t="shared" si="20"/>
        <v>22.32</v>
      </c>
      <c r="AL68" s="884">
        <v>413</v>
      </c>
      <c r="AM68" s="883">
        <f t="shared" si="21"/>
        <v>0</v>
      </c>
      <c r="AN68" s="884">
        <v>441</v>
      </c>
      <c r="AO68" s="883">
        <f t="shared" si="22"/>
        <v>0</v>
      </c>
      <c r="AP68" s="881"/>
      <c r="AQ68" s="881"/>
      <c r="AR68" s="883">
        <v>0</v>
      </c>
      <c r="AS68" s="883">
        <v>0</v>
      </c>
      <c r="AT68" s="883">
        <v>0</v>
      </c>
      <c r="AU68" s="880"/>
      <c r="AV68" s="886"/>
      <c r="AW68" s="880"/>
      <c r="AX68" s="886"/>
      <c r="AY68" s="880"/>
      <c r="AZ68" s="880"/>
      <c r="BA68" s="881"/>
      <c r="BB68" s="881" t="s">
        <v>57</v>
      </c>
      <c r="BC68" s="881"/>
      <c r="BD68" s="881"/>
      <c r="BE68" s="884">
        <f t="shared" si="23"/>
        <v>4</v>
      </c>
      <c r="BF68" s="887" t="str">
        <f t="shared" si="24"/>
        <v>SI</v>
      </c>
      <c r="BG68" s="883">
        <f t="shared" si="25"/>
        <v>22.32</v>
      </c>
      <c r="BH68" s="883">
        <f t="shared" si="26"/>
        <v>0</v>
      </c>
      <c r="BI68" s="883">
        <f t="shared" si="27"/>
        <v>0</v>
      </c>
      <c r="BJ68" s="883">
        <f t="shared" si="28"/>
        <v>0</v>
      </c>
      <c r="BK68" s="883">
        <f t="shared" si="29"/>
        <v>0</v>
      </c>
      <c r="BL68" s="883">
        <f t="shared" si="30"/>
        <v>3.35</v>
      </c>
      <c r="BM68" s="881"/>
      <c r="BN68" s="880"/>
      <c r="BO68" s="882" t="s">
        <v>1579</v>
      </c>
      <c r="BP68" s="882" t="s">
        <v>2286</v>
      </c>
      <c r="BQ68" s="882" t="s">
        <v>2285</v>
      </c>
      <c r="BR68" s="880"/>
      <c r="BS68" s="880"/>
      <c r="BT68" s="880"/>
      <c r="BU68" s="880"/>
      <c r="BV68" s="880"/>
      <c r="BW68" s="883">
        <v>0</v>
      </c>
      <c r="BX68" s="883">
        <v>0</v>
      </c>
      <c r="BY68" s="883">
        <v>0</v>
      </c>
      <c r="BZ68" s="890"/>
      <c r="CA68" s="883">
        <f t="shared" si="31"/>
        <v>0</v>
      </c>
      <c r="CB68" s="880"/>
      <c r="CC68" s="881"/>
      <c r="CD68" s="883"/>
      <c r="CE68" s="883"/>
      <c r="CF68" s="883"/>
      <c r="CG68" s="883"/>
      <c r="CH68" s="883"/>
      <c r="CI68" s="883"/>
      <c r="CJ68" s="883"/>
      <c r="CK68" s="883"/>
      <c r="CL68" s="883"/>
      <c r="CM68" s="883"/>
      <c r="CN68" s="883"/>
      <c r="CO68" s="883"/>
      <c r="CP68" s="883"/>
      <c r="CQ68" s="883"/>
      <c r="CR68" s="883"/>
      <c r="CS68" s="883"/>
      <c r="CT68" s="883"/>
      <c r="CU68" s="883"/>
    </row>
    <row r="69" spans="1:99" x14ac:dyDescent="0.25">
      <c r="A69" s="880" t="s">
        <v>1787</v>
      </c>
      <c r="B69" s="881" t="s">
        <v>1788</v>
      </c>
      <c r="C69" s="880" t="s">
        <v>2703</v>
      </c>
      <c r="D69" s="880"/>
      <c r="E69" s="884" t="s">
        <v>744</v>
      </c>
      <c r="F69" s="888">
        <v>1</v>
      </c>
      <c r="G69" s="881" t="s">
        <v>1007</v>
      </c>
      <c r="H69" s="881" t="s">
        <v>19</v>
      </c>
      <c r="I69" s="865">
        <v>46142</v>
      </c>
      <c r="J69" s="882" t="s">
        <v>8</v>
      </c>
      <c r="K69" s="880"/>
      <c r="L69" s="880"/>
      <c r="M69" s="883">
        <v>0</v>
      </c>
      <c r="N69" s="883">
        <v>0</v>
      </c>
      <c r="O69" s="883">
        <v>0</v>
      </c>
      <c r="P69" s="883">
        <v>21.73</v>
      </c>
      <c r="Q69" s="883">
        <v>15</v>
      </c>
      <c r="R69" s="883">
        <f t="shared" si="16"/>
        <v>3.26</v>
      </c>
      <c r="S69" s="883">
        <v>0</v>
      </c>
      <c r="T69" s="883">
        <v>5</v>
      </c>
      <c r="U69" s="883">
        <f t="shared" si="17"/>
        <v>0</v>
      </c>
      <c r="V69" s="883">
        <v>0</v>
      </c>
      <c r="W69" s="883">
        <v>8</v>
      </c>
      <c r="X69" s="883">
        <f t="shared" si="18"/>
        <v>0</v>
      </c>
      <c r="Y69" s="883">
        <v>0</v>
      </c>
      <c r="Z69" s="883">
        <v>0</v>
      </c>
      <c r="AA69" s="883">
        <v>0</v>
      </c>
      <c r="AB69" s="883">
        <f t="shared" si="19"/>
        <v>24.99</v>
      </c>
      <c r="AC69" s="883">
        <v>0</v>
      </c>
      <c r="AD69" s="881"/>
      <c r="AE69" s="880"/>
      <c r="AF69" s="883"/>
      <c r="AG69" s="889"/>
      <c r="AH69" s="880"/>
      <c r="AI69" s="880" t="s">
        <v>1241</v>
      </c>
      <c r="AJ69" s="884">
        <v>411</v>
      </c>
      <c r="AK69" s="883">
        <f t="shared" si="20"/>
        <v>21.73</v>
      </c>
      <c r="AL69" s="884">
        <v>413</v>
      </c>
      <c r="AM69" s="883">
        <f t="shared" si="21"/>
        <v>0</v>
      </c>
      <c r="AN69" s="884">
        <v>441</v>
      </c>
      <c r="AO69" s="883">
        <f t="shared" si="22"/>
        <v>0</v>
      </c>
      <c r="AP69" s="881"/>
      <c r="AQ69" s="881"/>
      <c r="AR69" s="883">
        <v>0</v>
      </c>
      <c r="AS69" s="883">
        <v>0</v>
      </c>
      <c r="AT69" s="883">
        <v>0</v>
      </c>
      <c r="AU69" s="880"/>
      <c r="AV69" s="886"/>
      <c r="AW69" s="880"/>
      <c r="AX69" s="886"/>
      <c r="AY69" s="880"/>
      <c r="AZ69" s="880"/>
      <c r="BA69" s="881"/>
      <c r="BB69" s="881" t="s">
        <v>57</v>
      </c>
      <c r="BC69" s="881"/>
      <c r="BD69" s="881"/>
      <c r="BE69" s="884">
        <f t="shared" si="23"/>
        <v>4</v>
      </c>
      <c r="BF69" s="887" t="str">
        <f t="shared" si="24"/>
        <v>SI</v>
      </c>
      <c r="BG69" s="883">
        <f t="shared" si="25"/>
        <v>21.73</v>
      </c>
      <c r="BH69" s="883">
        <f t="shared" si="26"/>
        <v>0</v>
      </c>
      <c r="BI69" s="883">
        <f t="shared" si="27"/>
        <v>0</v>
      </c>
      <c r="BJ69" s="883">
        <f t="shared" si="28"/>
        <v>0</v>
      </c>
      <c r="BK69" s="883">
        <f t="shared" si="29"/>
        <v>0</v>
      </c>
      <c r="BL69" s="883">
        <f t="shared" si="30"/>
        <v>3.26</v>
      </c>
      <c r="BM69" s="881"/>
      <c r="BN69" s="880"/>
      <c r="BO69" s="882" t="s">
        <v>1579</v>
      </c>
      <c r="BP69" s="882" t="s">
        <v>2286</v>
      </c>
      <c r="BQ69" s="882" t="s">
        <v>2285</v>
      </c>
      <c r="BR69" s="880"/>
      <c r="BS69" s="880"/>
      <c r="BT69" s="880"/>
      <c r="BU69" s="880"/>
      <c r="BV69" s="880"/>
      <c r="BW69" s="883">
        <v>0</v>
      </c>
      <c r="BX69" s="883">
        <v>0</v>
      </c>
      <c r="BY69" s="883">
        <v>0</v>
      </c>
      <c r="BZ69" s="890"/>
      <c r="CA69" s="883">
        <f t="shared" si="31"/>
        <v>0</v>
      </c>
      <c r="CB69" s="880"/>
      <c r="CC69" s="881"/>
      <c r="CD69" s="883"/>
      <c r="CE69" s="883"/>
      <c r="CF69" s="883"/>
      <c r="CG69" s="883"/>
      <c r="CH69" s="883"/>
      <c r="CI69" s="883"/>
      <c r="CJ69" s="883"/>
      <c r="CK69" s="883"/>
      <c r="CL69" s="883"/>
      <c r="CM69" s="883"/>
      <c r="CN69" s="883"/>
      <c r="CO69" s="883"/>
      <c r="CP69" s="883"/>
      <c r="CQ69" s="883"/>
      <c r="CR69" s="883"/>
      <c r="CS69" s="883"/>
      <c r="CT69" s="883"/>
      <c r="CU69" s="883"/>
    </row>
    <row r="70" spans="1:99" x14ac:dyDescent="0.25">
      <c r="A70" s="880" t="s">
        <v>1787</v>
      </c>
      <c r="B70" s="881" t="s">
        <v>1788</v>
      </c>
      <c r="C70" s="880" t="s">
        <v>2704</v>
      </c>
      <c r="D70" s="880"/>
      <c r="E70" s="884" t="s">
        <v>744</v>
      </c>
      <c r="F70" s="888">
        <v>1</v>
      </c>
      <c r="G70" s="881" t="s">
        <v>1007</v>
      </c>
      <c r="H70" s="881" t="s">
        <v>19</v>
      </c>
      <c r="I70" s="865">
        <v>46142</v>
      </c>
      <c r="J70" s="882" t="s">
        <v>8</v>
      </c>
      <c r="K70" s="880"/>
      <c r="L70" s="880"/>
      <c r="M70" s="883">
        <v>0</v>
      </c>
      <c r="N70" s="883">
        <v>0</v>
      </c>
      <c r="O70" s="883">
        <v>0</v>
      </c>
      <c r="P70" s="883">
        <v>17.39</v>
      </c>
      <c r="Q70" s="883">
        <v>15</v>
      </c>
      <c r="R70" s="883">
        <f t="shared" si="16"/>
        <v>2.61</v>
      </c>
      <c r="S70" s="883">
        <v>0</v>
      </c>
      <c r="T70" s="883">
        <v>5</v>
      </c>
      <c r="U70" s="883">
        <f t="shared" si="17"/>
        <v>0</v>
      </c>
      <c r="V70" s="883">
        <v>0</v>
      </c>
      <c r="W70" s="883">
        <v>8</v>
      </c>
      <c r="X70" s="883">
        <f t="shared" si="18"/>
        <v>0</v>
      </c>
      <c r="Y70" s="883">
        <v>0</v>
      </c>
      <c r="Z70" s="883">
        <v>0</v>
      </c>
      <c r="AA70" s="883">
        <v>0</v>
      </c>
      <c r="AB70" s="883">
        <f t="shared" si="19"/>
        <v>20</v>
      </c>
      <c r="AC70" s="883">
        <v>0</v>
      </c>
      <c r="AD70" s="881"/>
      <c r="AE70" s="880"/>
      <c r="AF70" s="883"/>
      <c r="AG70" s="889"/>
      <c r="AH70" s="880"/>
      <c r="AI70" s="880" t="s">
        <v>1241</v>
      </c>
      <c r="AJ70" s="884">
        <v>411</v>
      </c>
      <c r="AK70" s="883">
        <f t="shared" si="20"/>
        <v>17.39</v>
      </c>
      <c r="AL70" s="884">
        <v>413</v>
      </c>
      <c r="AM70" s="883">
        <f t="shared" si="21"/>
        <v>0</v>
      </c>
      <c r="AN70" s="884">
        <v>441</v>
      </c>
      <c r="AO70" s="883">
        <f t="shared" si="22"/>
        <v>0</v>
      </c>
      <c r="AP70" s="881"/>
      <c r="AQ70" s="881"/>
      <c r="AR70" s="883">
        <v>0</v>
      </c>
      <c r="AS70" s="883">
        <v>0</v>
      </c>
      <c r="AT70" s="883">
        <v>0</v>
      </c>
      <c r="AU70" s="880"/>
      <c r="AV70" s="886"/>
      <c r="AW70" s="880"/>
      <c r="AX70" s="886"/>
      <c r="AY70" s="880"/>
      <c r="AZ70" s="880"/>
      <c r="BA70" s="881"/>
      <c r="BB70" s="881" t="s">
        <v>57</v>
      </c>
      <c r="BC70" s="881"/>
      <c r="BD70" s="881"/>
      <c r="BE70" s="884">
        <f t="shared" si="23"/>
        <v>4</v>
      </c>
      <c r="BF70" s="887" t="str">
        <f t="shared" si="24"/>
        <v>SI</v>
      </c>
      <c r="BG70" s="883">
        <f t="shared" si="25"/>
        <v>17.39</v>
      </c>
      <c r="BH70" s="883">
        <f t="shared" si="26"/>
        <v>0</v>
      </c>
      <c r="BI70" s="883">
        <f t="shared" si="27"/>
        <v>0</v>
      </c>
      <c r="BJ70" s="883">
        <f t="shared" si="28"/>
        <v>0</v>
      </c>
      <c r="BK70" s="883">
        <f t="shared" si="29"/>
        <v>0</v>
      </c>
      <c r="BL70" s="883">
        <f t="shared" si="30"/>
        <v>2.61</v>
      </c>
      <c r="BM70" s="881"/>
      <c r="BN70" s="880"/>
      <c r="BO70" s="882" t="s">
        <v>1579</v>
      </c>
      <c r="BP70" s="882" t="s">
        <v>2286</v>
      </c>
      <c r="BQ70" s="882" t="s">
        <v>2285</v>
      </c>
      <c r="BR70" s="880"/>
      <c r="BS70" s="880"/>
      <c r="BT70" s="880"/>
      <c r="BU70" s="880"/>
      <c r="BV70" s="880"/>
      <c r="BW70" s="883">
        <v>0</v>
      </c>
      <c r="BX70" s="883">
        <v>0</v>
      </c>
      <c r="BY70" s="883">
        <v>0</v>
      </c>
      <c r="BZ70" s="890"/>
      <c r="CA70" s="883">
        <f t="shared" si="31"/>
        <v>0</v>
      </c>
      <c r="CB70" s="880"/>
      <c r="CC70" s="881"/>
      <c r="CD70" s="883"/>
      <c r="CE70" s="883"/>
      <c r="CF70" s="883"/>
      <c r="CG70" s="883"/>
      <c r="CH70" s="883"/>
      <c r="CI70" s="883"/>
      <c r="CJ70" s="883"/>
      <c r="CK70" s="883"/>
      <c r="CL70" s="883"/>
      <c r="CM70" s="883"/>
      <c r="CN70" s="883"/>
      <c r="CO70" s="883"/>
      <c r="CP70" s="883"/>
      <c r="CQ70" s="883"/>
      <c r="CR70" s="883"/>
      <c r="CS70" s="883"/>
      <c r="CT70" s="883"/>
      <c r="CU70" s="883"/>
    </row>
    <row r="71" spans="1:99" x14ac:dyDescent="0.25">
      <c r="A71" s="880" t="s">
        <v>1787</v>
      </c>
      <c r="B71" s="881" t="s">
        <v>1788</v>
      </c>
      <c r="C71" s="880" t="s">
        <v>2705</v>
      </c>
      <c r="D71" s="880"/>
      <c r="E71" s="884" t="s">
        <v>744</v>
      </c>
      <c r="F71" s="888">
        <v>1</v>
      </c>
      <c r="G71" s="881" t="s">
        <v>1007</v>
      </c>
      <c r="H71" s="881" t="s">
        <v>19</v>
      </c>
      <c r="I71" s="865">
        <v>46142</v>
      </c>
      <c r="J71" s="882" t="s">
        <v>8</v>
      </c>
      <c r="K71" s="880"/>
      <c r="L71" s="880"/>
      <c r="M71" s="883">
        <v>0</v>
      </c>
      <c r="N71" s="883">
        <v>0</v>
      </c>
      <c r="O71" s="883">
        <v>0</v>
      </c>
      <c r="P71" s="883">
        <v>22.32</v>
      </c>
      <c r="Q71" s="883">
        <v>15</v>
      </c>
      <c r="R71" s="883">
        <f t="shared" si="16"/>
        <v>3.35</v>
      </c>
      <c r="S71" s="883">
        <v>0</v>
      </c>
      <c r="T71" s="883">
        <v>5</v>
      </c>
      <c r="U71" s="883">
        <f t="shared" si="17"/>
        <v>0</v>
      </c>
      <c r="V71" s="883">
        <v>0</v>
      </c>
      <c r="W71" s="883">
        <v>8</v>
      </c>
      <c r="X71" s="883">
        <f t="shared" si="18"/>
        <v>0</v>
      </c>
      <c r="Y71" s="883">
        <v>0</v>
      </c>
      <c r="Z71" s="883">
        <v>0</v>
      </c>
      <c r="AA71" s="883">
        <v>0</v>
      </c>
      <c r="AB71" s="883">
        <f t="shared" si="19"/>
        <v>25.67</v>
      </c>
      <c r="AC71" s="883">
        <v>0</v>
      </c>
      <c r="AD71" s="881"/>
      <c r="AE71" s="880"/>
      <c r="AF71" s="883"/>
      <c r="AG71" s="889"/>
      <c r="AH71" s="880"/>
      <c r="AI71" s="880" t="s">
        <v>1241</v>
      </c>
      <c r="AJ71" s="884">
        <v>411</v>
      </c>
      <c r="AK71" s="883">
        <f t="shared" si="20"/>
        <v>22.32</v>
      </c>
      <c r="AL71" s="884">
        <v>413</v>
      </c>
      <c r="AM71" s="883">
        <f t="shared" si="21"/>
        <v>0</v>
      </c>
      <c r="AN71" s="884">
        <v>441</v>
      </c>
      <c r="AO71" s="883">
        <f t="shared" si="22"/>
        <v>0</v>
      </c>
      <c r="AP71" s="881"/>
      <c r="AQ71" s="881"/>
      <c r="AR71" s="883">
        <v>0</v>
      </c>
      <c r="AS71" s="883">
        <v>0</v>
      </c>
      <c r="AT71" s="883">
        <v>0</v>
      </c>
      <c r="AU71" s="880"/>
      <c r="AV71" s="886"/>
      <c r="AW71" s="880"/>
      <c r="AX71" s="886"/>
      <c r="AY71" s="880"/>
      <c r="AZ71" s="880"/>
      <c r="BA71" s="881"/>
      <c r="BB71" s="881" t="s">
        <v>57</v>
      </c>
      <c r="BC71" s="881"/>
      <c r="BD71" s="881"/>
      <c r="BE71" s="884">
        <f t="shared" si="23"/>
        <v>4</v>
      </c>
      <c r="BF71" s="887" t="str">
        <f t="shared" si="24"/>
        <v>SI</v>
      </c>
      <c r="BG71" s="883">
        <f t="shared" si="25"/>
        <v>22.32</v>
      </c>
      <c r="BH71" s="883">
        <f t="shared" si="26"/>
        <v>0</v>
      </c>
      <c r="BI71" s="883">
        <f t="shared" si="27"/>
        <v>0</v>
      </c>
      <c r="BJ71" s="883">
        <f t="shared" si="28"/>
        <v>0</v>
      </c>
      <c r="BK71" s="883">
        <f t="shared" si="29"/>
        <v>0</v>
      </c>
      <c r="BL71" s="883">
        <f t="shared" si="30"/>
        <v>3.35</v>
      </c>
      <c r="BM71" s="881"/>
      <c r="BN71" s="880"/>
      <c r="BO71" s="882" t="s">
        <v>1579</v>
      </c>
      <c r="BP71" s="882" t="s">
        <v>2286</v>
      </c>
      <c r="BQ71" s="882" t="s">
        <v>2285</v>
      </c>
      <c r="BR71" s="880"/>
      <c r="BS71" s="880"/>
      <c r="BT71" s="880"/>
      <c r="BU71" s="880"/>
      <c r="BV71" s="880"/>
      <c r="BW71" s="883">
        <v>0</v>
      </c>
      <c r="BX71" s="883">
        <v>0</v>
      </c>
      <c r="BY71" s="883">
        <v>0</v>
      </c>
      <c r="BZ71" s="890"/>
      <c r="CA71" s="883">
        <f t="shared" si="31"/>
        <v>0</v>
      </c>
      <c r="CB71" s="880"/>
      <c r="CC71" s="881"/>
      <c r="CD71" s="883"/>
      <c r="CE71" s="883"/>
      <c r="CF71" s="883"/>
      <c r="CG71" s="883"/>
      <c r="CH71" s="883"/>
      <c r="CI71" s="883"/>
      <c r="CJ71" s="883"/>
      <c r="CK71" s="883"/>
      <c r="CL71" s="883"/>
      <c r="CM71" s="883"/>
      <c r="CN71" s="883"/>
      <c r="CO71" s="883"/>
      <c r="CP71" s="883"/>
      <c r="CQ71" s="883"/>
      <c r="CR71" s="883"/>
      <c r="CS71" s="883"/>
      <c r="CT71" s="883"/>
      <c r="CU71" s="883"/>
    </row>
    <row r="72" spans="1:99" x14ac:dyDescent="0.25">
      <c r="A72" s="880" t="s">
        <v>1787</v>
      </c>
      <c r="B72" s="881" t="s">
        <v>1788</v>
      </c>
      <c r="C72" s="880" t="s">
        <v>2706</v>
      </c>
      <c r="D72" s="880"/>
      <c r="E72" s="884" t="s">
        <v>744</v>
      </c>
      <c r="F72" s="888">
        <v>1</v>
      </c>
      <c r="G72" s="881" t="s">
        <v>1007</v>
      </c>
      <c r="H72" s="881" t="s">
        <v>19</v>
      </c>
      <c r="I72" s="865">
        <v>46142</v>
      </c>
      <c r="J72" s="882" t="s">
        <v>8</v>
      </c>
      <c r="K72" s="880"/>
      <c r="L72" s="880"/>
      <c r="M72" s="883">
        <v>0</v>
      </c>
      <c r="N72" s="883">
        <v>0</v>
      </c>
      <c r="O72" s="883">
        <v>0</v>
      </c>
      <c r="P72" s="883">
        <v>26.09</v>
      </c>
      <c r="Q72" s="883">
        <v>15</v>
      </c>
      <c r="R72" s="883">
        <f t="shared" si="16"/>
        <v>3.91</v>
      </c>
      <c r="S72" s="883">
        <v>0</v>
      </c>
      <c r="T72" s="883">
        <v>5</v>
      </c>
      <c r="U72" s="883">
        <f t="shared" si="17"/>
        <v>0</v>
      </c>
      <c r="V72" s="883">
        <v>0</v>
      </c>
      <c r="W72" s="883">
        <v>8</v>
      </c>
      <c r="X72" s="883">
        <f t="shared" si="18"/>
        <v>0</v>
      </c>
      <c r="Y72" s="883">
        <v>0</v>
      </c>
      <c r="Z72" s="883">
        <v>0</v>
      </c>
      <c r="AA72" s="883">
        <v>0</v>
      </c>
      <c r="AB72" s="883">
        <f t="shared" si="19"/>
        <v>30</v>
      </c>
      <c r="AC72" s="883">
        <v>0</v>
      </c>
      <c r="AD72" s="881"/>
      <c r="AE72" s="880"/>
      <c r="AF72" s="883"/>
      <c r="AG72" s="889"/>
      <c r="AH72" s="880"/>
      <c r="AI72" s="880" t="s">
        <v>1241</v>
      </c>
      <c r="AJ72" s="884">
        <v>411</v>
      </c>
      <c r="AK72" s="883">
        <f t="shared" si="20"/>
        <v>26.09</v>
      </c>
      <c r="AL72" s="884">
        <v>413</v>
      </c>
      <c r="AM72" s="883">
        <f t="shared" si="21"/>
        <v>0</v>
      </c>
      <c r="AN72" s="884">
        <v>441</v>
      </c>
      <c r="AO72" s="883">
        <f t="shared" si="22"/>
        <v>0</v>
      </c>
      <c r="AP72" s="881"/>
      <c r="AQ72" s="881"/>
      <c r="AR72" s="883">
        <v>0</v>
      </c>
      <c r="AS72" s="883">
        <v>0</v>
      </c>
      <c r="AT72" s="883">
        <v>0</v>
      </c>
      <c r="AU72" s="880"/>
      <c r="AV72" s="886"/>
      <c r="AW72" s="880"/>
      <c r="AX72" s="886"/>
      <c r="AY72" s="880"/>
      <c r="AZ72" s="880"/>
      <c r="BA72" s="881"/>
      <c r="BB72" s="881" t="s">
        <v>57</v>
      </c>
      <c r="BC72" s="881"/>
      <c r="BD72" s="881"/>
      <c r="BE72" s="884">
        <f t="shared" si="23"/>
        <v>4</v>
      </c>
      <c r="BF72" s="887" t="str">
        <f t="shared" si="24"/>
        <v>SI</v>
      </c>
      <c r="BG72" s="883">
        <f t="shared" si="25"/>
        <v>26.09</v>
      </c>
      <c r="BH72" s="883">
        <f t="shared" si="26"/>
        <v>0</v>
      </c>
      <c r="BI72" s="883">
        <f t="shared" si="27"/>
        <v>0</v>
      </c>
      <c r="BJ72" s="883">
        <f t="shared" si="28"/>
        <v>0</v>
      </c>
      <c r="BK72" s="883">
        <f t="shared" si="29"/>
        <v>0</v>
      </c>
      <c r="BL72" s="883">
        <f t="shared" si="30"/>
        <v>3.91</v>
      </c>
      <c r="BM72" s="881"/>
      <c r="BN72" s="880"/>
      <c r="BO72" s="882" t="s">
        <v>1579</v>
      </c>
      <c r="BP72" s="882" t="s">
        <v>2286</v>
      </c>
      <c r="BQ72" s="882" t="s">
        <v>2285</v>
      </c>
      <c r="BR72" s="880"/>
      <c r="BS72" s="880"/>
      <c r="BT72" s="880"/>
      <c r="BU72" s="880"/>
      <c r="BV72" s="880"/>
      <c r="BW72" s="883">
        <v>0</v>
      </c>
      <c r="BX72" s="883">
        <v>0</v>
      </c>
      <c r="BY72" s="883">
        <v>0</v>
      </c>
      <c r="BZ72" s="890"/>
      <c r="CA72" s="883">
        <f t="shared" si="31"/>
        <v>0</v>
      </c>
      <c r="CB72" s="880"/>
      <c r="CC72" s="881"/>
      <c r="CD72" s="883"/>
      <c r="CE72" s="883"/>
      <c r="CF72" s="883"/>
      <c r="CG72" s="883"/>
      <c r="CH72" s="883"/>
      <c r="CI72" s="883"/>
      <c r="CJ72" s="883"/>
      <c r="CK72" s="883"/>
      <c r="CL72" s="883"/>
      <c r="CM72" s="883"/>
      <c r="CN72" s="883"/>
      <c r="CO72" s="883"/>
      <c r="CP72" s="883"/>
      <c r="CQ72" s="883"/>
      <c r="CR72" s="883"/>
      <c r="CS72" s="883"/>
      <c r="CT72" s="883"/>
      <c r="CU72" s="883"/>
    </row>
    <row r="73" spans="1:99" x14ac:dyDescent="0.25">
      <c r="A73" s="880" t="s">
        <v>1787</v>
      </c>
      <c r="B73" s="881" t="s">
        <v>1788</v>
      </c>
      <c r="C73" s="880" t="s">
        <v>2707</v>
      </c>
      <c r="D73" s="880"/>
      <c r="E73" s="884" t="s">
        <v>744</v>
      </c>
      <c r="F73" s="888">
        <v>1</v>
      </c>
      <c r="G73" s="881" t="s">
        <v>1007</v>
      </c>
      <c r="H73" s="881" t="s">
        <v>19</v>
      </c>
      <c r="I73" s="865">
        <v>46142</v>
      </c>
      <c r="J73" s="882" t="s">
        <v>8</v>
      </c>
      <c r="K73" s="880"/>
      <c r="L73" s="880"/>
      <c r="M73" s="883">
        <v>0</v>
      </c>
      <c r="N73" s="883">
        <v>0</v>
      </c>
      <c r="O73" s="883">
        <v>0</v>
      </c>
      <c r="P73" s="883">
        <v>22.32</v>
      </c>
      <c r="Q73" s="883">
        <v>15</v>
      </c>
      <c r="R73" s="883">
        <f t="shared" si="16"/>
        <v>3.35</v>
      </c>
      <c r="S73" s="883">
        <v>0</v>
      </c>
      <c r="T73" s="883">
        <v>5</v>
      </c>
      <c r="U73" s="883">
        <f t="shared" si="17"/>
        <v>0</v>
      </c>
      <c r="V73" s="883">
        <v>0</v>
      </c>
      <c r="W73" s="883">
        <v>8</v>
      </c>
      <c r="X73" s="883">
        <f t="shared" si="18"/>
        <v>0</v>
      </c>
      <c r="Y73" s="883">
        <v>0</v>
      </c>
      <c r="Z73" s="883">
        <v>0</v>
      </c>
      <c r="AA73" s="883">
        <v>0</v>
      </c>
      <c r="AB73" s="883">
        <f t="shared" si="19"/>
        <v>25.67</v>
      </c>
      <c r="AC73" s="883">
        <v>0</v>
      </c>
      <c r="AD73" s="881"/>
      <c r="AE73" s="880"/>
      <c r="AF73" s="883"/>
      <c r="AG73" s="889"/>
      <c r="AH73" s="880"/>
      <c r="AI73" s="880" t="s">
        <v>1241</v>
      </c>
      <c r="AJ73" s="884">
        <v>411</v>
      </c>
      <c r="AK73" s="883">
        <f t="shared" si="20"/>
        <v>22.32</v>
      </c>
      <c r="AL73" s="884">
        <v>413</v>
      </c>
      <c r="AM73" s="883">
        <f t="shared" si="21"/>
        <v>0</v>
      </c>
      <c r="AN73" s="884">
        <v>441</v>
      </c>
      <c r="AO73" s="883">
        <f t="shared" si="22"/>
        <v>0</v>
      </c>
      <c r="AP73" s="881"/>
      <c r="AQ73" s="881"/>
      <c r="AR73" s="883">
        <v>0</v>
      </c>
      <c r="AS73" s="883">
        <v>0</v>
      </c>
      <c r="AT73" s="883">
        <v>0</v>
      </c>
      <c r="AU73" s="880"/>
      <c r="AV73" s="886"/>
      <c r="AW73" s="880"/>
      <c r="AX73" s="886"/>
      <c r="AY73" s="880"/>
      <c r="AZ73" s="880"/>
      <c r="BA73" s="881"/>
      <c r="BB73" s="881" t="s">
        <v>57</v>
      </c>
      <c r="BC73" s="881"/>
      <c r="BD73" s="881"/>
      <c r="BE73" s="884">
        <f t="shared" si="23"/>
        <v>4</v>
      </c>
      <c r="BF73" s="887" t="str">
        <f t="shared" si="24"/>
        <v>SI</v>
      </c>
      <c r="BG73" s="883">
        <f t="shared" si="25"/>
        <v>22.32</v>
      </c>
      <c r="BH73" s="883">
        <f t="shared" si="26"/>
        <v>0</v>
      </c>
      <c r="BI73" s="883">
        <f t="shared" si="27"/>
        <v>0</v>
      </c>
      <c r="BJ73" s="883">
        <f t="shared" si="28"/>
        <v>0</v>
      </c>
      <c r="BK73" s="883">
        <f t="shared" si="29"/>
        <v>0</v>
      </c>
      <c r="BL73" s="883">
        <f t="shared" si="30"/>
        <v>3.35</v>
      </c>
      <c r="BM73" s="881"/>
      <c r="BN73" s="880"/>
      <c r="BO73" s="882" t="s">
        <v>1579</v>
      </c>
      <c r="BP73" s="882" t="s">
        <v>2286</v>
      </c>
      <c r="BQ73" s="882" t="s">
        <v>2285</v>
      </c>
      <c r="BR73" s="880"/>
      <c r="BS73" s="880"/>
      <c r="BT73" s="880"/>
      <c r="BU73" s="880"/>
      <c r="BV73" s="880"/>
      <c r="BW73" s="883">
        <v>0</v>
      </c>
      <c r="BX73" s="883">
        <v>0</v>
      </c>
      <c r="BY73" s="883">
        <v>0</v>
      </c>
      <c r="BZ73" s="890"/>
      <c r="CA73" s="883">
        <f t="shared" si="31"/>
        <v>0</v>
      </c>
      <c r="CB73" s="880"/>
      <c r="CC73" s="881"/>
      <c r="CD73" s="883"/>
      <c r="CE73" s="883"/>
      <c r="CF73" s="883"/>
      <c r="CG73" s="883"/>
      <c r="CH73" s="883"/>
      <c r="CI73" s="883"/>
      <c r="CJ73" s="883"/>
      <c r="CK73" s="883"/>
      <c r="CL73" s="883"/>
      <c r="CM73" s="883"/>
      <c r="CN73" s="883"/>
      <c r="CO73" s="883"/>
      <c r="CP73" s="883"/>
      <c r="CQ73" s="883"/>
      <c r="CR73" s="883"/>
      <c r="CS73" s="883"/>
      <c r="CT73" s="883"/>
      <c r="CU73" s="883"/>
    </row>
    <row r="74" spans="1:99" x14ac:dyDescent="0.25">
      <c r="A74" s="880" t="s">
        <v>1787</v>
      </c>
      <c r="B74" s="881" t="s">
        <v>1788</v>
      </c>
      <c r="C74" s="880" t="s">
        <v>2708</v>
      </c>
      <c r="D74" s="880"/>
      <c r="E74" s="884" t="s">
        <v>744</v>
      </c>
      <c r="F74" s="888">
        <v>1</v>
      </c>
      <c r="G74" s="881" t="s">
        <v>1007</v>
      </c>
      <c r="H74" s="881" t="s">
        <v>19</v>
      </c>
      <c r="I74" s="865">
        <v>46142</v>
      </c>
      <c r="J74" s="882" t="s">
        <v>8</v>
      </c>
      <c r="K74" s="880"/>
      <c r="L74" s="880"/>
      <c r="M74" s="883">
        <v>0</v>
      </c>
      <c r="N74" s="883">
        <v>0</v>
      </c>
      <c r="O74" s="883">
        <v>0</v>
      </c>
      <c r="P74" s="883">
        <v>29.22</v>
      </c>
      <c r="Q74" s="883">
        <v>15</v>
      </c>
      <c r="R74" s="883">
        <f t="shared" si="16"/>
        <v>4.38</v>
      </c>
      <c r="S74" s="883">
        <v>0</v>
      </c>
      <c r="T74" s="883">
        <v>5</v>
      </c>
      <c r="U74" s="883">
        <f t="shared" si="17"/>
        <v>0</v>
      </c>
      <c r="V74" s="883">
        <v>0</v>
      </c>
      <c r="W74" s="883">
        <v>8</v>
      </c>
      <c r="X74" s="883">
        <f t="shared" si="18"/>
        <v>0</v>
      </c>
      <c r="Y74" s="883">
        <v>0</v>
      </c>
      <c r="Z74" s="883">
        <v>0</v>
      </c>
      <c r="AA74" s="883">
        <v>0</v>
      </c>
      <c r="AB74" s="883">
        <f t="shared" si="19"/>
        <v>33.6</v>
      </c>
      <c r="AC74" s="883">
        <v>0</v>
      </c>
      <c r="AD74" s="881"/>
      <c r="AE74" s="880"/>
      <c r="AF74" s="883"/>
      <c r="AG74" s="889"/>
      <c r="AH74" s="880"/>
      <c r="AI74" s="880" t="s">
        <v>1241</v>
      </c>
      <c r="AJ74" s="884">
        <v>411</v>
      </c>
      <c r="AK74" s="883">
        <f t="shared" si="20"/>
        <v>29.22</v>
      </c>
      <c r="AL74" s="884">
        <v>413</v>
      </c>
      <c r="AM74" s="883">
        <f t="shared" si="21"/>
        <v>0</v>
      </c>
      <c r="AN74" s="884">
        <v>441</v>
      </c>
      <c r="AO74" s="883">
        <f t="shared" si="22"/>
        <v>0</v>
      </c>
      <c r="AP74" s="881"/>
      <c r="AQ74" s="881"/>
      <c r="AR74" s="883">
        <v>0</v>
      </c>
      <c r="AS74" s="883">
        <v>0</v>
      </c>
      <c r="AT74" s="883">
        <v>0</v>
      </c>
      <c r="AU74" s="880"/>
      <c r="AV74" s="886"/>
      <c r="AW74" s="880"/>
      <c r="AX74" s="886"/>
      <c r="AY74" s="880"/>
      <c r="AZ74" s="880"/>
      <c r="BA74" s="881"/>
      <c r="BB74" s="881" t="s">
        <v>57</v>
      </c>
      <c r="BC74" s="881"/>
      <c r="BD74" s="881"/>
      <c r="BE74" s="884">
        <f t="shared" si="23"/>
        <v>4</v>
      </c>
      <c r="BF74" s="887" t="str">
        <f t="shared" si="24"/>
        <v>SI</v>
      </c>
      <c r="BG74" s="883">
        <f t="shared" si="25"/>
        <v>29.22</v>
      </c>
      <c r="BH74" s="883">
        <f t="shared" si="26"/>
        <v>0</v>
      </c>
      <c r="BI74" s="883">
        <f t="shared" si="27"/>
        <v>0</v>
      </c>
      <c r="BJ74" s="883">
        <f t="shared" si="28"/>
        <v>0</v>
      </c>
      <c r="BK74" s="883">
        <f t="shared" si="29"/>
        <v>0</v>
      </c>
      <c r="BL74" s="883">
        <f t="shared" si="30"/>
        <v>4.38</v>
      </c>
      <c r="BM74" s="881"/>
      <c r="BN74" s="880"/>
      <c r="BO74" s="882" t="s">
        <v>1579</v>
      </c>
      <c r="BP74" s="882" t="s">
        <v>2286</v>
      </c>
      <c r="BQ74" s="882" t="s">
        <v>2285</v>
      </c>
      <c r="BR74" s="880"/>
      <c r="BS74" s="880"/>
      <c r="BT74" s="880"/>
      <c r="BU74" s="880"/>
      <c r="BV74" s="880"/>
      <c r="BW74" s="883">
        <v>0</v>
      </c>
      <c r="BX74" s="883">
        <v>0</v>
      </c>
      <c r="BY74" s="883">
        <v>0</v>
      </c>
      <c r="BZ74" s="890"/>
      <c r="CA74" s="883">
        <f t="shared" si="31"/>
        <v>0</v>
      </c>
      <c r="CB74" s="880"/>
      <c r="CC74" s="881"/>
      <c r="CD74" s="883"/>
      <c r="CE74" s="883"/>
      <c r="CF74" s="883"/>
      <c r="CG74" s="883"/>
      <c r="CH74" s="883"/>
      <c r="CI74" s="883"/>
      <c r="CJ74" s="883"/>
      <c r="CK74" s="883"/>
      <c r="CL74" s="883"/>
      <c r="CM74" s="883"/>
      <c r="CN74" s="883"/>
      <c r="CO74" s="883"/>
      <c r="CP74" s="883"/>
      <c r="CQ74" s="883"/>
      <c r="CR74" s="883"/>
      <c r="CS74" s="883"/>
      <c r="CT74" s="883"/>
      <c r="CU74" s="883"/>
    </row>
    <row r="75" spans="1:99" x14ac:dyDescent="0.25">
      <c r="A75" s="880" t="s">
        <v>1787</v>
      </c>
      <c r="B75" s="881" t="s">
        <v>1788</v>
      </c>
      <c r="C75" s="880" t="s">
        <v>2709</v>
      </c>
      <c r="D75" s="880"/>
      <c r="E75" s="884" t="s">
        <v>744</v>
      </c>
      <c r="F75" s="888">
        <v>1</v>
      </c>
      <c r="G75" s="881" t="s">
        <v>1007</v>
      </c>
      <c r="H75" s="881" t="s">
        <v>19</v>
      </c>
      <c r="I75" s="865">
        <v>46142</v>
      </c>
      <c r="J75" s="882" t="s">
        <v>8</v>
      </c>
      <c r="K75" s="880"/>
      <c r="L75" s="880"/>
      <c r="M75" s="883">
        <v>0</v>
      </c>
      <c r="N75" s="883">
        <v>0</v>
      </c>
      <c r="O75" s="883">
        <v>0</v>
      </c>
      <c r="P75" s="883">
        <v>8.93</v>
      </c>
      <c r="Q75" s="883">
        <v>15</v>
      </c>
      <c r="R75" s="883">
        <f t="shared" ref="R75:R138" si="32">ROUND(P75*Q75%,2)</f>
        <v>1.34</v>
      </c>
      <c r="S75" s="883">
        <v>0</v>
      </c>
      <c r="T75" s="883">
        <v>5</v>
      </c>
      <c r="U75" s="883">
        <f t="shared" ref="U75:U138" si="33">ROUND(S75*T75%,2)</f>
        <v>0</v>
      </c>
      <c r="V75" s="883">
        <v>0</v>
      </c>
      <c r="W75" s="883">
        <v>8</v>
      </c>
      <c r="X75" s="883">
        <f t="shared" ref="X75:X138" si="34">ROUND(V75*W75%,2)</f>
        <v>0</v>
      </c>
      <c r="Y75" s="883">
        <v>0</v>
      </c>
      <c r="Z75" s="883">
        <v>0</v>
      </c>
      <c r="AA75" s="883">
        <v>0</v>
      </c>
      <c r="AB75" s="883">
        <f t="shared" ref="AB75:AB138" si="35">ROUND(SUM(M75:P75)+SUM(R75:S75)+SUM(U75:V75)+SUM(X75:AA75),2)</f>
        <v>10.27</v>
      </c>
      <c r="AC75" s="883">
        <v>0</v>
      </c>
      <c r="AD75" s="881"/>
      <c r="AE75" s="880"/>
      <c r="AF75" s="883"/>
      <c r="AG75" s="889"/>
      <c r="AH75" s="880"/>
      <c r="AI75" s="880" t="s">
        <v>1241</v>
      </c>
      <c r="AJ75" s="884">
        <v>411</v>
      </c>
      <c r="AK75" s="883">
        <f t="shared" ref="AK75:AK138" si="36">IF(OR(AJ75=441,AJ75=444,AJ75=417,AJ75=418),IF(AJ75=441,SUM($M75:$N75)+SUM($Y75:$AA75),SUM($M75:$P75)+$S75+$V75),IF(AND(AJ75&gt;412,AJ75&lt;417),$O75,IF(OR(AJ75=411,AJ75=412),$P75,IF(AJ75=420,$V75,IF(AJ75=435,$S75,0)))))</f>
        <v>8.93</v>
      </c>
      <c r="AL75" s="884">
        <v>413</v>
      </c>
      <c r="AM75" s="883">
        <f t="shared" ref="AM75:AM138" si="37">IF(OR(AL75=441,AL75=444,AL75=417,AL75=418),IF(AL75=441,SUM($M75:$N75)+SUM($Y75:$AA75),SUM($M75:$P75)+$S75+$V75),IF(AND(AL75&gt;412,AL75&lt;417),$O75,IF(OR(AL75=411,AL75=412),$P75,IF(AL75=420,$V75,IF(AL75=435,$S75,0)))))</f>
        <v>0</v>
      </c>
      <c r="AN75" s="884">
        <v>441</v>
      </c>
      <c r="AO75" s="883">
        <f t="shared" ref="AO75:AO138" si="38">IF(OR(AN75=441,AN75=444,AN75=417,AN75=418),IF(AN75=441,SUM($M75:$N75)+SUM($Y75:$AA75),SUM($M75:$P75)+$S75+$V75),IF(AND(AN75&gt;412,AN75&lt;417),$O75,IF(OR(AN75=411,AN75=412),$P75,IF(AN75=420,$V75,IF(AN75=435,$S75,0)))))</f>
        <v>0</v>
      </c>
      <c r="AP75" s="881"/>
      <c r="AQ75" s="881"/>
      <c r="AR75" s="883">
        <v>0</v>
      </c>
      <c r="AS75" s="883">
        <v>0</v>
      </c>
      <c r="AT75" s="883">
        <v>0</v>
      </c>
      <c r="AU75" s="880"/>
      <c r="AV75" s="886"/>
      <c r="AW75" s="880"/>
      <c r="AX75" s="886"/>
      <c r="AY75" s="880"/>
      <c r="AZ75" s="880"/>
      <c r="BA75" s="881"/>
      <c r="BB75" s="881" t="s">
        <v>57</v>
      </c>
      <c r="BC75" s="881"/>
      <c r="BD75" s="881"/>
      <c r="BE75" s="884">
        <f t="shared" ref="BE75:BE138" si="39">IF(ISNUMBER(I75),MONTH(I75),0)</f>
        <v>4</v>
      </c>
      <c r="BF75" s="887" t="str">
        <f t="shared" ref="BF75:BF138" si="40">IF(ISNUMBER(I75),IF(ISERROR(HLOOKUP(MONTH(I75),meses_104,1,0)),"NO","SI"),"NO")</f>
        <v>SI</v>
      </c>
      <c r="BG75" s="883">
        <f t="shared" ref="BG75:BG138" si="41">IF(ISBLANK(H75),0,IF(OR((VALUE(LEFT(H75,2))=4),((LEFT(H75,3))="372")),0,AK75))</f>
        <v>8.93</v>
      </c>
      <c r="BH75" s="883">
        <f t="shared" ref="BH75:BH138" si="42">IF(ISBLANK(H75),0,IF(OR((VALUE(LEFT(H75,2))=4),((LEFT(H75,3))="372")),0,AM75))</f>
        <v>0</v>
      </c>
      <c r="BI75" s="883">
        <f t="shared" ref="BI75:BI138" si="43">IF(ISBLANK(H75),0,IF(OR((VALUE(LEFT(H75,2))=4),((LEFT(H75,3))="372")),0,AO75))</f>
        <v>0</v>
      </c>
      <c r="BJ75" s="883">
        <f t="shared" ref="BJ75:BJ138" si="44">SUM(M75:O75)+SUM(Y75:AA75)</f>
        <v>0</v>
      </c>
      <c r="BK75" s="883">
        <f t="shared" ref="BK75:BK138" si="45">ROUND((IF(AJ75=444,(R75+U75+X75),0)+IF(AL75=444,(R75+U75+X75),0)+IF(AN75=444,(R75+U75+X75),0)),2)</f>
        <v>0</v>
      </c>
      <c r="BL75" s="883">
        <f t="shared" ref="BL75:BL138" si="46">R75+U75+X75-BK75</f>
        <v>1.34</v>
      </c>
      <c r="BM75" s="881"/>
      <c r="BN75" s="880"/>
      <c r="BO75" s="882" t="s">
        <v>1579</v>
      </c>
      <c r="BP75" s="882" t="s">
        <v>2286</v>
      </c>
      <c r="BQ75" s="882" t="s">
        <v>2285</v>
      </c>
      <c r="BR75" s="880"/>
      <c r="BS75" s="880"/>
      <c r="BT75" s="880"/>
      <c r="BU75" s="880"/>
      <c r="BV75" s="880"/>
      <c r="BW75" s="883">
        <v>0</v>
      </c>
      <c r="BX75" s="883">
        <v>0</v>
      </c>
      <c r="BY75" s="883">
        <v>0</v>
      </c>
      <c r="BZ75" s="890"/>
      <c r="CA75" s="883">
        <f t="shared" ref="CA75:CA138" si="47">ROUND((IF(OR(AJ75=413,AJ75=414),AK75,0)+IF(OR(AL75=413,AL75=414),AM75,0)+IF(OR(AN75=413,AN75=414),AO75,0)),2)</f>
        <v>0</v>
      </c>
      <c r="CB75" s="880"/>
      <c r="CC75" s="881"/>
      <c r="CD75" s="883"/>
      <c r="CE75" s="883"/>
      <c r="CF75" s="883"/>
      <c r="CG75" s="883"/>
      <c r="CH75" s="883"/>
      <c r="CI75" s="883"/>
      <c r="CJ75" s="883"/>
      <c r="CK75" s="883"/>
      <c r="CL75" s="883"/>
      <c r="CM75" s="883"/>
      <c r="CN75" s="883"/>
      <c r="CO75" s="883"/>
      <c r="CP75" s="883"/>
      <c r="CQ75" s="883"/>
      <c r="CR75" s="883"/>
      <c r="CS75" s="883"/>
      <c r="CT75" s="883"/>
      <c r="CU75" s="883"/>
    </row>
    <row r="76" spans="1:99" x14ac:dyDescent="0.25">
      <c r="A76" s="880" t="s">
        <v>1787</v>
      </c>
      <c r="B76" s="881" t="s">
        <v>1788</v>
      </c>
      <c r="C76" s="880" t="s">
        <v>2710</v>
      </c>
      <c r="D76" s="880"/>
      <c r="E76" s="884" t="s">
        <v>744</v>
      </c>
      <c r="F76" s="888">
        <v>1</v>
      </c>
      <c r="G76" s="881" t="s">
        <v>1007</v>
      </c>
      <c r="H76" s="881" t="s">
        <v>19</v>
      </c>
      <c r="I76" s="865">
        <v>46142</v>
      </c>
      <c r="J76" s="882" t="s">
        <v>8</v>
      </c>
      <c r="K76" s="880"/>
      <c r="L76" s="880"/>
      <c r="M76" s="883">
        <v>0</v>
      </c>
      <c r="N76" s="883">
        <v>0</v>
      </c>
      <c r="O76" s="883">
        <v>0</v>
      </c>
      <c r="P76" s="883">
        <v>21.73</v>
      </c>
      <c r="Q76" s="883">
        <v>15</v>
      </c>
      <c r="R76" s="883">
        <f t="shared" si="32"/>
        <v>3.26</v>
      </c>
      <c r="S76" s="883">
        <v>0</v>
      </c>
      <c r="T76" s="883">
        <v>5</v>
      </c>
      <c r="U76" s="883">
        <f t="shared" si="33"/>
        <v>0</v>
      </c>
      <c r="V76" s="883">
        <v>0</v>
      </c>
      <c r="W76" s="883">
        <v>8</v>
      </c>
      <c r="X76" s="883">
        <f t="shared" si="34"/>
        <v>0</v>
      </c>
      <c r="Y76" s="883">
        <v>0</v>
      </c>
      <c r="Z76" s="883">
        <v>0</v>
      </c>
      <c r="AA76" s="883">
        <v>0</v>
      </c>
      <c r="AB76" s="883">
        <f t="shared" si="35"/>
        <v>24.99</v>
      </c>
      <c r="AC76" s="883">
        <v>0</v>
      </c>
      <c r="AD76" s="881"/>
      <c r="AE76" s="880"/>
      <c r="AF76" s="883"/>
      <c r="AG76" s="889"/>
      <c r="AH76" s="880"/>
      <c r="AI76" s="880" t="s">
        <v>1241</v>
      </c>
      <c r="AJ76" s="884">
        <v>411</v>
      </c>
      <c r="AK76" s="883">
        <f t="shared" si="36"/>
        <v>21.73</v>
      </c>
      <c r="AL76" s="884">
        <v>413</v>
      </c>
      <c r="AM76" s="883">
        <f t="shared" si="37"/>
        <v>0</v>
      </c>
      <c r="AN76" s="884">
        <v>441</v>
      </c>
      <c r="AO76" s="883">
        <f t="shared" si="38"/>
        <v>0</v>
      </c>
      <c r="AP76" s="881"/>
      <c r="AQ76" s="881"/>
      <c r="AR76" s="883">
        <v>0</v>
      </c>
      <c r="AS76" s="883">
        <v>0</v>
      </c>
      <c r="AT76" s="883">
        <v>0</v>
      </c>
      <c r="AU76" s="880"/>
      <c r="AV76" s="886"/>
      <c r="AW76" s="880"/>
      <c r="AX76" s="886"/>
      <c r="AY76" s="880"/>
      <c r="AZ76" s="880"/>
      <c r="BA76" s="881"/>
      <c r="BB76" s="881" t="s">
        <v>57</v>
      </c>
      <c r="BC76" s="881"/>
      <c r="BD76" s="881"/>
      <c r="BE76" s="884">
        <f t="shared" si="39"/>
        <v>4</v>
      </c>
      <c r="BF76" s="887" t="str">
        <f t="shared" si="40"/>
        <v>SI</v>
      </c>
      <c r="BG76" s="883">
        <f t="shared" si="41"/>
        <v>21.73</v>
      </c>
      <c r="BH76" s="883">
        <f t="shared" si="42"/>
        <v>0</v>
      </c>
      <c r="BI76" s="883">
        <f t="shared" si="43"/>
        <v>0</v>
      </c>
      <c r="BJ76" s="883">
        <f t="shared" si="44"/>
        <v>0</v>
      </c>
      <c r="BK76" s="883">
        <f t="shared" si="45"/>
        <v>0</v>
      </c>
      <c r="BL76" s="883">
        <f t="shared" si="46"/>
        <v>3.26</v>
      </c>
      <c r="BM76" s="881"/>
      <c r="BN76" s="880"/>
      <c r="BO76" s="882" t="s">
        <v>1579</v>
      </c>
      <c r="BP76" s="882" t="s">
        <v>2286</v>
      </c>
      <c r="BQ76" s="882" t="s">
        <v>2285</v>
      </c>
      <c r="BR76" s="880"/>
      <c r="BS76" s="880"/>
      <c r="BT76" s="880"/>
      <c r="BU76" s="880"/>
      <c r="BV76" s="880"/>
      <c r="BW76" s="883">
        <v>0</v>
      </c>
      <c r="BX76" s="883">
        <v>0</v>
      </c>
      <c r="BY76" s="883">
        <v>0</v>
      </c>
      <c r="BZ76" s="890"/>
      <c r="CA76" s="883">
        <f t="shared" si="47"/>
        <v>0</v>
      </c>
      <c r="CB76" s="880"/>
      <c r="CC76" s="881"/>
      <c r="CD76" s="883"/>
      <c r="CE76" s="883"/>
      <c r="CF76" s="883"/>
      <c r="CG76" s="883"/>
      <c r="CH76" s="883"/>
      <c r="CI76" s="883"/>
      <c r="CJ76" s="883"/>
      <c r="CK76" s="883"/>
      <c r="CL76" s="883"/>
      <c r="CM76" s="883"/>
      <c r="CN76" s="883"/>
      <c r="CO76" s="883"/>
      <c r="CP76" s="883"/>
      <c r="CQ76" s="883"/>
      <c r="CR76" s="883"/>
      <c r="CS76" s="883"/>
      <c r="CT76" s="883"/>
      <c r="CU76" s="883"/>
    </row>
    <row r="77" spans="1:99" x14ac:dyDescent="0.25">
      <c r="A77" s="880" t="s">
        <v>1787</v>
      </c>
      <c r="B77" s="881" t="s">
        <v>1788</v>
      </c>
      <c r="C77" s="880" t="s">
        <v>2711</v>
      </c>
      <c r="D77" s="880"/>
      <c r="E77" s="884" t="s">
        <v>744</v>
      </c>
      <c r="F77" s="888">
        <v>1</v>
      </c>
      <c r="G77" s="881" t="s">
        <v>1007</v>
      </c>
      <c r="H77" s="881" t="s">
        <v>19</v>
      </c>
      <c r="I77" s="865">
        <v>46142</v>
      </c>
      <c r="J77" s="882" t="s">
        <v>8</v>
      </c>
      <c r="K77" s="880"/>
      <c r="L77" s="880"/>
      <c r="M77" s="883">
        <v>0</v>
      </c>
      <c r="N77" s="883">
        <v>0</v>
      </c>
      <c r="O77" s="883">
        <v>0</v>
      </c>
      <c r="P77" s="883">
        <v>8.92</v>
      </c>
      <c r="Q77" s="883">
        <v>15</v>
      </c>
      <c r="R77" s="883">
        <f t="shared" si="32"/>
        <v>1.34</v>
      </c>
      <c r="S77" s="883">
        <v>0</v>
      </c>
      <c r="T77" s="883">
        <v>5</v>
      </c>
      <c r="U77" s="883">
        <f t="shared" si="33"/>
        <v>0</v>
      </c>
      <c r="V77" s="883">
        <v>0</v>
      </c>
      <c r="W77" s="883">
        <v>8</v>
      </c>
      <c r="X77" s="883">
        <f t="shared" si="34"/>
        <v>0</v>
      </c>
      <c r="Y77" s="883">
        <v>0</v>
      </c>
      <c r="Z77" s="883">
        <v>0</v>
      </c>
      <c r="AA77" s="883">
        <v>0</v>
      </c>
      <c r="AB77" s="883">
        <f t="shared" si="35"/>
        <v>10.26</v>
      </c>
      <c r="AC77" s="883">
        <v>0</v>
      </c>
      <c r="AD77" s="881"/>
      <c r="AE77" s="880"/>
      <c r="AF77" s="883"/>
      <c r="AG77" s="889"/>
      <c r="AH77" s="880"/>
      <c r="AI77" s="880" t="s">
        <v>1241</v>
      </c>
      <c r="AJ77" s="884">
        <v>411</v>
      </c>
      <c r="AK77" s="883">
        <f t="shared" si="36"/>
        <v>8.92</v>
      </c>
      <c r="AL77" s="884">
        <v>413</v>
      </c>
      <c r="AM77" s="883">
        <f t="shared" si="37"/>
        <v>0</v>
      </c>
      <c r="AN77" s="884">
        <v>441</v>
      </c>
      <c r="AO77" s="883">
        <f t="shared" si="38"/>
        <v>0</v>
      </c>
      <c r="AP77" s="881"/>
      <c r="AQ77" s="881"/>
      <c r="AR77" s="883">
        <v>0</v>
      </c>
      <c r="AS77" s="883">
        <v>0</v>
      </c>
      <c r="AT77" s="883">
        <v>0</v>
      </c>
      <c r="AU77" s="880"/>
      <c r="AV77" s="886"/>
      <c r="AW77" s="880"/>
      <c r="AX77" s="886"/>
      <c r="AY77" s="880"/>
      <c r="AZ77" s="880"/>
      <c r="BA77" s="881"/>
      <c r="BB77" s="881" t="s">
        <v>57</v>
      </c>
      <c r="BC77" s="881"/>
      <c r="BD77" s="881"/>
      <c r="BE77" s="884">
        <f t="shared" si="39"/>
        <v>4</v>
      </c>
      <c r="BF77" s="887" t="str">
        <f t="shared" si="40"/>
        <v>SI</v>
      </c>
      <c r="BG77" s="883">
        <f t="shared" si="41"/>
        <v>8.92</v>
      </c>
      <c r="BH77" s="883">
        <f t="shared" si="42"/>
        <v>0</v>
      </c>
      <c r="BI77" s="883">
        <f t="shared" si="43"/>
        <v>0</v>
      </c>
      <c r="BJ77" s="883">
        <f t="shared" si="44"/>
        <v>0</v>
      </c>
      <c r="BK77" s="883">
        <f t="shared" si="45"/>
        <v>0</v>
      </c>
      <c r="BL77" s="883">
        <f t="shared" si="46"/>
        <v>1.34</v>
      </c>
      <c r="BM77" s="881"/>
      <c r="BN77" s="880"/>
      <c r="BO77" s="882" t="s">
        <v>1579</v>
      </c>
      <c r="BP77" s="882" t="s">
        <v>2286</v>
      </c>
      <c r="BQ77" s="882" t="s">
        <v>2285</v>
      </c>
      <c r="BR77" s="880"/>
      <c r="BS77" s="880"/>
      <c r="BT77" s="880"/>
      <c r="BU77" s="880"/>
      <c r="BV77" s="880"/>
      <c r="BW77" s="883">
        <v>0</v>
      </c>
      <c r="BX77" s="883">
        <v>0</v>
      </c>
      <c r="BY77" s="883">
        <v>0</v>
      </c>
      <c r="BZ77" s="890"/>
      <c r="CA77" s="883">
        <f t="shared" si="47"/>
        <v>0</v>
      </c>
      <c r="CB77" s="880"/>
      <c r="CC77" s="881"/>
      <c r="CD77" s="883"/>
      <c r="CE77" s="883"/>
      <c r="CF77" s="883"/>
      <c r="CG77" s="883"/>
      <c r="CH77" s="883"/>
      <c r="CI77" s="883"/>
      <c r="CJ77" s="883"/>
      <c r="CK77" s="883"/>
      <c r="CL77" s="883"/>
      <c r="CM77" s="883"/>
      <c r="CN77" s="883"/>
      <c r="CO77" s="883"/>
      <c r="CP77" s="883"/>
      <c r="CQ77" s="883"/>
      <c r="CR77" s="883"/>
      <c r="CS77" s="883"/>
      <c r="CT77" s="883"/>
      <c r="CU77" s="883"/>
    </row>
    <row r="78" spans="1:99" x14ac:dyDescent="0.25">
      <c r="A78" s="880" t="s">
        <v>1787</v>
      </c>
      <c r="B78" s="881" t="s">
        <v>1788</v>
      </c>
      <c r="C78" s="880" t="s">
        <v>2712</v>
      </c>
      <c r="D78" s="880"/>
      <c r="E78" s="884" t="s">
        <v>744</v>
      </c>
      <c r="F78" s="888">
        <v>1</v>
      </c>
      <c r="G78" s="881" t="s">
        <v>1007</v>
      </c>
      <c r="H78" s="881" t="s">
        <v>19</v>
      </c>
      <c r="I78" s="865">
        <v>46142</v>
      </c>
      <c r="J78" s="882" t="s">
        <v>8</v>
      </c>
      <c r="K78" s="880"/>
      <c r="L78" s="880"/>
      <c r="M78" s="883">
        <v>0</v>
      </c>
      <c r="N78" s="883">
        <v>0</v>
      </c>
      <c r="O78" s="883">
        <v>0</v>
      </c>
      <c r="P78" s="883">
        <v>21.73</v>
      </c>
      <c r="Q78" s="883">
        <v>15</v>
      </c>
      <c r="R78" s="883">
        <f t="shared" si="32"/>
        <v>3.26</v>
      </c>
      <c r="S78" s="883">
        <v>0</v>
      </c>
      <c r="T78" s="883">
        <v>5</v>
      </c>
      <c r="U78" s="883">
        <f t="shared" si="33"/>
        <v>0</v>
      </c>
      <c r="V78" s="883">
        <v>0</v>
      </c>
      <c r="W78" s="883">
        <v>8</v>
      </c>
      <c r="X78" s="883">
        <f t="shared" si="34"/>
        <v>0</v>
      </c>
      <c r="Y78" s="883">
        <v>0</v>
      </c>
      <c r="Z78" s="883">
        <v>0</v>
      </c>
      <c r="AA78" s="883">
        <v>0</v>
      </c>
      <c r="AB78" s="883">
        <f t="shared" si="35"/>
        <v>24.99</v>
      </c>
      <c r="AC78" s="883">
        <v>0</v>
      </c>
      <c r="AD78" s="881"/>
      <c r="AE78" s="880"/>
      <c r="AF78" s="883"/>
      <c r="AG78" s="889"/>
      <c r="AH78" s="880"/>
      <c r="AI78" s="880" t="s">
        <v>1241</v>
      </c>
      <c r="AJ78" s="884">
        <v>411</v>
      </c>
      <c r="AK78" s="883">
        <f t="shared" si="36"/>
        <v>21.73</v>
      </c>
      <c r="AL78" s="884">
        <v>413</v>
      </c>
      <c r="AM78" s="883">
        <f t="shared" si="37"/>
        <v>0</v>
      </c>
      <c r="AN78" s="884">
        <v>441</v>
      </c>
      <c r="AO78" s="883">
        <f t="shared" si="38"/>
        <v>0</v>
      </c>
      <c r="AP78" s="881"/>
      <c r="AQ78" s="881"/>
      <c r="AR78" s="883">
        <v>0</v>
      </c>
      <c r="AS78" s="883">
        <v>0</v>
      </c>
      <c r="AT78" s="883">
        <v>0</v>
      </c>
      <c r="AU78" s="880"/>
      <c r="AV78" s="886"/>
      <c r="AW78" s="880"/>
      <c r="AX78" s="886"/>
      <c r="AY78" s="880"/>
      <c r="AZ78" s="880"/>
      <c r="BA78" s="881"/>
      <c r="BB78" s="881" t="s">
        <v>57</v>
      </c>
      <c r="BC78" s="881"/>
      <c r="BD78" s="881"/>
      <c r="BE78" s="884">
        <f t="shared" si="39"/>
        <v>4</v>
      </c>
      <c r="BF78" s="887" t="str">
        <f t="shared" si="40"/>
        <v>SI</v>
      </c>
      <c r="BG78" s="883">
        <f t="shared" si="41"/>
        <v>21.73</v>
      </c>
      <c r="BH78" s="883">
        <f t="shared" si="42"/>
        <v>0</v>
      </c>
      <c r="BI78" s="883">
        <f t="shared" si="43"/>
        <v>0</v>
      </c>
      <c r="BJ78" s="883">
        <f t="shared" si="44"/>
        <v>0</v>
      </c>
      <c r="BK78" s="883">
        <f t="shared" si="45"/>
        <v>0</v>
      </c>
      <c r="BL78" s="883">
        <f t="shared" si="46"/>
        <v>3.26</v>
      </c>
      <c r="BM78" s="881"/>
      <c r="BN78" s="880"/>
      <c r="BO78" s="882" t="s">
        <v>1579</v>
      </c>
      <c r="BP78" s="882" t="s">
        <v>2286</v>
      </c>
      <c r="BQ78" s="882" t="s">
        <v>2285</v>
      </c>
      <c r="BR78" s="880"/>
      <c r="BS78" s="880"/>
      <c r="BT78" s="880"/>
      <c r="BU78" s="880"/>
      <c r="BV78" s="880"/>
      <c r="BW78" s="883">
        <v>0</v>
      </c>
      <c r="BX78" s="883">
        <v>0</v>
      </c>
      <c r="BY78" s="883">
        <v>0</v>
      </c>
      <c r="BZ78" s="890"/>
      <c r="CA78" s="883">
        <f t="shared" si="47"/>
        <v>0</v>
      </c>
      <c r="CB78" s="880"/>
      <c r="CC78" s="881"/>
      <c r="CD78" s="883"/>
      <c r="CE78" s="883"/>
      <c r="CF78" s="883"/>
      <c r="CG78" s="883"/>
      <c r="CH78" s="883"/>
      <c r="CI78" s="883"/>
      <c r="CJ78" s="883"/>
      <c r="CK78" s="883"/>
      <c r="CL78" s="883"/>
      <c r="CM78" s="883"/>
      <c r="CN78" s="883"/>
      <c r="CO78" s="883"/>
      <c r="CP78" s="883"/>
      <c r="CQ78" s="883"/>
      <c r="CR78" s="883"/>
      <c r="CS78" s="883"/>
      <c r="CT78" s="883"/>
      <c r="CU78" s="883"/>
    </row>
    <row r="79" spans="1:99" x14ac:dyDescent="0.25">
      <c r="A79" s="880" t="s">
        <v>1787</v>
      </c>
      <c r="B79" s="881" t="s">
        <v>1788</v>
      </c>
      <c r="C79" s="880" t="s">
        <v>2713</v>
      </c>
      <c r="D79" s="880"/>
      <c r="E79" s="884" t="s">
        <v>744</v>
      </c>
      <c r="F79" s="888">
        <v>1</v>
      </c>
      <c r="G79" s="881" t="s">
        <v>1007</v>
      </c>
      <c r="H79" s="881" t="s">
        <v>19</v>
      </c>
      <c r="I79" s="865">
        <v>46142</v>
      </c>
      <c r="J79" s="882" t="s">
        <v>8</v>
      </c>
      <c r="K79" s="880"/>
      <c r="L79" s="880"/>
      <c r="M79" s="883">
        <v>0</v>
      </c>
      <c r="N79" s="883">
        <v>0</v>
      </c>
      <c r="O79" s="883">
        <v>0</v>
      </c>
      <c r="P79" s="883">
        <v>22.32</v>
      </c>
      <c r="Q79" s="883">
        <v>15</v>
      </c>
      <c r="R79" s="883">
        <f t="shared" si="32"/>
        <v>3.35</v>
      </c>
      <c r="S79" s="883">
        <v>0</v>
      </c>
      <c r="T79" s="883">
        <v>5</v>
      </c>
      <c r="U79" s="883">
        <f t="shared" si="33"/>
        <v>0</v>
      </c>
      <c r="V79" s="883">
        <v>0</v>
      </c>
      <c r="W79" s="883">
        <v>8</v>
      </c>
      <c r="X79" s="883">
        <f t="shared" si="34"/>
        <v>0</v>
      </c>
      <c r="Y79" s="883">
        <v>0</v>
      </c>
      <c r="Z79" s="883">
        <v>0</v>
      </c>
      <c r="AA79" s="883">
        <v>0</v>
      </c>
      <c r="AB79" s="883">
        <f t="shared" si="35"/>
        <v>25.67</v>
      </c>
      <c r="AC79" s="883">
        <v>0</v>
      </c>
      <c r="AD79" s="881"/>
      <c r="AE79" s="880"/>
      <c r="AF79" s="883"/>
      <c r="AG79" s="889"/>
      <c r="AH79" s="880"/>
      <c r="AI79" s="880" t="s">
        <v>1241</v>
      </c>
      <c r="AJ79" s="884">
        <v>411</v>
      </c>
      <c r="AK79" s="883">
        <f t="shared" si="36"/>
        <v>22.32</v>
      </c>
      <c r="AL79" s="884">
        <v>413</v>
      </c>
      <c r="AM79" s="883">
        <f t="shared" si="37"/>
        <v>0</v>
      </c>
      <c r="AN79" s="884">
        <v>441</v>
      </c>
      <c r="AO79" s="883">
        <f t="shared" si="38"/>
        <v>0</v>
      </c>
      <c r="AP79" s="881"/>
      <c r="AQ79" s="881"/>
      <c r="AR79" s="883">
        <v>0</v>
      </c>
      <c r="AS79" s="883">
        <v>0</v>
      </c>
      <c r="AT79" s="883">
        <v>0</v>
      </c>
      <c r="AU79" s="880"/>
      <c r="AV79" s="886"/>
      <c r="AW79" s="880"/>
      <c r="AX79" s="886"/>
      <c r="AY79" s="880"/>
      <c r="AZ79" s="880"/>
      <c r="BA79" s="881"/>
      <c r="BB79" s="881" t="s">
        <v>57</v>
      </c>
      <c r="BC79" s="881"/>
      <c r="BD79" s="881"/>
      <c r="BE79" s="884">
        <f t="shared" si="39"/>
        <v>4</v>
      </c>
      <c r="BF79" s="887" t="str">
        <f t="shared" si="40"/>
        <v>SI</v>
      </c>
      <c r="BG79" s="883">
        <f t="shared" si="41"/>
        <v>22.32</v>
      </c>
      <c r="BH79" s="883">
        <f t="shared" si="42"/>
        <v>0</v>
      </c>
      <c r="BI79" s="883">
        <f t="shared" si="43"/>
        <v>0</v>
      </c>
      <c r="BJ79" s="883">
        <f t="shared" si="44"/>
        <v>0</v>
      </c>
      <c r="BK79" s="883">
        <f t="shared" si="45"/>
        <v>0</v>
      </c>
      <c r="BL79" s="883">
        <f t="shared" si="46"/>
        <v>3.35</v>
      </c>
      <c r="BM79" s="881"/>
      <c r="BN79" s="880"/>
      <c r="BO79" s="882" t="s">
        <v>1579</v>
      </c>
      <c r="BP79" s="882" t="s">
        <v>2286</v>
      </c>
      <c r="BQ79" s="882" t="s">
        <v>2285</v>
      </c>
      <c r="BR79" s="880"/>
      <c r="BS79" s="880"/>
      <c r="BT79" s="880"/>
      <c r="BU79" s="880"/>
      <c r="BV79" s="880"/>
      <c r="BW79" s="883">
        <v>0</v>
      </c>
      <c r="BX79" s="883">
        <v>0</v>
      </c>
      <c r="BY79" s="883">
        <v>0</v>
      </c>
      <c r="BZ79" s="890"/>
      <c r="CA79" s="883">
        <f t="shared" si="47"/>
        <v>0</v>
      </c>
      <c r="CB79" s="880"/>
      <c r="CC79" s="881"/>
      <c r="CD79" s="883"/>
      <c r="CE79" s="883"/>
      <c r="CF79" s="883"/>
      <c r="CG79" s="883"/>
      <c r="CH79" s="883"/>
      <c r="CI79" s="883"/>
      <c r="CJ79" s="883"/>
      <c r="CK79" s="883"/>
      <c r="CL79" s="883"/>
      <c r="CM79" s="883"/>
      <c r="CN79" s="883"/>
      <c r="CO79" s="883"/>
      <c r="CP79" s="883"/>
      <c r="CQ79" s="883"/>
      <c r="CR79" s="883"/>
      <c r="CS79" s="883"/>
      <c r="CT79" s="883"/>
      <c r="CU79" s="883"/>
    </row>
    <row r="80" spans="1:99" x14ac:dyDescent="0.25">
      <c r="A80" s="880" t="s">
        <v>1787</v>
      </c>
      <c r="B80" s="881" t="s">
        <v>1788</v>
      </c>
      <c r="C80" s="880" t="s">
        <v>2714</v>
      </c>
      <c r="D80" s="880"/>
      <c r="E80" s="884" t="s">
        <v>744</v>
      </c>
      <c r="F80" s="888">
        <v>1</v>
      </c>
      <c r="G80" s="881" t="s">
        <v>1007</v>
      </c>
      <c r="H80" s="881" t="s">
        <v>19</v>
      </c>
      <c r="I80" s="865">
        <v>46142</v>
      </c>
      <c r="J80" s="882" t="s">
        <v>8</v>
      </c>
      <c r="K80" s="880"/>
      <c r="L80" s="880"/>
      <c r="M80" s="883">
        <v>0</v>
      </c>
      <c r="N80" s="883">
        <v>0</v>
      </c>
      <c r="O80" s="883">
        <v>0</v>
      </c>
      <c r="P80" s="883">
        <v>22.32</v>
      </c>
      <c r="Q80" s="883">
        <v>15</v>
      </c>
      <c r="R80" s="883">
        <f t="shared" si="32"/>
        <v>3.35</v>
      </c>
      <c r="S80" s="883">
        <v>0</v>
      </c>
      <c r="T80" s="883">
        <v>5</v>
      </c>
      <c r="U80" s="883">
        <f t="shared" si="33"/>
        <v>0</v>
      </c>
      <c r="V80" s="883">
        <v>0</v>
      </c>
      <c r="W80" s="883">
        <v>8</v>
      </c>
      <c r="X80" s="883">
        <f t="shared" si="34"/>
        <v>0</v>
      </c>
      <c r="Y80" s="883">
        <v>0</v>
      </c>
      <c r="Z80" s="883">
        <v>0</v>
      </c>
      <c r="AA80" s="883">
        <v>0</v>
      </c>
      <c r="AB80" s="883">
        <f t="shared" si="35"/>
        <v>25.67</v>
      </c>
      <c r="AC80" s="883">
        <v>0</v>
      </c>
      <c r="AD80" s="881"/>
      <c r="AE80" s="880"/>
      <c r="AF80" s="883"/>
      <c r="AG80" s="889"/>
      <c r="AH80" s="880"/>
      <c r="AI80" s="880" t="s">
        <v>1241</v>
      </c>
      <c r="AJ80" s="884">
        <v>411</v>
      </c>
      <c r="AK80" s="883">
        <f t="shared" si="36"/>
        <v>22.32</v>
      </c>
      <c r="AL80" s="884">
        <v>413</v>
      </c>
      <c r="AM80" s="883">
        <f t="shared" si="37"/>
        <v>0</v>
      </c>
      <c r="AN80" s="884">
        <v>441</v>
      </c>
      <c r="AO80" s="883">
        <f t="shared" si="38"/>
        <v>0</v>
      </c>
      <c r="AP80" s="881"/>
      <c r="AQ80" s="881"/>
      <c r="AR80" s="883">
        <v>0</v>
      </c>
      <c r="AS80" s="883">
        <v>0</v>
      </c>
      <c r="AT80" s="883">
        <v>0</v>
      </c>
      <c r="AU80" s="880"/>
      <c r="AV80" s="886"/>
      <c r="AW80" s="880"/>
      <c r="AX80" s="886"/>
      <c r="AY80" s="880"/>
      <c r="AZ80" s="880"/>
      <c r="BA80" s="881"/>
      <c r="BB80" s="881" t="s">
        <v>57</v>
      </c>
      <c r="BC80" s="881"/>
      <c r="BD80" s="881"/>
      <c r="BE80" s="884">
        <f t="shared" si="39"/>
        <v>4</v>
      </c>
      <c r="BF80" s="887" t="str">
        <f t="shared" si="40"/>
        <v>SI</v>
      </c>
      <c r="BG80" s="883">
        <f t="shared" si="41"/>
        <v>22.32</v>
      </c>
      <c r="BH80" s="883">
        <f t="shared" si="42"/>
        <v>0</v>
      </c>
      <c r="BI80" s="883">
        <f t="shared" si="43"/>
        <v>0</v>
      </c>
      <c r="BJ80" s="883">
        <f t="shared" si="44"/>
        <v>0</v>
      </c>
      <c r="BK80" s="883">
        <f t="shared" si="45"/>
        <v>0</v>
      </c>
      <c r="BL80" s="883">
        <f t="shared" si="46"/>
        <v>3.35</v>
      </c>
      <c r="BM80" s="881"/>
      <c r="BN80" s="880"/>
      <c r="BO80" s="882" t="s">
        <v>1579</v>
      </c>
      <c r="BP80" s="882" t="s">
        <v>2286</v>
      </c>
      <c r="BQ80" s="882" t="s">
        <v>2285</v>
      </c>
      <c r="BR80" s="880"/>
      <c r="BS80" s="880"/>
      <c r="BT80" s="880"/>
      <c r="BU80" s="880"/>
      <c r="BV80" s="880"/>
      <c r="BW80" s="883">
        <v>0</v>
      </c>
      <c r="BX80" s="883">
        <v>0</v>
      </c>
      <c r="BY80" s="883">
        <v>0</v>
      </c>
      <c r="BZ80" s="890"/>
      <c r="CA80" s="883">
        <f t="shared" si="47"/>
        <v>0</v>
      </c>
      <c r="CB80" s="880"/>
      <c r="CC80" s="881"/>
      <c r="CD80" s="883"/>
      <c r="CE80" s="883"/>
      <c r="CF80" s="883"/>
      <c r="CG80" s="883"/>
      <c r="CH80" s="883"/>
      <c r="CI80" s="883"/>
      <c r="CJ80" s="883"/>
      <c r="CK80" s="883"/>
      <c r="CL80" s="883"/>
      <c r="CM80" s="883"/>
      <c r="CN80" s="883"/>
      <c r="CO80" s="883"/>
      <c r="CP80" s="883"/>
      <c r="CQ80" s="883"/>
      <c r="CR80" s="883"/>
      <c r="CS80" s="883"/>
      <c r="CT80" s="883"/>
      <c r="CU80" s="883"/>
    </row>
    <row r="81" spans="1:99" x14ac:dyDescent="0.25">
      <c r="A81" s="880" t="s">
        <v>1787</v>
      </c>
      <c r="B81" s="881" t="s">
        <v>1788</v>
      </c>
      <c r="C81" s="880" t="s">
        <v>2715</v>
      </c>
      <c r="D81" s="880"/>
      <c r="E81" s="884" t="s">
        <v>744</v>
      </c>
      <c r="F81" s="888">
        <v>1</v>
      </c>
      <c r="G81" s="881" t="s">
        <v>1007</v>
      </c>
      <c r="H81" s="881" t="s">
        <v>19</v>
      </c>
      <c r="I81" s="865">
        <v>46142</v>
      </c>
      <c r="J81" s="882" t="s">
        <v>8</v>
      </c>
      <c r="K81" s="880"/>
      <c r="L81" s="880"/>
      <c r="M81" s="883">
        <v>0</v>
      </c>
      <c r="N81" s="883">
        <v>0</v>
      </c>
      <c r="O81" s="883">
        <v>0</v>
      </c>
      <c r="P81" s="883">
        <v>26.09</v>
      </c>
      <c r="Q81" s="883">
        <v>15</v>
      </c>
      <c r="R81" s="883">
        <f t="shared" si="32"/>
        <v>3.91</v>
      </c>
      <c r="S81" s="883">
        <v>0</v>
      </c>
      <c r="T81" s="883">
        <v>5</v>
      </c>
      <c r="U81" s="883">
        <f t="shared" si="33"/>
        <v>0</v>
      </c>
      <c r="V81" s="883">
        <v>0</v>
      </c>
      <c r="W81" s="883">
        <v>8</v>
      </c>
      <c r="X81" s="883">
        <f t="shared" si="34"/>
        <v>0</v>
      </c>
      <c r="Y81" s="883">
        <v>0</v>
      </c>
      <c r="Z81" s="883">
        <v>0</v>
      </c>
      <c r="AA81" s="883">
        <v>0</v>
      </c>
      <c r="AB81" s="883">
        <f t="shared" si="35"/>
        <v>30</v>
      </c>
      <c r="AC81" s="883">
        <v>0</v>
      </c>
      <c r="AD81" s="881"/>
      <c r="AE81" s="880"/>
      <c r="AF81" s="883"/>
      <c r="AG81" s="889"/>
      <c r="AH81" s="880"/>
      <c r="AI81" s="880" t="s">
        <v>1241</v>
      </c>
      <c r="AJ81" s="884">
        <v>411</v>
      </c>
      <c r="AK81" s="883">
        <f t="shared" si="36"/>
        <v>26.09</v>
      </c>
      <c r="AL81" s="884">
        <v>413</v>
      </c>
      <c r="AM81" s="883">
        <f t="shared" si="37"/>
        <v>0</v>
      </c>
      <c r="AN81" s="884">
        <v>441</v>
      </c>
      <c r="AO81" s="883">
        <f t="shared" si="38"/>
        <v>0</v>
      </c>
      <c r="AP81" s="881"/>
      <c r="AQ81" s="881"/>
      <c r="AR81" s="883">
        <v>0</v>
      </c>
      <c r="AS81" s="883">
        <v>0</v>
      </c>
      <c r="AT81" s="883">
        <v>0</v>
      </c>
      <c r="AU81" s="880"/>
      <c r="AV81" s="886"/>
      <c r="AW81" s="880"/>
      <c r="AX81" s="886"/>
      <c r="AY81" s="880"/>
      <c r="AZ81" s="880"/>
      <c r="BA81" s="881"/>
      <c r="BB81" s="881" t="s">
        <v>57</v>
      </c>
      <c r="BC81" s="881"/>
      <c r="BD81" s="881"/>
      <c r="BE81" s="884">
        <f t="shared" si="39"/>
        <v>4</v>
      </c>
      <c r="BF81" s="887" t="str">
        <f t="shared" si="40"/>
        <v>SI</v>
      </c>
      <c r="BG81" s="883">
        <f t="shared" si="41"/>
        <v>26.09</v>
      </c>
      <c r="BH81" s="883">
        <f t="shared" si="42"/>
        <v>0</v>
      </c>
      <c r="BI81" s="883">
        <f t="shared" si="43"/>
        <v>0</v>
      </c>
      <c r="BJ81" s="883">
        <f t="shared" si="44"/>
        <v>0</v>
      </c>
      <c r="BK81" s="883">
        <f t="shared" si="45"/>
        <v>0</v>
      </c>
      <c r="BL81" s="883">
        <f t="shared" si="46"/>
        <v>3.91</v>
      </c>
      <c r="BM81" s="881"/>
      <c r="BN81" s="880"/>
      <c r="BO81" s="882" t="s">
        <v>1579</v>
      </c>
      <c r="BP81" s="882" t="s">
        <v>2286</v>
      </c>
      <c r="BQ81" s="882" t="s">
        <v>2285</v>
      </c>
      <c r="BR81" s="880"/>
      <c r="BS81" s="880"/>
      <c r="BT81" s="880"/>
      <c r="BU81" s="880"/>
      <c r="BV81" s="880"/>
      <c r="BW81" s="883">
        <v>0</v>
      </c>
      <c r="BX81" s="883">
        <v>0</v>
      </c>
      <c r="BY81" s="883">
        <v>0</v>
      </c>
      <c r="BZ81" s="890"/>
      <c r="CA81" s="883">
        <f t="shared" si="47"/>
        <v>0</v>
      </c>
      <c r="CB81" s="880"/>
      <c r="CC81" s="881"/>
      <c r="CD81" s="883"/>
      <c r="CE81" s="883"/>
      <c r="CF81" s="883"/>
      <c r="CG81" s="883"/>
      <c r="CH81" s="883"/>
      <c r="CI81" s="883"/>
      <c r="CJ81" s="883"/>
      <c r="CK81" s="883"/>
      <c r="CL81" s="883"/>
      <c r="CM81" s="883"/>
      <c r="CN81" s="883"/>
      <c r="CO81" s="883"/>
      <c r="CP81" s="883"/>
      <c r="CQ81" s="883"/>
      <c r="CR81" s="883"/>
      <c r="CS81" s="883"/>
      <c r="CT81" s="883"/>
      <c r="CU81" s="883"/>
    </row>
    <row r="82" spans="1:99" x14ac:dyDescent="0.25">
      <c r="A82" s="880" t="s">
        <v>1787</v>
      </c>
      <c r="B82" s="881" t="s">
        <v>1788</v>
      </c>
      <c r="C82" s="880" t="s">
        <v>2716</v>
      </c>
      <c r="D82" s="880"/>
      <c r="E82" s="884" t="s">
        <v>744</v>
      </c>
      <c r="F82" s="888">
        <v>1</v>
      </c>
      <c r="G82" s="881" t="s">
        <v>1007</v>
      </c>
      <c r="H82" s="881" t="s">
        <v>19</v>
      </c>
      <c r="I82" s="865">
        <v>46142</v>
      </c>
      <c r="J82" s="882" t="s">
        <v>8</v>
      </c>
      <c r="K82" s="880"/>
      <c r="L82" s="880"/>
      <c r="M82" s="883">
        <v>0</v>
      </c>
      <c r="N82" s="883">
        <v>0</v>
      </c>
      <c r="O82" s="883">
        <v>0</v>
      </c>
      <c r="P82" s="883">
        <v>17.86</v>
      </c>
      <c r="Q82" s="883">
        <v>15</v>
      </c>
      <c r="R82" s="883">
        <f t="shared" si="32"/>
        <v>2.68</v>
      </c>
      <c r="S82" s="883">
        <v>0</v>
      </c>
      <c r="T82" s="883">
        <v>5</v>
      </c>
      <c r="U82" s="883">
        <f t="shared" si="33"/>
        <v>0</v>
      </c>
      <c r="V82" s="883">
        <v>0</v>
      </c>
      <c r="W82" s="883">
        <v>8</v>
      </c>
      <c r="X82" s="883">
        <f t="shared" si="34"/>
        <v>0</v>
      </c>
      <c r="Y82" s="883">
        <v>0</v>
      </c>
      <c r="Z82" s="883">
        <v>0</v>
      </c>
      <c r="AA82" s="883">
        <v>0</v>
      </c>
      <c r="AB82" s="883">
        <f t="shared" si="35"/>
        <v>20.54</v>
      </c>
      <c r="AC82" s="883">
        <v>0</v>
      </c>
      <c r="AD82" s="881"/>
      <c r="AE82" s="880"/>
      <c r="AF82" s="883"/>
      <c r="AG82" s="889"/>
      <c r="AH82" s="880"/>
      <c r="AI82" s="880" t="s">
        <v>1241</v>
      </c>
      <c r="AJ82" s="884">
        <v>411</v>
      </c>
      <c r="AK82" s="883">
        <f t="shared" si="36"/>
        <v>17.86</v>
      </c>
      <c r="AL82" s="884">
        <v>413</v>
      </c>
      <c r="AM82" s="883">
        <f t="shared" si="37"/>
        <v>0</v>
      </c>
      <c r="AN82" s="884">
        <v>441</v>
      </c>
      <c r="AO82" s="883">
        <f t="shared" si="38"/>
        <v>0</v>
      </c>
      <c r="AP82" s="881"/>
      <c r="AQ82" s="881"/>
      <c r="AR82" s="883">
        <v>0</v>
      </c>
      <c r="AS82" s="883">
        <v>0</v>
      </c>
      <c r="AT82" s="883">
        <v>0</v>
      </c>
      <c r="AU82" s="880"/>
      <c r="AV82" s="886"/>
      <c r="AW82" s="880"/>
      <c r="AX82" s="886"/>
      <c r="AY82" s="880"/>
      <c r="AZ82" s="880"/>
      <c r="BA82" s="881"/>
      <c r="BB82" s="881" t="s">
        <v>57</v>
      </c>
      <c r="BC82" s="881"/>
      <c r="BD82" s="881"/>
      <c r="BE82" s="884">
        <f t="shared" si="39"/>
        <v>4</v>
      </c>
      <c r="BF82" s="887" t="str">
        <f t="shared" si="40"/>
        <v>SI</v>
      </c>
      <c r="BG82" s="883">
        <f t="shared" si="41"/>
        <v>17.86</v>
      </c>
      <c r="BH82" s="883">
        <f t="shared" si="42"/>
        <v>0</v>
      </c>
      <c r="BI82" s="883">
        <f t="shared" si="43"/>
        <v>0</v>
      </c>
      <c r="BJ82" s="883">
        <f t="shared" si="44"/>
        <v>0</v>
      </c>
      <c r="BK82" s="883">
        <f t="shared" si="45"/>
        <v>0</v>
      </c>
      <c r="BL82" s="883">
        <f t="shared" si="46"/>
        <v>2.68</v>
      </c>
      <c r="BM82" s="881"/>
      <c r="BN82" s="880"/>
      <c r="BO82" s="882" t="s">
        <v>1579</v>
      </c>
      <c r="BP82" s="882" t="s">
        <v>2286</v>
      </c>
      <c r="BQ82" s="882" t="s">
        <v>2285</v>
      </c>
      <c r="BR82" s="880"/>
      <c r="BS82" s="880"/>
      <c r="BT82" s="880"/>
      <c r="BU82" s="880"/>
      <c r="BV82" s="880"/>
      <c r="BW82" s="883">
        <v>0</v>
      </c>
      <c r="BX82" s="883">
        <v>0</v>
      </c>
      <c r="BY82" s="883">
        <v>0</v>
      </c>
      <c r="BZ82" s="890"/>
      <c r="CA82" s="883">
        <f t="shared" si="47"/>
        <v>0</v>
      </c>
      <c r="CB82" s="880"/>
      <c r="CC82" s="881"/>
      <c r="CD82" s="883"/>
      <c r="CE82" s="883"/>
      <c r="CF82" s="883"/>
      <c r="CG82" s="883"/>
      <c r="CH82" s="883"/>
      <c r="CI82" s="883"/>
      <c r="CJ82" s="883"/>
      <c r="CK82" s="883"/>
      <c r="CL82" s="883"/>
      <c r="CM82" s="883"/>
      <c r="CN82" s="883"/>
      <c r="CO82" s="883"/>
      <c r="CP82" s="883"/>
      <c r="CQ82" s="883"/>
      <c r="CR82" s="883"/>
      <c r="CS82" s="883"/>
      <c r="CT82" s="883"/>
      <c r="CU82" s="883"/>
    </row>
    <row r="83" spans="1:99" x14ac:dyDescent="0.25">
      <c r="A83" s="880" t="s">
        <v>1787</v>
      </c>
      <c r="B83" s="881" t="s">
        <v>1788</v>
      </c>
      <c r="C83" s="880" t="s">
        <v>2717</v>
      </c>
      <c r="D83" s="880"/>
      <c r="E83" s="884" t="s">
        <v>744</v>
      </c>
      <c r="F83" s="888">
        <v>1</v>
      </c>
      <c r="G83" s="881" t="s">
        <v>1007</v>
      </c>
      <c r="H83" s="881" t="s">
        <v>19</v>
      </c>
      <c r="I83" s="865">
        <v>46142</v>
      </c>
      <c r="J83" s="882" t="s">
        <v>8</v>
      </c>
      <c r="K83" s="880"/>
      <c r="L83" s="880"/>
      <c r="M83" s="883">
        <v>0</v>
      </c>
      <c r="N83" s="883">
        <v>0</v>
      </c>
      <c r="O83" s="883">
        <v>0</v>
      </c>
      <c r="P83" s="883">
        <v>26.08</v>
      </c>
      <c r="Q83" s="883">
        <v>15</v>
      </c>
      <c r="R83" s="883">
        <f t="shared" si="32"/>
        <v>3.91</v>
      </c>
      <c r="S83" s="883">
        <v>0</v>
      </c>
      <c r="T83" s="883">
        <v>5</v>
      </c>
      <c r="U83" s="883">
        <f t="shared" si="33"/>
        <v>0</v>
      </c>
      <c r="V83" s="883">
        <v>0</v>
      </c>
      <c r="W83" s="883">
        <v>8</v>
      </c>
      <c r="X83" s="883">
        <f t="shared" si="34"/>
        <v>0</v>
      </c>
      <c r="Y83" s="883">
        <v>0</v>
      </c>
      <c r="Z83" s="883">
        <v>0</v>
      </c>
      <c r="AA83" s="883">
        <v>0</v>
      </c>
      <c r="AB83" s="883">
        <f t="shared" si="35"/>
        <v>29.99</v>
      </c>
      <c r="AC83" s="883">
        <v>0</v>
      </c>
      <c r="AD83" s="881"/>
      <c r="AE83" s="880"/>
      <c r="AF83" s="883"/>
      <c r="AG83" s="889"/>
      <c r="AH83" s="880"/>
      <c r="AI83" s="880" t="s">
        <v>1241</v>
      </c>
      <c r="AJ83" s="884">
        <v>411</v>
      </c>
      <c r="AK83" s="883">
        <f t="shared" si="36"/>
        <v>26.08</v>
      </c>
      <c r="AL83" s="884">
        <v>413</v>
      </c>
      <c r="AM83" s="883">
        <f t="shared" si="37"/>
        <v>0</v>
      </c>
      <c r="AN83" s="884">
        <v>441</v>
      </c>
      <c r="AO83" s="883">
        <f t="shared" si="38"/>
        <v>0</v>
      </c>
      <c r="AP83" s="881"/>
      <c r="AQ83" s="881"/>
      <c r="AR83" s="883">
        <v>0</v>
      </c>
      <c r="AS83" s="883">
        <v>0</v>
      </c>
      <c r="AT83" s="883">
        <v>0</v>
      </c>
      <c r="AU83" s="880"/>
      <c r="AV83" s="886"/>
      <c r="AW83" s="880"/>
      <c r="AX83" s="886"/>
      <c r="AY83" s="880"/>
      <c r="AZ83" s="880"/>
      <c r="BA83" s="881"/>
      <c r="BB83" s="881" t="s">
        <v>57</v>
      </c>
      <c r="BC83" s="881"/>
      <c r="BD83" s="881"/>
      <c r="BE83" s="884">
        <f t="shared" si="39"/>
        <v>4</v>
      </c>
      <c r="BF83" s="887" t="str">
        <f t="shared" si="40"/>
        <v>SI</v>
      </c>
      <c r="BG83" s="883">
        <f t="shared" si="41"/>
        <v>26.08</v>
      </c>
      <c r="BH83" s="883">
        <f t="shared" si="42"/>
        <v>0</v>
      </c>
      <c r="BI83" s="883">
        <f t="shared" si="43"/>
        <v>0</v>
      </c>
      <c r="BJ83" s="883">
        <f t="shared" si="44"/>
        <v>0</v>
      </c>
      <c r="BK83" s="883">
        <f t="shared" si="45"/>
        <v>0</v>
      </c>
      <c r="BL83" s="883">
        <f t="shared" si="46"/>
        <v>3.91</v>
      </c>
      <c r="BM83" s="881"/>
      <c r="BN83" s="880"/>
      <c r="BO83" s="882" t="s">
        <v>1579</v>
      </c>
      <c r="BP83" s="882" t="s">
        <v>2286</v>
      </c>
      <c r="BQ83" s="882" t="s">
        <v>2285</v>
      </c>
      <c r="BR83" s="880"/>
      <c r="BS83" s="880"/>
      <c r="BT83" s="880"/>
      <c r="BU83" s="880"/>
      <c r="BV83" s="880"/>
      <c r="BW83" s="883">
        <v>0</v>
      </c>
      <c r="BX83" s="883">
        <v>0</v>
      </c>
      <c r="BY83" s="883">
        <v>0</v>
      </c>
      <c r="BZ83" s="890"/>
      <c r="CA83" s="883">
        <f t="shared" si="47"/>
        <v>0</v>
      </c>
      <c r="CB83" s="880"/>
      <c r="CC83" s="881"/>
      <c r="CD83" s="883"/>
      <c r="CE83" s="883"/>
      <c r="CF83" s="883"/>
      <c r="CG83" s="883"/>
      <c r="CH83" s="883"/>
      <c r="CI83" s="883"/>
      <c r="CJ83" s="883"/>
      <c r="CK83" s="883"/>
      <c r="CL83" s="883"/>
      <c r="CM83" s="883"/>
      <c r="CN83" s="883"/>
      <c r="CO83" s="883"/>
      <c r="CP83" s="883"/>
      <c r="CQ83" s="883"/>
      <c r="CR83" s="883"/>
      <c r="CS83" s="883"/>
      <c r="CT83" s="883"/>
      <c r="CU83" s="883"/>
    </row>
    <row r="84" spans="1:99" x14ac:dyDescent="0.25">
      <c r="A84" s="880" t="s">
        <v>1787</v>
      </c>
      <c r="B84" s="881" t="s">
        <v>1788</v>
      </c>
      <c r="C84" s="880" t="s">
        <v>2718</v>
      </c>
      <c r="D84" s="880"/>
      <c r="E84" s="884" t="s">
        <v>744</v>
      </c>
      <c r="F84" s="888">
        <v>1</v>
      </c>
      <c r="G84" s="881" t="s">
        <v>1007</v>
      </c>
      <c r="H84" s="881" t="s">
        <v>19</v>
      </c>
      <c r="I84" s="865">
        <v>46142</v>
      </c>
      <c r="J84" s="882" t="s">
        <v>8</v>
      </c>
      <c r="K84" s="880"/>
      <c r="L84" s="880"/>
      <c r="M84" s="883">
        <v>0</v>
      </c>
      <c r="N84" s="883">
        <v>0</v>
      </c>
      <c r="O84" s="883">
        <v>0</v>
      </c>
      <c r="P84" s="883">
        <v>17.39</v>
      </c>
      <c r="Q84" s="883">
        <v>15</v>
      </c>
      <c r="R84" s="883">
        <f t="shared" si="32"/>
        <v>2.61</v>
      </c>
      <c r="S84" s="883">
        <v>0</v>
      </c>
      <c r="T84" s="883">
        <v>5</v>
      </c>
      <c r="U84" s="883">
        <f t="shared" si="33"/>
        <v>0</v>
      </c>
      <c r="V84" s="883">
        <v>0</v>
      </c>
      <c r="W84" s="883">
        <v>8</v>
      </c>
      <c r="X84" s="883">
        <f t="shared" si="34"/>
        <v>0</v>
      </c>
      <c r="Y84" s="883">
        <v>0</v>
      </c>
      <c r="Z84" s="883">
        <v>0</v>
      </c>
      <c r="AA84" s="883">
        <v>0</v>
      </c>
      <c r="AB84" s="883">
        <f t="shared" si="35"/>
        <v>20</v>
      </c>
      <c r="AC84" s="883">
        <v>0</v>
      </c>
      <c r="AD84" s="881"/>
      <c r="AE84" s="880"/>
      <c r="AF84" s="883"/>
      <c r="AG84" s="889"/>
      <c r="AH84" s="880"/>
      <c r="AI84" s="880" t="s">
        <v>1241</v>
      </c>
      <c r="AJ84" s="884">
        <v>411</v>
      </c>
      <c r="AK84" s="883">
        <f t="shared" si="36"/>
        <v>17.39</v>
      </c>
      <c r="AL84" s="884">
        <v>413</v>
      </c>
      <c r="AM84" s="883">
        <f t="shared" si="37"/>
        <v>0</v>
      </c>
      <c r="AN84" s="884">
        <v>441</v>
      </c>
      <c r="AO84" s="883">
        <f t="shared" si="38"/>
        <v>0</v>
      </c>
      <c r="AP84" s="881"/>
      <c r="AQ84" s="881"/>
      <c r="AR84" s="883">
        <v>0</v>
      </c>
      <c r="AS84" s="883">
        <v>0</v>
      </c>
      <c r="AT84" s="883">
        <v>0</v>
      </c>
      <c r="AU84" s="880"/>
      <c r="AV84" s="886"/>
      <c r="AW84" s="880"/>
      <c r="AX84" s="886"/>
      <c r="AY84" s="880"/>
      <c r="AZ84" s="880"/>
      <c r="BA84" s="881"/>
      <c r="BB84" s="881" t="s">
        <v>57</v>
      </c>
      <c r="BC84" s="881"/>
      <c r="BD84" s="881"/>
      <c r="BE84" s="884">
        <f t="shared" si="39"/>
        <v>4</v>
      </c>
      <c r="BF84" s="887" t="str">
        <f t="shared" si="40"/>
        <v>SI</v>
      </c>
      <c r="BG84" s="883">
        <f t="shared" si="41"/>
        <v>17.39</v>
      </c>
      <c r="BH84" s="883">
        <f t="shared" si="42"/>
        <v>0</v>
      </c>
      <c r="BI84" s="883">
        <f t="shared" si="43"/>
        <v>0</v>
      </c>
      <c r="BJ84" s="883">
        <f t="shared" si="44"/>
        <v>0</v>
      </c>
      <c r="BK84" s="883">
        <f t="shared" si="45"/>
        <v>0</v>
      </c>
      <c r="BL84" s="883">
        <f t="shared" si="46"/>
        <v>2.61</v>
      </c>
      <c r="BM84" s="881"/>
      <c r="BN84" s="880"/>
      <c r="BO84" s="882" t="s">
        <v>1579</v>
      </c>
      <c r="BP84" s="882" t="s">
        <v>2286</v>
      </c>
      <c r="BQ84" s="882" t="s">
        <v>2285</v>
      </c>
      <c r="BR84" s="880"/>
      <c r="BS84" s="880"/>
      <c r="BT84" s="880"/>
      <c r="BU84" s="880"/>
      <c r="BV84" s="880"/>
      <c r="BW84" s="883">
        <v>0</v>
      </c>
      <c r="BX84" s="883">
        <v>0</v>
      </c>
      <c r="BY84" s="883">
        <v>0</v>
      </c>
      <c r="BZ84" s="890"/>
      <c r="CA84" s="883">
        <f t="shared" si="47"/>
        <v>0</v>
      </c>
      <c r="CB84" s="880"/>
      <c r="CC84" s="881"/>
      <c r="CD84" s="883"/>
      <c r="CE84" s="883"/>
      <c r="CF84" s="883"/>
      <c r="CG84" s="883"/>
      <c r="CH84" s="883"/>
      <c r="CI84" s="883"/>
      <c r="CJ84" s="883"/>
      <c r="CK84" s="883"/>
      <c r="CL84" s="883"/>
      <c r="CM84" s="883"/>
      <c r="CN84" s="883"/>
      <c r="CO84" s="883"/>
      <c r="CP84" s="883"/>
      <c r="CQ84" s="883"/>
      <c r="CR84" s="883"/>
      <c r="CS84" s="883"/>
      <c r="CT84" s="883"/>
      <c r="CU84" s="883"/>
    </row>
    <row r="85" spans="1:99" x14ac:dyDescent="0.25">
      <c r="A85" s="880" t="s">
        <v>1787</v>
      </c>
      <c r="B85" s="881" t="s">
        <v>1788</v>
      </c>
      <c r="C85" s="880" t="s">
        <v>2719</v>
      </c>
      <c r="D85" s="880"/>
      <c r="E85" s="884" t="s">
        <v>744</v>
      </c>
      <c r="F85" s="888">
        <v>1</v>
      </c>
      <c r="G85" s="881" t="s">
        <v>1007</v>
      </c>
      <c r="H85" s="881" t="s">
        <v>19</v>
      </c>
      <c r="I85" s="865">
        <v>46142</v>
      </c>
      <c r="J85" s="882" t="s">
        <v>8</v>
      </c>
      <c r="K85" s="880"/>
      <c r="L85" s="880"/>
      <c r="M85" s="883">
        <v>0</v>
      </c>
      <c r="N85" s="883">
        <v>0</v>
      </c>
      <c r="O85" s="883">
        <v>0</v>
      </c>
      <c r="P85" s="883">
        <v>21.73</v>
      </c>
      <c r="Q85" s="883">
        <v>15</v>
      </c>
      <c r="R85" s="883">
        <f t="shared" si="32"/>
        <v>3.26</v>
      </c>
      <c r="S85" s="883">
        <v>0</v>
      </c>
      <c r="T85" s="883">
        <v>5</v>
      </c>
      <c r="U85" s="883">
        <f t="shared" si="33"/>
        <v>0</v>
      </c>
      <c r="V85" s="883">
        <v>0</v>
      </c>
      <c r="W85" s="883">
        <v>8</v>
      </c>
      <c r="X85" s="883">
        <f t="shared" si="34"/>
        <v>0</v>
      </c>
      <c r="Y85" s="883">
        <v>0</v>
      </c>
      <c r="Z85" s="883">
        <v>0</v>
      </c>
      <c r="AA85" s="883">
        <v>0</v>
      </c>
      <c r="AB85" s="883">
        <f t="shared" si="35"/>
        <v>24.99</v>
      </c>
      <c r="AC85" s="883">
        <v>0</v>
      </c>
      <c r="AD85" s="881"/>
      <c r="AE85" s="880"/>
      <c r="AF85" s="883"/>
      <c r="AG85" s="889"/>
      <c r="AH85" s="880"/>
      <c r="AI85" s="880" t="s">
        <v>1241</v>
      </c>
      <c r="AJ85" s="884">
        <v>411</v>
      </c>
      <c r="AK85" s="883">
        <f t="shared" si="36"/>
        <v>21.73</v>
      </c>
      <c r="AL85" s="884">
        <v>413</v>
      </c>
      <c r="AM85" s="883">
        <f t="shared" si="37"/>
        <v>0</v>
      </c>
      <c r="AN85" s="884">
        <v>441</v>
      </c>
      <c r="AO85" s="883">
        <f t="shared" si="38"/>
        <v>0</v>
      </c>
      <c r="AP85" s="881"/>
      <c r="AQ85" s="881"/>
      <c r="AR85" s="883">
        <v>0</v>
      </c>
      <c r="AS85" s="883">
        <v>0</v>
      </c>
      <c r="AT85" s="883">
        <v>0</v>
      </c>
      <c r="AU85" s="880"/>
      <c r="AV85" s="886"/>
      <c r="AW85" s="880"/>
      <c r="AX85" s="886"/>
      <c r="AY85" s="880"/>
      <c r="AZ85" s="880"/>
      <c r="BA85" s="881"/>
      <c r="BB85" s="881" t="s">
        <v>57</v>
      </c>
      <c r="BC85" s="881"/>
      <c r="BD85" s="881"/>
      <c r="BE85" s="884">
        <f t="shared" si="39"/>
        <v>4</v>
      </c>
      <c r="BF85" s="887" t="str">
        <f t="shared" si="40"/>
        <v>SI</v>
      </c>
      <c r="BG85" s="883">
        <f t="shared" si="41"/>
        <v>21.73</v>
      </c>
      <c r="BH85" s="883">
        <f t="shared" si="42"/>
        <v>0</v>
      </c>
      <c r="BI85" s="883">
        <f t="shared" si="43"/>
        <v>0</v>
      </c>
      <c r="BJ85" s="883">
        <f t="shared" si="44"/>
        <v>0</v>
      </c>
      <c r="BK85" s="883">
        <f t="shared" si="45"/>
        <v>0</v>
      </c>
      <c r="BL85" s="883">
        <f t="shared" si="46"/>
        <v>3.26</v>
      </c>
      <c r="BM85" s="881"/>
      <c r="BN85" s="880"/>
      <c r="BO85" s="882" t="s">
        <v>1579</v>
      </c>
      <c r="BP85" s="882" t="s">
        <v>2286</v>
      </c>
      <c r="BQ85" s="882" t="s">
        <v>2285</v>
      </c>
      <c r="BR85" s="880"/>
      <c r="BS85" s="880"/>
      <c r="BT85" s="880"/>
      <c r="BU85" s="880"/>
      <c r="BV85" s="880"/>
      <c r="BW85" s="883">
        <v>0</v>
      </c>
      <c r="BX85" s="883">
        <v>0</v>
      </c>
      <c r="BY85" s="883">
        <v>0</v>
      </c>
      <c r="BZ85" s="890"/>
      <c r="CA85" s="883">
        <f t="shared" si="47"/>
        <v>0</v>
      </c>
      <c r="CB85" s="880"/>
      <c r="CC85" s="881"/>
      <c r="CD85" s="883"/>
      <c r="CE85" s="883"/>
      <c r="CF85" s="883"/>
      <c r="CG85" s="883"/>
      <c r="CH85" s="883"/>
      <c r="CI85" s="883"/>
      <c r="CJ85" s="883"/>
      <c r="CK85" s="883"/>
      <c r="CL85" s="883"/>
      <c r="CM85" s="883"/>
      <c r="CN85" s="883"/>
      <c r="CO85" s="883"/>
      <c r="CP85" s="883"/>
      <c r="CQ85" s="883"/>
      <c r="CR85" s="883"/>
      <c r="CS85" s="883"/>
      <c r="CT85" s="883"/>
      <c r="CU85" s="883"/>
    </row>
    <row r="86" spans="1:99" x14ac:dyDescent="0.25">
      <c r="A86" s="880" t="s">
        <v>1787</v>
      </c>
      <c r="B86" s="881" t="s">
        <v>1788</v>
      </c>
      <c r="C86" s="880" t="s">
        <v>2720</v>
      </c>
      <c r="D86" s="880"/>
      <c r="E86" s="884" t="s">
        <v>744</v>
      </c>
      <c r="F86" s="888">
        <v>1</v>
      </c>
      <c r="G86" s="881" t="s">
        <v>1007</v>
      </c>
      <c r="H86" s="881" t="s">
        <v>19</v>
      </c>
      <c r="I86" s="865">
        <v>46142</v>
      </c>
      <c r="J86" s="882" t="s">
        <v>8</v>
      </c>
      <c r="K86" s="880"/>
      <c r="L86" s="880"/>
      <c r="M86" s="883">
        <v>0</v>
      </c>
      <c r="N86" s="883">
        <v>0</v>
      </c>
      <c r="O86" s="883">
        <v>0</v>
      </c>
      <c r="P86" s="883">
        <v>13.39</v>
      </c>
      <c r="Q86" s="883">
        <v>15</v>
      </c>
      <c r="R86" s="883">
        <f t="shared" si="32"/>
        <v>2.0099999999999998</v>
      </c>
      <c r="S86" s="883">
        <v>0</v>
      </c>
      <c r="T86" s="883">
        <v>5</v>
      </c>
      <c r="U86" s="883">
        <f t="shared" si="33"/>
        <v>0</v>
      </c>
      <c r="V86" s="883">
        <v>0</v>
      </c>
      <c r="W86" s="883">
        <v>8</v>
      </c>
      <c r="X86" s="883">
        <f t="shared" si="34"/>
        <v>0</v>
      </c>
      <c r="Y86" s="883">
        <v>0</v>
      </c>
      <c r="Z86" s="883">
        <v>0</v>
      </c>
      <c r="AA86" s="883">
        <v>0</v>
      </c>
      <c r="AB86" s="883">
        <f t="shared" si="35"/>
        <v>15.4</v>
      </c>
      <c r="AC86" s="883">
        <v>0</v>
      </c>
      <c r="AD86" s="881"/>
      <c r="AE86" s="880"/>
      <c r="AF86" s="883"/>
      <c r="AG86" s="889"/>
      <c r="AH86" s="880"/>
      <c r="AI86" s="880" t="s">
        <v>1241</v>
      </c>
      <c r="AJ86" s="884">
        <v>411</v>
      </c>
      <c r="AK86" s="883">
        <f t="shared" si="36"/>
        <v>13.39</v>
      </c>
      <c r="AL86" s="884">
        <v>413</v>
      </c>
      <c r="AM86" s="883">
        <f t="shared" si="37"/>
        <v>0</v>
      </c>
      <c r="AN86" s="884">
        <v>441</v>
      </c>
      <c r="AO86" s="883">
        <f t="shared" si="38"/>
        <v>0</v>
      </c>
      <c r="AP86" s="881"/>
      <c r="AQ86" s="881"/>
      <c r="AR86" s="883">
        <v>0</v>
      </c>
      <c r="AS86" s="883">
        <v>0</v>
      </c>
      <c r="AT86" s="883">
        <v>0</v>
      </c>
      <c r="AU86" s="880"/>
      <c r="AV86" s="886"/>
      <c r="AW86" s="880"/>
      <c r="AX86" s="886"/>
      <c r="AY86" s="880"/>
      <c r="AZ86" s="880"/>
      <c r="BA86" s="881"/>
      <c r="BB86" s="881" t="s">
        <v>57</v>
      </c>
      <c r="BC86" s="881"/>
      <c r="BD86" s="881"/>
      <c r="BE86" s="884">
        <f t="shared" si="39"/>
        <v>4</v>
      </c>
      <c r="BF86" s="887" t="str">
        <f t="shared" si="40"/>
        <v>SI</v>
      </c>
      <c r="BG86" s="883">
        <f t="shared" si="41"/>
        <v>13.39</v>
      </c>
      <c r="BH86" s="883">
        <f t="shared" si="42"/>
        <v>0</v>
      </c>
      <c r="BI86" s="883">
        <f t="shared" si="43"/>
        <v>0</v>
      </c>
      <c r="BJ86" s="883">
        <f t="shared" si="44"/>
        <v>0</v>
      </c>
      <c r="BK86" s="883">
        <f t="shared" si="45"/>
        <v>0</v>
      </c>
      <c r="BL86" s="883">
        <f t="shared" si="46"/>
        <v>2.0099999999999998</v>
      </c>
      <c r="BM86" s="881"/>
      <c r="BN86" s="880"/>
      <c r="BO86" s="882" t="s">
        <v>1579</v>
      </c>
      <c r="BP86" s="882" t="s">
        <v>2286</v>
      </c>
      <c r="BQ86" s="882" t="s">
        <v>2285</v>
      </c>
      <c r="BR86" s="880"/>
      <c r="BS86" s="880"/>
      <c r="BT86" s="880"/>
      <c r="BU86" s="880"/>
      <c r="BV86" s="880"/>
      <c r="BW86" s="883">
        <v>0</v>
      </c>
      <c r="BX86" s="883">
        <v>0</v>
      </c>
      <c r="BY86" s="883">
        <v>0</v>
      </c>
      <c r="BZ86" s="890"/>
      <c r="CA86" s="883">
        <f t="shared" si="47"/>
        <v>0</v>
      </c>
      <c r="CB86" s="880"/>
      <c r="CC86" s="881"/>
      <c r="CD86" s="883"/>
      <c r="CE86" s="883"/>
      <c r="CF86" s="883"/>
      <c r="CG86" s="883"/>
      <c r="CH86" s="883"/>
      <c r="CI86" s="883"/>
      <c r="CJ86" s="883"/>
      <c r="CK86" s="883"/>
      <c r="CL86" s="883"/>
      <c r="CM86" s="883"/>
      <c r="CN86" s="883"/>
      <c r="CO86" s="883"/>
      <c r="CP86" s="883"/>
      <c r="CQ86" s="883"/>
      <c r="CR86" s="883"/>
      <c r="CS86" s="883"/>
      <c r="CT86" s="883"/>
      <c r="CU86" s="883"/>
    </row>
    <row r="87" spans="1:99" x14ac:dyDescent="0.25">
      <c r="A87" s="880" t="s">
        <v>1787</v>
      </c>
      <c r="B87" s="881" t="s">
        <v>1788</v>
      </c>
      <c r="C87" s="880" t="s">
        <v>2721</v>
      </c>
      <c r="D87" s="880"/>
      <c r="E87" s="884" t="s">
        <v>744</v>
      </c>
      <c r="F87" s="888">
        <v>1</v>
      </c>
      <c r="G87" s="881" t="s">
        <v>1007</v>
      </c>
      <c r="H87" s="881" t="s">
        <v>19</v>
      </c>
      <c r="I87" s="865">
        <v>46142</v>
      </c>
      <c r="J87" s="882" t="s">
        <v>8</v>
      </c>
      <c r="K87" s="880"/>
      <c r="L87" s="880"/>
      <c r="M87" s="883">
        <v>0</v>
      </c>
      <c r="N87" s="883">
        <v>0</v>
      </c>
      <c r="O87" s="883">
        <v>0</v>
      </c>
      <c r="P87" s="883">
        <v>22.32</v>
      </c>
      <c r="Q87" s="883">
        <v>15</v>
      </c>
      <c r="R87" s="883">
        <f t="shared" si="32"/>
        <v>3.35</v>
      </c>
      <c r="S87" s="883">
        <v>0</v>
      </c>
      <c r="T87" s="883">
        <v>5</v>
      </c>
      <c r="U87" s="883">
        <f t="shared" si="33"/>
        <v>0</v>
      </c>
      <c r="V87" s="883">
        <v>0</v>
      </c>
      <c r="W87" s="883">
        <v>8</v>
      </c>
      <c r="X87" s="883">
        <f t="shared" si="34"/>
        <v>0</v>
      </c>
      <c r="Y87" s="883">
        <v>0</v>
      </c>
      <c r="Z87" s="883">
        <v>0</v>
      </c>
      <c r="AA87" s="883">
        <v>0</v>
      </c>
      <c r="AB87" s="883">
        <f t="shared" si="35"/>
        <v>25.67</v>
      </c>
      <c r="AC87" s="883">
        <v>0</v>
      </c>
      <c r="AD87" s="881"/>
      <c r="AE87" s="880"/>
      <c r="AF87" s="883"/>
      <c r="AG87" s="889"/>
      <c r="AH87" s="880"/>
      <c r="AI87" s="880" t="s">
        <v>1241</v>
      </c>
      <c r="AJ87" s="884">
        <v>411</v>
      </c>
      <c r="AK87" s="883">
        <f t="shared" si="36"/>
        <v>22.32</v>
      </c>
      <c r="AL87" s="884">
        <v>413</v>
      </c>
      <c r="AM87" s="883">
        <f t="shared" si="37"/>
        <v>0</v>
      </c>
      <c r="AN87" s="884">
        <v>441</v>
      </c>
      <c r="AO87" s="883">
        <f t="shared" si="38"/>
        <v>0</v>
      </c>
      <c r="AP87" s="881"/>
      <c r="AQ87" s="881"/>
      <c r="AR87" s="883">
        <v>0</v>
      </c>
      <c r="AS87" s="883">
        <v>0</v>
      </c>
      <c r="AT87" s="883">
        <v>0</v>
      </c>
      <c r="AU87" s="880"/>
      <c r="AV87" s="886"/>
      <c r="AW87" s="880"/>
      <c r="AX87" s="886"/>
      <c r="AY87" s="880"/>
      <c r="AZ87" s="880"/>
      <c r="BA87" s="881"/>
      <c r="BB87" s="881" t="s">
        <v>57</v>
      </c>
      <c r="BC87" s="881"/>
      <c r="BD87" s="881"/>
      <c r="BE87" s="884">
        <f t="shared" si="39"/>
        <v>4</v>
      </c>
      <c r="BF87" s="887" t="str">
        <f t="shared" si="40"/>
        <v>SI</v>
      </c>
      <c r="BG87" s="883">
        <f t="shared" si="41"/>
        <v>22.32</v>
      </c>
      <c r="BH87" s="883">
        <f t="shared" si="42"/>
        <v>0</v>
      </c>
      <c r="BI87" s="883">
        <f t="shared" si="43"/>
        <v>0</v>
      </c>
      <c r="BJ87" s="883">
        <f t="shared" si="44"/>
        <v>0</v>
      </c>
      <c r="BK87" s="883">
        <f t="shared" si="45"/>
        <v>0</v>
      </c>
      <c r="BL87" s="883">
        <f t="shared" si="46"/>
        <v>3.35</v>
      </c>
      <c r="BM87" s="881"/>
      <c r="BN87" s="880"/>
      <c r="BO87" s="882" t="s">
        <v>1579</v>
      </c>
      <c r="BP87" s="882" t="s">
        <v>2286</v>
      </c>
      <c r="BQ87" s="882" t="s">
        <v>2285</v>
      </c>
      <c r="BR87" s="880"/>
      <c r="BS87" s="880"/>
      <c r="BT87" s="880"/>
      <c r="BU87" s="880"/>
      <c r="BV87" s="880"/>
      <c r="BW87" s="883">
        <v>0</v>
      </c>
      <c r="BX87" s="883">
        <v>0</v>
      </c>
      <c r="BY87" s="883">
        <v>0</v>
      </c>
      <c r="BZ87" s="890"/>
      <c r="CA87" s="883">
        <f t="shared" si="47"/>
        <v>0</v>
      </c>
      <c r="CB87" s="880"/>
      <c r="CC87" s="881"/>
      <c r="CD87" s="883"/>
      <c r="CE87" s="883"/>
      <c r="CF87" s="883"/>
      <c r="CG87" s="883"/>
      <c r="CH87" s="883"/>
      <c r="CI87" s="883"/>
      <c r="CJ87" s="883"/>
      <c r="CK87" s="883"/>
      <c r="CL87" s="883"/>
      <c r="CM87" s="883"/>
      <c r="CN87" s="883"/>
      <c r="CO87" s="883"/>
      <c r="CP87" s="883"/>
      <c r="CQ87" s="883"/>
      <c r="CR87" s="883"/>
      <c r="CS87" s="883"/>
      <c r="CT87" s="883"/>
      <c r="CU87" s="883"/>
    </row>
    <row r="88" spans="1:99" x14ac:dyDescent="0.25">
      <c r="A88" s="880" t="s">
        <v>1787</v>
      </c>
      <c r="B88" s="881" t="s">
        <v>1788</v>
      </c>
      <c r="C88" s="880" t="s">
        <v>2722</v>
      </c>
      <c r="D88" s="880"/>
      <c r="E88" s="884" t="s">
        <v>744</v>
      </c>
      <c r="F88" s="888">
        <v>1</v>
      </c>
      <c r="G88" s="881" t="s">
        <v>1007</v>
      </c>
      <c r="H88" s="881" t="s">
        <v>19</v>
      </c>
      <c r="I88" s="865">
        <v>46142</v>
      </c>
      <c r="J88" s="882" t="s">
        <v>8</v>
      </c>
      <c r="K88" s="880"/>
      <c r="L88" s="880"/>
      <c r="M88" s="883">
        <v>0</v>
      </c>
      <c r="N88" s="883">
        <v>0</v>
      </c>
      <c r="O88" s="883">
        <v>0</v>
      </c>
      <c r="P88" s="883">
        <v>13.04</v>
      </c>
      <c r="Q88" s="883">
        <v>15</v>
      </c>
      <c r="R88" s="883">
        <f t="shared" si="32"/>
        <v>1.96</v>
      </c>
      <c r="S88" s="883">
        <v>0</v>
      </c>
      <c r="T88" s="883">
        <v>5</v>
      </c>
      <c r="U88" s="883">
        <f t="shared" si="33"/>
        <v>0</v>
      </c>
      <c r="V88" s="883">
        <v>0</v>
      </c>
      <c r="W88" s="883">
        <v>8</v>
      </c>
      <c r="X88" s="883">
        <f t="shared" si="34"/>
        <v>0</v>
      </c>
      <c r="Y88" s="883">
        <v>0</v>
      </c>
      <c r="Z88" s="883">
        <v>0</v>
      </c>
      <c r="AA88" s="883">
        <v>0</v>
      </c>
      <c r="AB88" s="883">
        <f t="shared" si="35"/>
        <v>15</v>
      </c>
      <c r="AC88" s="883">
        <v>0</v>
      </c>
      <c r="AD88" s="881"/>
      <c r="AE88" s="880"/>
      <c r="AF88" s="883"/>
      <c r="AG88" s="889"/>
      <c r="AH88" s="880"/>
      <c r="AI88" s="880" t="s">
        <v>1241</v>
      </c>
      <c r="AJ88" s="884">
        <v>411</v>
      </c>
      <c r="AK88" s="883">
        <f t="shared" si="36"/>
        <v>13.04</v>
      </c>
      <c r="AL88" s="884">
        <v>413</v>
      </c>
      <c r="AM88" s="883">
        <f t="shared" si="37"/>
        <v>0</v>
      </c>
      <c r="AN88" s="884">
        <v>441</v>
      </c>
      <c r="AO88" s="883">
        <f t="shared" si="38"/>
        <v>0</v>
      </c>
      <c r="AP88" s="881"/>
      <c r="AQ88" s="881"/>
      <c r="AR88" s="883">
        <v>0</v>
      </c>
      <c r="AS88" s="883">
        <v>0</v>
      </c>
      <c r="AT88" s="883">
        <v>0</v>
      </c>
      <c r="AU88" s="880"/>
      <c r="AV88" s="886"/>
      <c r="AW88" s="880"/>
      <c r="AX88" s="886"/>
      <c r="AY88" s="880"/>
      <c r="AZ88" s="880"/>
      <c r="BA88" s="881"/>
      <c r="BB88" s="881" t="s">
        <v>57</v>
      </c>
      <c r="BC88" s="881"/>
      <c r="BD88" s="881"/>
      <c r="BE88" s="884">
        <f t="shared" si="39"/>
        <v>4</v>
      </c>
      <c r="BF88" s="887" t="str">
        <f t="shared" si="40"/>
        <v>SI</v>
      </c>
      <c r="BG88" s="883">
        <f t="shared" si="41"/>
        <v>13.04</v>
      </c>
      <c r="BH88" s="883">
        <f t="shared" si="42"/>
        <v>0</v>
      </c>
      <c r="BI88" s="883">
        <f t="shared" si="43"/>
        <v>0</v>
      </c>
      <c r="BJ88" s="883">
        <f t="shared" si="44"/>
        <v>0</v>
      </c>
      <c r="BK88" s="883">
        <f t="shared" si="45"/>
        <v>0</v>
      </c>
      <c r="BL88" s="883">
        <f t="shared" si="46"/>
        <v>1.96</v>
      </c>
      <c r="BM88" s="881"/>
      <c r="BN88" s="880"/>
      <c r="BO88" s="882" t="s">
        <v>1579</v>
      </c>
      <c r="BP88" s="882" t="s">
        <v>2286</v>
      </c>
      <c r="BQ88" s="882" t="s">
        <v>2285</v>
      </c>
      <c r="BR88" s="880"/>
      <c r="BS88" s="880"/>
      <c r="BT88" s="880"/>
      <c r="BU88" s="880"/>
      <c r="BV88" s="880"/>
      <c r="BW88" s="883">
        <v>0</v>
      </c>
      <c r="BX88" s="883">
        <v>0</v>
      </c>
      <c r="BY88" s="883">
        <v>0</v>
      </c>
      <c r="BZ88" s="890"/>
      <c r="CA88" s="883">
        <f t="shared" si="47"/>
        <v>0</v>
      </c>
      <c r="CB88" s="880"/>
      <c r="CC88" s="881"/>
      <c r="CD88" s="883"/>
      <c r="CE88" s="883"/>
      <c r="CF88" s="883"/>
      <c r="CG88" s="883"/>
      <c r="CH88" s="883"/>
      <c r="CI88" s="883"/>
      <c r="CJ88" s="883"/>
      <c r="CK88" s="883"/>
      <c r="CL88" s="883"/>
      <c r="CM88" s="883"/>
      <c r="CN88" s="883"/>
      <c r="CO88" s="883"/>
      <c r="CP88" s="883"/>
      <c r="CQ88" s="883"/>
      <c r="CR88" s="883"/>
      <c r="CS88" s="883"/>
      <c r="CT88" s="883"/>
      <c r="CU88" s="883"/>
    </row>
    <row r="89" spans="1:99" x14ac:dyDescent="0.25">
      <c r="A89" s="880" t="s">
        <v>1787</v>
      </c>
      <c r="B89" s="881" t="s">
        <v>1788</v>
      </c>
      <c r="C89" s="880" t="s">
        <v>2723</v>
      </c>
      <c r="D89" s="880"/>
      <c r="E89" s="884" t="s">
        <v>744</v>
      </c>
      <c r="F89" s="888">
        <v>1</v>
      </c>
      <c r="G89" s="881" t="s">
        <v>1007</v>
      </c>
      <c r="H89" s="881" t="s">
        <v>19</v>
      </c>
      <c r="I89" s="865">
        <v>46142</v>
      </c>
      <c r="J89" s="882" t="s">
        <v>8</v>
      </c>
      <c r="K89" s="880"/>
      <c r="L89" s="880"/>
      <c r="M89" s="883">
        <v>0</v>
      </c>
      <c r="N89" s="883">
        <v>0</v>
      </c>
      <c r="O89" s="883">
        <v>0</v>
      </c>
      <c r="P89" s="883">
        <v>35.71</v>
      </c>
      <c r="Q89" s="883">
        <v>15</v>
      </c>
      <c r="R89" s="883">
        <f t="shared" si="32"/>
        <v>5.36</v>
      </c>
      <c r="S89" s="883">
        <v>0</v>
      </c>
      <c r="T89" s="883">
        <v>5</v>
      </c>
      <c r="U89" s="883">
        <f t="shared" si="33"/>
        <v>0</v>
      </c>
      <c r="V89" s="883">
        <v>0</v>
      </c>
      <c r="W89" s="883">
        <v>8</v>
      </c>
      <c r="X89" s="883">
        <f t="shared" si="34"/>
        <v>0</v>
      </c>
      <c r="Y89" s="883">
        <v>0</v>
      </c>
      <c r="Z89" s="883">
        <v>0</v>
      </c>
      <c r="AA89" s="883">
        <v>0</v>
      </c>
      <c r="AB89" s="883">
        <f t="shared" si="35"/>
        <v>41.07</v>
      </c>
      <c r="AC89" s="883">
        <v>0</v>
      </c>
      <c r="AD89" s="881"/>
      <c r="AE89" s="880"/>
      <c r="AF89" s="883"/>
      <c r="AG89" s="889"/>
      <c r="AH89" s="880"/>
      <c r="AI89" s="880" t="s">
        <v>1241</v>
      </c>
      <c r="AJ89" s="884">
        <v>411</v>
      </c>
      <c r="AK89" s="883">
        <f t="shared" si="36"/>
        <v>35.71</v>
      </c>
      <c r="AL89" s="884">
        <v>413</v>
      </c>
      <c r="AM89" s="883">
        <f t="shared" si="37"/>
        <v>0</v>
      </c>
      <c r="AN89" s="884">
        <v>441</v>
      </c>
      <c r="AO89" s="883">
        <f t="shared" si="38"/>
        <v>0</v>
      </c>
      <c r="AP89" s="881"/>
      <c r="AQ89" s="881"/>
      <c r="AR89" s="883">
        <v>0</v>
      </c>
      <c r="AS89" s="883">
        <v>0</v>
      </c>
      <c r="AT89" s="883">
        <v>0</v>
      </c>
      <c r="AU89" s="880"/>
      <c r="AV89" s="886"/>
      <c r="AW89" s="880"/>
      <c r="AX89" s="886"/>
      <c r="AY89" s="880"/>
      <c r="AZ89" s="880"/>
      <c r="BA89" s="881"/>
      <c r="BB89" s="881" t="s">
        <v>57</v>
      </c>
      <c r="BC89" s="881"/>
      <c r="BD89" s="881"/>
      <c r="BE89" s="884">
        <f t="shared" si="39"/>
        <v>4</v>
      </c>
      <c r="BF89" s="887" t="str">
        <f t="shared" si="40"/>
        <v>SI</v>
      </c>
      <c r="BG89" s="883">
        <f t="shared" si="41"/>
        <v>35.71</v>
      </c>
      <c r="BH89" s="883">
        <f t="shared" si="42"/>
        <v>0</v>
      </c>
      <c r="BI89" s="883">
        <f t="shared" si="43"/>
        <v>0</v>
      </c>
      <c r="BJ89" s="883">
        <f t="shared" si="44"/>
        <v>0</v>
      </c>
      <c r="BK89" s="883">
        <f t="shared" si="45"/>
        <v>0</v>
      </c>
      <c r="BL89" s="883">
        <f t="shared" si="46"/>
        <v>5.36</v>
      </c>
      <c r="BM89" s="881"/>
      <c r="BN89" s="880"/>
      <c r="BO89" s="882" t="s">
        <v>1579</v>
      </c>
      <c r="BP89" s="882" t="s">
        <v>2286</v>
      </c>
      <c r="BQ89" s="882" t="s">
        <v>2285</v>
      </c>
      <c r="BR89" s="880"/>
      <c r="BS89" s="880"/>
      <c r="BT89" s="880"/>
      <c r="BU89" s="880"/>
      <c r="BV89" s="880"/>
      <c r="BW89" s="883">
        <v>0</v>
      </c>
      <c r="BX89" s="883">
        <v>0</v>
      </c>
      <c r="BY89" s="883">
        <v>0</v>
      </c>
      <c r="BZ89" s="890"/>
      <c r="CA89" s="883">
        <f t="shared" si="47"/>
        <v>0</v>
      </c>
      <c r="CB89" s="880"/>
      <c r="CC89" s="881"/>
      <c r="CD89" s="883"/>
      <c r="CE89" s="883"/>
      <c r="CF89" s="883"/>
      <c r="CG89" s="883"/>
      <c r="CH89" s="883"/>
      <c r="CI89" s="883"/>
      <c r="CJ89" s="883"/>
      <c r="CK89" s="883"/>
      <c r="CL89" s="883"/>
      <c r="CM89" s="883"/>
      <c r="CN89" s="883"/>
      <c r="CO89" s="883"/>
      <c r="CP89" s="883"/>
      <c r="CQ89" s="883"/>
      <c r="CR89" s="883"/>
      <c r="CS89" s="883"/>
      <c r="CT89" s="883"/>
      <c r="CU89" s="883"/>
    </row>
    <row r="90" spans="1:99" x14ac:dyDescent="0.25">
      <c r="A90" s="880" t="s">
        <v>1787</v>
      </c>
      <c r="B90" s="881" t="s">
        <v>1788</v>
      </c>
      <c r="C90" s="880" t="s">
        <v>2724</v>
      </c>
      <c r="D90" s="880"/>
      <c r="E90" s="884" t="s">
        <v>744</v>
      </c>
      <c r="F90" s="888">
        <v>1</v>
      </c>
      <c r="G90" s="881" t="s">
        <v>1007</v>
      </c>
      <c r="H90" s="881" t="s">
        <v>19</v>
      </c>
      <c r="I90" s="865">
        <v>46142</v>
      </c>
      <c r="J90" s="882" t="s">
        <v>8</v>
      </c>
      <c r="K90" s="880"/>
      <c r="L90" s="880"/>
      <c r="M90" s="883">
        <v>0</v>
      </c>
      <c r="N90" s="883">
        <v>0</v>
      </c>
      <c r="O90" s="883">
        <v>0</v>
      </c>
      <c r="P90" s="883">
        <v>4.46</v>
      </c>
      <c r="Q90" s="883">
        <v>15</v>
      </c>
      <c r="R90" s="883">
        <f t="shared" si="32"/>
        <v>0.67</v>
      </c>
      <c r="S90" s="883">
        <v>0</v>
      </c>
      <c r="T90" s="883">
        <v>5</v>
      </c>
      <c r="U90" s="883">
        <f t="shared" si="33"/>
        <v>0</v>
      </c>
      <c r="V90" s="883">
        <v>0</v>
      </c>
      <c r="W90" s="883">
        <v>8</v>
      </c>
      <c r="X90" s="883">
        <f t="shared" si="34"/>
        <v>0</v>
      </c>
      <c r="Y90" s="883">
        <v>0</v>
      </c>
      <c r="Z90" s="883">
        <v>0</v>
      </c>
      <c r="AA90" s="883">
        <v>0</v>
      </c>
      <c r="AB90" s="883">
        <f t="shared" si="35"/>
        <v>5.13</v>
      </c>
      <c r="AC90" s="883">
        <v>0</v>
      </c>
      <c r="AD90" s="881"/>
      <c r="AE90" s="880"/>
      <c r="AF90" s="883"/>
      <c r="AG90" s="889"/>
      <c r="AH90" s="880"/>
      <c r="AI90" s="880" t="s">
        <v>1241</v>
      </c>
      <c r="AJ90" s="884">
        <v>411</v>
      </c>
      <c r="AK90" s="883">
        <f t="shared" si="36"/>
        <v>4.46</v>
      </c>
      <c r="AL90" s="884">
        <v>413</v>
      </c>
      <c r="AM90" s="883">
        <f t="shared" si="37"/>
        <v>0</v>
      </c>
      <c r="AN90" s="884">
        <v>441</v>
      </c>
      <c r="AO90" s="883">
        <f t="shared" si="38"/>
        <v>0</v>
      </c>
      <c r="AP90" s="881"/>
      <c r="AQ90" s="881"/>
      <c r="AR90" s="883">
        <v>0</v>
      </c>
      <c r="AS90" s="883">
        <v>0</v>
      </c>
      <c r="AT90" s="883">
        <v>0</v>
      </c>
      <c r="AU90" s="880"/>
      <c r="AV90" s="886"/>
      <c r="AW90" s="880"/>
      <c r="AX90" s="886"/>
      <c r="AY90" s="880"/>
      <c r="AZ90" s="880"/>
      <c r="BA90" s="881"/>
      <c r="BB90" s="881" t="s">
        <v>57</v>
      </c>
      <c r="BC90" s="881"/>
      <c r="BD90" s="881"/>
      <c r="BE90" s="884">
        <f t="shared" si="39"/>
        <v>4</v>
      </c>
      <c r="BF90" s="887" t="str">
        <f t="shared" si="40"/>
        <v>SI</v>
      </c>
      <c r="BG90" s="883">
        <f t="shared" si="41"/>
        <v>4.46</v>
      </c>
      <c r="BH90" s="883">
        <f t="shared" si="42"/>
        <v>0</v>
      </c>
      <c r="BI90" s="883">
        <f t="shared" si="43"/>
        <v>0</v>
      </c>
      <c r="BJ90" s="883">
        <f t="shared" si="44"/>
        <v>0</v>
      </c>
      <c r="BK90" s="883">
        <f t="shared" si="45"/>
        <v>0</v>
      </c>
      <c r="BL90" s="883">
        <f t="shared" si="46"/>
        <v>0.67</v>
      </c>
      <c r="BM90" s="881"/>
      <c r="BN90" s="880"/>
      <c r="BO90" s="882" t="s">
        <v>1579</v>
      </c>
      <c r="BP90" s="882" t="s">
        <v>2286</v>
      </c>
      <c r="BQ90" s="882" t="s">
        <v>2285</v>
      </c>
      <c r="BR90" s="880"/>
      <c r="BS90" s="880"/>
      <c r="BT90" s="880"/>
      <c r="BU90" s="880"/>
      <c r="BV90" s="880"/>
      <c r="BW90" s="883">
        <v>0</v>
      </c>
      <c r="BX90" s="883">
        <v>0</v>
      </c>
      <c r="BY90" s="883">
        <v>0</v>
      </c>
      <c r="BZ90" s="890"/>
      <c r="CA90" s="883">
        <f t="shared" si="47"/>
        <v>0</v>
      </c>
      <c r="CB90" s="880"/>
      <c r="CC90" s="881"/>
      <c r="CD90" s="883"/>
      <c r="CE90" s="883"/>
      <c r="CF90" s="883"/>
      <c r="CG90" s="883"/>
      <c r="CH90" s="883"/>
      <c r="CI90" s="883"/>
      <c r="CJ90" s="883"/>
      <c r="CK90" s="883"/>
      <c r="CL90" s="883"/>
      <c r="CM90" s="883"/>
      <c r="CN90" s="883"/>
      <c r="CO90" s="883"/>
      <c r="CP90" s="883"/>
      <c r="CQ90" s="883"/>
      <c r="CR90" s="883"/>
      <c r="CS90" s="883"/>
      <c r="CT90" s="883"/>
      <c r="CU90" s="883"/>
    </row>
    <row r="91" spans="1:99" x14ac:dyDescent="0.25">
      <c r="A91" s="880" t="s">
        <v>1787</v>
      </c>
      <c r="B91" s="881" t="s">
        <v>1788</v>
      </c>
      <c r="C91" s="880" t="s">
        <v>2725</v>
      </c>
      <c r="D91" s="880"/>
      <c r="E91" s="884" t="s">
        <v>744</v>
      </c>
      <c r="F91" s="888">
        <v>1</v>
      </c>
      <c r="G91" s="881" t="s">
        <v>1007</v>
      </c>
      <c r="H91" s="881" t="s">
        <v>19</v>
      </c>
      <c r="I91" s="865">
        <v>46142</v>
      </c>
      <c r="J91" s="882" t="s">
        <v>8</v>
      </c>
      <c r="K91" s="880"/>
      <c r="L91" s="880"/>
      <c r="M91" s="883">
        <v>0</v>
      </c>
      <c r="N91" s="883">
        <v>0</v>
      </c>
      <c r="O91" s="883">
        <v>0</v>
      </c>
      <c r="P91" s="883">
        <v>13.04</v>
      </c>
      <c r="Q91" s="883">
        <v>15</v>
      </c>
      <c r="R91" s="883">
        <f t="shared" si="32"/>
        <v>1.96</v>
      </c>
      <c r="S91" s="883">
        <v>0</v>
      </c>
      <c r="T91" s="883">
        <v>5</v>
      </c>
      <c r="U91" s="883">
        <f t="shared" si="33"/>
        <v>0</v>
      </c>
      <c r="V91" s="883">
        <v>0</v>
      </c>
      <c r="W91" s="883">
        <v>8</v>
      </c>
      <c r="X91" s="883">
        <f t="shared" si="34"/>
        <v>0</v>
      </c>
      <c r="Y91" s="883">
        <v>0</v>
      </c>
      <c r="Z91" s="883">
        <v>0</v>
      </c>
      <c r="AA91" s="883">
        <v>0</v>
      </c>
      <c r="AB91" s="883">
        <f t="shared" si="35"/>
        <v>15</v>
      </c>
      <c r="AC91" s="883">
        <v>0</v>
      </c>
      <c r="AD91" s="881"/>
      <c r="AE91" s="880"/>
      <c r="AF91" s="883"/>
      <c r="AG91" s="889"/>
      <c r="AH91" s="880"/>
      <c r="AI91" s="880" t="s">
        <v>1241</v>
      </c>
      <c r="AJ91" s="884">
        <v>411</v>
      </c>
      <c r="AK91" s="883">
        <f t="shared" si="36"/>
        <v>13.04</v>
      </c>
      <c r="AL91" s="884">
        <v>413</v>
      </c>
      <c r="AM91" s="883">
        <f t="shared" si="37"/>
        <v>0</v>
      </c>
      <c r="AN91" s="884">
        <v>441</v>
      </c>
      <c r="AO91" s="883">
        <f t="shared" si="38"/>
        <v>0</v>
      </c>
      <c r="AP91" s="881"/>
      <c r="AQ91" s="881"/>
      <c r="AR91" s="883">
        <v>0</v>
      </c>
      <c r="AS91" s="883">
        <v>0</v>
      </c>
      <c r="AT91" s="883">
        <v>0</v>
      </c>
      <c r="AU91" s="880"/>
      <c r="AV91" s="886"/>
      <c r="AW91" s="880"/>
      <c r="AX91" s="886"/>
      <c r="AY91" s="880"/>
      <c r="AZ91" s="880"/>
      <c r="BA91" s="881"/>
      <c r="BB91" s="881" t="s">
        <v>57</v>
      </c>
      <c r="BC91" s="881"/>
      <c r="BD91" s="881"/>
      <c r="BE91" s="884">
        <f t="shared" si="39"/>
        <v>4</v>
      </c>
      <c r="BF91" s="887" t="str">
        <f t="shared" si="40"/>
        <v>SI</v>
      </c>
      <c r="BG91" s="883">
        <f t="shared" si="41"/>
        <v>13.04</v>
      </c>
      <c r="BH91" s="883">
        <f t="shared" si="42"/>
        <v>0</v>
      </c>
      <c r="BI91" s="883">
        <f t="shared" si="43"/>
        <v>0</v>
      </c>
      <c r="BJ91" s="883">
        <f t="shared" si="44"/>
        <v>0</v>
      </c>
      <c r="BK91" s="883">
        <f t="shared" si="45"/>
        <v>0</v>
      </c>
      <c r="BL91" s="883">
        <f t="shared" si="46"/>
        <v>1.96</v>
      </c>
      <c r="BM91" s="881"/>
      <c r="BN91" s="880"/>
      <c r="BO91" s="882" t="s">
        <v>1579</v>
      </c>
      <c r="BP91" s="882" t="s">
        <v>2286</v>
      </c>
      <c r="BQ91" s="882" t="s">
        <v>2285</v>
      </c>
      <c r="BR91" s="880"/>
      <c r="BS91" s="880"/>
      <c r="BT91" s="880"/>
      <c r="BU91" s="880"/>
      <c r="BV91" s="880"/>
      <c r="BW91" s="883">
        <v>0</v>
      </c>
      <c r="BX91" s="883">
        <v>0</v>
      </c>
      <c r="BY91" s="883">
        <v>0</v>
      </c>
      <c r="BZ91" s="890"/>
      <c r="CA91" s="883">
        <f t="shared" si="47"/>
        <v>0</v>
      </c>
      <c r="CB91" s="880"/>
      <c r="CC91" s="881"/>
      <c r="CD91" s="883"/>
      <c r="CE91" s="883"/>
      <c r="CF91" s="883"/>
      <c r="CG91" s="883"/>
      <c r="CH91" s="883"/>
      <c r="CI91" s="883"/>
      <c r="CJ91" s="883"/>
      <c r="CK91" s="883"/>
      <c r="CL91" s="883"/>
      <c r="CM91" s="883"/>
      <c r="CN91" s="883"/>
      <c r="CO91" s="883"/>
      <c r="CP91" s="883"/>
      <c r="CQ91" s="883"/>
      <c r="CR91" s="883"/>
      <c r="CS91" s="883"/>
      <c r="CT91" s="883"/>
      <c r="CU91" s="883"/>
    </row>
    <row r="92" spans="1:99" x14ac:dyDescent="0.25">
      <c r="A92" s="880" t="s">
        <v>1787</v>
      </c>
      <c r="B92" s="881" t="s">
        <v>1788</v>
      </c>
      <c r="C92" s="880" t="s">
        <v>2726</v>
      </c>
      <c r="D92" s="880"/>
      <c r="E92" s="884" t="s">
        <v>744</v>
      </c>
      <c r="F92" s="888">
        <v>1</v>
      </c>
      <c r="G92" s="881" t="s">
        <v>1007</v>
      </c>
      <c r="H92" s="881" t="s">
        <v>19</v>
      </c>
      <c r="I92" s="865">
        <v>46142</v>
      </c>
      <c r="J92" s="882" t="s">
        <v>8</v>
      </c>
      <c r="K92" s="880"/>
      <c r="L92" s="880"/>
      <c r="M92" s="883">
        <v>0</v>
      </c>
      <c r="N92" s="883">
        <v>0</v>
      </c>
      <c r="O92" s="883">
        <v>0</v>
      </c>
      <c r="P92" s="883">
        <v>22.32</v>
      </c>
      <c r="Q92" s="883">
        <v>15</v>
      </c>
      <c r="R92" s="883">
        <f t="shared" si="32"/>
        <v>3.35</v>
      </c>
      <c r="S92" s="883">
        <v>0</v>
      </c>
      <c r="T92" s="883">
        <v>5</v>
      </c>
      <c r="U92" s="883">
        <f t="shared" si="33"/>
        <v>0</v>
      </c>
      <c r="V92" s="883">
        <v>0</v>
      </c>
      <c r="W92" s="883">
        <v>8</v>
      </c>
      <c r="X92" s="883">
        <f t="shared" si="34"/>
        <v>0</v>
      </c>
      <c r="Y92" s="883">
        <v>0</v>
      </c>
      <c r="Z92" s="883">
        <v>0</v>
      </c>
      <c r="AA92" s="883">
        <v>0</v>
      </c>
      <c r="AB92" s="883">
        <f t="shared" si="35"/>
        <v>25.67</v>
      </c>
      <c r="AC92" s="883">
        <v>0</v>
      </c>
      <c r="AD92" s="881"/>
      <c r="AE92" s="880"/>
      <c r="AF92" s="883"/>
      <c r="AG92" s="889"/>
      <c r="AH92" s="880"/>
      <c r="AI92" s="880" t="s">
        <v>1241</v>
      </c>
      <c r="AJ92" s="884">
        <v>411</v>
      </c>
      <c r="AK92" s="883">
        <f t="shared" si="36"/>
        <v>22.32</v>
      </c>
      <c r="AL92" s="884">
        <v>413</v>
      </c>
      <c r="AM92" s="883">
        <f t="shared" si="37"/>
        <v>0</v>
      </c>
      <c r="AN92" s="884">
        <v>441</v>
      </c>
      <c r="AO92" s="883">
        <f t="shared" si="38"/>
        <v>0</v>
      </c>
      <c r="AP92" s="881"/>
      <c r="AQ92" s="881"/>
      <c r="AR92" s="883">
        <v>0</v>
      </c>
      <c r="AS92" s="883">
        <v>0</v>
      </c>
      <c r="AT92" s="883">
        <v>0</v>
      </c>
      <c r="AU92" s="880"/>
      <c r="AV92" s="886"/>
      <c r="AW92" s="880"/>
      <c r="AX92" s="886"/>
      <c r="AY92" s="880"/>
      <c r="AZ92" s="880"/>
      <c r="BA92" s="881"/>
      <c r="BB92" s="881" t="s">
        <v>57</v>
      </c>
      <c r="BC92" s="881"/>
      <c r="BD92" s="881"/>
      <c r="BE92" s="884">
        <f t="shared" si="39"/>
        <v>4</v>
      </c>
      <c r="BF92" s="887" t="str">
        <f t="shared" si="40"/>
        <v>SI</v>
      </c>
      <c r="BG92" s="883">
        <f t="shared" si="41"/>
        <v>22.32</v>
      </c>
      <c r="BH92" s="883">
        <f t="shared" si="42"/>
        <v>0</v>
      </c>
      <c r="BI92" s="883">
        <f t="shared" si="43"/>
        <v>0</v>
      </c>
      <c r="BJ92" s="883">
        <f t="shared" si="44"/>
        <v>0</v>
      </c>
      <c r="BK92" s="883">
        <f t="shared" si="45"/>
        <v>0</v>
      </c>
      <c r="BL92" s="883">
        <f t="shared" si="46"/>
        <v>3.35</v>
      </c>
      <c r="BM92" s="881"/>
      <c r="BN92" s="880"/>
      <c r="BO92" s="882" t="s">
        <v>1579</v>
      </c>
      <c r="BP92" s="882" t="s">
        <v>2286</v>
      </c>
      <c r="BQ92" s="882" t="s">
        <v>2285</v>
      </c>
      <c r="BR92" s="880"/>
      <c r="BS92" s="880"/>
      <c r="BT92" s="880"/>
      <c r="BU92" s="880"/>
      <c r="BV92" s="880"/>
      <c r="BW92" s="883">
        <v>0</v>
      </c>
      <c r="BX92" s="883">
        <v>0</v>
      </c>
      <c r="BY92" s="883">
        <v>0</v>
      </c>
      <c r="BZ92" s="890"/>
      <c r="CA92" s="883">
        <f t="shared" si="47"/>
        <v>0</v>
      </c>
      <c r="CB92" s="880"/>
      <c r="CC92" s="881"/>
      <c r="CD92" s="883"/>
      <c r="CE92" s="883"/>
      <c r="CF92" s="883"/>
      <c r="CG92" s="883"/>
      <c r="CH92" s="883"/>
      <c r="CI92" s="883"/>
      <c r="CJ92" s="883"/>
      <c r="CK92" s="883"/>
      <c r="CL92" s="883"/>
      <c r="CM92" s="883"/>
      <c r="CN92" s="883"/>
      <c r="CO92" s="883"/>
      <c r="CP92" s="883"/>
      <c r="CQ92" s="883"/>
      <c r="CR92" s="883"/>
      <c r="CS92" s="883"/>
      <c r="CT92" s="883"/>
      <c r="CU92" s="883"/>
    </row>
    <row r="93" spans="1:99" x14ac:dyDescent="0.25">
      <c r="A93" s="880" t="s">
        <v>1787</v>
      </c>
      <c r="B93" s="881" t="s">
        <v>1788</v>
      </c>
      <c r="C93" s="880" t="s">
        <v>2727</v>
      </c>
      <c r="D93" s="880"/>
      <c r="E93" s="884" t="s">
        <v>744</v>
      </c>
      <c r="F93" s="888">
        <v>1</v>
      </c>
      <c r="G93" s="881" t="s">
        <v>1007</v>
      </c>
      <c r="H93" s="881" t="s">
        <v>19</v>
      </c>
      <c r="I93" s="865">
        <v>46142</v>
      </c>
      <c r="J93" s="882" t="s">
        <v>8</v>
      </c>
      <c r="K93" s="880"/>
      <c r="L93" s="880"/>
      <c r="M93" s="883">
        <v>0</v>
      </c>
      <c r="N93" s="883">
        <v>0</v>
      </c>
      <c r="O93" s="883">
        <v>0</v>
      </c>
      <c r="P93" s="883">
        <v>21.73</v>
      </c>
      <c r="Q93" s="883">
        <v>15</v>
      </c>
      <c r="R93" s="883">
        <f t="shared" si="32"/>
        <v>3.26</v>
      </c>
      <c r="S93" s="883">
        <v>0</v>
      </c>
      <c r="T93" s="883">
        <v>5</v>
      </c>
      <c r="U93" s="883">
        <f t="shared" si="33"/>
        <v>0</v>
      </c>
      <c r="V93" s="883">
        <v>0</v>
      </c>
      <c r="W93" s="883">
        <v>8</v>
      </c>
      <c r="X93" s="883">
        <f t="shared" si="34"/>
        <v>0</v>
      </c>
      <c r="Y93" s="883">
        <v>0</v>
      </c>
      <c r="Z93" s="883">
        <v>0</v>
      </c>
      <c r="AA93" s="883">
        <v>0</v>
      </c>
      <c r="AB93" s="883">
        <f t="shared" si="35"/>
        <v>24.99</v>
      </c>
      <c r="AC93" s="883">
        <v>0</v>
      </c>
      <c r="AD93" s="881"/>
      <c r="AE93" s="880"/>
      <c r="AF93" s="883"/>
      <c r="AG93" s="889"/>
      <c r="AH93" s="880"/>
      <c r="AI93" s="880" t="s">
        <v>1241</v>
      </c>
      <c r="AJ93" s="884">
        <v>411</v>
      </c>
      <c r="AK93" s="883">
        <f t="shared" si="36"/>
        <v>21.73</v>
      </c>
      <c r="AL93" s="884">
        <v>413</v>
      </c>
      <c r="AM93" s="883">
        <f t="shared" si="37"/>
        <v>0</v>
      </c>
      <c r="AN93" s="884">
        <v>441</v>
      </c>
      <c r="AO93" s="883">
        <f t="shared" si="38"/>
        <v>0</v>
      </c>
      <c r="AP93" s="881"/>
      <c r="AQ93" s="881"/>
      <c r="AR93" s="883">
        <v>0</v>
      </c>
      <c r="AS93" s="883">
        <v>0</v>
      </c>
      <c r="AT93" s="883">
        <v>0</v>
      </c>
      <c r="AU93" s="880"/>
      <c r="AV93" s="886"/>
      <c r="AW93" s="880"/>
      <c r="AX93" s="886"/>
      <c r="AY93" s="880"/>
      <c r="AZ93" s="880"/>
      <c r="BA93" s="881"/>
      <c r="BB93" s="881" t="s">
        <v>57</v>
      </c>
      <c r="BC93" s="881"/>
      <c r="BD93" s="881"/>
      <c r="BE93" s="884">
        <f t="shared" si="39"/>
        <v>4</v>
      </c>
      <c r="BF93" s="887" t="str">
        <f t="shared" si="40"/>
        <v>SI</v>
      </c>
      <c r="BG93" s="883">
        <f t="shared" si="41"/>
        <v>21.73</v>
      </c>
      <c r="BH93" s="883">
        <f t="shared" si="42"/>
        <v>0</v>
      </c>
      <c r="BI93" s="883">
        <f t="shared" si="43"/>
        <v>0</v>
      </c>
      <c r="BJ93" s="883">
        <f t="shared" si="44"/>
        <v>0</v>
      </c>
      <c r="BK93" s="883">
        <f t="shared" si="45"/>
        <v>0</v>
      </c>
      <c r="BL93" s="883">
        <f t="shared" si="46"/>
        <v>3.26</v>
      </c>
      <c r="BM93" s="881"/>
      <c r="BN93" s="880"/>
      <c r="BO93" s="882" t="s">
        <v>1579</v>
      </c>
      <c r="BP93" s="882" t="s">
        <v>2286</v>
      </c>
      <c r="BQ93" s="882" t="s">
        <v>2285</v>
      </c>
      <c r="BR93" s="880"/>
      <c r="BS93" s="880"/>
      <c r="BT93" s="880"/>
      <c r="BU93" s="880"/>
      <c r="BV93" s="880"/>
      <c r="BW93" s="883">
        <v>0</v>
      </c>
      <c r="BX93" s="883">
        <v>0</v>
      </c>
      <c r="BY93" s="883">
        <v>0</v>
      </c>
      <c r="BZ93" s="890"/>
      <c r="CA93" s="883">
        <f t="shared" si="47"/>
        <v>0</v>
      </c>
      <c r="CB93" s="880"/>
      <c r="CC93" s="881"/>
      <c r="CD93" s="883"/>
      <c r="CE93" s="883"/>
      <c r="CF93" s="883"/>
      <c r="CG93" s="883"/>
      <c r="CH93" s="883"/>
      <c r="CI93" s="883"/>
      <c r="CJ93" s="883"/>
      <c r="CK93" s="883"/>
      <c r="CL93" s="883"/>
      <c r="CM93" s="883"/>
      <c r="CN93" s="883"/>
      <c r="CO93" s="883"/>
      <c r="CP93" s="883"/>
      <c r="CQ93" s="883"/>
      <c r="CR93" s="883"/>
      <c r="CS93" s="883"/>
      <c r="CT93" s="883"/>
      <c r="CU93" s="883"/>
    </row>
    <row r="94" spans="1:99" x14ac:dyDescent="0.25">
      <c r="A94" s="880" t="s">
        <v>1787</v>
      </c>
      <c r="B94" s="881" t="s">
        <v>1788</v>
      </c>
      <c r="C94" s="880" t="s">
        <v>2728</v>
      </c>
      <c r="D94" s="880"/>
      <c r="E94" s="884" t="s">
        <v>744</v>
      </c>
      <c r="F94" s="888">
        <v>1</v>
      </c>
      <c r="G94" s="881" t="s">
        <v>1007</v>
      </c>
      <c r="H94" s="881" t="s">
        <v>19</v>
      </c>
      <c r="I94" s="865">
        <v>46142</v>
      </c>
      <c r="J94" s="882" t="s">
        <v>8</v>
      </c>
      <c r="K94" s="880"/>
      <c r="L94" s="880"/>
      <c r="M94" s="883">
        <v>0</v>
      </c>
      <c r="N94" s="883">
        <v>0</v>
      </c>
      <c r="O94" s="883">
        <v>0</v>
      </c>
      <c r="P94" s="883">
        <v>17.39</v>
      </c>
      <c r="Q94" s="883">
        <v>15</v>
      </c>
      <c r="R94" s="883">
        <f t="shared" si="32"/>
        <v>2.61</v>
      </c>
      <c r="S94" s="883">
        <v>0</v>
      </c>
      <c r="T94" s="883">
        <v>5</v>
      </c>
      <c r="U94" s="883">
        <f t="shared" si="33"/>
        <v>0</v>
      </c>
      <c r="V94" s="883">
        <v>0</v>
      </c>
      <c r="W94" s="883">
        <v>8</v>
      </c>
      <c r="X94" s="883">
        <f t="shared" si="34"/>
        <v>0</v>
      </c>
      <c r="Y94" s="883">
        <v>0</v>
      </c>
      <c r="Z94" s="883">
        <v>0</v>
      </c>
      <c r="AA94" s="883">
        <v>0</v>
      </c>
      <c r="AB94" s="883">
        <f t="shared" si="35"/>
        <v>20</v>
      </c>
      <c r="AC94" s="883">
        <v>0</v>
      </c>
      <c r="AD94" s="881"/>
      <c r="AE94" s="880"/>
      <c r="AF94" s="883"/>
      <c r="AG94" s="889"/>
      <c r="AH94" s="880"/>
      <c r="AI94" s="880" t="s">
        <v>1241</v>
      </c>
      <c r="AJ94" s="884">
        <v>411</v>
      </c>
      <c r="AK94" s="883">
        <f t="shared" si="36"/>
        <v>17.39</v>
      </c>
      <c r="AL94" s="884">
        <v>413</v>
      </c>
      <c r="AM94" s="883">
        <f t="shared" si="37"/>
        <v>0</v>
      </c>
      <c r="AN94" s="884">
        <v>441</v>
      </c>
      <c r="AO94" s="883">
        <f t="shared" si="38"/>
        <v>0</v>
      </c>
      <c r="AP94" s="881"/>
      <c r="AQ94" s="881"/>
      <c r="AR94" s="883">
        <v>0</v>
      </c>
      <c r="AS94" s="883">
        <v>0</v>
      </c>
      <c r="AT94" s="883">
        <v>0</v>
      </c>
      <c r="AU94" s="880"/>
      <c r="AV94" s="886"/>
      <c r="AW94" s="880"/>
      <c r="AX94" s="886"/>
      <c r="AY94" s="880"/>
      <c r="AZ94" s="880"/>
      <c r="BA94" s="881"/>
      <c r="BB94" s="881" t="s">
        <v>57</v>
      </c>
      <c r="BC94" s="881"/>
      <c r="BD94" s="881"/>
      <c r="BE94" s="884">
        <f t="shared" si="39"/>
        <v>4</v>
      </c>
      <c r="BF94" s="887" t="str">
        <f t="shared" si="40"/>
        <v>SI</v>
      </c>
      <c r="BG94" s="883">
        <f t="shared" si="41"/>
        <v>17.39</v>
      </c>
      <c r="BH94" s="883">
        <f t="shared" si="42"/>
        <v>0</v>
      </c>
      <c r="BI94" s="883">
        <f t="shared" si="43"/>
        <v>0</v>
      </c>
      <c r="BJ94" s="883">
        <f t="shared" si="44"/>
        <v>0</v>
      </c>
      <c r="BK94" s="883">
        <f t="shared" si="45"/>
        <v>0</v>
      </c>
      <c r="BL94" s="883">
        <f t="shared" si="46"/>
        <v>2.61</v>
      </c>
      <c r="BM94" s="881"/>
      <c r="BN94" s="880"/>
      <c r="BO94" s="882" t="s">
        <v>1579</v>
      </c>
      <c r="BP94" s="882" t="s">
        <v>2286</v>
      </c>
      <c r="BQ94" s="882" t="s">
        <v>2285</v>
      </c>
      <c r="BR94" s="880"/>
      <c r="BS94" s="880"/>
      <c r="BT94" s="880"/>
      <c r="BU94" s="880"/>
      <c r="BV94" s="880"/>
      <c r="BW94" s="883">
        <v>0</v>
      </c>
      <c r="BX94" s="883">
        <v>0</v>
      </c>
      <c r="BY94" s="883">
        <v>0</v>
      </c>
      <c r="BZ94" s="890"/>
      <c r="CA94" s="883">
        <f t="shared" si="47"/>
        <v>0</v>
      </c>
      <c r="CB94" s="880"/>
      <c r="CC94" s="881"/>
      <c r="CD94" s="883"/>
      <c r="CE94" s="883"/>
      <c r="CF94" s="883"/>
      <c r="CG94" s="883"/>
      <c r="CH94" s="883"/>
      <c r="CI94" s="883"/>
      <c r="CJ94" s="883"/>
      <c r="CK94" s="883"/>
      <c r="CL94" s="883"/>
      <c r="CM94" s="883"/>
      <c r="CN94" s="883"/>
      <c r="CO94" s="883"/>
      <c r="CP94" s="883"/>
      <c r="CQ94" s="883"/>
      <c r="CR94" s="883"/>
      <c r="CS94" s="883"/>
      <c r="CT94" s="883"/>
      <c r="CU94" s="883"/>
    </row>
    <row r="95" spans="1:99" x14ac:dyDescent="0.25">
      <c r="A95" s="880" t="s">
        <v>1787</v>
      </c>
      <c r="B95" s="881" t="s">
        <v>1788</v>
      </c>
      <c r="C95" s="880" t="s">
        <v>2729</v>
      </c>
      <c r="D95" s="880"/>
      <c r="E95" s="884" t="s">
        <v>744</v>
      </c>
      <c r="F95" s="888">
        <v>1</v>
      </c>
      <c r="G95" s="881" t="s">
        <v>1007</v>
      </c>
      <c r="H95" s="881" t="s">
        <v>19</v>
      </c>
      <c r="I95" s="865">
        <v>46142</v>
      </c>
      <c r="J95" s="882" t="s">
        <v>8</v>
      </c>
      <c r="K95" s="880"/>
      <c r="L95" s="880"/>
      <c r="M95" s="883">
        <v>0</v>
      </c>
      <c r="N95" s="883">
        <v>0</v>
      </c>
      <c r="O95" s="883">
        <v>0</v>
      </c>
      <c r="P95" s="883">
        <v>17.86</v>
      </c>
      <c r="Q95" s="883">
        <v>15</v>
      </c>
      <c r="R95" s="883">
        <f t="shared" si="32"/>
        <v>2.68</v>
      </c>
      <c r="S95" s="883">
        <v>0</v>
      </c>
      <c r="T95" s="883">
        <v>5</v>
      </c>
      <c r="U95" s="883">
        <f t="shared" si="33"/>
        <v>0</v>
      </c>
      <c r="V95" s="883">
        <v>0</v>
      </c>
      <c r="W95" s="883">
        <v>8</v>
      </c>
      <c r="X95" s="883">
        <f t="shared" si="34"/>
        <v>0</v>
      </c>
      <c r="Y95" s="883">
        <v>0</v>
      </c>
      <c r="Z95" s="883">
        <v>0</v>
      </c>
      <c r="AA95" s="883">
        <v>0</v>
      </c>
      <c r="AB95" s="883">
        <f t="shared" si="35"/>
        <v>20.54</v>
      </c>
      <c r="AC95" s="883">
        <v>0</v>
      </c>
      <c r="AD95" s="881"/>
      <c r="AE95" s="880"/>
      <c r="AF95" s="883"/>
      <c r="AG95" s="889"/>
      <c r="AH95" s="880"/>
      <c r="AI95" s="880" t="s">
        <v>1241</v>
      </c>
      <c r="AJ95" s="884">
        <v>411</v>
      </c>
      <c r="AK95" s="883">
        <f t="shared" si="36"/>
        <v>17.86</v>
      </c>
      <c r="AL95" s="884">
        <v>413</v>
      </c>
      <c r="AM95" s="883">
        <f t="shared" si="37"/>
        <v>0</v>
      </c>
      <c r="AN95" s="884">
        <v>441</v>
      </c>
      <c r="AO95" s="883">
        <f t="shared" si="38"/>
        <v>0</v>
      </c>
      <c r="AP95" s="881"/>
      <c r="AQ95" s="881"/>
      <c r="AR95" s="883">
        <v>0</v>
      </c>
      <c r="AS95" s="883">
        <v>0</v>
      </c>
      <c r="AT95" s="883">
        <v>0</v>
      </c>
      <c r="AU95" s="880"/>
      <c r="AV95" s="886"/>
      <c r="AW95" s="880"/>
      <c r="AX95" s="886"/>
      <c r="AY95" s="880"/>
      <c r="AZ95" s="880"/>
      <c r="BA95" s="881"/>
      <c r="BB95" s="881" t="s">
        <v>57</v>
      </c>
      <c r="BC95" s="881"/>
      <c r="BD95" s="881"/>
      <c r="BE95" s="884">
        <f t="shared" si="39"/>
        <v>4</v>
      </c>
      <c r="BF95" s="887" t="str">
        <f t="shared" si="40"/>
        <v>SI</v>
      </c>
      <c r="BG95" s="883">
        <f t="shared" si="41"/>
        <v>17.86</v>
      </c>
      <c r="BH95" s="883">
        <f t="shared" si="42"/>
        <v>0</v>
      </c>
      <c r="BI95" s="883">
        <f t="shared" si="43"/>
        <v>0</v>
      </c>
      <c r="BJ95" s="883">
        <f t="shared" si="44"/>
        <v>0</v>
      </c>
      <c r="BK95" s="883">
        <f t="shared" si="45"/>
        <v>0</v>
      </c>
      <c r="BL95" s="883">
        <f t="shared" si="46"/>
        <v>2.68</v>
      </c>
      <c r="BM95" s="881"/>
      <c r="BN95" s="880"/>
      <c r="BO95" s="882" t="s">
        <v>1579</v>
      </c>
      <c r="BP95" s="882" t="s">
        <v>2286</v>
      </c>
      <c r="BQ95" s="882" t="s">
        <v>2285</v>
      </c>
      <c r="BR95" s="880"/>
      <c r="BS95" s="880"/>
      <c r="BT95" s="880"/>
      <c r="BU95" s="880"/>
      <c r="BV95" s="880"/>
      <c r="BW95" s="883">
        <v>0</v>
      </c>
      <c r="BX95" s="883">
        <v>0</v>
      </c>
      <c r="BY95" s="883">
        <v>0</v>
      </c>
      <c r="BZ95" s="890"/>
      <c r="CA95" s="883">
        <f t="shared" si="47"/>
        <v>0</v>
      </c>
      <c r="CB95" s="880"/>
      <c r="CC95" s="881"/>
      <c r="CD95" s="883"/>
      <c r="CE95" s="883"/>
      <c r="CF95" s="883"/>
      <c r="CG95" s="883"/>
      <c r="CH95" s="883"/>
      <c r="CI95" s="883"/>
      <c r="CJ95" s="883"/>
      <c r="CK95" s="883"/>
      <c r="CL95" s="883"/>
      <c r="CM95" s="883"/>
      <c r="CN95" s="883"/>
      <c r="CO95" s="883"/>
      <c r="CP95" s="883"/>
      <c r="CQ95" s="883"/>
      <c r="CR95" s="883"/>
      <c r="CS95" s="883"/>
      <c r="CT95" s="883"/>
      <c r="CU95" s="883"/>
    </row>
    <row r="96" spans="1:99" x14ac:dyDescent="0.25">
      <c r="A96" s="880" t="s">
        <v>1787</v>
      </c>
      <c r="B96" s="881" t="s">
        <v>1788</v>
      </c>
      <c r="C96" s="880" t="s">
        <v>2730</v>
      </c>
      <c r="D96" s="880"/>
      <c r="E96" s="884" t="s">
        <v>744</v>
      </c>
      <c r="F96" s="888">
        <v>1</v>
      </c>
      <c r="G96" s="881" t="s">
        <v>1007</v>
      </c>
      <c r="H96" s="881" t="s">
        <v>19</v>
      </c>
      <c r="I96" s="865">
        <v>46142</v>
      </c>
      <c r="J96" s="882" t="s">
        <v>8</v>
      </c>
      <c r="K96" s="880"/>
      <c r="L96" s="880"/>
      <c r="M96" s="883">
        <v>0</v>
      </c>
      <c r="N96" s="883">
        <v>0</v>
      </c>
      <c r="O96" s="883">
        <v>0</v>
      </c>
      <c r="P96" s="883">
        <v>26.79</v>
      </c>
      <c r="Q96" s="883">
        <v>15</v>
      </c>
      <c r="R96" s="883">
        <f t="shared" si="32"/>
        <v>4.0199999999999996</v>
      </c>
      <c r="S96" s="883">
        <v>0</v>
      </c>
      <c r="T96" s="883">
        <v>5</v>
      </c>
      <c r="U96" s="883">
        <f t="shared" si="33"/>
        <v>0</v>
      </c>
      <c r="V96" s="883">
        <v>0</v>
      </c>
      <c r="W96" s="883">
        <v>8</v>
      </c>
      <c r="X96" s="883">
        <f t="shared" si="34"/>
        <v>0</v>
      </c>
      <c r="Y96" s="883">
        <v>0</v>
      </c>
      <c r="Z96" s="883">
        <v>0</v>
      </c>
      <c r="AA96" s="883">
        <v>0</v>
      </c>
      <c r="AB96" s="883">
        <f t="shared" si="35"/>
        <v>30.81</v>
      </c>
      <c r="AC96" s="883">
        <v>0</v>
      </c>
      <c r="AD96" s="881"/>
      <c r="AE96" s="880"/>
      <c r="AF96" s="883"/>
      <c r="AG96" s="889"/>
      <c r="AH96" s="880"/>
      <c r="AI96" s="880" t="s">
        <v>1241</v>
      </c>
      <c r="AJ96" s="884">
        <v>411</v>
      </c>
      <c r="AK96" s="883">
        <f t="shared" si="36"/>
        <v>26.79</v>
      </c>
      <c r="AL96" s="884">
        <v>413</v>
      </c>
      <c r="AM96" s="883">
        <f t="shared" si="37"/>
        <v>0</v>
      </c>
      <c r="AN96" s="884">
        <v>441</v>
      </c>
      <c r="AO96" s="883">
        <f t="shared" si="38"/>
        <v>0</v>
      </c>
      <c r="AP96" s="881"/>
      <c r="AQ96" s="881"/>
      <c r="AR96" s="883">
        <v>0</v>
      </c>
      <c r="AS96" s="883">
        <v>0</v>
      </c>
      <c r="AT96" s="883">
        <v>0</v>
      </c>
      <c r="AU96" s="880"/>
      <c r="AV96" s="886"/>
      <c r="AW96" s="880"/>
      <c r="AX96" s="886"/>
      <c r="AY96" s="880"/>
      <c r="AZ96" s="880"/>
      <c r="BA96" s="881"/>
      <c r="BB96" s="881" t="s">
        <v>57</v>
      </c>
      <c r="BC96" s="881"/>
      <c r="BD96" s="881"/>
      <c r="BE96" s="884">
        <f t="shared" si="39"/>
        <v>4</v>
      </c>
      <c r="BF96" s="887" t="str">
        <f t="shared" si="40"/>
        <v>SI</v>
      </c>
      <c r="BG96" s="883">
        <f t="shared" si="41"/>
        <v>26.79</v>
      </c>
      <c r="BH96" s="883">
        <f t="shared" si="42"/>
        <v>0</v>
      </c>
      <c r="BI96" s="883">
        <f t="shared" si="43"/>
        <v>0</v>
      </c>
      <c r="BJ96" s="883">
        <f t="shared" si="44"/>
        <v>0</v>
      </c>
      <c r="BK96" s="883">
        <f t="shared" si="45"/>
        <v>0</v>
      </c>
      <c r="BL96" s="883">
        <f t="shared" si="46"/>
        <v>4.0199999999999996</v>
      </c>
      <c r="BM96" s="881"/>
      <c r="BN96" s="880"/>
      <c r="BO96" s="882" t="s">
        <v>1579</v>
      </c>
      <c r="BP96" s="882" t="s">
        <v>2286</v>
      </c>
      <c r="BQ96" s="882" t="s">
        <v>2285</v>
      </c>
      <c r="BR96" s="880"/>
      <c r="BS96" s="880"/>
      <c r="BT96" s="880"/>
      <c r="BU96" s="880"/>
      <c r="BV96" s="880"/>
      <c r="BW96" s="883">
        <v>0</v>
      </c>
      <c r="BX96" s="883">
        <v>0</v>
      </c>
      <c r="BY96" s="883">
        <v>0</v>
      </c>
      <c r="BZ96" s="890"/>
      <c r="CA96" s="883">
        <f t="shared" si="47"/>
        <v>0</v>
      </c>
      <c r="CB96" s="880"/>
      <c r="CC96" s="881"/>
      <c r="CD96" s="883"/>
      <c r="CE96" s="883"/>
      <c r="CF96" s="883"/>
      <c r="CG96" s="883"/>
      <c r="CH96" s="883"/>
      <c r="CI96" s="883"/>
      <c r="CJ96" s="883"/>
      <c r="CK96" s="883"/>
      <c r="CL96" s="883"/>
      <c r="CM96" s="883"/>
      <c r="CN96" s="883"/>
      <c r="CO96" s="883"/>
      <c r="CP96" s="883"/>
      <c r="CQ96" s="883"/>
      <c r="CR96" s="883"/>
      <c r="CS96" s="883"/>
      <c r="CT96" s="883"/>
      <c r="CU96" s="883"/>
    </row>
    <row r="97" spans="1:99" x14ac:dyDescent="0.25">
      <c r="A97" s="880" t="s">
        <v>1787</v>
      </c>
      <c r="B97" s="881" t="s">
        <v>1788</v>
      </c>
      <c r="C97" s="880" t="s">
        <v>2731</v>
      </c>
      <c r="D97" s="880"/>
      <c r="E97" s="884" t="s">
        <v>744</v>
      </c>
      <c r="F97" s="888">
        <v>1</v>
      </c>
      <c r="G97" s="881" t="s">
        <v>1007</v>
      </c>
      <c r="H97" s="881" t="s">
        <v>19</v>
      </c>
      <c r="I97" s="865">
        <v>46142</v>
      </c>
      <c r="J97" s="882" t="s">
        <v>8</v>
      </c>
      <c r="K97" s="880"/>
      <c r="L97" s="880"/>
      <c r="M97" s="883">
        <v>0</v>
      </c>
      <c r="N97" s="883">
        <v>0</v>
      </c>
      <c r="O97" s="883">
        <v>0</v>
      </c>
      <c r="P97" s="883">
        <v>13.39</v>
      </c>
      <c r="Q97" s="883">
        <v>15</v>
      </c>
      <c r="R97" s="883">
        <f t="shared" si="32"/>
        <v>2.0099999999999998</v>
      </c>
      <c r="S97" s="883">
        <v>0</v>
      </c>
      <c r="T97" s="883">
        <v>5</v>
      </c>
      <c r="U97" s="883">
        <f t="shared" si="33"/>
        <v>0</v>
      </c>
      <c r="V97" s="883">
        <v>0</v>
      </c>
      <c r="W97" s="883">
        <v>8</v>
      </c>
      <c r="X97" s="883">
        <f t="shared" si="34"/>
        <v>0</v>
      </c>
      <c r="Y97" s="883">
        <v>0</v>
      </c>
      <c r="Z97" s="883">
        <v>0</v>
      </c>
      <c r="AA97" s="883">
        <v>0</v>
      </c>
      <c r="AB97" s="883">
        <f t="shared" si="35"/>
        <v>15.4</v>
      </c>
      <c r="AC97" s="883">
        <v>0</v>
      </c>
      <c r="AD97" s="881"/>
      <c r="AE97" s="880"/>
      <c r="AF97" s="883"/>
      <c r="AG97" s="889"/>
      <c r="AH97" s="880"/>
      <c r="AI97" s="880" t="s">
        <v>1241</v>
      </c>
      <c r="AJ97" s="884">
        <v>411</v>
      </c>
      <c r="AK97" s="883">
        <f t="shared" si="36"/>
        <v>13.39</v>
      </c>
      <c r="AL97" s="884">
        <v>413</v>
      </c>
      <c r="AM97" s="883">
        <f t="shared" si="37"/>
        <v>0</v>
      </c>
      <c r="AN97" s="884">
        <v>441</v>
      </c>
      <c r="AO97" s="883">
        <f t="shared" si="38"/>
        <v>0</v>
      </c>
      <c r="AP97" s="881"/>
      <c r="AQ97" s="881"/>
      <c r="AR97" s="883">
        <v>0</v>
      </c>
      <c r="AS97" s="883">
        <v>0</v>
      </c>
      <c r="AT97" s="883">
        <v>0</v>
      </c>
      <c r="AU97" s="880"/>
      <c r="AV97" s="886"/>
      <c r="AW97" s="880"/>
      <c r="AX97" s="886"/>
      <c r="AY97" s="880"/>
      <c r="AZ97" s="880"/>
      <c r="BA97" s="881"/>
      <c r="BB97" s="881" t="s">
        <v>57</v>
      </c>
      <c r="BC97" s="881"/>
      <c r="BD97" s="881"/>
      <c r="BE97" s="884">
        <f t="shared" si="39"/>
        <v>4</v>
      </c>
      <c r="BF97" s="887" t="str">
        <f t="shared" si="40"/>
        <v>SI</v>
      </c>
      <c r="BG97" s="883">
        <f t="shared" si="41"/>
        <v>13.39</v>
      </c>
      <c r="BH97" s="883">
        <f t="shared" si="42"/>
        <v>0</v>
      </c>
      <c r="BI97" s="883">
        <f t="shared" si="43"/>
        <v>0</v>
      </c>
      <c r="BJ97" s="883">
        <f t="shared" si="44"/>
        <v>0</v>
      </c>
      <c r="BK97" s="883">
        <f t="shared" si="45"/>
        <v>0</v>
      </c>
      <c r="BL97" s="883">
        <f t="shared" si="46"/>
        <v>2.0099999999999998</v>
      </c>
      <c r="BM97" s="881"/>
      <c r="BN97" s="880"/>
      <c r="BO97" s="882" t="s">
        <v>1579</v>
      </c>
      <c r="BP97" s="882" t="s">
        <v>2286</v>
      </c>
      <c r="BQ97" s="882" t="s">
        <v>2285</v>
      </c>
      <c r="BR97" s="880"/>
      <c r="BS97" s="880"/>
      <c r="BT97" s="880"/>
      <c r="BU97" s="880"/>
      <c r="BV97" s="880"/>
      <c r="BW97" s="883">
        <v>0</v>
      </c>
      <c r="BX97" s="883">
        <v>0</v>
      </c>
      <c r="BY97" s="883">
        <v>0</v>
      </c>
      <c r="BZ97" s="890"/>
      <c r="CA97" s="883">
        <f t="shared" si="47"/>
        <v>0</v>
      </c>
      <c r="CB97" s="880"/>
      <c r="CC97" s="881"/>
      <c r="CD97" s="883"/>
      <c r="CE97" s="883"/>
      <c r="CF97" s="883"/>
      <c r="CG97" s="883"/>
      <c r="CH97" s="883"/>
      <c r="CI97" s="883"/>
      <c r="CJ97" s="883"/>
      <c r="CK97" s="883"/>
      <c r="CL97" s="883"/>
      <c r="CM97" s="883"/>
      <c r="CN97" s="883"/>
      <c r="CO97" s="883"/>
      <c r="CP97" s="883"/>
      <c r="CQ97" s="883"/>
      <c r="CR97" s="883"/>
      <c r="CS97" s="883"/>
      <c r="CT97" s="883"/>
      <c r="CU97" s="883"/>
    </row>
    <row r="98" spans="1:99" x14ac:dyDescent="0.25">
      <c r="A98" s="880" t="s">
        <v>1787</v>
      </c>
      <c r="B98" s="881" t="s">
        <v>1788</v>
      </c>
      <c r="C98" s="880" t="s">
        <v>2732</v>
      </c>
      <c r="D98" s="880"/>
      <c r="E98" s="884" t="s">
        <v>744</v>
      </c>
      <c r="F98" s="888">
        <v>1</v>
      </c>
      <c r="G98" s="881" t="s">
        <v>1007</v>
      </c>
      <c r="H98" s="881" t="s">
        <v>19</v>
      </c>
      <c r="I98" s="865">
        <v>46142</v>
      </c>
      <c r="J98" s="882" t="s">
        <v>8</v>
      </c>
      <c r="K98" s="880"/>
      <c r="L98" s="880"/>
      <c r="M98" s="883">
        <v>0</v>
      </c>
      <c r="N98" s="883">
        <v>0</v>
      </c>
      <c r="O98" s="883">
        <v>0</v>
      </c>
      <c r="P98" s="883">
        <v>17.39</v>
      </c>
      <c r="Q98" s="883">
        <v>15</v>
      </c>
      <c r="R98" s="883">
        <f t="shared" si="32"/>
        <v>2.61</v>
      </c>
      <c r="S98" s="883">
        <v>0</v>
      </c>
      <c r="T98" s="883">
        <v>5</v>
      </c>
      <c r="U98" s="883">
        <f t="shared" si="33"/>
        <v>0</v>
      </c>
      <c r="V98" s="883">
        <v>0</v>
      </c>
      <c r="W98" s="883">
        <v>8</v>
      </c>
      <c r="X98" s="883">
        <f t="shared" si="34"/>
        <v>0</v>
      </c>
      <c r="Y98" s="883">
        <v>0</v>
      </c>
      <c r="Z98" s="883">
        <v>0</v>
      </c>
      <c r="AA98" s="883">
        <v>0</v>
      </c>
      <c r="AB98" s="883">
        <f t="shared" si="35"/>
        <v>20</v>
      </c>
      <c r="AC98" s="883">
        <v>0</v>
      </c>
      <c r="AD98" s="881"/>
      <c r="AE98" s="880"/>
      <c r="AF98" s="883"/>
      <c r="AG98" s="889"/>
      <c r="AH98" s="880"/>
      <c r="AI98" s="880" t="s">
        <v>1241</v>
      </c>
      <c r="AJ98" s="884">
        <v>411</v>
      </c>
      <c r="AK98" s="883">
        <f t="shared" si="36"/>
        <v>17.39</v>
      </c>
      <c r="AL98" s="884">
        <v>413</v>
      </c>
      <c r="AM98" s="883">
        <f t="shared" si="37"/>
        <v>0</v>
      </c>
      <c r="AN98" s="884">
        <v>441</v>
      </c>
      <c r="AO98" s="883">
        <f t="shared" si="38"/>
        <v>0</v>
      </c>
      <c r="AP98" s="881"/>
      <c r="AQ98" s="881"/>
      <c r="AR98" s="883">
        <v>0</v>
      </c>
      <c r="AS98" s="883">
        <v>0</v>
      </c>
      <c r="AT98" s="883">
        <v>0</v>
      </c>
      <c r="AU98" s="880"/>
      <c r="AV98" s="886"/>
      <c r="AW98" s="880"/>
      <c r="AX98" s="886"/>
      <c r="AY98" s="880"/>
      <c r="AZ98" s="880"/>
      <c r="BA98" s="881"/>
      <c r="BB98" s="881" t="s">
        <v>57</v>
      </c>
      <c r="BC98" s="881"/>
      <c r="BD98" s="881"/>
      <c r="BE98" s="884">
        <f t="shared" si="39"/>
        <v>4</v>
      </c>
      <c r="BF98" s="887" t="str">
        <f t="shared" si="40"/>
        <v>SI</v>
      </c>
      <c r="BG98" s="883">
        <f t="shared" si="41"/>
        <v>17.39</v>
      </c>
      <c r="BH98" s="883">
        <f t="shared" si="42"/>
        <v>0</v>
      </c>
      <c r="BI98" s="883">
        <f t="shared" si="43"/>
        <v>0</v>
      </c>
      <c r="BJ98" s="883">
        <f t="shared" si="44"/>
        <v>0</v>
      </c>
      <c r="BK98" s="883">
        <f t="shared" si="45"/>
        <v>0</v>
      </c>
      <c r="BL98" s="883">
        <f t="shared" si="46"/>
        <v>2.61</v>
      </c>
      <c r="BM98" s="881"/>
      <c r="BN98" s="880"/>
      <c r="BO98" s="882" t="s">
        <v>1579</v>
      </c>
      <c r="BP98" s="882" t="s">
        <v>2286</v>
      </c>
      <c r="BQ98" s="882" t="s">
        <v>2285</v>
      </c>
      <c r="BR98" s="880"/>
      <c r="BS98" s="880"/>
      <c r="BT98" s="880"/>
      <c r="BU98" s="880"/>
      <c r="BV98" s="880"/>
      <c r="BW98" s="883">
        <v>0</v>
      </c>
      <c r="BX98" s="883">
        <v>0</v>
      </c>
      <c r="BY98" s="883">
        <v>0</v>
      </c>
      <c r="BZ98" s="890"/>
      <c r="CA98" s="883">
        <f t="shared" si="47"/>
        <v>0</v>
      </c>
      <c r="CB98" s="880"/>
      <c r="CC98" s="881"/>
      <c r="CD98" s="883"/>
      <c r="CE98" s="883"/>
      <c r="CF98" s="883"/>
      <c r="CG98" s="883"/>
      <c r="CH98" s="883"/>
      <c r="CI98" s="883"/>
      <c r="CJ98" s="883"/>
      <c r="CK98" s="883"/>
      <c r="CL98" s="883"/>
      <c r="CM98" s="883"/>
      <c r="CN98" s="883"/>
      <c r="CO98" s="883"/>
      <c r="CP98" s="883"/>
      <c r="CQ98" s="883"/>
      <c r="CR98" s="883"/>
      <c r="CS98" s="883"/>
      <c r="CT98" s="883"/>
      <c r="CU98" s="883"/>
    </row>
    <row r="99" spans="1:99" x14ac:dyDescent="0.25">
      <c r="A99" s="880" t="s">
        <v>1787</v>
      </c>
      <c r="B99" s="881" t="s">
        <v>1788</v>
      </c>
      <c r="C99" s="880" t="s">
        <v>2733</v>
      </c>
      <c r="D99" s="880"/>
      <c r="E99" s="884" t="s">
        <v>744</v>
      </c>
      <c r="F99" s="888">
        <v>1</v>
      </c>
      <c r="G99" s="881" t="s">
        <v>1007</v>
      </c>
      <c r="H99" s="881" t="s">
        <v>19</v>
      </c>
      <c r="I99" s="865">
        <v>46142</v>
      </c>
      <c r="J99" s="882" t="s">
        <v>8</v>
      </c>
      <c r="K99" s="880"/>
      <c r="L99" s="880"/>
      <c r="M99" s="883">
        <v>0</v>
      </c>
      <c r="N99" s="883">
        <v>0</v>
      </c>
      <c r="O99" s="883">
        <v>0</v>
      </c>
      <c r="P99" s="883">
        <v>17.39</v>
      </c>
      <c r="Q99" s="883">
        <v>15</v>
      </c>
      <c r="R99" s="883">
        <f t="shared" si="32"/>
        <v>2.61</v>
      </c>
      <c r="S99" s="883">
        <v>0</v>
      </c>
      <c r="T99" s="883">
        <v>5</v>
      </c>
      <c r="U99" s="883">
        <f t="shared" si="33"/>
        <v>0</v>
      </c>
      <c r="V99" s="883">
        <v>0</v>
      </c>
      <c r="W99" s="883">
        <v>8</v>
      </c>
      <c r="X99" s="883">
        <f t="shared" si="34"/>
        <v>0</v>
      </c>
      <c r="Y99" s="883">
        <v>0</v>
      </c>
      <c r="Z99" s="883">
        <v>0</v>
      </c>
      <c r="AA99" s="883">
        <v>0</v>
      </c>
      <c r="AB99" s="883">
        <f t="shared" si="35"/>
        <v>20</v>
      </c>
      <c r="AC99" s="883">
        <v>0</v>
      </c>
      <c r="AD99" s="881"/>
      <c r="AE99" s="880"/>
      <c r="AF99" s="883"/>
      <c r="AG99" s="889"/>
      <c r="AH99" s="880"/>
      <c r="AI99" s="880" t="s">
        <v>1241</v>
      </c>
      <c r="AJ99" s="884">
        <v>411</v>
      </c>
      <c r="AK99" s="883">
        <f t="shared" si="36"/>
        <v>17.39</v>
      </c>
      <c r="AL99" s="884">
        <v>413</v>
      </c>
      <c r="AM99" s="883">
        <f t="shared" si="37"/>
        <v>0</v>
      </c>
      <c r="AN99" s="884">
        <v>441</v>
      </c>
      <c r="AO99" s="883">
        <f t="shared" si="38"/>
        <v>0</v>
      </c>
      <c r="AP99" s="881"/>
      <c r="AQ99" s="881"/>
      <c r="AR99" s="883">
        <v>0</v>
      </c>
      <c r="AS99" s="883">
        <v>0</v>
      </c>
      <c r="AT99" s="883">
        <v>0</v>
      </c>
      <c r="AU99" s="880"/>
      <c r="AV99" s="886"/>
      <c r="AW99" s="880"/>
      <c r="AX99" s="886"/>
      <c r="AY99" s="880"/>
      <c r="AZ99" s="880"/>
      <c r="BA99" s="881"/>
      <c r="BB99" s="881" t="s">
        <v>57</v>
      </c>
      <c r="BC99" s="881"/>
      <c r="BD99" s="881"/>
      <c r="BE99" s="884">
        <f t="shared" si="39"/>
        <v>4</v>
      </c>
      <c r="BF99" s="887" t="str">
        <f t="shared" si="40"/>
        <v>SI</v>
      </c>
      <c r="BG99" s="883">
        <f t="shared" si="41"/>
        <v>17.39</v>
      </c>
      <c r="BH99" s="883">
        <f t="shared" si="42"/>
        <v>0</v>
      </c>
      <c r="BI99" s="883">
        <f t="shared" si="43"/>
        <v>0</v>
      </c>
      <c r="BJ99" s="883">
        <f t="shared" si="44"/>
        <v>0</v>
      </c>
      <c r="BK99" s="883">
        <f t="shared" si="45"/>
        <v>0</v>
      </c>
      <c r="BL99" s="883">
        <f t="shared" si="46"/>
        <v>2.61</v>
      </c>
      <c r="BM99" s="881"/>
      <c r="BN99" s="880"/>
      <c r="BO99" s="882" t="s">
        <v>1579</v>
      </c>
      <c r="BP99" s="882" t="s">
        <v>2286</v>
      </c>
      <c r="BQ99" s="882" t="s">
        <v>2285</v>
      </c>
      <c r="BR99" s="880"/>
      <c r="BS99" s="880"/>
      <c r="BT99" s="880"/>
      <c r="BU99" s="880"/>
      <c r="BV99" s="880"/>
      <c r="BW99" s="883">
        <v>0</v>
      </c>
      <c r="BX99" s="883">
        <v>0</v>
      </c>
      <c r="BY99" s="883">
        <v>0</v>
      </c>
      <c r="BZ99" s="890"/>
      <c r="CA99" s="883">
        <f t="shared" si="47"/>
        <v>0</v>
      </c>
      <c r="CB99" s="880"/>
      <c r="CC99" s="881"/>
      <c r="CD99" s="883"/>
      <c r="CE99" s="883"/>
      <c r="CF99" s="883"/>
      <c r="CG99" s="883"/>
      <c r="CH99" s="883"/>
      <c r="CI99" s="883"/>
      <c r="CJ99" s="883"/>
      <c r="CK99" s="883"/>
      <c r="CL99" s="883"/>
      <c r="CM99" s="883"/>
      <c r="CN99" s="883"/>
      <c r="CO99" s="883"/>
      <c r="CP99" s="883"/>
      <c r="CQ99" s="883"/>
      <c r="CR99" s="883"/>
      <c r="CS99" s="883"/>
      <c r="CT99" s="883"/>
      <c r="CU99" s="883"/>
    </row>
    <row r="100" spans="1:99" x14ac:dyDescent="0.25">
      <c r="A100" s="880" t="s">
        <v>1787</v>
      </c>
      <c r="B100" s="881" t="s">
        <v>1788</v>
      </c>
      <c r="C100" s="880" t="s">
        <v>2734</v>
      </c>
      <c r="D100" s="880"/>
      <c r="E100" s="884" t="s">
        <v>744</v>
      </c>
      <c r="F100" s="888">
        <v>1</v>
      </c>
      <c r="G100" s="881" t="s">
        <v>1007</v>
      </c>
      <c r="H100" s="881" t="s">
        <v>19</v>
      </c>
      <c r="I100" s="865">
        <v>46142</v>
      </c>
      <c r="J100" s="882" t="s">
        <v>8</v>
      </c>
      <c r="K100" s="880"/>
      <c r="L100" s="880"/>
      <c r="M100" s="883">
        <v>0</v>
      </c>
      <c r="N100" s="883">
        <v>0</v>
      </c>
      <c r="O100" s="883">
        <v>0</v>
      </c>
      <c r="P100" s="883">
        <v>17.39</v>
      </c>
      <c r="Q100" s="883">
        <v>15</v>
      </c>
      <c r="R100" s="883">
        <f t="shared" si="32"/>
        <v>2.61</v>
      </c>
      <c r="S100" s="883">
        <v>0</v>
      </c>
      <c r="T100" s="883">
        <v>5</v>
      </c>
      <c r="U100" s="883">
        <f t="shared" si="33"/>
        <v>0</v>
      </c>
      <c r="V100" s="883">
        <v>0</v>
      </c>
      <c r="W100" s="883">
        <v>8</v>
      </c>
      <c r="X100" s="883">
        <f t="shared" si="34"/>
        <v>0</v>
      </c>
      <c r="Y100" s="883">
        <v>0</v>
      </c>
      <c r="Z100" s="883">
        <v>0</v>
      </c>
      <c r="AA100" s="883">
        <v>0</v>
      </c>
      <c r="AB100" s="883">
        <f t="shared" si="35"/>
        <v>20</v>
      </c>
      <c r="AC100" s="883">
        <v>0</v>
      </c>
      <c r="AD100" s="881"/>
      <c r="AE100" s="880"/>
      <c r="AF100" s="883"/>
      <c r="AG100" s="889"/>
      <c r="AH100" s="880"/>
      <c r="AI100" s="880" t="s">
        <v>1241</v>
      </c>
      <c r="AJ100" s="884">
        <v>411</v>
      </c>
      <c r="AK100" s="883">
        <f t="shared" si="36"/>
        <v>17.39</v>
      </c>
      <c r="AL100" s="884">
        <v>413</v>
      </c>
      <c r="AM100" s="883">
        <f t="shared" si="37"/>
        <v>0</v>
      </c>
      <c r="AN100" s="884">
        <v>441</v>
      </c>
      <c r="AO100" s="883">
        <f t="shared" si="38"/>
        <v>0</v>
      </c>
      <c r="AP100" s="881"/>
      <c r="AQ100" s="881"/>
      <c r="AR100" s="883">
        <v>0</v>
      </c>
      <c r="AS100" s="883">
        <v>0</v>
      </c>
      <c r="AT100" s="883">
        <v>0</v>
      </c>
      <c r="AU100" s="880"/>
      <c r="AV100" s="886"/>
      <c r="AW100" s="880"/>
      <c r="AX100" s="886"/>
      <c r="AY100" s="880"/>
      <c r="AZ100" s="880"/>
      <c r="BA100" s="881"/>
      <c r="BB100" s="881" t="s">
        <v>57</v>
      </c>
      <c r="BC100" s="881"/>
      <c r="BD100" s="881"/>
      <c r="BE100" s="884">
        <f t="shared" si="39"/>
        <v>4</v>
      </c>
      <c r="BF100" s="887" t="str">
        <f t="shared" si="40"/>
        <v>SI</v>
      </c>
      <c r="BG100" s="883">
        <f t="shared" si="41"/>
        <v>17.39</v>
      </c>
      <c r="BH100" s="883">
        <f t="shared" si="42"/>
        <v>0</v>
      </c>
      <c r="BI100" s="883">
        <f t="shared" si="43"/>
        <v>0</v>
      </c>
      <c r="BJ100" s="883">
        <f t="shared" si="44"/>
        <v>0</v>
      </c>
      <c r="BK100" s="883">
        <f t="shared" si="45"/>
        <v>0</v>
      </c>
      <c r="BL100" s="883">
        <f t="shared" si="46"/>
        <v>2.61</v>
      </c>
      <c r="BM100" s="881"/>
      <c r="BN100" s="880"/>
      <c r="BO100" s="882" t="s">
        <v>1579</v>
      </c>
      <c r="BP100" s="882" t="s">
        <v>2286</v>
      </c>
      <c r="BQ100" s="882" t="s">
        <v>2285</v>
      </c>
      <c r="BR100" s="880"/>
      <c r="BS100" s="880"/>
      <c r="BT100" s="880"/>
      <c r="BU100" s="880"/>
      <c r="BV100" s="880"/>
      <c r="BW100" s="883">
        <v>0</v>
      </c>
      <c r="BX100" s="883">
        <v>0</v>
      </c>
      <c r="BY100" s="883">
        <v>0</v>
      </c>
      <c r="BZ100" s="890"/>
      <c r="CA100" s="883">
        <f t="shared" si="47"/>
        <v>0</v>
      </c>
      <c r="CB100" s="880"/>
      <c r="CC100" s="881"/>
      <c r="CD100" s="883"/>
      <c r="CE100" s="883"/>
      <c r="CF100" s="883"/>
      <c r="CG100" s="883"/>
      <c r="CH100" s="883"/>
      <c r="CI100" s="883"/>
      <c r="CJ100" s="883"/>
      <c r="CK100" s="883"/>
      <c r="CL100" s="883"/>
      <c r="CM100" s="883"/>
      <c r="CN100" s="883"/>
      <c r="CO100" s="883"/>
      <c r="CP100" s="883"/>
      <c r="CQ100" s="883"/>
      <c r="CR100" s="883"/>
      <c r="CS100" s="883"/>
      <c r="CT100" s="883"/>
      <c r="CU100" s="883"/>
    </row>
    <row r="101" spans="1:99" x14ac:dyDescent="0.25">
      <c r="A101" s="880" t="s">
        <v>1787</v>
      </c>
      <c r="B101" s="881" t="s">
        <v>1788</v>
      </c>
      <c r="C101" s="880" t="s">
        <v>2735</v>
      </c>
      <c r="D101" s="880"/>
      <c r="E101" s="884" t="s">
        <v>744</v>
      </c>
      <c r="F101" s="888">
        <v>1</v>
      </c>
      <c r="G101" s="881" t="s">
        <v>1007</v>
      </c>
      <c r="H101" s="881" t="s">
        <v>19</v>
      </c>
      <c r="I101" s="865">
        <v>46142</v>
      </c>
      <c r="J101" s="882" t="s">
        <v>8</v>
      </c>
      <c r="K101" s="880"/>
      <c r="L101" s="880"/>
      <c r="M101" s="883">
        <v>0</v>
      </c>
      <c r="N101" s="883">
        <v>0</v>
      </c>
      <c r="O101" s="883">
        <v>0</v>
      </c>
      <c r="P101" s="883">
        <v>21.73</v>
      </c>
      <c r="Q101" s="883">
        <v>15</v>
      </c>
      <c r="R101" s="883">
        <f t="shared" si="32"/>
        <v>3.26</v>
      </c>
      <c r="S101" s="883">
        <v>0</v>
      </c>
      <c r="T101" s="883">
        <v>5</v>
      </c>
      <c r="U101" s="883">
        <f t="shared" si="33"/>
        <v>0</v>
      </c>
      <c r="V101" s="883">
        <v>0</v>
      </c>
      <c r="W101" s="883">
        <v>8</v>
      </c>
      <c r="X101" s="883">
        <f t="shared" si="34"/>
        <v>0</v>
      </c>
      <c r="Y101" s="883">
        <v>0</v>
      </c>
      <c r="Z101" s="883">
        <v>0</v>
      </c>
      <c r="AA101" s="883">
        <v>0</v>
      </c>
      <c r="AB101" s="883">
        <f t="shared" si="35"/>
        <v>24.99</v>
      </c>
      <c r="AC101" s="883">
        <v>0</v>
      </c>
      <c r="AD101" s="881"/>
      <c r="AE101" s="880"/>
      <c r="AF101" s="883"/>
      <c r="AG101" s="889"/>
      <c r="AH101" s="880"/>
      <c r="AI101" s="880" t="s">
        <v>1241</v>
      </c>
      <c r="AJ101" s="884">
        <v>411</v>
      </c>
      <c r="AK101" s="883">
        <f t="shared" si="36"/>
        <v>21.73</v>
      </c>
      <c r="AL101" s="884">
        <v>413</v>
      </c>
      <c r="AM101" s="883">
        <f t="shared" si="37"/>
        <v>0</v>
      </c>
      <c r="AN101" s="884">
        <v>441</v>
      </c>
      <c r="AO101" s="883">
        <f t="shared" si="38"/>
        <v>0</v>
      </c>
      <c r="AP101" s="881"/>
      <c r="AQ101" s="881"/>
      <c r="AR101" s="883">
        <v>0</v>
      </c>
      <c r="AS101" s="883">
        <v>0</v>
      </c>
      <c r="AT101" s="883">
        <v>0</v>
      </c>
      <c r="AU101" s="880"/>
      <c r="AV101" s="886"/>
      <c r="AW101" s="880"/>
      <c r="AX101" s="886"/>
      <c r="AY101" s="880"/>
      <c r="AZ101" s="880"/>
      <c r="BA101" s="881"/>
      <c r="BB101" s="881" t="s">
        <v>57</v>
      </c>
      <c r="BC101" s="881"/>
      <c r="BD101" s="881"/>
      <c r="BE101" s="884">
        <f t="shared" si="39"/>
        <v>4</v>
      </c>
      <c r="BF101" s="887" t="str">
        <f t="shared" si="40"/>
        <v>SI</v>
      </c>
      <c r="BG101" s="883">
        <f t="shared" si="41"/>
        <v>21.73</v>
      </c>
      <c r="BH101" s="883">
        <f t="shared" si="42"/>
        <v>0</v>
      </c>
      <c r="BI101" s="883">
        <f t="shared" si="43"/>
        <v>0</v>
      </c>
      <c r="BJ101" s="883">
        <f t="shared" si="44"/>
        <v>0</v>
      </c>
      <c r="BK101" s="883">
        <f t="shared" si="45"/>
        <v>0</v>
      </c>
      <c r="BL101" s="883">
        <f t="shared" si="46"/>
        <v>3.26</v>
      </c>
      <c r="BM101" s="881"/>
      <c r="BN101" s="880"/>
      <c r="BO101" s="882" t="s">
        <v>1579</v>
      </c>
      <c r="BP101" s="882" t="s">
        <v>2286</v>
      </c>
      <c r="BQ101" s="882" t="s">
        <v>2285</v>
      </c>
      <c r="BR101" s="880"/>
      <c r="BS101" s="880"/>
      <c r="BT101" s="880"/>
      <c r="BU101" s="880"/>
      <c r="BV101" s="880"/>
      <c r="BW101" s="883">
        <v>0</v>
      </c>
      <c r="BX101" s="883">
        <v>0</v>
      </c>
      <c r="BY101" s="883">
        <v>0</v>
      </c>
      <c r="BZ101" s="890"/>
      <c r="CA101" s="883">
        <f t="shared" si="47"/>
        <v>0</v>
      </c>
      <c r="CB101" s="880"/>
      <c r="CC101" s="881"/>
      <c r="CD101" s="883"/>
      <c r="CE101" s="883"/>
      <c r="CF101" s="883"/>
      <c r="CG101" s="883"/>
      <c r="CH101" s="883"/>
      <c r="CI101" s="883"/>
      <c r="CJ101" s="883"/>
      <c r="CK101" s="883"/>
      <c r="CL101" s="883"/>
      <c r="CM101" s="883"/>
      <c r="CN101" s="883"/>
      <c r="CO101" s="883"/>
      <c r="CP101" s="883"/>
      <c r="CQ101" s="883"/>
      <c r="CR101" s="883"/>
      <c r="CS101" s="883"/>
      <c r="CT101" s="883"/>
      <c r="CU101" s="883"/>
    </row>
    <row r="102" spans="1:99" x14ac:dyDescent="0.25">
      <c r="A102" s="880" t="s">
        <v>1787</v>
      </c>
      <c r="B102" s="881" t="s">
        <v>1788</v>
      </c>
      <c r="C102" s="880" t="s">
        <v>2736</v>
      </c>
      <c r="D102" s="880"/>
      <c r="E102" s="884" t="s">
        <v>744</v>
      </c>
      <c r="F102" s="888">
        <v>1</v>
      </c>
      <c r="G102" s="881" t="s">
        <v>1007</v>
      </c>
      <c r="H102" s="881" t="s">
        <v>19</v>
      </c>
      <c r="I102" s="865">
        <v>46142</v>
      </c>
      <c r="J102" s="882" t="s">
        <v>8</v>
      </c>
      <c r="K102" s="880"/>
      <c r="L102" s="880"/>
      <c r="M102" s="883">
        <v>0</v>
      </c>
      <c r="N102" s="883">
        <v>0</v>
      </c>
      <c r="O102" s="883">
        <v>0</v>
      </c>
      <c r="P102" s="883">
        <v>13.39</v>
      </c>
      <c r="Q102" s="883">
        <v>15</v>
      </c>
      <c r="R102" s="883">
        <f t="shared" si="32"/>
        <v>2.0099999999999998</v>
      </c>
      <c r="S102" s="883">
        <v>0</v>
      </c>
      <c r="T102" s="883">
        <v>5</v>
      </c>
      <c r="U102" s="883">
        <f t="shared" si="33"/>
        <v>0</v>
      </c>
      <c r="V102" s="883">
        <v>0</v>
      </c>
      <c r="W102" s="883">
        <v>8</v>
      </c>
      <c r="X102" s="883">
        <f t="shared" si="34"/>
        <v>0</v>
      </c>
      <c r="Y102" s="883">
        <v>0</v>
      </c>
      <c r="Z102" s="883">
        <v>0</v>
      </c>
      <c r="AA102" s="883">
        <v>0</v>
      </c>
      <c r="AB102" s="883">
        <f t="shared" si="35"/>
        <v>15.4</v>
      </c>
      <c r="AC102" s="883">
        <v>0</v>
      </c>
      <c r="AD102" s="881"/>
      <c r="AE102" s="880"/>
      <c r="AF102" s="883"/>
      <c r="AG102" s="889"/>
      <c r="AH102" s="880"/>
      <c r="AI102" s="880" t="s">
        <v>1241</v>
      </c>
      <c r="AJ102" s="884">
        <v>411</v>
      </c>
      <c r="AK102" s="883">
        <f t="shared" si="36"/>
        <v>13.39</v>
      </c>
      <c r="AL102" s="884">
        <v>413</v>
      </c>
      <c r="AM102" s="883">
        <f t="shared" si="37"/>
        <v>0</v>
      </c>
      <c r="AN102" s="884">
        <v>441</v>
      </c>
      <c r="AO102" s="883">
        <f t="shared" si="38"/>
        <v>0</v>
      </c>
      <c r="AP102" s="881"/>
      <c r="AQ102" s="881"/>
      <c r="AR102" s="883">
        <v>0</v>
      </c>
      <c r="AS102" s="883">
        <v>0</v>
      </c>
      <c r="AT102" s="883">
        <v>0</v>
      </c>
      <c r="AU102" s="880"/>
      <c r="AV102" s="886"/>
      <c r="AW102" s="880"/>
      <c r="AX102" s="886"/>
      <c r="AY102" s="880"/>
      <c r="AZ102" s="880"/>
      <c r="BA102" s="881"/>
      <c r="BB102" s="881" t="s">
        <v>57</v>
      </c>
      <c r="BC102" s="881"/>
      <c r="BD102" s="881"/>
      <c r="BE102" s="884">
        <f t="shared" si="39"/>
        <v>4</v>
      </c>
      <c r="BF102" s="887" t="str">
        <f t="shared" si="40"/>
        <v>SI</v>
      </c>
      <c r="BG102" s="883">
        <f t="shared" si="41"/>
        <v>13.39</v>
      </c>
      <c r="BH102" s="883">
        <f t="shared" si="42"/>
        <v>0</v>
      </c>
      <c r="BI102" s="883">
        <f t="shared" si="43"/>
        <v>0</v>
      </c>
      <c r="BJ102" s="883">
        <f t="shared" si="44"/>
        <v>0</v>
      </c>
      <c r="BK102" s="883">
        <f t="shared" si="45"/>
        <v>0</v>
      </c>
      <c r="BL102" s="883">
        <f t="shared" si="46"/>
        <v>2.0099999999999998</v>
      </c>
      <c r="BM102" s="881"/>
      <c r="BN102" s="880"/>
      <c r="BO102" s="882" t="s">
        <v>1579</v>
      </c>
      <c r="BP102" s="882" t="s">
        <v>2286</v>
      </c>
      <c r="BQ102" s="882" t="s">
        <v>2285</v>
      </c>
      <c r="BR102" s="880"/>
      <c r="BS102" s="880"/>
      <c r="BT102" s="880"/>
      <c r="BU102" s="880"/>
      <c r="BV102" s="880"/>
      <c r="BW102" s="883">
        <v>0</v>
      </c>
      <c r="BX102" s="883">
        <v>0</v>
      </c>
      <c r="BY102" s="883">
        <v>0</v>
      </c>
      <c r="BZ102" s="890"/>
      <c r="CA102" s="883">
        <f t="shared" si="47"/>
        <v>0</v>
      </c>
      <c r="CB102" s="880"/>
      <c r="CC102" s="881"/>
      <c r="CD102" s="883"/>
      <c r="CE102" s="883"/>
      <c r="CF102" s="883"/>
      <c r="CG102" s="883"/>
      <c r="CH102" s="883"/>
      <c r="CI102" s="883"/>
      <c r="CJ102" s="883"/>
      <c r="CK102" s="883"/>
      <c r="CL102" s="883"/>
      <c r="CM102" s="883"/>
      <c r="CN102" s="883"/>
      <c r="CO102" s="883"/>
      <c r="CP102" s="883"/>
      <c r="CQ102" s="883"/>
      <c r="CR102" s="883"/>
      <c r="CS102" s="883"/>
      <c r="CT102" s="883"/>
      <c r="CU102" s="883"/>
    </row>
    <row r="103" spans="1:99" x14ac:dyDescent="0.25">
      <c r="A103" s="880" t="s">
        <v>1787</v>
      </c>
      <c r="B103" s="881" t="s">
        <v>1788</v>
      </c>
      <c r="C103" s="880" t="s">
        <v>2737</v>
      </c>
      <c r="D103" s="880"/>
      <c r="E103" s="884" t="s">
        <v>744</v>
      </c>
      <c r="F103" s="888">
        <v>1</v>
      </c>
      <c r="G103" s="881" t="s">
        <v>1007</v>
      </c>
      <c r="H103" s="881" t="s">
        <v>19</v>
      </c>
      <c r="I103" s="865">
        <v>46142</v>
      </c>
      <c r="J103" s="882" t="s">
        <v>8</v>
      </c>
      <c r="K103" s="880"/>
      <c r="L103" s="880"/>
      <c r="M103" s="883">
        <v>0</v>
      </c>
      <c r="N103" s="883">
        <v>0</v>
      </c>
      <c r="O103" s="883">
        <v>0</v>
      </c>
      <c r="P103" s="883">
        <v>21.74</v>
      </c>
      <c r="Q103" s="883">
        <v>15</v>
      </c>
      <c r="R103" s="883">
        <f t="shared" si="32"/>
        <v>3.26</v>
      </c>
      <c r="S103" s="883">
        <v>0</v>
      </c>
      <c r="T103" s="883">
        <v>5</v>
      </c>
      <c r="U103" s="883">
        <f t="shared" si="33"/>
        <v>0</v>
      </c>
      <c r="V103" s="883">
        <v>0</v>
      </c>
      <c r="W103" s="883">
        <v>8</v>
      </c>
      <c r="X103" s="883">
        <f t="shared" si="34"/>
        <v>0</v>
      </c>
      <c r="Y103" s="883">
        <v>0</v>
      </c>
      <c r="Z103" s="883">
        <v>0</v>
      </c>
      <c r="AA103" s="883">
        <v>0</v>
      </c>
      <c r="AB103" s="883">
        <f t="shared" si="35"/>
        <v>25</v>
      </c>
      <c r="AC103" s="883">
        <v>0</v>
      </c>
      <c r="AD103" s="881"/>
      <c r="AE103" s="880"/>
      <c r="AF103" s="883"/>
      <c r="AG103" s="889"/>
      <c r="AH103" s="880"/>
      <c r="AI103" s="880" t="s">
        <v>1241</v>
      </c>
      <c r="AJ103" s="884">
        <v>411</v>
      </c>
      <c r="AK103" s="883">
        <f t="shared" si="36"/>
        <v>21.74</v>
      </c>
      <c r="AL103" s="884">
        <v>413</v>
      </c>
      <c r="AM103" s="883">
        <f t="shared" si="37"/>
        <v>0</v>
      </c>
      <c r="AN103" s="884">
        <v>441</v>
      </c>
      <c r="AO103" s="883">
        <f t="shared" si="38"/>
        <v>0</v>
      </c>
      <c r="AP103" s="881"/>
      <c r="AQ103" s="881"/>
      <c r="AR103" s="883">
        <v>0</v>
      </c>
      <c r="AS103" s="883">
        <v>0</v>
      </c>
      <c r="AT103" s="883">
        <v>0</v>
      </c>
      <c r="AU103" s="880"/>
      <c r="AV103" s="886"/>
      <c r="AW103" s="880"/>
      <c r="AX103" s="886"/>
      <c r="AY103" s="880"/>
      <c r="AZ103" s="880"/>
      <c r="BA103" s="881"/>
      <c r="BB103" s="881" t="s">
        <v>57</v>
      </c>
      <c r="BC103" s="881"/>
      <c r="BD103" s="881"/>
      <c r="BE103" s="884">
        <f t="shared" si="39"/>
        <v>4</v>
      </c>
      <c r="BF103" s="887" t="str">
        <f t="shared" si="40"/>
        <v>SI</v>
      </c>
      <c r="BG103" s="883">
        <f t="shared" si="41"/>
        <v>21.74</v>
      </c>
      <c r="BH103" s="883">
        <f t="shared" si="42"/>
        <v>0</v>
      </c>
      <c r="BI103" s="883">
        <f t="shared" si="43"/>
        <v>0</v>
      </c>
      <c r="BJ103" s="883">
        <f t="shared" si="44"/>
        <v>0</v>
      </c>
      <c r="BK103" s="883">
        <f t="shared" si="45"/>
        <v>0</v>
      </c>
      <c r="BL103" s="883">
        <f t="shared" si="46"/>
        <v>3.26</v>
      </c>
      <c r="BM103" s="881"/>
      <c r="BN103" s="880"/>
      <c r="BO103" s="882" t="s">
        <v>1579</v>
      </c>
      <c r="BP103" s="882" t="s">
        <v>2286</v>
      </c>
      <c r="BQ103" s="882" t="s">
        <v>2285</v>
      </c>
      <c r="BR103" s="880"/>
      <c r="BS103" s="880"/>
      <c r="BT103" s="880"/>
      <c r="BU103" s="880"/>
      <c r="BV103" s="880"/>
      <c r="BW103" s="883">
        <v>0</v>
      </c>
      <c r="BX103" s="883">
        <v>0</v>
      </c>
      <c r="BY103" s="883">
        <v>0</v>
      </c>
      <c r="BZ103" s="890"/>
      <c r="CA103" s="883">
        <f t="shared" si="47"/>
        <v>0</v>
      </c>
      <c r="CB103" s="880"/>
      <c r="CC103" s="881"/>
      <c r="CD103" s="883"/>
      <c r="CE103" s="883"/>
      <c r="CF103" s="883"/>
      <c r="CG103" s="883"/>
      <c r="CH103" s="883"/>
      <c r="CI103" s="883"/>
      <c r="CJ103" s="883"/>
      <c r="CK103" s="883"/>
      <c r="CL103" s="883"/>
      <c r="CM103" s="883"/>
      <c r="CN103" s="883"/>
      <c r="CO103" s="883"/>
      <c r="CP103" s="883"/>
      <c r="CQ103" s="883"/>
      <c r="CR103" s="883"/>
      <c r="CS103" s="883"/>
      <c r="CT103" s="883"/>
      <c r="CU103" s="883"/>
    </row>
    <row r="104" spans="1:99" x14ac:dyDescent="0.25">
      <c r="A104" s="880" t="s">
        <v>1787</v>
      </c>
      <c r="B104" s="881" t="s">
        <v>1788</v>
      </c>
      <c r="C104" s="880" t="s">
        <v>2738</v>
      </c>
      <c r="D104" s="880"/>
      <c r="E104" s="884" t="s">
        <v>744</v>
      </c>
      <c r="F104" s="888">
        <v>1</v>
      </c>
      <c r="G104" s="881" t="s">
        <v>1007</v>
      </c>
      <c r="H104" s="881" t="s">
        <v>19</v>
      </c>
      <c r="I104" s="865">
        <v>46142</v>
      </c>
      <c r="J104" s="882" t="s">
        <v>8</v>
      </c>
      <c r="K104" s="880"/>
      <c r="L104" s="880"/>
      <c r="M104" s="883">
        <v>0</v>
      </c>
      <c r="N104" s="883">
        <v>0</v>
      </c>
      <c r="O104" s="883">
        <v>0</v>
      </c>
      <c r="P104" s="883">
        <v>21.74</v>
      </c>
      <c r="Q104" s="883">
        <v>15</v>
      </c>
      <c r="R104" s="883">
        <f t="shared" si="32"/>
        <v>3.26</v>
      </c>
      <c r="S104" s="883">
        <v>0</v>
      </c>
      <c r="T104" s="883">
        <v>5</v>
      </c>
      <c r="U104" s="883">
        <f t="shared" si="33"/>
        <v>0</v>
      </c>
      <c r="V104" s="883">
        <v>0</v>
      </c>
      <c r="W104" s="883">
        <v>8</v>
      </c>
      <c r="X104" s="883">
        <f t="shared" si="34"/>
        <v>0</v>
      </c>
      <c r="Y104" s="883">
        <v>0</v>
      </c>
      <c r="Z104" s="883">
        <v>0</v>
      </c>
      <c r="AA104" s="883">
        <v>0</v>
      </c>
      <c r="AB104" s="883">
        <f t="shared" si="35"/>
        <v>25</v>
      </c>
      <c r="AC104" s="883">
        <v>0</v>
      </c>
      <c r="AD104" s="881"/>
      <c r="AE104" s="880"/>
      <c r="AF104" s="883"/>
      <c r="AG104" s="889"/>
      <c r="AH104" s="880"/>
      <c r="AI104" s="880" t="s">
        <v>1241</v>
      </c>
      <c r="AJ104" s="884">
        <v>411</v>
      </c>
      <c r="AK104" s="883">
        <f t="shared" si="36"/>
        <v>21.74</v>
      </c>
      <c r="AL104" s="884">
        <v>413</v>
      </c>
      <c r="AM104" s="883">
        <f t="shared" si="37"/>
        <v>0</v>
      </c>
      <c r="AN104" s="884">
        <v>441</v>
      </c>
      <c r="AO104" s="883">
        <f t="shared" si="38"/>
        <v>0</v>
      </c>
      <c r="AP104" s="881"/>
      <c r="AQ104" s="881"/>
      <c r="AR104" s="883">
        <v>0</v>
      </c>
      <c r="AS104" s="883">
        <v>0</v>
      </c>
      <c r="AT104" s="883">
        <v>0</v>
      </c>
      <c r="AU104" s="880"/>
      <c r="AV104" s="886"/>
      <c r="AW104" s="880"/>
      <c r="AX104" s="886"/>
      <c r="AY104" s="880"/>
      <c r="AZ104" s="880"/>
      <c r="BA104" s="881"/>
      <c r="BB104" s="881" t="s">
        <v>57</v>
      </c>
      <c r="BC104" s="881"/>
      <c r="BD104" s="881"/>
      <c r="BE104" s="884">
        <f t="shared" si="39"/>
        <v>4</v>
      </c>
      <c r="BF104" s="887" t="str">
        <f t="shared" si="40"/>
        <v>SI</v>
      </c>
      <c r="BG104" s="883">
        <f t="shared" si="41"/>
        <v>21.74</v>
      </c>
      <c r="BH104" s="883">
        <f t="shared" si="42"/>
        <v>0</v>
      </c>
      <c r="BI104" s="883">
        <f t="shared" si="43"/>
        <v>0</v>
      </c>
      <c r="BJ104" s="883">
        <f t="shared" si="44"/>
        <v>0</v>
      </c>
      <c r="BK104" s="883">
        <f t="shared" si="45"/>
        <v>0</v>
      </c>
      <c r="BL104" s="883">
        <f t="shared" si="46"/>
        <v>3.26</v>
      </c>
      <c r="BM104" s="881"/>
      <c r="BN104" s="880"/>
      <c r="BO104" s="882" t="s">
        <v>1579</v>
      </c>
      <c r="BP104" s="882" t="s">
        <v>2286</v>
      </c>
      <c r="BQ104" s="882" t="s">
        <v>2285</v>
      </c>
      <c r="BR104" s="880"/>
      <c r="BS104" s="880"/>
      <c r="BT104" s="880"/>
      <c r="BU104" s="880"/>
      <c r="BV104" s="880"/>
      <c r="BW104" s="883">
        <v>0</v>
      </c>
      <c r="BX104" s="883">
        <v>0</v>
      </c>
      <c r="BY104" s="883">
        <v>0</v>
      </c>
      <c r="BZ104" s="890"/>
      <c r="CA104" s="883">
        <f t="shared" si="47"/>
        <v>0</v>
      </c>
      <c r="CB104" s="880"/>
      <c r="CC104" s="881"/>
      <c r="CD104" s="883"/>
      <c r="CE104" s="883"/>
      <c r="CF104" s="883"/>
      <c r="CG104" s="883"/>
      <c r="CH104" s="883"/>
      <c r="CI104" s="883"/>
      <c r="CJ104" s="883"/>
      <c r="CK104" s="883"/>
      <c r="CL104" s="883"/>
      <c r="CM104" s="883"/>
      <c r="CN104" s="883"/>
      <c r="CO104" s="883"/>
      <c r="CP104" s="883"/>
      <c r="CQ104" s="883"/>
      <c r="CR104" s="883"/>
      <c r="CS104" s="883"/>
      <c r="CT104" s="883"/>
      <c r="CU104" s="883"/>
    </row>
    <row r="105" spans="1:99" x14ac:dyDescent="0.25">
      <c r="A105" s="880" t="s">
        <v>1787</v>
      </c>
      <c r="B105" s="881" t="s">
        <v>1788</v>
      </c>
      <c r="C105" s="880" t="s">
        <v>2739</v>
      </c>
      <c r="D105" s="880"/>
      <c r="E105" s="884" t="s">
        <v>744</v>
      </c>
      <c r="F105" s="888">
        <v>1</v>
      </c>
      <c r="G105" s="881" t="s">
        <v>1007</v>
      </c>
      <c r="H105" s="881" t="s">
        <v>19</v>
      </c>
      <c r="I105" s="865">
        <v>46142</v>
      </c>
      <c r="J105" s="882" t="s">
        <v>8</v>
      </c>
      <c r="K105" s="880"/>
      <c r="L105" s="880"/>
      <c r="M105" s="883">
        <v>0</v>
      </c>
      <c r="N105" s="883">
        <v>0</v>
      </c>
      <c r="O105" s="883">
        <v>0</v>
      </c>
      <c r="P105" s="883">
        <v>21.74</v>
      </c>
      <c r="Q105" s="883">
        <v>15</v>
      </c>
      <c r="R105" s="883">
        <f t="shared" si="32"/>
        <v>3.26</v>
      </c>
      <c r="S105" s="883">
        <v>0</v>
      </c>
      <c r="T105" s="883">
        <v>5</v>
      </c>
      <c r="U105" s="883">
        <f t="shared" si="33"/>
        <v>0</v>
      </c>
      <c r="V105" s="883">
        <v>0</v>
      </c>
      <c r="W105" s="883">
        <v>8</v>
      </c>
      <c r="X105" s="883">
        <f t="shared" si="34"/>
        <v>0</v>
      </c>
      <c r="Y105" s="883">
        <v>0</v>
      </c>
      <c r="Z105" s="883">
        <v>0</v>
      </c>
      <c r="AA105" s="883">
        <v>0</v>
      </c>
      <c r="AB105" s="883">
        <f t="shared" si="35"/>
        <v>25</v>
      </c>
      <c r="AC105" s="883">
        <v>0</v>
      </c>
      <c r="AD105" s="881"/>
      <c r="AE105" s="880"/>
      <c r="AF105" s="883"/>
      <c r="AG105" s="889"/>
      <c r="AH105" s="880"/>
      <c r="AI105" s="880" t="s">
        <v>1241</v>
      </c>
      <c r="AJ105" s="884">
        <v>411</v>
      </c>
      <c r="AK105" s="883">
        <f t="shared" si="36"/>
        <v>21.74</v>
      </c>
      <c r="AL105" s="884">
        <v>413</v>
      </c>
      <c r="AM105" s="883">
        <f t="shared" si="37"/>
        <v>0</v>
      </c>
      <c r="AN105" s="884">
        <v>441</v>
      </c>
      <c r="AO105" s="883">
        <f t="shared" si="38"/>
        <v>0</v>
      </c>
      <c r="AP105" s="881"/>
      <c r="AQ105" s="881"/>
      <c r="AR105" s="883">
        <v>0</v>
      </c>
      <c r="AS105" s="883">
        <v>0</v>
      </c>
      <c r="AT105" s="883">
        <v>0</v>
      </c>
      <c r="AU105" s="880"/>
      <c r="AV105" s="886"/>
      <c r="AW105" s="880"/>
      <c r="AX105" s="886"/>
      <c r="AY105" s="880"/>
      <c r="AZ105" s="880"/>
      <c r="BA105" s="881"/>
      <c r="BB105" s="881" t="s">
        <v>57</v>
      </c>
      <c r="BC105" s="881"/>
      <c r="BD105" s="881"/>
      <c r="BE105" s="884">
        <f t="shared" si="39"/>
        <v>4</v>
      </c>
      <c r="BF105" s="887" t="str">
        <f t="shared" si="40"/>
        <v>SI</v>
      </c>
      <c r="BG105" s="883">
        <f t="shared" si="41"/>
        <v>21.74</v>
      </c>
      <c r="BH105" s="883">
        <f t="shared" si="42"/>
        <v>0</v>
      </c>
      <c r="BI105" s="883">
        <f t="shared" si="43"/>
        <v>0</v>
      </c>
      <c r="BJ105" s="883">
        <f t="shared" si="44"/>
        <v>0</v>
      </c>
      <c r="BK105" s="883">
        <f t="shared" si="45"/>
        <v>0</v>
      </c>
      <c r="BL105" s="883">
        <f t="shared" si="46"/>
        <v>3.26</v>
      </c>
      <c r="BM105" s="881"/>
      <c r="BN105" s="880"/>
      <c r="BO105" s="882" t="s">
        <v>1579</v>
      </c>
      <c r="BP105" s="882" t="s">
        <v>2286</v>
      </c>
      <c r="BQ105" s="882" t="s">
        <v>2285</v>
      </c>
      <c r="BR105" s="880"/>
      <c r="BS105" s="880"/>
      <c r="BT105" s="880"/>
      <c r="BU105" s="880"/>
      <c r="BV105" s="880"/>
      <c r="BW105" s="883">
        <v>0</v>
      </c>
      <c r="BX105" s="883">
        <v>0</v>
      </c>
      <c r="BY105" s="883">
        <v>0</v>
      </c>
      <c r="BZ105" s="890"/>
      <c r="CA105" s="883">
        <f t="shared" si="47"/>
        <v>0</v>
      </c>
      <c r="CB105" s="880"/>
      <c r="CC105" s="881"/>
      <c r="CD105" s="883"/>
      <c r="CE105" s="883"/>
      <c r="CF105" s="883"/>
      <c r="CG105" s="883"/>
      <c r="CH105" s="883"/>
      <c r="CI105" s="883"/>
      <c r="CJ105" s="883"/>
      <c r="CK105" s="883"/>
      <c r="CL105" s="883"/>
      <c r="CM105" s="883"/>
      <c r="CN105" s="883"/>
      <c r="CO105" s="883"/>
      <c r="CP105" s="883"/>
      <c r="CQ105" s="883"/>
      <c r="CR105" s="883"/>
      <c r="CS105" s="883"/>
      <c r="CT105" s="883"/>
      <c r="CU105" s="883"/>
    </row>
    <row r="106" spans="1:99" x14ac:dyDescent="0.25">
      <c r="A106" s="880" t="s">
        <v>1787</v>
      </c>
      <c r="B106" s="881" t="s">
        <v>1788</v>
      </c>
      <c r="C106" s="880" t="s">
        <v>2740</v>
      </c>
      <c r="D106" s="880"/>
      <c r="E106" s="884" t="s">
        <v>744</v>
      </c>
      <c r="F106" s="888">
        <v>1</v>
      </c>
      <c r="G106" s="881" t="s">
        <v>1007</v>
      </c>
      <c r="H106" s="881" t="s">
        <v>19</v>
      </c>
      <c r="I106" s="865">
        <v>46142</v>
      </c>
      <c r="J106" s="882" t="s">
        <v>8</v>
      </c>
      <c r="K106" s="880"/>
      <c r="L106" s="880"/>
      <c r="M106" s="883">
        <v>0</v>
      </c>
      <c r="N106" s="883">
        <v>0</v>
      </c>
      <c r="O106" s="883">
        <v>0</v>
      </c>
      <c r="P106" s="883">
        <v>22.32</v>
      </c>
      <c r="Q106" s="883">
        <v>15</v>
      </c>
      <c r="R106" s="883">
        <f t="shared" si="32"/>
        <v>3.35</v>
      </c>
      <c r="S106" s="883">
        <v>0</v>
      </c>
      <c r="T106" s="883">
        <v>5</v>
      </c>
      <c r="U106" s="883">
        <f t="shared" si="33"/>
        <v>0</v>
      </c>
      <c r="V106" s="883">
        <v>0</v>
      </c>
      <c r="W106" s="883">
        <v>8</v>
      </c>
      <c r="X106" s="883">
        <f t="shared" si="34"/>
        <v>0</v>
      </c>
      <c r="Y106" s="883">
        <v>0</v>
      </c>
      <c r="Z106" s="883">
        <v>0</v>
      </c>
      <c r="AA106" s="883">
        <v>0</v>
      </c>
      <c r="AB106" s="883">
        <f t="shared" si="35"/>
        <v>25.67</v>
      </c>
      <c r="AC106" s="883">
        <v>0</v>
      </c>
      <c r="AD106" s="881"/>
      <c r="AE106" s="880"/>
      <c r="AF106" s="883"/>
      <c r="AG106" s="889"/>
      <c r="AH106" s="880"/>
      <c r="AI106" s="880" t="s">
        <v>1241</v>
      </c>
      <c r="AJ106" s="884">
        <v>411</v>
      </c>
      <c r="AK106" s="883">
        <f t="shared" si="36"/>
        <v>22.32</v>
      </c>
      <c r="AL106" s="884">
        <v>413</v>
      </c>
      <c r="AM106" s="883">
        <f t="shared" si="37"/>
        <v>0</v>
      </c>
      <c r="AN106" s="884">
        <v>441</v>
      </c>
      <c r="AO106" s="883">
        <f t="shared" si="38"/>
        <v>0</v>
      </c>
      <c r="AP106" s="881"/>
      <c r="AQ106" s="881"/>
      <c r="AR106" s="883">
        <v>0</v>
      </c>
      <c r="AS106" s="883">
        <v>0</v>
      </c>
      <c r="AT106" s="883">
        <v>0</v>
      </c>
      <c r="AU106" s="880"/>
      <c r="AV106" s="886"/>
      <c r="AW106" s="880"/>
      <c r="AX106" s="886"/>
      <c r="AY106" s="880"/>
      <c r="AZ106" s="880"/>
      <c r="BA106" s="881"/>
      <c r="BB106" s="881" t="s">
        <v>57</v>
      </c>
      <c r="BC106" s="881"/>
      <c r="BD106" s="881"/>
      <c r="BE106" s="884">
        <f t="shared" si="39"/>
        <v>4</v>
      </c>
      <c r="BF106" s="887" t="str">
        <f t="shared" si="40"/>
        <v>SI</v>
      </c>
      <c r="BG106" s="883">
        <f t="shared" si="41"/>
        <v>22.32</v>
      </c>
      <c r="BH106" s="883">
        <f t="shared" si="42"/>
        <v>0</v>
      </c>
      <c r="BI106" s="883">
        <f t="shared" si="43"/>
        <v>0</v>
      </c>
      <c r="BJ106" s="883">
        <f t="shared" si="44"/>
        <v>0</v>
      </c>
      <c r="BK106" s="883">
        <f t="shared" si="45"/>
        <v>0</v>
      </c>
      <c r="BL106" s="883">
        <f t="shared" si="46"/>
        <v>3.35</v>
      </c>
      <c r="BM106" s="881"/>
      <c r="BN106" s="880"/>
      <c r="BO106" s="882" t="s">
        <v>1579</v>
      </c>
      <c r="BP106" s="882" t="s">
        <v>2286</v>
      </c>
      <c r="BQ106" s="882" t="s">
        <v>2285</v>
      </c>
      <c r="BR106" s="880"/>
      <c r="BS106" s="880"/>
      <c r="BT106" s="880"/>
      <c r="BU106" s="880"/>
      <c r="BV106" s="880"/>
      <c r="BW106" s="883">
        <v>0</v>
      </c>
      <c r="BX106" s="883">
        <v>0</v>
      </c>
      <c r="BY106" s="883">
        <v>0</v>
      </c>
      <c r="BZ106" s="890"/>
      <c r="CA106" s="883">
        <f t="shared" si="47"/>
        <v>0</v>
      </c>
      <c r="CB106" s="880"/>
      <c r="CC106" s="881"/>
      <c r="CD106" s="883"/>
      <c r="CE106" s="883"/>
      <c r="CF106" s="883"/>
      <c r="CG106" s="883"/>
      <c r="CH106" s="883"/>
      <c r="CI106" s="883"/>
      <c r="CJ106" s="883"/>
      <c r="CK106" s="883"/>
      <c r="CL106" s="883"/>
      <c r="CM106" s="883"/>
      <c r="CN106" s="883"/>
      <c r="CO106" s="883"/>
      <c r="CP106" s="883"/>
      <c r="CQ106" s="883"/>
      <c r="CR106" s="883"/>
      <c r="CS106" s="883"/>
      <c r="CT106" s="883"/>
      <c r="CU106" s="883"/>
    </row>
    <row r="107" spans="1:99" x14ac:dyDescent="0.25">
      <c r="A107" s="880" t="s">
        <v>1787</v>
      </c>
      <c r="B107" s="881" t="s">
        <v>1788</v>
      </c>
      <c r="C107" s="880" t="s">
        <v>2741</v>
      </c>
      <c r="D107" s="880"/>
      <c r="E107" s="884" t="s">
        <v>744</v>
      </c>
      <c r="F107" s="888">
        <v>1</v>
      </c>
      <c r="G107" s="881" t="s">
        <v>1007</v>
      </c>
      <c r="H107" s="881" t="s">
        <v>19</v>
      </c>
      <c r="I107" s="865">
        <v>46142</v>
      </c>
      <c r="J107" s="882" t="s">
        <v>8</v>
      </c>
      <c r="K107" s="880"/>
      <c r="L107" s="880"/>
      <c r="M107" s="883">
        <v>0</v>
      </c>
      <c r="N107" s="883">
        <v>0</v>
      </c>
      <c r="O107" s="883">
        <v>0</v>
      </c>
      <c r="P107" s="883">
        <v>17.39</v>
      </c>
      <c r="Q107" s="883">
        <v>15</v>
      </c>
      <c r="R107" s="883">
        <f t="shared" si="32"/>
        <v>2.61</v>
      </c>
      <c r="S107" s="883">
        <v>0</v>
      </c>
      <c r="T107" s="883">
        <v>5</v>
      </c>
      <c r="U107" s="883">
        <f t="shared" si="33"/>
        <v>0</v>
      </c>
      <c r="V107" s="883">
        <v>0</v>
      </c>
      <c r="W107" s="883">
        <v>8</v>
      </c>
      <c r="X107" s="883">
        <f t="shared" si="34"/>
        <v>0</v>
      </c>
      <c r="Y107" s="883">
        <v>0</v>
      </c>
      <c r="Z107" s="883">
        <v>0</v>
      </c>
      <c r="AA107" s="883">
        <v>0</v>
      </c>
      <c r="AB107" s="883">
        <f t="shared" si="35"/>
        <v>20</v>
      </c>
      <c r="AC107" s="883">
        <v>0</v>
      </c>
      <c r="AD107" s="881"/>
      <c r="AE107" s="880"/>
      <c r="AF107" s="883"/>
      <c r="AG107" s="889"/>
      <c r="AH107" s="880"/>
      <c r="AI107" s="880" t="s">
        <v>1241</v>
      </c>
      <c r="AJ107" s="884">
        <v>411</v>
      </c>
      <c r="AK107" s="883">
        <f t="shared" si="36"/>
        <v>17.39</v>
      </c>
      <c r="AL107" s="884">
        <v>413</v>
      </c>
      <c r="AM107" s="883">
        <f t="shared" si="37"/>
        <v>0</v>
      </c>
      <c r="AN107" s="884">
        <v>441</v>
      </c>
      <c r="AO107" s="883">
        <f t="shared" si="38"/>
        <v>0</v>
      </c>
      <c r="AP107" s="881"/>
      <c r="AQ107" s="881"/>
      <c r="AR107" s="883">
        <v>0</v>
      </c>
      <c r="AS107" s="883">
        <v>0</v>
      </c>
      <c r="AT107" s="883">
        <v>0</v>
      </c>
      <c r="AU107" s="880"/>
      <c r="AV107" s="886"/>
      <c r="AW107" s="880"/>
      <c r="AX107" s="886"/>
      <c r="AY107" s="880"/>
      <c r="AZ107" s="880"/>
      <c r="BA107" s="881"/>
      <c r="BB107" s="881" t="s">
        <v>57</v>
      </c>
      <c r="BC107" s="881"/>
      <c r="BD107" s="881"/>
      <c r="BE107" s="884">
        <f t="shared" si="39"/>
        <v>4</v>
      </c>
      <c r="BF107" s="887" t="str">
        <f t="shared" si="40"/>
        <v>SI</v>
      </c>
      <c r="BG107" s="883">
        <f t="shared" si="41"/>
        <v>17.39</v>
      </c>
      <c r="BH107" s="883">
        <f t="shared" si="42"/>
        <v>0</v>
      </c>
      <c r="BI107" s="883">
        <f t="shared" si="43"/>
        <v>0</v>
      </c>
      <c r="BJ107" s="883">
        <f t="shared" si="44"/>
        <v>0</v>
      </c>
      <c r="BK107" s="883">
        <f t="shared" si="45"/>
        <v>0</v>
      </c>
      <c r="BL107" s="883">
        <f t="shared" si="46"/>
        <v>2.61</v>
      </c>
      <c r="BM107" s="881"/>
      <c r="BN107" s="880"/>
      <c r="BO107" s="882" t="s">
        <v>1579</v>
      </c>
      <c r="BP107" s="882" t="s">
        <v>2286</v>
      </c>
      <c r="BQ107" s="882" t="s">
        <v>2285</v>
      </c>
      <c r="BR107" s="880"/>
      <c r="BS107" s="880"/>
      <c r="BT107" s="880"/>
      <c r="BU107" s="880"/>
      <c r="BV107" s="880"/>
      <c r="BW107" s="883">
        <v>0</v>
      </c>
      <c r="BX107" s="883">
        <v>0</v>
      </c>
      <c r="BY107" s="883">
        <v>0</v>
      </c>
      <c r="BZ107" s="890"/>
      <c r="CA107" s="883">
        <f t="shared" si="47"/>
        <v>0</v>
      </c>
      <c r="CB107" s="880"/>
      <c r="CC107" s="881"/>
      <c r="CD107" s="883"/>
      <c r="CE107" s="883"/>
      <c r="CF107" s="883"/>
      <c r="CG107" s="883"/>
      <c r="CH107" s="883"/>
      <c r="CI107" s="883"/>
      <c r="CJ107" s="883"/>
      <c r="CK107" s="883"/>
      <c r="CL107" s="883"/>
      <c r="CM107" s="883"/>
      <c r="CN107" s="883"/>
      <c r="CO107" s="883"/>
      <c r="CP107" s="883"/>
      <c r="CQ107" s="883"/>
      <c r="CR107" s="883"/>
      <c r="CS107" s="883"/>
      <c r="CT107" s="883"/>
      <c r="CU107" s="883"/>
    </row>
    <row r="108" spans="1:99" x14ac:dyDescent="0.25">
      <c r="A108" s="880" t="s">
        <v>1787</v>
      </c>
      <c r="B108" s="881" t="s">
        <v>1788</v>
      </c>
      <c r="C108" s="880" t="s">
        <v>2742</v>
      </c>
      <c r="D108" s="880"/>
      <c r="E108" s="884" t="s">
        <v>744</v>
      </c>
      <c r="F108" s="888">
        <v>1</v>
      </c>
      <c r="G108" s="881" t="s">
        <v>1007</v>
      </c>
      <c r="H108" s="881" t="s">
        <v>19</v>
      </c>
      <c r="I108" s="865">
        <v>46142</v>
      </c>
      <c r="J108" s="882" t="s">
        <v>8</v>
      </c>
      <c r="K108" s="880"/>
      <c r="L108" s="880"/>
      <c r="M108" s="883">
        <v>0</v>
      </c>
      <c r="N108" s="883">
        <v>0</v>
      </c>
      <c r="O108" s="883">
        <v>0</v>
      </c>
      <c r="P108" s="883">
        <v>21.74</v>
      </c>
      <c r="Q108" s="883">
        <v>15</v>
      </c>
      <c r="R108" s="883">
        <f t="shared" si="32"/>
        <v>3.26</v>
      </c>
      <c r="S108" s="883">
        <v>0</v>
      </c>
      <c r="T108" s="883">
        <v>5</v>
      </c>
      <c r="U108" s="883">
        <f t="shared" si="33"/>
        <v>0</v>
      </c>
      <c r="V108" s="883">
        <v>0</v>
      </c>
      <c r="W108" s="883">
        <v>8</v>
      </c>
      <c r="X108" s="883">
        <f t="shared" si="34"/>
        <v>0</v>
      </c>
      <c r="Y108" s="883">
        <v>0</v>
      </c>
      <c r="Z108" s="883">
        <v>0</v>
      </c>
      <c r="AA108" s="883">
        <v>0</v>
      </c>
      <c r="AB108" s="883">
        <f t="shared" si="35"/>
        <v>25</v>
      </c>
      <c r="AC108" s="883">
        <v>0</v>
      </c>
      <c r="AD108" s="881"/>
      <c r="AE108" s="880"/>
      <c r="AF108" s="883"/>
      <c r="AG108" s="889"/>
      <c r="AH108" s="880"/>
      <c r="AI108" s="880" t="s">
        <v>1241</v>
      </c>
      <c r="AJ108" s="884">
        <v>411</v>
      </c>
      <c r="AK108" s="883">
        <f t="shared" si="36"/>
        <v>21.74</v>
      </c>
      <c r="AL108" s="884">
        <v>413</v>
      </c>
      <c r="AM108" s="883">
        <f t="shared" si="37"/>
        <v>0</v>
      </c>
      <c r="AN108" s="884">
        <v>441</v>
      </c>
      <c r="AO108" s="883">
        <f t="shared" si="38"/>
        <v>0</v>
      </c>
      <c r="AP108" s="881"/>
      <c r="AQ108" s="881"/>
      <c r="AR108" s="883">
        <v>0</v>
      </c>
      <c r="AS108" s="883">
        <v>0</v>
      </c>
      <c r="AT108" s="883">
        <v>0</v>
      </c>
      <c r="AU108" s="880"/>
      <c r="AV108" s="886"/>
      <c r="AW108" s="880"/>
      <c r="AX108" s="886"/>
      <c r="AY108" s="880"/>
      <c r="AZ108" s="880"/>
      <c r="BA108" s="881"/>
      <c r="BB108" s="881" t="s">
        <v>57</v>
      </c>
      <c r="BC108" s="881"/>
      <c r="BD108" s="881"/>
      <c r="BE108" s="884">
        <f t="shared" si="39"/>
        <v>4</v>
      </c>
      <c r="BF108" s="887" t="str">
        <f t="shared" si="40"/>
        <v>SI</v>
      </c>
      <c r="BG108" s="883">
        <f t="shared" si="41"/>
        <v>21.74</v>
      </c>
      <c r="BH108" s="883">
        <f t="shared" si="42"/>
        <v>0</v>
      </c>
      <c r="BI108" s="883">
        <f t="shared" si="43"/>
        <v>0</v>
      </c>
      <c r="BJ108" s="883">
        <f t="shared" si="44"/>
        <v>0</v>
      </c>
      <c r="BK108" s="883">
        <f t="shared" si="45"/>
        <v>0</v>
      </c>
      <c r="BL108" s="883">
        <f t="shared" si="46"/>
        <v>3.26</v>
      </c>
      <c r="BM108" s="881"/>
      <c r="BN108" s="880"/>
      <c r="BO108" s="882" t="s">
        <v>1579</v>
      </c>
      <c r="BP108" s="882" t="s">
        <v>2286</v>
      </c>
      <c r="BQ108" s="882" t="s">
        <v>2285</v>
      </c>
      <c r="BR108" s="880"/>
      <c r="BS108" s="880"/>
      <c r="BT108" s="880"/>
      <c r="BU108" s="880"/>
      <c r="BV108" s="880"/>
      <c r="BW108" s="883">
        <v>0</v>
      </c>
      <c r="BX108" s="883">
        <v>0</v>
      </c>
      <c r="BY108" s="883">
        <v>0</v>
      </c>
      <c r="BZ108" s="890"/>
      <c r="CA108" s="883">
        <f t="shared" si="47"/>
        <v>0</v>
      </c>
      <c r="CB108" s="880"/>
      <c r="CC108" s="881"/>
      <c r="CD108" s="883"/>
      <c r="CE108" s="883"/>
      <c r="CF108" s="883"/>
      <c r="CG108" s="883"/>
      <c r="CH108" s="883"/>
      <c r="CI108" s="883"/>
      <c r="CJ108" s="883"/>
      <c r="CK108" s="883"/>
      <c r="CL108" s="883"/>
      <c r="CM108" s="883"/>
      <c r="CN108" s="883"/>
      <c r="CO108" s="883"/>
      <c r="CP108" s="883"/>
      <c r="CQ108" s="883"/>
      <c r="CR108" s="883"/>
      <c r="CS108" s="883"/>
      <c r="CT108" s="883"/>
      <c r="CU108" s="883"/>
    </row>
    <row r="109" spans="1:99" x14ac:dyDescent="0.25">
      <c r="A109" s="880" t="s">
        <v>1787</v>
      </c>
      <c r="B109" s="881" t="s">
        <v>1788</v>
      </c>
      <c r="C109" s="880" t="s">
        <v>2743</v>
      </c>
      <c r="D109" s="880"/>
      <c r="E109" s="884" t="s">
        <v>744</v>
      </c>
      <c r="F109" s="888">
        <v>1</v>
      </c>
      <c r="G109" s="881" t="s">
        <v>1007</v>
      </c>
      <c r="H109" s="881" t="s">
        <v>19</v>
      </c>
      <c r="I109" s="865">
        <v>46142</v>
      </c>
      <c r="J109" s="882" t="s">
        <v>8</v>
      </c>
      <c r="K109" s="880"/>
      <c r="L109" s="880"/>
      <c r="M109" s="883">
        <v>0</v>
      </c>
      <c r="N109" s="883">
        <v>0</v>
      </c>
      <c r="O109" s="883">
        <v>0</v>
      </c>
      <c r="P109" s="883">
        <v>26.09</v>
      </c>
      <c r="Q109" s="883">
        <v>15</v>
      </c>
      <c r="R109" s="883">
        <f t="shared" si="32"/>
        <v>3.91</v>
      </c>
      <c r="S109" s="883">
        <v>0</v>
      </c>
      <c r="T109" s="883">
        <v>5</v>
      </c>
      <c r="U109" s="883">
        <f t="shared" si="33"/>
        <v>0</v>
      </c>
      <c r="V109" s="883">
        <v>0</v>
      </c>
      <c r="W109" s="883">
        <v>8</v>
      </c>
      <c r="X109" s="883">
        <f t="shared" si="34"/>
        <v>0</v>
      </c>
      <c r="Y109" s="883">
        <v>0</v>
      </c>
      <c r="Z109" s="883">
        <v>0</v>
      </c>
      <c r="AA109" s="883">
        <v>0</v>
      </c>
      <c r="AB109" s="883">
        <f t="shared" si="35"/>
        <v>30</v>
      </c>
      <c r="AC109" s="883">
        <v>0</v>
      </c>
      <c r="AD109" s="881"/>
      <c r="AE109" s="880"/>
      <c r="AF109" s="883"/>
      <c r="AG109" s="889"/>
      <c r="AH109" s="880"/>
      <c r="AI109" s="880" t="s">
        <v>1241</v>
      </c>
      <c r="AJ109" s="884">
        <v>411</v>
      </c>
      <c r="AK109" s="883">
        <f t="shared" si="36"/>
        <v>26.09</v>
      </c>
      <c r="AL109" s="884">
        <v>413</v>
      </c>
      <c r="AM109" s="883">
        <f t="shared" si="37"/>
        <v>0</v>
      </c>
      <c r="AN109" s="884">
        <v>441</v>
      </c>
      <c r="AO109" s="883">
        <f t="shared" si="38"/>
        <v>0</v>
      </c>
      <c r="AP109" s="881"/>
      <c r="AQ109" s="881"/>
      <c r="AR109" s="883">
        <v>0</v>
      </c>
      <c r="AS109" s="883">
        <v>0</v>
      </c>
      <c r="AT109" s="883">
        <v>0</v>
      </c>
      <c r="AU109" s="880"/>
      <c r="AV109" s="886"/>
      <c r="AW109" s="880"/>
      <c r="AX109" s="886"/>
      <c r="AY109" s="880"/>
      <c r="AZ109" s="880"/>
      <c r="BA109" s="881"/>
      <c r="BB109" s="881" t="s">
        <v>57</v>
      </c>
      <c r="BC109" s="881"/>
      <c r="BD109" s="881"/>
      <c r="BE109" s="884">
        <f t="shared" si="39"/>
        <v>4</v>
      </c>
      <c r="BF109" s="887" t="str">
        <f t="shared" si="40"/>
        <v>SI</v>
      </c>
      <c r="BG109" s="883">
        <f t="shared" si="41"/>
        <v>26.09</v>
      </c>
      <c r="BH109" s="883">
        <f t="shared" si="42"/>
        <v>0</v>
      </c>
      <c r="BI109" s="883">
        <f t="shared" si="43"/>
        <v>0</v>
      </c>
      <c r="BJ109" s="883">
        <f t="shared" si="44"/>
        <v>0</v>
      </c>
      <c r="BK109" s="883">
        <f t="shared" si="45"/>
        <v>0</v>
      </c>
      <c r="BL109" s="883">
        <f t="shared" si="46"/>
        <v>3.91</v>
      </c>
      <c r="BM109" s="881"/>
      <c r="BN109" s="880"/>
      <c r="BO109" s="882" t="s">
        <v>1579</v>
      </c>
      <c r="BP109" s="882" t="s">
        <v>2286</v>
      </c>
      <c r="BQ109" s="882" t="s">
        <v>2285</v>
      </c>
      <c r="BR109" s="880"/>
      <c r="BS109" s="880"/>
      <c r="BT109" s="880"/>
      <c r="BU109" s="880"/>
      <c r="BV109" s="880"/>
      <c r="BW109" s="883">
        <v>0</v>
      </c>
      <c r="BX109" s="883">
        <v>0</v>
      </c>
      <c r="BY109" s="883">
        <v>0</v>
      </c>
      <c r="BZ109" s="890"/>
      <c r="CA109" s="883">
        <f t="shared" si="47"/>
        <v>0</v>
      </c>
      <c r="CB109" s="880"/>
      <c r="CC109" s="881"/>
      <c r="CD109" s="883"/>
      <c r="CE109" s="883"/>
      <c r="CF109" s="883"/>
      <c r="CG109" s="883"/>
      <c r="CH109" s="883"/>
      <c r="CI109" s="883"/>
      <c r="CJ109" s="883"/>
      <c r="CK109" s="883"/>
      <c r="CL109" s="883"/>
      <c r="CM109" s="883"/>
      <c r="CN109" s="883"/>
      <c r="CO109" s="883"/>
      <c r="CP109" s="883"/>
      <c r="CQ109" s="883"/>
      <c r="CR109" s="883"/>
      <c r="CS109" s="883"/>
      <c r="CT109" s="883"/>
      <c r="CU109" s="883"/>
    </row>
    <row r="110" spans="1:99" x14ac:dyDescent="0.25">
      <c r="A110" s="880" t="s">
        <v>1787</v>
      </c>
      <c r="B110" s="881" t="s">
        <v>1788</v>
      </c>
      <c r="C110" s="880" t="s">
        <v>2744</v>
      </c>
      <c r="D110" s="880"/>
      <c r="E110" s="884" t="s">
        <v>744</v>
      </c>
      <c r="F110" s="888">
        <v>1</v>
      </c>
      <c r="G110" s="881" t="s">
        <v>1007</v>
      </c>
      <c r="H110" s="881" t="s">
        <v>19</v>
      </c>
      <c r="I110" s="865">
        <v>46142</v>
      </c>
      <c r="J110" s="882" t="s">
        <v>8</v>
      </c>
      <c r="K110" s="880"/>
      <c r="L110" s="880"/>
      <c r="M110" s="883">
        <v>0</v>
      </c>
      <c r="N110" s="883">
        <v>0</v>
      </c>
      <c r="O110" s="883">
        <v>0</v>
      </c>
      <c r="P110" s="883">
        <v>17.86</v>
      </c>
      <c r="Q110" s="883">
        <v>15</v>
      </c>
      <c r="R110" s="883">
        <f t="shared" si="32"/>
        <v>2.68</v>
      </c>
      <c r="S110" s="883">
        <v>0</v>
      </c>
      <c r="T110" s="883">
        <v>5</v>
      </c>
      <c r="U110" s="883">
        <f t="shared" si="33"/>
        <v>0</v>
      </c>
      <c r="V110" s="883">
        <v>0</v>
      </c>
      <c r="W110" s="883">
        <v>8</v>
      </c>
      <c r="X110" s="883">
        <f t="shared" si="34"/>
        <v>0</v>
      </c>
      <c r="Y110" s="883">
        <v>0</v>
      </c>
      <c r="Z110" s="883">
        <v>0</v>
      </c>
      <c r="AA110" s="883">
        <v>0</v>
      </c>
      <c r="AB110" s="883">
        <f t="shared" si="35"/>
        <v>20.54</v>
      </c>
      <c r="AC110" s="883">
        <v>0</v>
      </c>
      <c r="AD110" s="881"/>
      <c r="AE110" s="880"/>
      <c r="AF110" s="883"/>
      <c r="AG110" s="889"/>
      <c r="AH110" s="880"/>
      <c r="AI110" s="880" t="s">
        <v>1241</v>
      </c>
      <c r="AJ110" s="884">
        <v>411</v>
      </c>
      <c r="AK110" s="883">
        <f t="shared" si="36"/>
        <v>17.86</v>
      </c>
      <c r="AL110" s="884">
        <v>413</v>
      </c>
      <c r="AM110" s="883">
        <f t="shared" si="37"/>
        <v>0</v>
      </c>
      <c r="AN110" s="884">
        <v>441</v>
      </c>
      <c r="AO110" s="883">
        <f t="shared" si="38"/>
        <v>0</v>
      </c>
      <c r="AP110" s="881"/>
      <c r="AQ110" s="881"/>
      <c r="AR110" s="883">
        <v>0</v>
      </c>
      <c r="AS110" s="883">
        <v>0</v>
      </c>
      <c r="AT110" s="883">
        <v>0</v>
      </c>
      <c r="AU110" s="880"/>
      <c r="AV110" s="886"/>
      <c r="AW110" s="880"/>
      <c r="AX110" s="886"/>
      <c r="AY110" s="880"/>
      <c r="AZ110" s="880"/>
      <c r="BA110" s="881"/>
      <c r="BB110" s="881" t="s">
        <v>57</v>
      </c>
      <c r="BC110" s="881"/>
      <c r="BD110" s="881"/>
      <c r="BE110" s="884">
        <f t="shared" si="39"/>
        <v>4</v>
      </c>
      <c r="BF110" s="887" t="str">
        <f t="shared" si="40"/>
        <v>SI</v>
      </c>
      <c r="BG110" s="883">
        <f t="shared" si="41"/>
        <v>17.86</v>
      </c>
      <c r="BH110" s="883">
        <f t="shared" si="42"/>
        <v>0</v>
      </c>
      <c r="BI110" s="883">
        <f t="shared" si="43"/>
        <v>0</v>
      </c>
      <c r="BJ110" s="883">
        <f t="shared" si="44"/>
        <v>0</v>
      </c>
      <c r="BK110" s="883">
        <f t="shared" si="45"/>
        <v>0</v>
      </c>
      <c r="BL110" s="883">
        <f t="shared" si="46"/>
        <v>2.68</v>
      </c>
      <c r="BM110" s="881"/>
      <c r="BN110" s="880"/>
      <c r="BO110" s="882" t="s">
        <v>1579</v>
      </c>
      <c r="BP110" s="882" t="s">
        <v>2286</v>
      </c>
      <c r="BQ110" s="882" t="s">
        <v>2285</v>
      </c>
      <c r="BR110" s="880"/>
      <c r="BS110" s="880"/>
      <c r="BT110" s="880"/>
      <c r="BU110" s="880"/>
      <c r="BV110" s="880"/>
      <c r="BW110" s="883">
        <v>0</v>
      </c>
      <c r="BX110" s="883">
        <v>0</v>
      </c>
      <c r="BY110" s="883">
        <v>0</v>
      </c>
      <c r="BZ110" s="890"/>
      <c r="CA110" s="883">
        <f t="shared" si="47"/>
        <v>0</v>
      </c>
      <c r="CB110" s="880"/>
      <c r="CC110" s="881"/>
      <c r="CD110" s="883"/>
      <c r="CE110" s="883"/>
      <c r="CF110" s="883"/>
      <c r="CG110" s="883"/>
      <c r="CH110" s="883"/>
      <c r="CI110" s="883"/>
      <c r="CJ110" s="883"/>
      <c r="CK110" s="883"/>
      <c r="CL110" s="883"/>
      <c r="CM110" s="883"/>
      <c r="CN110" s="883"/>
      <c r="CO110" s="883"/>
      <c r="CP110" s="883"/>
      <c r="CQ110" s="883"/>
      <c r="CR110" s="883"/>
      <c r="CS110" s="883"/>
      <c r="CT110" s="883"/>
      <c r="CU110" s="883"/>
    </row>
    <row r="111" spans="1:99" x14ac:dyDescent="0.25">
      <c r="A111" s="880" t="s">
        <v>1787</v>
      </c>
      <c r="B111" s="881" t="s">
        <v>1788</v>
      </c>
      <c r="C111" s="880" t="s">
        <v>2745</v>
      </c>
      <c r="D111" s="880"/>
      <c r="E111" s="884" t="s">
        <v>744</v>
      </c>
      <c r="F111" s="888">
        <v>1</v>
      </c>
      <c r="G111" s="881" t="s">
        <v>1007</v>
      </c>
      <c r="H111" s="881" t="s">
        <v>19</v>
      </c>
      <c r="I111" s="865">
        <v>46142</v>
      </c>
      <c r="J111" s="882" t="s">
        <v>8</v>
      </c>
      <c r="K111" s="880"/>
      <c r="L111" s="880"/>
      <c r="M111" s="883">
        <v>0</v>
      </c>
      <c r="N111" s="883">
        <v>0</v>
      </c>
      <c r="O111" s="883">
        <v>0</v>
      </c>
      <c r="P111" s="883">
        <v>21.74</v>
      </c>
      <c r="Q111" s="883">
        <v>15</v>
      </c>
      <c r="R111" s="883">
        <f t="shared" si="32"/>
        <v>3.26</v>
      </c>
      <c r="S111" s="883">
        <v>0</v>
      </c>
      <c r="T111" s="883">
        <v>5</v>
      </c>
      <c r="U111" s="883">
        <f t="shared" si="33"/>
        <v>0</v>
      </c>
      <c r="V111" s="883">
        <v>0</v>
      </c>
      <c r="W111" s="883">
        <v>8</v>
      </c>
      <c r="X111" s="883">
        <f t="shared" si="34"/>
        <v>0</v>
      </c>
      <c r="Y111" s="883">
        <v>0</v>
      </c>
      <c r="Z111" s="883">
        <v>0</v>
      </c>
      <c r="AA111" s="883">
        <v>0</v>
      </c>
      <c r="AB111" s="883">
        <f t="shared" si="35"/>
        <v>25</v>
      </c>
      <c r="AC111" s="883">
        <v>0</v>
      </c>
      <c r="AD111" s="881"/>
      <c r="AE111" s="880"/>
      <c r="AF111" s="883"/>
      <c r="AG111" s="889"/>
      <c r="AH111" s="880"/>
      <c r="AI111" s="880" t="s">
        <v>1241</v>
      </c>
      <c r="AJ111" s="884">
        <v>411</v>
      </c>
      <c r="AK111" s="883">
        <f t="shared" si="36"/>
        <v>21.74</v>
      </c>
      <c r="AL111" s="884">
        <v>413</v>
      </c>
      <c r="AM111" s="883">
        <f t="shared" si="37"/>
        <v>0</v>
      </c>
      <c r="AN111" s="884">
        <v>441</v>
      </c>
      <c r="AO111" s="883">
        <f t="shared" si="38"/>
        <v>0</v>
      </c>
      <c r="AP111" s="881"/>
      <c r="AQ111" s="881"/>
      <c r="AR111" s="883">
        <v>0</v>
      </c>
      <c r="AS111" s="883">
        <v>0</v>
      </c>
      <c r="AT111" s="883">
        <v>0</v>
      </c>
      <c r="AU111" s="880"/>
      <c r="AV111" s="886"/>
      <c r="AW111" s="880"/>
      <c r="AX111" s="886"/>
      <c r="AY111" s="880"/>
      <c r="AZ111" s="880"/>
      <c r="BA111" s="881"/>
      <c r="BB111" s="881" t="s">
        <v>57</v>
      </c>
      <c r="BC111" s="881"/>
      <c r="BD111" s="881"/>
      <c r="BE111" s="884">
        <f t="shared" si="39"/>
        <v>4</v>
      </c>
      <c r="BF111" s="887" t="str">
        <f t="shared" si="40"/>
        <v>SI</v>
      </c>
      <c r="BG111" s="883">
        <f t="shared" si="41"/>
        <v>21.74</v>
      </c>
      <c r="BH111" s="883">
        <f t="shared" si="42"/>
        <v>0</v>
      </c>
      <c r="BI111" s="883">
        <f t="shared" si="43"/>
        <v>0</v>
      </c>
      <c r="BJ111" s="883">
        <f t="shared" si="44"/>
        <v>0</v>
      </c>
      <c r="BK111" s="883">
        <f t="shared" si="45"/>
        <v>0</v>
      </c>
      <c r="BL111" s="883">
        <f t="shared" si="46"/>
        <v>3.26</v>
      </c>
      <c r="BM111" s="881"/>
      <c r="BN111" s="880"/>
      <c r="BO111" s="882" t="s">
        <v>1579</v>
      </c>
      <c r="BP111" s="882" t="s">
        <v>2286</v>
      </c>
      <c r="BQ111" s="882" t="s">
        <v>2285</v>
      </c>
      <c r="BR111" s="880"/>
      <c r="BS111" s="880"/>
      <c r="BT111" s="880"/>
      <c r="BU111" s="880"/>
      <c r="BV111" s="880"/>
      <c r="BW111" s="883">
        <v>0</v>
      </c>
      <c r="BX111" s="883">
        <v>0</v>
      </c>
      <c r="BY111" s="883">
        <v>0</v>
      </c>
      <c r="BZ111" s="890"/>
      <c r="CA111" s="883">
        <f t="shared" si="47"/>
        <v>0</v>
      </c>
      <c r="CB111" s="880"/>
      <c r="CC111" s="881"/>
      <c r="CD111" s="883"/>
      <c r="CE111" s="883"/>
      <c r="CF111" s="883"/>
      <c r="CG111" s="883"/>
      <c r="CH111" s="883"/>
      <c r="CI111" s="883"/>
      <c r="CJ111" s="883"/>
      <c r="CK111" s="883"/>
      <c r="CL111" s="883"/>
      <c r="CM111" s="883"/>
      <c r="CN111" s="883"/>
      <c r="CO111" s="883"/>
      <c r="CP111" s="883"/>
      <c r="CQ111" s="883"/>
      <c r="CR111" s="883"/>
      <c r="CS111" s="883"/>
      <c r="CT111" s="883"/>
      <c r="CU111" s="883"/>
    </row>
    <row r="112" spans="1:99" x14ac:dyDescent="0.25">
      <c r="A112" s="880" t="s">
        <v>1787</v>
      </c>
      <c r="B112" s="881" t="s">
        <v>1788</v>
      </c>
      <c r="C112" s="880" t="s">
        <v>2746</v>
      </c>
      <c r="D112" s="880"/>
      <c r="E112" s="884" t="s">
        <v>744</v>
      </c>
      <c r="F112" s="888">
        <v>1</v>
      </c>
      <c r="G112" s="881" t="s">
        <v>1007</v>
      </c>
      <c r="H112" s="881" t="s">
        <v>19</v>
      </c>
      <c r="I112" s="865">
        <v>46142</v>
      </c>
      <c r="J112" s="882" t="s">
        <v>8</v>
      </c>
      <c r="K112" s="880"/>
      <c r="L112" s="880"/>
      <c r="M112" s="883">
        <v>0</v>
      </c>
      <c r="N112" s="883">
        <v>0</v>
      </c>
      <c r="O112" s="883">
        <v>0</v>
      </c>
      <c r="P112" s="883">
        <v>22.32</v>
      </c>
      <c r="Q112" s="883">
        <v>15</v>
      </c>
      <c r="R112" s="883">
        <f t="shared" si="32"/>
        <v>3.35</v>
      </c>
      <c r="S112" s="883">
        <v>0</v>
      </c>
      <c r="T112" s="883">
        <v>5</v>
      </c>
      <c r="U112" s="883">
        <f t="shared" si="33"/>
        <v>0</v>
      </c>
      <c r="V112" s="883">
        <v>0</v>
      </c>
      <c r="W112" s="883">
        <v>8</v>
      </c>
      <c r="X112" s="883">
        <f t="shared" si="34"/>
        <v>0</v>
      </c>
      <c r="Y112" s="883">
        <v>0</v>
      </c>
      <c r="Z112" s="883">
        <v>0</v>
      </c>
      <c r="AA112" s="883">
        <v>0</v>
      </c>
      <c r="AB112" s="883">
        <f t="shared" si="35"/>
        <v>25.67</v>
      </c>
      <c r="AC112" s="883">
        <v>0</v>
      </c>
      <c r="AD112" s="881"/>
      <c r="AE112" s="880"/>
      <c r="AF112" s="883"/>
      <c r="AG112" s="889"/>
      <c r="AH112" s="880"/>
      <c r="AI112" s="880" t="s">
        <v>1241</v>
      </c>
      <c r="AJ112" s="884">
        <v>411</v>
      </c>
      <c r="AK112" s="883">
        <f t="shared" si="36"/>
        <v>22.32</v>
      </c>
      <c r="AL112" s="884">
        <v>413</v>
      </c>
      <c r="AM112" s="883">
        <f t="shared" si="37"/>
        <v>0</v>
      </c>
      <c r="AN112" s="884">
        <v>441</v>
      </c>
      <c r="AO112" s="883">
        <f t="shared" si="38"/>
        <v>0</v>
      </c>
      <c r="AP112" s="881"/>
      <c r="AQ112" s="881"/>
      <c r="AR112" s="883">
        <v>0</v>
      </c>
      <c r="AS112" s="883">
        <v>0</v>
      </c>
      <c r="AT112" s="883">
        <v>0</v>
      </c>
      <c r="AU112" s="880"/>
      <c r="AV112" s="886"/>
      <c r="AW112" s="880"/>
      <c r="AX112" s="886"/>
      <c r="AY112" s="880"/>
      <c r="AZ112" s="880"/>
      <c r="BA112" s="881"/>
      <c r="BB112" s="881" t="s">
        <v>57</v>
      </c>
      <c r="BC112" s="881"/>
      <c r="BD112" s="881"/>
      <c r="BE112" s="884">
        <f t="shared" si="39"/>
        <v>4</v>
      </c>
      <c r="BF112" s="887" t="str">
        <f t="shared" si="40"/>
        <v>SI</v>
      </c>
      <c r="BG112" s="883">
        <f t="shared" si="41"/>
        <v>22.32</v>
      </c>
      <c r="BH112" s="883">
        <f t="shared" si="42"/>
        <v>0</v>
      </c>
      <c r="BI112" s="883">
        <f t="shared" si="43"/>
        <v>0</v>
      </c>
      <c r="BJ112" s="883">
        <f t="shared" si="44"/>
        <v>0</v>
      </c>
      <c r="BK112" s="883">
        <f t="shared" si="45"/>
        <v>0</v>
      </c>
      <c r="BL112" s="883">
        <f t="shared" si="46"/>
        <v>3.35</v>
      </c>
      <c r="BM112" s="881"/>
      <c r="BN112" s="880"/>
      <c r="BO112" s="882" t="s">
        <v>1579</v>
      </c>
      <c r="BP112" s="882" t="s">
        <v>2286</v>
      </c>
      <c r="BQ112" s="882" t="s">
        <v>2285</v>
      </c>
      <c r="BR112" s="880"/>
      <c r="BS112" s="880"/>
      <c r="BT112" s="880"/>
      <c r="BU112" s="880"/>
      <c r="BV112" s="880"/>
      <c r="BW112" s="883">
        <v>0</v>
      </c>
      <c r="BX112" s="883">
        <v>0</v>
      </c>
      <c r="BY112" s="883">
        <v>0</v>
      </c>
      <c r="BZ112" s="890"/>
      <c r="CA112" s="883">
        <f t="shared" si="47"/>
        <v>0</v>
      </c>
      <c r="CB112" s="880"/>
      <c r="CC112" s="881"/>
      <c r="CD112" s="883"/>
      <c r="CE112" s="883"/>
      <c r="CF112" s="883"/>
      <c r="CG112" s="883"/>
      <c r="CH112" s="883"/>
      <c r="CI112" s="883"/>
      <c r="CJ112" s="883"/>
      <c r="CK112" s="883"/>
      <c r="CL112" s="883"/>
      <c r="CM112" s="883"/>
      <c r="CN112" s="883"/>
      <c r="CO112" s="883"/>
      <c r="CP112" s="883"/>
      <c r="CQ112" s="883"/>
      <c r="CR112" s="883"/>
      <c r="CS112" s="883"/>
      <c r="CT112" s="883"/>
      <c r="CU112" s="883"/>
    </row>
    <row r="113" spans="1:99" x14ac:dyDescent="0.25">
      <c r="A113" s="880" t="s">
        <v>1787</v>
      </c>
      <c r="B113" s="881" t="s">
        <v>1788</v>
      </c>
      <c r="C113" s="880" t="s">
        <v>2747</v>
      </c>
      <c r="D113" s="880"/>
      <c r="E113" s="884" t="s">
        <v>744</v>
      </c>
      <c r="F113" s="888">
        <v>1</v>
      </c>
      <c r="G113" s="881" t="s">
        <v>1007</v>
      </c>
      <c r="H113" s="881" t="s">
        <v>19</v>
      </c>
      <c r="I113" s="865">
        <v>46142</v>
      </c>
      <c r="J113" s="882" t="s">
        <v>8</v>
      </c>
      <c r="K113" s="880"/>
      <c r="L113" s="880"/>
      <c r="M113" s="883">
        <v>0</v>
      </c>
      <c r="N113" s="883">
        <v>0</v>
      </c>
      <c r="O113" s="883">
        <v>0</v>
      </c>
      <c r="P113" s="883">
        <v>26.09</v>
      </c>
      <c r="Q113" s="883">
        <v>15</v>
      </c>
      <c r="R113" s="883">
        <f t="shared" si="32"/>
        <v>3.91</v>
      </c>
      <c r="S113" s="883">
        <v>0</v>
      </c>
      <c r="T113" s="883">
        <v>5</v>
      </c>
      <c r="U113" s="883">
        <f t="shared" si="33"/>
        <v>0</v>
      </c>
      <c r="V113" s="883">
        <v>0</v>
      </c>
      <c r="W113" s="883">
        <v>8</v>
      </c>
      <c r="X113" s="883">
        <f t="shared" si="34"/>
        <v>0</v>
      </c>
      <c r="Y113" s="883">
        <v>0</v>
      </c>
      <c r="Z113" s="883">
        <v>0</v>
      </c>
      <c r="AA113" s="883">
        <v>0</v>
      </c>
      <c r="AB113" s="883">
        <f t="shared" si="35"/>
        <v>30</v>
      </c>
      <c r="AC113" s="883">
        <v>0</v>
      </c>
      <c r="AD113" s="881"/>
      <c r="AE113" s="880"/>
      <c r="AF113" s="883"/>
      <c r="AG113" s="889"/>
      <c r="AH113" s="880"/>
      <c r="AI113" s="880" t="s">
        <v>1241</v>
      </c>
      <c r="AJ113" s="884">
        <v>411</v>
      </c>
      <c r="AK113" s="883">
        <f t="shared" si="36"/>
        <v>26.09</v>
      </c>
      <c r="AL113" s="884">
        <v>413</v>
      </c>
      <c r="AM113" s="883">
        <f t="shared" si="37"/>
        <v>0</v>
      </c>
      <c r="AN113" s="884">
        <v>441</v>
      </c>
      <c r="AO113" s="883">
        <f t="shared" si="38"/>
        <v>0</v>
      </c>
      <c r="AP113" s="881"/>
      <c r="AQ113" s="881"/>
      <c r="AR113" s="883">
        <v>0</v>
      </c>
      <c r="AS113" s="883">
        <v>0</v>
      </c>
      <c r="AT113" s="883">
        <v>0</v>
      </c>
      <c r="AU113" s="880"/>
      <c r="AV113" s="886"/>
      <c r="AW113" s="880"/>
      <c r="AX113" s="886"/>
      <c r="AY113" s="880"/>
      <c r="AZ113" s="880"/>
      <c r="BA113" s="881"/>
      <c r="BB113" s="881" t="s">
        <v>57</v>
      </c>
      <c r="BC113" s="881"/>
      <c r="BD113" s="881"/>
      <c r="BE113" s="884">
        <f t="shared" si="39"/>
        <v>4</v>
      </c>
      <c r="BF113" s="887" t="str">
        <f t="shared" si="40"/>
        <v>SI</v>
      </c>
      <c r="BG113" s="883">
        <f t="shared" si="41"/>
        <v>26.09</v>
      </c>
      <c r="BH113" s="883">
        <f t="shared" si="42"/>
        <v>0</v>
      </c>
      <c r="BI113" s="883">
        <f t="shared" si="43"/>
        <v>0</v>
      </c>
      <c r="BJ113" s="883">
        <f t="shared" si="44"/>
        <v>0</v>
      </c>
      <c r="BK113" s="883">
        <f t="shared" si="45"/>
        <v>0</v>
      </c>
      <c r="BL113" s="883">
        <f t="shared" si="46"/>
        <v>3.91</v>
      </c>
      <c r="BM113" s="881"/>
      <c r="BN113" s="880"/>
      <c r="BO113" s="882" t="s">
        <v>1579</v>
      </c>
      <c r="BP113" s="882" t="s">
        <v>2286</v>
      </c>
      <c r="BQ113" s="882" t="s">
        <v>2285</v>
      </c>
      <c r="BR113" s="880"/>
      <c r="BS113" s="880"/>
      <c r="BT113" s="880"/>
      <c r="BU113" s="880"/>
      <c r="BV113" s="880"/>
      <c r="BW113" s="883">
        <v>0</v>
      </c>
      <c r="BX113" s="883">
        <v>0</v>
      </c>
      <c r="BY113" s="883">
        <v>0</v>
      </c>
      <c r="BZ113" s="890"/>
      <c r="CA113" s="883">
        <f t="shared" si="47"/>
        <v>0</v>
      </c>
      <c r="CB113" s="880"/>
      <c r="CC113" s="881"/>
      <c r="CD113" s="883"/>
      <c r="CE113" s="883"/>
      <c r="CF113" s="883"/>
      <c r="CG113" s="883"/>
      <c r="CH113" s="883"/>
      <c r="CI113" s="883"/>
      <c r="CJ113" s="883"/>
      <c r="CK113" s="883"/>
      <c r="CL113" s="883"/>
      <c r="CM113" s="883"/>
      <c r="CN113" s="883"/>
      <c r="CO113" s="883"/>
      <c r="CP113" s="883"/>
      <c r="CQ113" s="883"/>
      <c r="CR113" s="883"/>
      <c r="CS113" s="883"/>
      <c r="CT113" s="883"/>
      <c r="CU113" s="883"/>
    </row>
    <row r="114" spans="1:99" x14ac:dyDescent="0.25">
      <c r="A114" s="880" t="s">
        <v>1787</v>
      </c>
      <c r="B114" s="881" t="s">
        <v>1788</v>
      </c>
      <c r="C114" s="880" t="s">
        <v>2748</v>
      </c>
      <c r="D114" s="880"/>
      <c r="E114" s="884" t="s">
        <v>744</v>
      </c>
      <c r="F114" s="888">
        <v>1</v>
      </c>
      <c r="G114" s="881" t="s">
        <v>1007</v>
      </c>
      <c r="H114" s="881" t="s">
        <v>19</v>
      </c>
      <c r="I114" s="865">
        <v>46142</v>
      </c>
      <c r="J114" s="882" t="s">
        <v>8</v>
      </c>
      <c r="K114" s="880"/>
      <c r="L114" s="880"/>
      <c r="M114" s="883">
        <v>0</v>
      </c>
      <c r="N114" s="883">
        <v>0</v>
      </c>
      <c r="O114" s="883">
        <v>0</v>
      </c>
      <c r="P114" s="883">
        <v>21.74</v>
      </c>
      <c r="Q114" s="883">
        <v>15</v>
      </c>
      <c r="R114" s="883">
        <f t="shared" si="32"/>
        <v>3.26</v>
      </c>
      <c r="S114" s="883">
        <v>0</v>
      </c>
      <c r="T114" s="883">
        <v>5</v>
      </c>
      <c r="U114" s="883">
        <f t="shared" si="33"/>
        <v>0</v>
      </c>
      <c r="V114" s="883">
        <v>0</v>
      </c>
      <c r="W114" s="883">
        <v>8</v>
      </c>
      <c r="X114" s="883">
        <f t="shared" si="34"/>
        <v>0</v>
      </c>
      <c r="Y114" s="883">
        <v>0</v>
      </c>
      <c r="Z114" s="883">
        <v>0</v>
      </c>
      <c r="AA114" s="883">
        <v>0</v>
      </c>
      <c r="AB114" s="883">
        <f t="shared" si="35"/>
        <v>25</v>
      </c>
      <c r="AC114" s="883">
        <v>0</v>
      </c>
      <c r="AD114" s="881"/>
      <c r="AE114" s="880"/>
      <c r="AF114" s="883"/>
      <c r="AG114" s="889"/>
      <c r="AH114" s="880"/>
      <c r="AI114" s="880" t="s">
        <v>1241</v>
      </c>
      <c r="AJ114" s="884">
        <v>411</v>
      </c>
      <c r="AK114" s="883">
        <f t="shared" si="36"/>
        <v>21.74</v>
      </c>
      <c r="AL114" s="884">
        <v>413</v>
      </c>
      <c r="AM114" s="883">
        <f t="shared" si="37"/>
        <v>0</v>
      </c>
      <c r="AN114" s="884">
        <v>441</v>
      </c>
      <c r="AO114" s="883">
        <f t="shared" si="38"/>
        <v>0</v>
      </c>
      <c r="AP114" s="881"/>
      <c r="AQ114" s="881"/>
      <c r="AR114" s="883">
        <v>0</v>
      </c>
      <c r="AS114" s="883">
        <v>0</v>
      </c>
      <c r="AT114" s="883">
        <v>0</v>
      </c>
      <c r="AU114" s="880"/>
      <c r="AV114" s="886"/>
      <c r="AW114" s="880"/>
      <c r="AX114" s="886"/>
      <c r="AY114" s="880"/>
      <c r="AZ114" s="880"/>
      <c r="BA114" s="881"/>
      <c r="BB114" s="881" t="s">
        <v>57</v>
      </c>
      <c r="BC114" s="881"/>
      <c r="BD114" s="881"/>
      <c r="BE114" s="884">
        <f t="shared" si="39"/>
        <v>4</v>
      </c>
      <c r="BF114" s="887" t="str">
        <f t="shared" si="40"/>
        <v>SI</v>
      </c>
      <c r="BG114" s="883">
        <f t="shared" si="41"/>
        <v>21.74</v>
      </c>
      <c r="BH114" s="883">
        <f t="shared" si="42"/>
        <v>0</v>
      </c>
      <c r="BI114" s="883">
        <f t="shared" si="43"/>
        <v>0</v>
      </c>
      <c r="BJ114" s="883">
        <f t="shared" si="44"/>
        <v>0</v>
      </c>
      <c r="BK114" s="883">
        <f t="shared" si="45"/>
        <v>0</v>
      </c>
      <c r="BL114" s="883">
        <f t="shared" si="46"/>
        <v>3.26</v>
      </c>
      <c r="BM114" s="881"/>
      <c r="BN114" s="880"/>
      <c r="BO114" s="882" t="s">
        <v>1579</v>
      </c>
      <c r="BP114" s="882" t="s">
        <v>2286</v>
      </c>
      <c r="BQ114" s="882" t="s">
        <v>2285</v>
      </c>
      <c r="BR114" s="880"/>
      <c r="BS114" s="880"/>
      <c r="BT114" s="880"/>
      <c r="BU114" s="880"/>
      <c r="BV114" s="880"/>
      <c r="BW114" s="883">
        <v>0</v>
      </c>
      <c r="BX114" s="883">
        <v>0</v>
      </c>
      <c r="BY114" s="883">
        <v>0</v>
      </c>
      <c r="BZ114" s="890"/>
      <c r="CA114" s="883">
        <f t="shared" si="47"/>
        <v>0</v>
      </c>
      <c r="CB114" s="880"/>
      <c r="CC114" s="881"/>
      <c r="CD114" s="883"/>
      <c r="CE114" s="883"/>
      <c r="CF114" s="883"/>
      <c r="CG114" s="883"/>
      <c r="CH114" s="883"/>
      <c r="CI114" s="883"/>
      <c r="CJ114" s="883"/>
      <c r="CK114" s="883"/>
      <c r="CL114" s="883"/>
      <c r="CM114" s="883"/>
      <c r="CN114" s="883"/>
      <c r="CO114" s="883"/>
      <c r="CP114" s="883"/>
      <c r="CQ114" s="883"/>
      <c r="CR114" s="883"/>
      <c r="CS114" s="883"/>
      <c r="CT114" s="883"/>
      <c r="CU114" s="883"/>
    </row>
    <row r="115" spans="1:99" x14ac:dyDescent="0.25">
      <c r="A115" s="880" t="s">
        <v>1787</v>
      </c>
      <c r="B115" s="881" t="s">
        <v>1788</v>
      </c>
      <c r="C115" s="880" t="s">
        <v>2749</v>
      </c>
      <c r="D115" s="880"/>
      <c r="E115" s="884" t="s">
        <v>744</v>
      </c>
      <c r="F115" s="888">
        <v>1</v>
      </c>
      <c r="G115" s="881" t="s">
        <v>1007</v>
      </c>
      <c r="H115" s="881" t="s">
        <v>19</v>
      </c>
      <c r="I115" s="865">
        <v>46142</v>
      </c>
      <c r="J115" s="882" t="s">
        <v>8</v>
      </c>
      <c r="K115" s="880"/>
      <c r="L115" s="880"/>
      <c r="M115" s="883">
        <v>0</v>
      </c>
      <c r="N115" s="883">
        <v>0</v>
      </c>
      <c r="O115" s="883">
        <v>0</v>
      </c>
      <c r="P115" s="883">
        <v>21.74</v>
      </c>
      <c r="Q115" s="883">
        <v>15</v>
      </c>
      <c r="R115" s="883">
        <f t="shared" si="32"/>
        <v>3.26</v>
      </c>
      <c r="S115" s="883">
        <v>0</v>
      </c>
      <c r="T115" s="883">
        <v>5</v>
      </c>
      <c r="U115" s="883">
        <f t="shared" si="33"/>
        <v>0</v>
      </c>
      <c r="V115" s="883">
        <v>0</v>
      </c>
      <c r="W115" s="883">
        <v>8</v>
      </c>
      <c r="X115" s="883">
        <f t="shared" si="34"/>
        <v>0</v>
      </c>
      <c r="Y115" s="883">
        <v>0</v>
      </c>
      <c r="Z115" s="883">
        <v>0</v>
      </c>
      <c r="AA115" s="883">
        <v>0</v>
      </c>
      <c r="AB115" s="883">
        <f t="shared" si="35"/>
        <v>25</v>
      </c>
      <c r="AC115" s="883">
        <v>0</v>
      </c>
      <c r="AD115" s="881"/>
      <c r="AE115" s="880"/>
      <c r="AF115" s="883"/>
      <c r="AG115" s="889"/>
      <c r="AH115" s="880"/>
      <c r="AI115" s="880" t="s">
        <v>1241</v>
      </c>
      <c r="AJ115" s="884">
        <v>411</v>
      </c>
      <c r="AK115" s="883">
        <f t="shared" si="36"/>
        <v>21.74</v>
      </c>
      <c r="AL115" s="884">
        <v>413</v>
      </c>
      <c r="AM115" s="883">
        <f t="shared" si="37"/>
        <v>0</v>
      </c>
      <c r="AN115" s="884">
        <v>441</v>
      </c>
      <c r="AO115" s="883">
        <f t="shared" si="38"/>
        <v>0</v>
      </c>
      <c r="AP115" s="881"/>
      <c r="AQ115" s="881"/>
      <c r="AR115" s="883">
        <v>0</v>
      </c>
      <c r="AS115" s="883">
        <v>0</v>
      </c>
      <c r="AT115" s="883">
        <v>0</v>
      </c>
      <c r="AU115" s="880"/>
      <c r="AV115" s="886"/>
      <c r="AW115" s="880"/>
      <c r="AX115" s="886"/>
      <c r="AY115" s="880"/>
      <c r="AZ115" s="880"/>
      <c r="BA115" s="881"/>
      <c r="BB115" s="881" t="s">
        <v>57</v>
      </c>
      <c r="BC115" s="881"/>
      <c r="BD115" s="881"/>
      <c r="BE115" s="884">
        <f t="shared" si="39"/>
        <v>4</v>
      </c>
      <c r="BF115" s="887" t="str">
        <f t="shared" si="40"/>
        <v>SI</v>
      </c>
      <c r="BG115" s="883">
        <f t="shared" si="41"/>
        <v>21.74</v>
      </c>
      <c r="BH115" s="883">
        <f t="shared" si="42"/>
        <v>0</v>
      </c>
      <c r="BI115" s="883">
        <f t="shared" si="43"/>
        <v>0</v>
      </c>
      <c r="BJ115" s="883">
        <f t="shared" si="44"/>
        <v>0</v>
      </c>
      <c r="BK115" s="883">
        <f t="shared" si="45"/>
        <v>0</v>
      </c>
      <c r="BL115" s="883">
        <f t="shared" si="46"/>
        <v>3.26</v>
      </c>
      <c r="BM115" s="881"/>
      <c r="BN115" s="880"/>
      <c r="BO115" s="882" t="s">
        <v>1579</v>
      </c>
      <c r="BP115" s="882" t="s">
        <v>2286</v>
      </c>
      <c r="BQ115" s="882" t="s">
        <v>2285</v>
      </c>
      <c r="BR115" s="880"/>
      <c r="BS115" s="880"/>
      <c r="BT115" s="880"/>
      <c r="BU115" s="880"/>
      <c r="BV115" s="880"/>
      <c r="BW115" s="883">
        <v>0</v>
      </c>
      <c r="BX115" s="883">
        <v>0</v>
      </c>
      <c r="BY115" s="883">
        <v>0</v>
      </c>
      <c r="BZ115" s="890"/>
      <c r="CA115" s="883">
        <f t="shared" si="47"/>
        <v>0</v>
      </c>
      <c r="CB115" s="880"/>
      <c r="CC115" s="881"/>
      <c r="CD115" s="883"/>
      <c r="CE115" s="883"/>
      <c r="CF115" s="883"/>
      <c r="CG115" s="883"/>
      <c r="CH115" s="883"/>
      <c r="CI115" s="883"/>
      <c r="CJ115" s="883"/>
      <c r="CK115" s="883"/>
      <c r="CL115" s="883"/>
      <c r="CM115" s="883"/>
      <c r="CN115" s="883"/>
      <c r="CO115" s="883"/>
      <c r="CP115" s="883"/>
      <c r="CQ115" s="883"/>
      <c r="CR115" s="883"/>
      <c r="CS115" s="883"/>
      <c r="CT115" s="883"/>
      <c r="CU115" s="883"/>
    </row>
    <row r="116" spans="1:99" x14ac:dyDescent="0.25">
      <c r="A116" s="880" t="s">
        <v>1787</v>
      </c>
      <c r="B116" s="881" t="s">
        <v>1788</v>
      </c>
      <c r="C116" s="880" t="s">
        <v>2750</v>
      </c>
      <c r="D116" s="880"/>
      <c r="E116" s="884" t="s">
        <v>744</v>
      </c>
      <c r="F116" s="888">
        <v>1</v>
      </c>
      <c r="G116" s="881" t="s">
        <v>1007</v>
      </c>
      <c r="H116" s="881" t="s">
        <v>19</v>
      </c>
      <c r="I116" s="865">
        <v>46142</v>
      </c>
      <c r="J116" s="882" t="s">
        <v>8</v>
      </c>
      <c r="K116" s="880"/>
      <c r="L116" s="880"/>
      <c r="M116" s="883">
        <v>0</v>
      </c>
      <c r="N116" s="883">
        <v>0</v>
      </c>
      <c r="O116" s="883">
        <v>0</v>
      </c>
      <c r="P116" s="883">
        <v>22.32</v>
      </c>
      <c r="Q116" s="883">
        <v>15</v>
      </c>
      <c r="R116" s="883">
        <f t="shared" si="32"/>
        <v>3.35</v>
      </c>
      <c r="S116" s="883">
        <v>0</v>
      </c>
      <c r="T116" s="883">
        <v>5</v>
      </c>
      <c r="U116" s="883">
        <f t="shared" si="33"/>
        <v>0</v>
      </c>
      <c r="V116" s="883">
        <v>0</v>
      </c>
      <c r="W116" s="883">
        <v>8</v>
      </c>
      <c r="X116" s="883">
        <f t="shared" si="34"/>
        <v>0</v>
      </c>
      <c r="Y116" s="883">
        <v>0</v>
      </c>
      <c r="Z116" s="883">
        <v>0</v>
      </c>
      <c r="AA116" s="883">
        <v>0</v>
      </c>
      <c r="AB116" s="883">
        <f t="shared" si="35"/>
        <v>25.67</v>
      </c>
      <c r="AC116" s="883">
        <v>0</v>
      </c>
      <c r="AD116" s="881"/>
      <c r="AE116" s="880"/>
      <c r="AF116" s="883"/>
      <c r="AG116" s="889"/>
      <c r="AH116" s="880"/>
      <c r="AI116" s="880" t="s">
        <v>1241</v>
      </c>
      <c r="AJ116" s="884">
        <v>411</v>
      </c>
      <c r="AK116" s="883">
        <f t="shared" si="36"/>
        <v>22.32</v>
      </c>
      <c r="AL116" s="884">
        <v>413</v>
      </c>
      <c r="AM116" s="883">
        <f t="shared" si="37"/>
        <v>0</v>
      </c>
      <c r="AN116" s="884">
        <v>441</v>
      </c>
      <c r="AO116" s="883">
        <f t="shared" si="38"/>
        <v>0</v>
      </c>
      <c r="AP116" s="881"/>
      <c r="AQ116" s="881"/>
      <c r="AR116" s="883">
        <v>0</v>
      </c>
      <c r="AS116" s="883">
        <v>0</v>
      </c>
      <c r="AT116" s="883">
        <v>0</v>
      </c>
      <c r="AU116" s="880"/>
      <c r="AV116" s="886"/>
      <c r="AW116" s="880"/>
      <c r="AX116" s="886"/>
      <c r="AY116" s="880"/>
      <c r="AZ116" s="880"/>
      <c r="BA116" s="881"/>
      <c r="BB116" s="881" t="s">
        <v>57</v>
      </c>
      <c r="BC116" s="881"/>
      <c r="BD116" s="881"/>
      <c r="BE116" s="884">
        <f t="shared" si="39"/>
        <v>4</v>
      </c>
      <c r="BF116" s="887" t="str">
        <f t="shared" si="40"/>
        <v>SI</v>
      </c>
      <c r="BG116" s="883">
        <f t="shared" si="41"/>
        <v>22.32</v>
      </c>
      <c r="BH116" s="883">
        <f t="shared" si="42"/>
        <v>0</v>
      </c>
      <c r="BI116" s="883">
        <f t="shared" si="43"/>
        <v>0</v>
      </c>
      <c r="BJ116" s="883">
        <f t="shared" si="44"/>
        <v>0</v>
      </c>
      <c r="BK116" s="883">
        <f t="shared" si="45"/>
        <v>0</v>
      </c>
      <c r="BL116" s="883">
        <f t="shared" si="46"/>
        <v>3.35</v>
      </c>
      <c r="BM116" s="881"/>
      <c r="BN116" s="880"/>
      <c r="BO116" s="882" t="s">
        <v>1579</v>
      </c>
      <c r="BP116" s="882" t="s">
        <v>2286</v>
      </c>
      <c r="BQ116" s="882" t="s">
        <v>2285</v>
      </c>
      <c r="BR116" s="880"/>
      <c r="BS116" s="880"/>
      <c r="BT116" s="880"/>
      <c r="BU116" s="880"/>
      <c r="BV116" s="880"/>
      <c r="BW116" s="883">
        <v>0</v>
      </c>
      <c r="BX116" s="883">
        <v>0</v>
      </c>
      <c r="BY116" s="883">
        <v>0</v>
      </c>
      <c r="BZ116" s="890"/>
      <c r="CA116" s="883">
        <f t="shared" si="47"/>
        <v>0</v>
      </c>
      <c r="CB116" s="880"/>
      <c r="CC116" s="881"/>
      <c r="CD116" s="883"/>
      <c r="CE116" s="883"/>
      <c r="CF116" s="883"/>
      <c r="CG116" s="883"/>
      <c r="CH116" s="883"/>
      <c r="CI116" s="883"/>
      <c r="CJ116" s="883"/>
      <c r="CK116" s="883"/>
      <c r="CL116" s="883"/>
      <c r="CM116" s="883"/>
      <c r="CN116" s="883"/>
      <c r="CO116" s="883"/>
      <c r="CP116" s="883"/>
      <c r="CQ116" s="883"/>
      <c r="CR116" s="883"/>
      <c r="CS116" s="883"/>
      <c r="CT116" s="883"/>
      <c r="CU116" s="883"/>
    </row>
    <row r="117" spans="1:99" x14ac:dyDescent="0.25">
      <c r="A117" s="880" t="s">
        <v>1787</v>
      </c>
      <c r="B117" s="881" t="s">
        <v>1788</v>
      </c>
      <c r="C117" s="880" t="s">
        <v>2751</v>
      </c>
      <c r="D117" s="880"/>
      <c r="E117" s="884" t="s">
        <v>744</v>
      </c>
      <c r="F117" s="888">
        <v>1</v>
      </c>
      <c r="G117" s="881" t="s">
        <v>1007</v>
      </c>
      <c r="H117" s="881" t="s">
        <v>19</v>
      </c>
      <c r="I117" s="865">
        <v>46142</v>
      </c>
      <c r="J117" s="882" t="s">
        <v>8</v>
      </c>
      <c r="K117" s="880"/>
      <c r="L117" s="880"/>
      <c r="M117" s="883">
        <v>0</v>
      </c>
      <c r="N117" s="883">
        <v>0</v>
      </c>
      <c r="O117" s="883">
        <v>0</v>
      </c>
      <c r="P117" s="883">
        <v>17.86</v>
      </c>
      <c r="Q117" s="883">
        <v>15</v>
      </c>
      <c r="R117" s="883">
        <f t="shared" si="32"/>
        <v>2.68</v>
      </c>
      <c r="S117" s="883">
        <v>0</v>
      </c>
      <c r="T117" s="883">
        <v>5</v>
      </c>
      <c r="U117" s="883">
        <f t="shared" si="33"/>
        <v>0</v>
      </c>
      <c r="V117" s="883">
        <v>0</v>
      </c>
      <c r="W117" s="883">
        <v>8</v>
      </c>
      <c r="X117" s="883">
        <f t="shared" si="34"/>
        <v>0</v>
      </c>
      <c r="Y117" s="883">
        <v>0</v>
      </c>
      <c r="Z117" s="883">
        <v>0</v>
      </c>
      <c r="AA117" s="883">
        <v>0</v>
      </c>
      <c r="AB117" s="883">
        <f t="shared" si="35"/>
        <v>20.54</v>
      </c>
      <c r="AC117" s="883">
        <v>0</v>
      </c>
      <c r="AD117" s="881"/>
      <c r="AE117" s="880"/>
      <c r="AF117" s="883"/>
      <c r="AG117" s="889"/>
      <c r="AH117" s="880"/>
      <c r="AI117" s="880" t="s">
        <v>1241</v>
      </c>
      <c r="AJ117" s="884">
        <v>411</v>
      </c>
      <c r="AK117" s="883">
        <f t="shared" si="36"/>
        <v>17.86</v>
      </c>
      <c r="AL117" s="884">
        <v>413</v>
      </c>
      <c r="AM117" s="883">
        <f t="shared" si="37"/>
        <v>0</v>
      </c>
      <c r="AN117" s="884">
        <v>441</v>
      </c>
      <c r="AO117" s="883">
        <f t="shared" si="38"/>
        <v>0</v>
      </c>
      <c r="AP117" s="881"/>
      <c r="AQ117" s="881"/>
      <c r="AR117" s="883">
        <v>0</v>
      </c>
      <c r="AS117" s="883">
        <v>0</v>
      </c>
      <c r="AT117" s="883">
        <v>0</v>
      </c>
      <c r="AU117" s="880"/>
      <c r="AV117" s="886"/>
      <c r="AW117" s="880"/>
      <c r="AX117" s="886"/>
      <c r="AY117" s="880"/>
      <c r="AZ117" s="880"/>
      <c r="BA117" s="881"/>
      <c r="BB117" s="881" t="s">
        <v>57</v>
      </c>
      <c r="BC117" s="881"/>
      <c r="BD117" s="881"/>
      <c r="BE117" s="884">
        <f t="shared" si="39"/>
        <v>4</v>
      </c>
      <c r="BF117" s="887" t="str">
        <f t="shared" si="40"/>
        <v>SI</v>
      </c>
      <c r="BG117" s="883">
        <f t="shared" si="41"/>
        <v>17.86</v>
      </c>
      <c r="BH117" s="883">
        <f t="shared" si="42"/>
        <v>0</v>
      </c>
      <c r="BI117" s="883">
        <f t="shared" si="43"/>
        <v>0</v>
      </c>
      <c r="BJ117" s="883">
        <f t="shared" si="44"/>
        <v>0</v>
      </c>
      <c r="BK117" s="883">
        <f t="shared" si="45"/>
        <v>0</v>
      </c>
      <c r="BL117" s="883">
        <f t="shared" si="46"/>
        <v>2.68</v>
      </c>
      <c r="BM117" s="881"/>
      <c r="BN117" s="880"/>
      <c r="BO117" s="882" t="s">
        <v>1579</v>
      </c>
      <c r="BP117" s="882" t="s">
        <v>2286</v>
      </c>
      <c r="BQ117" s="882" t="s">
        <v>2285</v>
      </c>
      <c r="BR117" s="880"/>
      <c r="BS117" s="880"/>
      <c r="BT117" s="880"/>
      <c r="BU117" s="880"/>
      <c r="BV117" s="880"/>
      <c r="BW117" s="883">
        <v>0</v>
      </c>
      <c r="BX117" s="883">
        <v>0</v>
      </c>
      <c r="BY117" s="883">
        <v>0</v>
      </c>
      <c r="BZ117" s="890"/>
      <c r="CA117" s="883">
        <f t="shared" si="47"/>
        <v>0</v>
      </c>
      <c r="CB117" s="880"/>
      <c r="CC117" s="881"/>
      <c r="CD117" s="883"/>
      <c r="CE117" s="883"/>
      <c r="CF117" s="883"/>
      <c r="CG117" s="883"/>
      <c r="CH117" s="883"/>
      <c r="CI117" s="883"/>
      <c r="CJ117" s="883"/>
      <c r="CK117" s="883"/>
      <c r="CL117" s="883"/>
      <c r="CM117" s="883"/>
      <c r="CN117" s="883"/>
      <c r="CO117" s="883"/>
      <c r="CP117" s="883"/>
      <c r="CQ117" s="883"/>
      <c r="CR117" s="883"/>
      <c r="CS117" s="883"/>
      <c r="CT117" s="883"/>
      <c r="CU117" s="883"/>
    </row>
    <row r="118" spans="1:99" x14ac:dyDescent="0.25">
      <c r="A118" s="880" t="s">
        <v>1787</v>
      </c>
      <c r="B118" s="881" t="s">
        <v>1788</v>
      </c>
      <c r="C118" s="880" t="s">
        <v>2752</v>
      </c>
      <c r="D118" s="880"/>
      <c r="E118" s="884" t="s">
        <v>744</v>
      </c>
      <c r="F118" s="888">
        <v>1</v>
      </c>
      <c r="G118" s="881" t="s">
        <v>1007</v>
      </c>
      <c r="H118" s="881" t="s">
        <v>19</v>
      </c>
      <c r="I118" s="865">
        <v>46142</v>
      </c>
      <c r="J118" s="882" t="s">
        <v>8</v>
      </c>
      <c r="K118" s="880"/>
      <c r="L118" s="880"/>
      <c r="M118" s="883">
        <v>0</v>
      </c>
      <c r="N118" s="883">
        <v>0</v>
      </c>
      <c r="O118" s="883">
        <v>0</v>
      </c>
      <c r="P118" s="883">
        <v>34.78</v>
      </c>
      <c r="Q118" s="883">
        <v>15</v>
      </c>
      <c r="R118" s="883">
        <f t="shared" si="32"/>
        <v>5.22</v>
      </c>
      <c r="S118" s="883">
        <v>0</v>
      </c>
      <c r="T118" s="883">
        <v>5</v>
      </c>
      <c r="U118" s="883">
        <f t="shared" si="33"/>
        <v>0</v>
      </c>
      <c r="V118" s="883">
        <v>0</v>
      </c>
      <c r="W118" s="883">
        <v>8</v>
      </c>
      <c r="X118" s="883">
        <f t="shared" si="34"/>
        <v>0</v>
      </c>
      <c r="Y118" s="883">
        <v>0</v>
      </c>
      <c r="Z118" s="883">
        <v>0</v>
      </c>
      <c r="AA118" s="883">
        <v>0</v>
      </c>
      <c r="AB118" s="883">
        <f t="shared" si="35"/>
        <v>40</v>
      </c>
      <c r="AC118" s="883">
        <v>0</v>
      </c>
      <c r="AD118" s="881"/>
      <c r="AE118" s="880"/>
      <c r="AF118" s="883"/>
      <c r="AG118" s="889"/>
      <c r="AH118" s="880"/>
      <c r="AI118" s="880" t="s">
        <v>1241</v>
      </c>
      <c r="AJ118" s="884">
        <v>411</v>
      </c>
      <c r="AK118" s="883">
        <f t="shared" si="36"/>
        <v>34.78</v>
      </c>
      <c r="AL118" s="884">
        <v>413</v>
      </c>
      <c r="AM118" s="883">
        <f t="shared" si="37"/>
        <v>0</v>
      </c>
      <c r="AN118" s="884">
        <v>441</v>
      </c>
      <c r="AO118" s="883">
        <f t="shared" si="38"/>
        <v>0</v>
      </c>
      <c r="AP118" s="881"/>
      <c r="AQ118" s="881"/>
      <c r="AR118" s="883">
        <v>0</v>
      </c>
      <c r="AS118" s="883">
        <v>0</v>
      </c>
      <c r="AT118" s="883">
        <v>0</v>
      </c>
      <c r="AU118" s="880"/>
      <c r="AV118" s="886"/>
      <c r="AW118" s="880"/>
      <c r="AX118" s="886"/>
      <c r="AY118" s="880"/>
      <c r="AZ118" s="880"/>
      <c r="BA118" s="881"/>
      <c r="BB118" s="881" t="s">
        <v>57</v>
      </c>
      <c r="BC118" s="881"/>
      <c r="BD118" s="881"/>
      <c r="BE118" s="884">
        <f t="shared" si="39"/>
        <v>4</v>
      </c>
      <c r="BF118" s="887" t="str">
        <f t="shared" si="40"/>
        <v>SI</v>
      </c>
      <c r="BG118" s="883">
        <f t="shared" si="41"/>
        <v>34.78</v>
      </c>
      <c r="BH118" s="883">
        <f t="shared" si="42"/>
        <v>0</v>
      </c>
      <c r="BI118" s="883">
        <f t="shared" si="43"/>
        <v>0</v>
      </c>
      <c r="BJ118" s="883">
        <f t="shared" si="44"/>
        <v>0</v>
      </c>
      <c r="BK118" s="883">
        <f t="shared" si="45"/>
        <v>0</v>
      </c>
      <c r="BL118" s="883">
        <f t="shared" si="46"/>
        <v>5.22</v>
      </c>
      <c r="BM118" s="881"/>
      <c r="BN118" s="880"/>
      <c r="BO118" s="882" t="s">
        <v>1579</v>
      </c>
      <c r="BP118" s="882" t="s">
        <v>2286</v>
      </c>
      <c r="BQ118" s="882" t="s">
        <v>2285</v>
      </c>
      <c r="BR118" s="880"/>
      <c r="BS118" s="880"/>
      <c r="BT118" s="880"/>
      <c r="BU118" s="880"/>
      <c r="BV118" s="880"/>
      <c r="BW118" s="883">
        <v>0</v>
      </c>
      <c r="BX118" s="883">
        <v>0</v>
      </c>
      <c r="BY118" s="883">
        <v>0</v>
      </c>
      <c r="BZ118" s="890"/>
      <c r="CA118" s="883">
        <f t="shared" si="47"/>
        <v>0</v>
      </c>
      <c r="CB118" s="880"/>
      <c r="CC118" s="881"/>
      <c r="CD118" s="883"/>
      <c r="CE118" s="883"/>
      <c r="CF118" s="883"/>
      <c r="CG118" s="883"/>
      <c r="CH118" s="883"/>
      <c r="CI118" s="883"/>
      <c r="CJ118" s="883"/>
      <c r="CK118" s="883"/>
      <c r="CL118" s="883"/>
      <c r="CM118" s="883"/>
      <c r="CN118" s="883"/>
      <c r="CO118" s="883"/>
      <c r="CP118" s="883"/>
      <c r="CQ118" s="883"/>
      <c r="CR118" s="883"/>
      <c r="CS118" s="883"/>
      <c r="CT118" s="883"/>
      <c r="CU118" s="883"/>
    </row>
    <row r="119" spans="1:99" x14ac:dyDescent="0.25">
      <c r="A119" s="880" t="s">
        <v>1787</v>
      </c>
      <c r="B119" s="881" t="s">
        <v>1788</v>
      </c>
      <c r="C119" s="880" t="s">
        <v>2753</v>
      </c>
      <c r="D119" s="880"/>
      <c r="E119" s="884" t="s">
        <v>744</v>
      </c>
      <c r="F119" s="888">
        <v>1</v>
      </c>
      <c r="G119" s="881" t="s">
        <v>1007</v>
      </c>
      <c r="H119" s="881" t="s">
        <v>19</v>
      </c>
      <c r="I119" s="865">
        <v>46142</v>
      </c>
      <c r="J119" s="882" t="s">
        <v>8</v>
      </c>
      <c r="K119" s="880"/>
      <c r="L119" s="880"/>
      <c r="M119" s="883">
        <v>0</v>
      </c>
      <c r="N119" s="883">
        <v>0</v>
      </c>
      <c r="O119" s="883">
        <v>0</v>
      </c>
      <c r="P119" s="883">
        <v>17.39</v>
      </c>
      <c r="Q119" s="883">
        <v>15</v>
      </c>
      <c r="R119" s="883">
        <f t="shared" si="32"/>
        <v>2.61</v>
      </c>
      <c r="S119" s="883">
        <v>0</v>
      </c>
      <c r="T119" s="883">
        <v>5</v>
      </c>
      <c r="U119" s="883">
        <f t="shared" si="33"/>
        <v>0</v>
      </c>
      <c r="V119" s="883">
        <v>0</v>
      </c>
      <c r="W119" s="883">
        <v>8</v>
      </c>
      <c r="X119" s="883">
        <f t="shared" si="34"/>
        <v>0</v>
      </c>
      <c r="Y119" s="883">
        <v>0</v>
      </c>
      <c r="Z119" s="883">
        <v>0</v>
      </c>
      <c r="AA119" s="883">
        <v>0</v>
      </c>
      <c r="AB119" s="883">
        <f t="shared" si="35"/>
        <v>20</v>
      </c>
      <c r="AC119" s="883">
        <v>0</v>
      </c>
      <c r="AD119" s="881"/>
      <c r="AE119" s="880"/>
      <c r="AF119" s="883"/>
      <c r="AG119" s="889"/>
      <c r="AH119" s="880"/>
      <c r="AI119" s="880" t="s">
        <v>1241</v>
      </c>
      <c r="AJ119" s="884">
        <v>411</v>
      </c>
      <c r="AK119" s="883">
        <f t="shared" si="36"/>
        <v>17.39</v>
      </c>
      <c r="AL119" s="884">
        <v>413</v>
      </c>
      <c r="AM119" s="883">
        <f t="shared" si="37"/>
        <v>0</v>
      </c>
      <c r="AN119" s="884">
        <v>441</v>
      </c>
      <c r="AO119" s="883">
        <f t="shared" si="38"/>
        <v>0</v>
      </c>
      <c r="AP119" s="881"/>
      <c r="AQ119" s="881"/>
      <c r="AR119" s="883">
        <v>0</v>
      </c>
      <c r="AS119" s="883">
        <v>0</v>
      </c>
      <c r="AT119" s="883">
        <v>0</v>
      </c>
      <c r="AU119" s="880"/>
      <c r="AV119" s="886"/>
      <c r="AW119" s="880"/>
      <c r="AX119" s="886"/>
      <c r="AY119" s="880"/>
      <c r="AZ119" s="880"/>
      <c r="BA119" s="881"/>
      <c r="BB119" s="881" t="s">
        <v>57</v>
      </c>
      <c r="BC119" s="881"/>
      <c r="BD119" s="881"/>
      <c r="BE119" s="884">
        <f t="shared" si="39"/>
        <v>4</v>
      </c>
      <c r="BF119" s="887" t="str">
        <f t="shared" si="40"/>
        <v>SI</v>
      </c>
      <c r="BG119" s="883">
        <f t="shared" si="41"/>
        <v>17.39</v>
      </c>
      <c r="BH119" s="883">
        <f t="shared" si="42"/>
        <v>0</v>
      </c>
      <c r="BI119" s="883">
        <f t="shared" si="43"/>
        <v>0</v>
      </c>
      <c r="BJ119" s="883">
        <f t="shared" si="44"/>
        <v>0</v>
      </c>
      <c r="BK119" s="883">
        <f t="shared" si="45"/>
        <v>0</v>
      </c>
      <c r="BL119" s="883">
        <f t="shared" si="46"/>
        <v>2.61</v>
      </c>
      <c r="BM119" s="881"/>
      <c r="BN119" s="880"/>
      <c r="BO119" s="882" t="s">
        <v>1579</v>
      </c>
      <c r="BP119" s="882" t="s">
        <v>2286</v>
      </c>
      <c r="BQ119" s="882" t="s">
        <v>2285</v>
      </c>
      <c r="BR119" s="880"/>
      <c r="BS119" s="880"/>
      <c r="BT119" s="880"/>
      <c r="BU119" s="880"/>
      <c r="BV119" s="880"/>
      <c r="BW119" s="883">
        <v>0</v>
      </c>
      <c r="BX119" s="883">
        <v>0</v>
      </c>
      <c r="BY119" s="883">
        <v>0</v>
      </c>
      <c r="BZ119" s="890"/>
      <c r="CA119" s="883">
        <f t="shared" si="47"/>
        <v>0</v>
      </c>
      <c r="CB119" s="880"/>
      <c r="CC119" s="881"/>
      <c r="CD119" s="883"/>
      <c r="CE119" s="883"/>
      <c r="CF119" s="883"/>
      <c r="CG119" s="883"/>
      <c r="CH119" s="883"/>
      <c r="CI119" s="883"/>
      <c r="CJ119" s="883"/>
      <c r="CK119" s="883"/>
      <c r="CL119" s="883"/>
      <c r="CM119" s="883"/>
      <c r="CN119" s="883"/>
      <c r="CO119" s="883"/>
      <c r="CP119" s="883"/>
      <c r="CQ119" s="883"/>
      <c r="CR119" s="883"/>
      <c r="CS119" s="883"/>
      <c r="CT119" s="883"/>
      <c r="CU119" s="883"/>
    </row>
    <row r="120" spans="1:99" x14ac:dyDescent="0.25">
      <c r="A120" s="880" t="s">
        <v>1787</v>
      </c>
      <c r="B120" s="881" t="s">
        <v>1788</v>
      </c>
      <c r="C120" s="880" t="s">
        <v>2754</v>
      </c>
      <c r="D120" s="880"/>
      <c r="E120" s="884" t="s">
        <v>744</v>
      </c>
      <c r="F120" s="888">
        <v>1</v>
      </c>
      <c r="G120" s="881" t="s">
        <v>1007</v>
      </c>
      <c r="H120" s="881" t="s">
        <v>19</v>
      </c>
      <c r="I120" s="865">
        <v>46142</v>
      </c>
      <c r="J120" s="882" t="s">
        <v>8</v>
      </c>
      <c r="K120" s="880"/>
      <c r="L120" s="880"/>
      <c r="M120" s="883">
        <v>0</v>
      </c>
      <c r="N120" s="883">
        <v>0</v>
      </c>
      <c r="O120" s="883">
        <v>0</v>
      </c>
      <c r="P120" s="883">
        <v>26.09</v>
      </c>
      <c r="Q120" s="883">
        <v>15</v>
      </c>
      <c r="R120" s="883">
        <f t="shared" si="32"/>
        <v>3.91</v>
      </c>
      <c r="S120" s="883">
        <v>0</v>
      </c>
      <c r="T120" s="883">
        <v>5</v>
      </c>
      <c r="U120" s="883">
        <f t="shared" si="33"/>
        <v>0</v>
      </c>
      <c r="V120" s="883">
        <v>0</v>
      </c>
      <c r="W120" s="883">
        <v>8</v>
      </c>
      <c r="X120" s="883">
        <f t="shared" si="34"/>
        <v>0</v>
      </c>
      <c r="Y120" s="883">
        <v>0</v>
      </c>
      <c r="Z120" s="883">
        <v>0</v>
      </c>
      <c r="AA120" s="883">
        <v>0</v>
      </c>
      <c r="AB120" s="883">
        <f t="shared" si="35"/>
        <v>30</v>
      </c>
      <c r="AC120" s="883">
        <v>0</v>
      </c>
      <c r="AD120" s="881"/>
      <c r="AE120" s="880"/>
      <c r="AF120" s="883"/>
      <c r="AG120" s="889"/>
      <c r="AH120" s="880"/>
      <c r="AI120" s="880" t="s">
        <v>1241</v>
      </c>
      <c r="AJ120" s="884">
        <v>411</v>
      </c>
      <c r="AK120" s="883">
        <f t="shared" si="36"/>
        <v>26.09</v>
      </c>
      <c r="AL120" s="884">
        <v>413</v>
      </c>
      <c r="AM120" s="883">
        <f t="shared" si="37"/>
        <v>0</v>
      </c>
      <c r="AN120" s="884">
        <v>441</v>
      </c>
      <c r="AO120" s="883">
        <f t="shared" si="38"/>
        <v>0</v>
      </c>
      <c r="AP120" s="881"/>
      <c r="AQ120" s="881"/>
      <c r="AR120" s="883">
        <v>0</v>
      </c>
      <c r="AS120" s="883">
        <v>0</v>
      </c>
      <c r="AT120" s="883">
        <v>0</v>
      </c>
      <c r="AU120" s="880"/>
      <c r="AV120" s="886"/>
      <c r="AW120" s="880"/>
      <c r="AX120" s="886"/>
      <c r="AY120" s="880"/>
      <c r="AZ120" s="880"/>
      <c r="BA120" s="881"/>
      <c r="BB120" s="881" t="s">
        <v>57</v>
      </c>
      <c r="BC120" s="881"/>
      <c r="BD120" s="881"/>
      <c r="BE120" s="884">
        <f t="shared" si="39"/>
        <v>4</v>
      </c>
      <c r="BF120" s="887" t="str">
        <f t="shared" si="40"/>
        <v>SI</v>
      </c>
      <c r="BG120" s="883">
        <f t="shared" si="41"/>
        <v>26.09</v>
      </c>
      <c r="BH120" s="883">
        <f t="shared" si="42"/>
        <v>0</v>
      </c>
      <c r="BI120" s="883">
        <f t="shared" si="43"/>
        <v>0</v>
      </c>
      <c r="BJ120" s="883">
        <f t="shared" si="44"/>
        <v>0</v>
      </c>
      <c r="BK120" s="883">
        <f t="shared" si="45"/>
        <v>0</v>
      </c>
      <c r="BL120" s="883">
        <f t="shared" si="46"/>
        <v>3.91</v>
      </c>
      <c r="BM120" s="881"/>
      <c r="BN120" s="880"/>
      <c r="BO120" s="882" t="s">
        <v>1579</v>
      </c>
      <c r="BP120" s="882" t="s">
        <v>2286</v>
      </c>
      <c r="BQ120" s="882" t="s">
        <v>2285</v>
      </c>
      <c r="BR120" s="880"/>
      <c r="BS120" s="880"/>
      <c r="BT120" s="880"/>
      <c r="BU120" s="880"/>
      <c r="BV120" s="880"/>
      <c r="BW120" s="883">
        <v>0</v>
      </c>
      <c r="BX120" s="883">
        <v>0</v>
      </c>
      <c r="BY120" s="883">
        <v>0</v>
      </c>
      <c r="BZ120" s="890"/>
      <c r="CA120" s="883">
        <f t="shared" si="47"/>
        <v>0</v>
      </c>
      <c r="CB120" s="880"/>
      <c r="CC120" s="881"/>
      <c r="CD120" s="883"/>
      <c r="CE120" s="883"/>
      <c r="CF120" s="883"/>
      <c r="CG120" s="883"/>
      <c r="CH120" s="883"/>
      <c r="CI120" s="883"/>
      <c r="CJ120" s="883"/>
      <c r="CK120" s="883"/>
      <c r="CL120" s="883"/>
      <c r="CM120" s="883"/>
      <c r="CN120" s="883"/>
      <c r="CO120" s="883"/>
      <c r="CP120" s="883"/>
      <c r="CQ120" s="883"/>
      <c r="CR120" s="883"/>
      <c r="CS120" s="883"/>
      <c r="CT120" s="883"/>
      <c r="CU120" s="883"/>
    </row>
    <row r="121" spans="1:99" x14ac:dyDescent="0.25">
      <c r="A121" s="880" t="s">
        <v>1787</v>
      </c>
      <c r="B121" s="881" t="s">
        <v>1788</v>
      </c>
      <c r="C121" s="880" t="s">
        <v>2755</v>
      </c>
      <c r="D121" s="880"/>
      <c r="E121" s="884" t="s">
        <v>744</v>
      </c>
      <c r="F121" s="888">
        <v>1</v>
      </c>
      <c r="G121" s="881" t="s">
        <v>1007</v>
      </c>
      <c r="H121" s="881" t="s">
        <v>19</v>
      </c>
      <c r="I121" s="865">
        <v>46142</v>
      </c>
      <c r="J121" s="882" t="s">
        <v>8</v>
      </c>
      <c r="K121" s="880"/>
      <c r="L121" s="880"/>
      <c r="M121" s="883">
        <v>0</v>
      </c>
      <c r="N121" s="883">
        <v>0</v>
      </c>
      <c r="O121" s="883">
        <v>0</v>
      </c>
      <c r="P121" s="883">
        <v>17.86</v>
      </c>
      <c r="Q121" s="883">
        <v>15</v>
      </c>
      <c r="R121" s="883">
        <f t="shared" si="32"/>
        <v>2.68</v>
      </c>
      <c r="S121" s="883">
        <v>0</v>
      </c>
      <c r="T121" s="883">
        <v>5</v>
      </c>
      <c r="U121" s="883">
        <f t="shared" si="33"/>
        <v>0</v>
      </c>
      <c r="V121" s="883">
        <v>0</v>
      </c>
      <c r="W121" s="883">
        <v>8</v>
      </c>
      <c r="X121" s="883">
        <f t="shared" si="34"/>
        <v>0</v>
      </c>
      <c r="Y121" s="883">
        <v>0</v>
      </c>
      <c r="Z121" s="883">
        <v>0</v>
      </c>
      <c r="AA121" s="883">
        <v>0</v>
      </c>
      <c r="AB121" s="883">
        <f t="shared" si="35"/>
        <v>20.54</v>
      </c>
      <c r="AC121" s="883">
        <v>0</v>
      </c>
      <c r="AD121" s="881"/>
      <c r="AE121" s="880"/>
      <c r="AF121" s="883"/>
      <c r="AG121" s="889"/>
      <c r="AH121" s="880"/>
      <c r="AI121" s="880" t="s">
        <v>1241</v>
      </c>
      <c r="AJ121" s="884">
        <v>411</v>
      </c>
      <c r="AK121" s="883">
        <f t="shared" si="36"/>
        <v>17.86</v>
      </c>
      <c r="AL121" s="884">
        <v>413</v>
      </c>
      <c r="AM121" s="883">
        <f t="shared" si="37"/>
        <v>0</v>
      </c>
      <c r="AN121" s="884">
        <v>441</v>
      </c>
      <c r="AO121" s="883">
        <f t="shared" si="38"/>
        <v>0</v>
      </c>
      <c r="AP121" s="881"/>
      <c r="AQ121" s="881"/>
      <c r="AR121" s="883">
        <v>0</v>
      </c>
      <c r="AS121" s="883">
        <v>0</v>
      </c>
      <c r="AT121" s="883">
        <v>0</v>
      </c>
      <c r="AU121" s="880"/>
      <c r="AV121" s="886"/>
      <c r="AW121" s="880"/>
      <c r="AX121" s="886"/>
      <c r="AY121" s="880"/>
      <c r="AZ121" s="880"/>
      <c r="BA121" s="881"/>
      <c r="BB121" s="881" t="s">
        <v>57</v>
      </c>
      <c r="BC121" s="881"/>
      <c r="BD121" s="881"/>
      <c r="BE121" s="884">
        <f t="shared" si="39"/>
        <v>4</v>
      </c>
      <c r="BF121" s="887" t="str">
        <f t="shared" si="40"/>
        <v>SI</v>
      </c>
      <c r="BG121" s="883">
        <f t="shared" si="41"/>
        <v>17.86</v>
      </c>
      <c r="BH121" s="883">
        <f t="shared" si="42"/>
        <v>0</v>
      </c>
      <c r="BI121" s="883">
        <f t="shared" si="43"/>
        <v>0</v>
      </c>
      <c r="BJ121" s="883">
        <f t="shared" si="44"/>
        <v>0</v>
      </c>
      <c r="BK121" s="883">
        <f t="shared" si="45"/>
        <v>0</v>
      </c>
      <c r="BL121" s="883">
        <f t="shared" si="46"/>
        <v>2.68</v>
      </c>
      <c r="BM121" s="881"/>
      <c r="BN121" s="880"/>
      <c r="BO121" s="882" t="s">
        <v>1579</v>
      </c>
      <c r="BP121" s="882" t="s">
        <v>2286</v>
      </c>
      <c r="BQ121" s="882" t="s">
        <v>2285</v>
      </c>
      <c r="BR121" s="880"/>
      <c r="BS121" s="880"/>
      <c r="BT121" s="880"/>
      <c r="BU121" s="880"/>
      <c r="BV121" s="880"/>
      <c r="BW121" s="883">
        <v>0</v>
      </c>
      <c r="BX121" s="883">
        <v>0</v>
      </c>
      <c r="BY121" s="883">
        <v>0</v>
      </c>
      <c r="BZ121" s="890"/>
      <c r="CA121" s="883">
        <f t="shared" si="47"/>
        <v>0</v>
      </c>
      <c r="CB121" s="880"/>
      <c r="CC121" s="881"/>
      <c r="CD121" s="883"/>
      <c r="CE121" s="883"/>
      <c r="CF121" s="883"/>
      <c r="CG121" s="883"/>
      <c r="CH121" s="883"/>
      <c r="CI121" s="883"/>
      <c r="CJ121" s="883"/>
      <c r="CK121" s="883"/>
      <c r="CL121" s="883"/>
      <c r="CM121" s="883"/>
      <c r="CN121" s="883"/>
      <c r="CO121" s="883"/>
      <c r="CP121" s="883"/>
      <c r="CQ121" s="883"/>
      <c r="CR121" s="883"/>
      <c r="CS121" s="883"/>
      <c r="CT121" s="883"/>
      <c r="CU121" s="883"/>
    </row>
    <row r="122" spans="1:99" x14ac:dyDescent="0.25">
      <c r="A122" s="880" t="s">
        <v>1787</v>
      </c>
      <c r="B122" s="881" t="s">
        <v>1788</v>
      </c>
      <c r="C122" s="880" t="s">
        <v>2756</v>
      </c>
      <c r="D122" s="880"/>
      <c r="E122" s="884" t="s">
        <v>744</v>
      </c>
      <c r="F122" s="888">
        <v>1</v>
      </c>
      <c r="G122" s="881" t="s">
        <v>1007</v>
      </c>
      <c r="H122" s="881" t="s">
        <v>19</v>
      </c>
      <c r="I122" s="865">
        <v>46142</v>
      </c>
      <c r="J122" s="882" t="s">
        <v>8</v>
      </c>
      <c r="K122" s="880"/>
      <c r="L122" s="880"/>
      <c r="M122" s="883">
        <v>0</v>
      </c>
      <c r="N122" s="883">
        <v>0</v>
      </c>
      <c r="O122" s="883">
        <v>0</v>
      </c>
      <c r="P122" s="883">
        <v>4.3499999999999996</v>
      </c>
      <c r="Q122" s="883">
        <v>15</v>
      </c>
      <c r="R122" s="883">
        <f t="shared" si="32"/>
        <v>0.65</v>
      </c>
      <c r="S122" s="883">
        <v>0</v>
      </c>
      <c r="T122" s="883">
        <v>5</v>
      </c>
      <c r="U122" s="883">
        <f t="shared" si="33"/>
        <v>0</v>
      </c>
      <c r="V122" s="883">
        <v>0</v>
      </c>
      <c r="W122" s="883">
        <v>8</v>
      </c>
      <c r="X122" s="883">
        <f t="shared" si="34"/>
        <v>0</v>
      </c>
      <c r="Y122" s="883">
        <v>0</v>
      </c>
      <c r="Z122" s="883">
        <v>0</v>
      </c>
      <c r="AA122" s="883">
        <v>0</v>
      </c>
      <c r="AB122" s="883">
        <f t="shared" si="35"/>
        <v>5</v>
      </c>
      <c r="AC122" s="883">
        <v>0</v>
      </c>
      <c r="AD122" s="881"/>
      <c r="AE122" s="880"/>
      <c r="AF122" s="883"/>
      <c r="AG122" s="889"/>
      <c r="AH122" s="880"/>
      <c r="AI122" s="880" t="s">
        <v>1241</v>
      </c>
      <c r="AJ122" s="884">
        <v>411</v>
      </c>
      <c r="AK122" s="883">
        <f t="shared" si="36"/>
        <v>4.3499999999999996</v>
      </c>
      <c r="AL122" s="884">
        <v>413</v>
      </c>
      <c r="AM122" s="883">
        <f t="shared" si="37"/>
        <v>0</v>
      </c>
      <c r="AN122" s="884">
        <v>441</v>
      </c>
      <c r="AO122" s="883">
        <f t="shared" si="38"/>
        <v>0</v>
      </c>
      <c r="AP122" s="881"/>
      <c r="AQ122" s="881"/>
      <c r="AR122" s="883">
        <v>0</v>
      </c>
      <c r="AS122" s="883">
        <v>0</v>
      </c>
      <c r="AT122" s="883">
        <v>0</v>
      </c>
      <c r="AU122" s="880"/>
      <c r="AV122" s="886"/>
      <c r="AW122" s="880"/>
      <c r="AX122" s="886"/>
      <c r="AY122" s="880"/>
      <c r="AZ122" s="880"/>
      <c r="BA122" s="881"/>
      <c r="BB122" s="881" t="s">
        <v>57</v>
      </c>
      <c r="BC122" s="881"/>
      <c r="BD122" s="881"/>
      <c r="BE122" s="884">
        <f t="shared" si="39"/>
        <v>4</v>
      </c>
      <c r="BF122" s="887" t="str">
        <f t="shared" si="40"/>
        <v>SI</v>
      </c>
      <c r="BG122" s="883">
        <f t="shared" si="41"/>
        <v>4.3499999999999996</v>
      </c>
      <c r="BH122" s="883">
        <f t="shared" si="42"/>
        <v>0</v>
      </c>
      <c r="BI122" s="883">
        <f t="shared" si="43"/>
        <v>0</v>
      </c>
      <c r="BJ122" s="883">
        <f t="shared" si="44"/>
        <v>0</v>
      </c>
      <c r="BK122" s="883">
        <f t="shared" si="45"/>
        <v>0</v>
      </c>
      <c r="BL122" s="883">
        <f t="shared" si="46"/>
        <v>0.65</v>
      </c>
      <c r="BM122" s="881"/>
      <c r="BN122" s="880"/>
      <c r="BO122" s="882" t="s">
        <v>1579</v>
      </c>
      <c r="BP122" s="882" t="s">
        <v>2286</v>
      </c>
      <c r="BQ122" s="882" t="s">
        <v>2285</v>
      </c>
      <c r="BR122" s="880"/>
      <c r="BS122" s="880"/>
      <c r="BT122" s="880"/>
      <c r="BU122" s="880"/>
      <c r="BV122" s="880"/>
      <c r="BW122" s="883">
        <v>0</v>
      </c>
      <c r="BX122" s="883">
        <v>0</v>
      </c>
      <c r="BY122" s="883">
        <v>0</v>
      </c>
      <c r="BZ122" s="890"/>
      <c r="CA122" s="883">
        <f t="shared" si="47"/>
        <v>0</v>
      </c>
      <c r="CB122" s="880"/>
      <c r="CC122" s="881"/>
      <c r="CD122" s="883"/>
      <c r="CE122" s="883"/>
      <c r="CF122" s="883"/>
      <c r="CG122" s="883"/>
      <c r="CH122" s="883"/>
      <c r="CI122" s="883"/>
      <c r="CJ122" s="883"/>
      <c r="CK122" s="883"/>
      <c r="CL122" s="883"/>
      <c r="CM122" s="883"/>
      <c r="CN122" s="883"/>
      <c r="CO122" s="883"/>
      <c r="CP122" s="883"/>
      <c r="CQ122" s="883"/>
      <c r="CR122" s="883"/>
      <c r="CS122" s="883"/>
      <c r="CT122" s="883"/>
      <c r="CU122" s="883"/>
    </row>
    <row r="123" spans="1:99" x14ac:dyDescent="0.25">
      <c r="A123" s="880" t="s">
        <v>1787</v>
      </c>
      <c r="B123" s="881" t="s">
        <v>1788</v>
      </c>
      <c r="C123" s="880" t="s">
        <v>2757</v>
      </c>
      <c r="D123" s="880"/>
      <c r="E123" s="884" t="s">
        <v>744</v>
      </c>
      <c r="F123" s="888">
        <v>1</v>
      </c>
      <c r="G123" s="881" t="s">
        <v>1007</v>
      </c>
      <c r="H123" s="881" t="s">
        <v>19</v>
      </c>
      <c r="I123" s="865">
        <v>46142</v>
      </c>
      <c r="J123" s="882" t="s">
        <v>8</v>
      </c>
      <c r="K123" s="880"/>
      <c r="L123" s="880"/>
      <c r="M123" s="883">
        <v>0</v>
      </c>
      <c r="N123" s="883">
        <v>0</v>
      </c>
      <c r="O123" s="883">
        <v>0</v>
      </c>
      <c r="P123" s="883">
        <v>21.74</v>
      </c>
      <c r="Q123" s="883">
        <v>15</v>
      </c>
      <c r="R123" s="883">
        <f t="shared" si="32"/>
        <v>3.26</v>
      </c>
      <c r="S123" s="883">
        <v>0</v>
      </c>
      <c r="T123" s="883">
        <v>5</v>
      </c>
      <c r="U123" s="883">
        <f t="shared" si="33"/>
        <v>0</v>
      </c>
      <c r="V123" s="883">
        <v>0</v>
      </c>
      <c r="W123" s="883">
        <v>8</v>
      </c>
      <c r="X123" s="883">
        <f t="shared" si="34"/>
        <v>0</v>
      </c>
      <c r="Y123" s="883">
        <v>0</v>
      </c>
      <c r="Z123" s="883">
        <v>0</v>
      </c>
      <c r="AA123" s="883">
        <v>0</v>
      </c>
      <c r="AB123" s="883">
        <f t="shared" si="35"/>
        <v>25</v>
      </c>
      <c r="AC123" s="883">
        <v>0</v>
      </c>
      <c r="AD123" s="881"/>
      <c r="AE123" s="880"/>
      <c r="AF123" s="883"/>
      <c r="AG123" s="889"/>
      <c r="AH123" s="880"/>
      <c r="AI123" s="880" t="s">
        <v>1241</v>
      </c>
      <c r="AJ123" s="884">
        <v>411</v>
      </c>
      <c r="AK123" s="883">
        <f t="shared" si="36"/>
        <v>21.74</v>
      </c>
      <c r="AL123" s="884">
        <v>413</v>
      </c>
      <c r="AM123" s="883">
        <f t="shared" si="37"/>
        <v>0</v>
      </c>
      <c r="AN123" s="884">
        <v>441</v>
      </c>
      <c r="AO123" s="883">
        <f t="shared" si="38"/>
        <v>0</v>
      </c>
      <c r="AP123" s="881"/>
      <c r="AQ123" s="881"/>
      <c r="AR123" s="883">
        <v>0</v>
      </c>
      <c r="AS123" s="883">
        <v>0</v>
      </c>
      <c r="AT123" s="883">
        <v>0</v>
      </c>
      <c r="AU123" s="880"/>
      <c r="AV123" s="886"/>
      <c r="AW123" s="880"/>
      <c r="AX123" s="886"/>
      <c r="AY123" s="880"/>
      <c r="AZ123" s="880"/>
      <c r="BA123" s="881"/>
      <c r="BB123" s="881" t="s">
        <v>57</v>
      </c>
      <c r="BC123" s="881"/>
      <c r="BD123" s="881"/>
      <c r="BE123" s="884">
        <f t="shared" si="39"/>
        <v>4</v>
      </c>
      <c r="BF123" s="887" t="str">
        <f t="shared" si="40"/>
        <v>SI</v>
      </c>
      <c r="BG123" s="883">
        <f t="shared" si="41"/>
        <v>21.74</v>
      </c>
      <c r="BH123" s="883">
        <f t="shared" si="42"/>
        <v>0</v>
      </c>
      <c r="BI123" s="883">
        <f t="shared" si="43"/>
        <v>0</v>
      </c>
      <c r="BJ123" s="883">
        <f t="shared" si="44"/>
        <v>0</v>
      </c>
      <c r="BK123" s="883">
        <f t="shared" si="45"/>
        <v>0</v>
      </c>
      <c r="BL123" s="883">
        <f t="shared" si="46"/>
        <v>3.26</v>
      </c>
      <c r="BM123" s="881"/>
      <c r="BN123" s="880"/>
      <c r="BO123" s="882" t="s">
        <v>1579</v>
      </c>
      <c r="BP123" s="882" t="s">
        <v>2286</v>
      </c>
      <c r="BQ123" s="882" t="s">
        <v>2285</v>
      </c>
      <c r="BR123" s="880"/>
      <c r="BS123" s="880"/>
      <c r="BT123" s="880"/>
      <c r="BU123" s="880"/>
      <c r="BV123" s="880"/>
      <c r="BW123" s="883">
        <v>0</v>
      </c>
      <c r="BX123" s="883">
        <v>0</v>
      </c>
      <c r="BY123" s="883">
        <v>0</v>
      </c>
      <c r="BZ123" s="890"/>
      <c r="CA123" s="883">
        <f t="shared" si="47"/>
        <v>0</v>
      </c>
      <c r="CB123" s="880"/>
      <c r="CC123" s="881"/>
      <c r="CD123" s="883"/>
      <c r="CE123" s="883"/>
      <c r="CF123" s="883"/>
      <c r="CG123" s="883"/>
      <c r="CH123" s="883"/>
      <c r="CI123" s="883"/>
      <c r="CJ123" s="883"/>
      <c r="CK123" s="883"/>
      <c r="CL123" s="883"/>
      <c r="CM123" s="883"/>
      <c r="CN123" s="883"/>
      <c r="CO123" s="883"/>
      <c r="CP123" s="883"/>
      <c r="CQ123" s="883"/>
      <c r="CR123" s="883"/>
      <c r="CS123" s="883"/>
      <c r="CT123" s="883"/>
      <c r="CU123" s="883"/>
    </row>
    <row r="124" spans="1:99" x14ac:dyDescent="0.25">
      <c r="A124" s="880" t="s">
        <v>1787</v>
      </c>
      <c r="B124" s="881" t="s">
        <v>1788</v>
      </c>
      <c r="C124" s="880" t="s">
        <v>2758</v>
      </c>
      <c r="D124" s="880"/>
      <c r="E124" s="884" t="s">
        <v>744</v>
      </c>
      <c r="F124" s="888">
        <v>1</v>
      </c>
      <c r="G124" s="881" t="s">
        <v>1007</v>
      </c>
      <c r="H124" s="881" t="s">
        <v>19</v>
      </c>
      <c r="I124" s="865">
        <v>46142</v>
      </c>
      <c r="J124" s="882" t="s">
        <v>8</v>
      </c>
      <c r="K124" s="880"/>
      <c r="L124" s="880"/>
      <c r="M124" s="883">
        <v>0</v>
      </c>
      <c r="N124" s="883">
        <v>0</v>
      </c>
      <c r="O124" s="883">
        <v>0</v>
      </c>
      <c r="P124" s="883">
        <v>22.32</v>
      </c>
      <c r="Q124" s="883">
        <v>15</v>
      </c>
      <c r="R124" s="883">
        <f t="shared" si="32"/>
        <v>3.35</v>
      </c>
      <c r="S124" s="883">
        <v>0</v>
      </c>
      <c r="T124" s="883">
        <v>5</v>
      </c>
      <c r="U124" s="883">
        <f t="shared" si="33"/>
        <v>0</v>
      </c>
      <c r="V124" s="883">
        <v>0</v>
      </c>
      <c r="W124" s="883">
        <v>8</v>
      </c>
      <c r="X124" s="883">
        <f t="shared" si="34"/>
        <v>0</v>
      </c>
      <c r="Y124" s="883">
        <v>0</v>
      </c>
      <c r="Z124" s="883">
        <v>0</v>
      </c>
      <c r="AA124" s="883">
        <v>0</v>
      </c>
      <c r="AB124" s="883">
        <f t="shared" si="35"/>
        <v>25.67</v>
      </c>
      <c r="AC124" s="883">
        <v>0</v>
      </c>
      <c r="AD124" s="881"/>
      <c r="AE124" s="880"/>
      <c r="AF124" s="883"/>
      <c r="AG124" s="889"/>
      <c r="AH124" s="880"/>
      <c r="AI124" s="880" t="s">
        <v>1241</v>
      </c>
      <c r="AJ124" s="884">
        <v>411</v>
      </c>
      <c r="AK124" s="883">
        <f t="shared" si="36"/>
        <v>22.32</v>
      </c>
      <c r="AL124" s="884">
        <v>413</v>
      </c>
      <c r="AM124" s="883">
        <f t="shared" si="37"/>
        <v>0</v>
      </c>
      <c r="AN124" s="884">
        <v>441</v>
      </c>
      <c r="AO124" s="883">
        <f t="shared" si="38"/>
        <v>0</v>
      </c>
      <c r="AP124" s="881"/>
      <c r="AQ124" s="881"/>
      <c r="AR124" s="883">
        <v>0</v>
      </c>
      <c r="AS124" s="883">
        <v>0</v>
      </c>
      <c r="AT124" s="883">
        <v>0</v>
      </c>
      <c r="AU124" s="880"/>
      <c r="AV124" s="886"/>
      <c r="AW124" s="880"/>
      <c r="AX124" s="886"/>
      <c r="AY124" s="880"/>
      <c r="AZ124" s="880"/>
      <c r="BA124" s="881"/>
      <c r="BB124" s="881" t="s">
        <v>57</v>
      </c>
      <c r="BC124" s="881"/>
      <c r="BD124" s="881"/>
      <c r="BE124" s="884">
        <f t="shared" si="39"/>
        <v>4</v>
      </c>
      <c r="BF124" s="887" t="str">
        <f t="shared" si="40"/>
        <v>SI</v>
      </c>
      <c r="BG124" s="883">
        <f t="shared" si="41"/>
        <v>22.32</v>
      </c>
      <c r="BH124" s="883">
        <f t="shared" si="42"/>
        <v>0</v>
      </c>
      <c r="BI124" s="883">
        <f t="shared" si="43"/>
        <v>0</v>
      </c>
      <c r="BJ124" s="883">
        <f t="shared" si="44"/>
        <v>0</v>
      </c>
      <c r="BK124" s="883">
        <f t="shared" si="45"/>
        <v>0</v>
      </c>
      <c r="BL124" s="883">
        <f t="shared" si="46"/>
        <v>3.35</v>
      </c>
      <c r="BM124" s="881"/>
      <c r="BN124" s="880"/>
      <c r="BO124" s="882" t="s">
        <v>1579</v>
      </c>
      <c r="BP124" s="882" t="s">
        <v>2286</v>
      </c>
      <c r="BQ124" s="882" t="s">
        <v>2285</v>
      </c>
      <c r="BR124" s="880"/>
      <c r="BS124" s="880"/>
      <c r="BT124" s="880"/>
      <c r="BU124" s="880"/>
      <c r="BV124" s="880"/>
      <c r="BW124" s="883">
        <v>0</v>
      </c>
      <c r="BX124" s="883">
        <v>0</v>
      </c>
      <c r="BY124" s="883">
        <v>0</v>
      </c>
      <c r="BZ124" s="890"/>
      <c r="CA124" s="883">
        <f t="shared" si="47"/>
        <v>0</v>
      </c>
      <c r="CB124" s="880"/>
      <c r="CC124" s="881"/>
      <c r="CD124" s="883"/>
      <c r="CE124" s="883"/>
      <c r="CF124" s="883"/>
      <c r="CG124" s="883"/>
      <c r="CH124" s="883"/>
      <c r="CI124" s="883"/>
      <c r="CJ124" s="883"/>
      <c r="CK124" s="883"/>
      <c r="CL124" s="883"/>
      <c r="CM124" s="883"/>
      <c r="CN124" s="883"/>
      <c r="CO124" s="883"/>
      <c r="CP124" s="883"/>
      <c r="CQ124" s="883"/>
      <c r="CR124" s="883"/>
      <c r="CS124" s="883"/>
      <c r="CT124" s="883"/>
      <c r="CU124" s="883"/>
    </row>
    <row r="125" spans="1:99" x14ac:dyDescent="0.25">
      <c r="A125" s="880" t="s">
        <v>1787</v>
      </c>
      <c r="B125" s="881" t="s">
        <v>1788</v>
      </c>
      <c r="C125" s="880" t="s">
        <v>2759</v>
      </c>
      <c r="D125" s="880"/>
      <c r="E125" s="884" t="s">
        <v>744</v>
      </c>
      <c r="F125" s="888">
        <v>1</v>
      </c>
      <c r="G125" s="881" t="s">
        <v>1007</v>
      </c>
      <c r="H125" s="881" t="s">
        <v>19</v>
      </c>
      <c r="I125" s="865">
        <v>46142</v>
      </c>
      <c r="J125" s="882" t="s">
        <v>8</v>
      </c>
      <c r="K125" s="880"/>
      <c r="L125" s="880"/>
      <c r="M125" s="883">
        <v>0</v>
      </c>
      <c r="N125" s="883">
        <v>0</v>
      </c>
      <c r="O125" s="883">
        <v>0</v>
      </c>
      <c r="P125" s="883">
        <v>24.35</v>
      </c>
      <c r="Q125" s="883">
        <v>15</v>
      </c>
      <c r="R125" s="883">
        <f t="shared" si="32"/>
        <v>3.65</v>
      </c>
      <c r="S125" s="883">
        <v>0</v>
      </c>
      <c r="T125" s="883">
        <v>5</v>
      </c>
      <c r="U125" s="883">
        <f t="shared" si="33"/>
        <v>0</v>
      </c>
      <c r="V125" s="883">
        <v>0</v>
      </c>
      <c r="W125" s="883">
        <v>8</v>
      </c>
      <c r="X125" s="883">
        <f t="shared" si="34"/>
        <v>0</v>
      </c>
      <c r="Y125" s="883">
        <v>0</v>
      </c>
      <c r="Z125" s="883">
        <v>0</v>
      </c>
      <c r="AA125" s="883">
        <v>0</v>
      </c>
      <c r="AB125" s="883">
        <f t="shared" si="35"/>
        <v>28</v>
      </c>
      <c r="AC125" s="883">
        <v>0</v>
      </c>
      <c r="AD125" s="881"/>
      <c r="AE125" s="880"/>
      <c r="AF125" s="883"/>
      <c r="AG125" s="889"/>
      <c r="AH125" s="880"/>
      <c r="AI125" s="880" t="s">
        <v>1241</v>
      </c>
      <c r="AJ125" s="884">
        <v>411</v>
      </c>
      <c r="AK125" s="883">
        <f t="shared" si="36"/>
        <v>24.35</v>
      </c>
      <c r="AL125" s="884">
        <v>413</v>
      </c>
      <c r="AM125" s="883">
        <f t="shared" si="37"/>
        <v>0</v>
      </c>
      <c r="AN125" s="884">
        <v>441</v>
      </c>
      <c r="AO125" s="883">
        <f t="shared" si="38"/>
        <v>0</v>
      </c>
      <c r="AP125" s="881"/>
      <c r="AQ125" s="881"/>
      <c r="AR125" s="883">
        <v>0</v>
      </c>
      <c r="AS125" s="883">
        <v>0</v>
      </c>
      <c r="AT125" s="883">
        <v>0</v>
      </c>
      <c r="AU125" s="880"/>
      <c r="AV125" s="886"/>
      <c r="AW125" s="880"/>
      <c r="AX125" s="886"/>
      <c r="AY125" s="880"/>
      <c r="AZ125" s="880"/>
      <c r="BA125" s="881"/>
      <c r="BB125" s="881" t="s">
        <v>57</v>
      </c>
      <c r="BC125" s="881"/>
      <c r="BD125" s="881"/>
      <c r="BE125" s="884">
        <f t="shared" si="39"/>
        <v>4</v>
      </c>
      <c r="BF125" s="887" t="str">
        <f t="shared" si="40"/>
        <v>SI</v>
      </c>
      <c r="BG125" s="883">
        <f t="shared" si="41"/>
        <v>24.35</v>
      </c>
      <c r="BH125" s="883">
        <f t="shared" si="42"/>
        <v>0</v>
      </c>
      <c r="BI125" s="883">
        <f t="shared" si="43"/>
        <v>0</v>
      </c>
      <c r="BJ125" s="883">
        <f t="shared" si="44"/>
        <v>0</v>
      </c>
      <c r="BK125" s="883">
        <f t="shared" si="45"/>
        <v>0</v>
      </c>
      <c r="BL125" s="883">
        <f t="shared" si="46"/>
        <v>3.65</v>
      </c>
      <c r="BM125" s="881"/>
      <c r="BN125" s="880"/>
      <c r="BO125" s="882" t="s">
        <v>1579</v>
      </c>
      <c r="BP125" s="882" t="s">
        <v>2286</v>
      </c>
      <c r="BQ125" s="882" t="s">
        <v>2285</v>
      </c>
      <c r="BR125" s="880"/>
      <c r="BS125" s="880"/>
      <c r="BT125" s="880"/>
      <c r="BU125" s="880"/>
      <c r="BV125" s="880"/>
      <c r="BW125" s="883">
        <v>0</v>
      </c>
      <c r="BX125" s="883">
        <v>0</v>
      </c>
      <c r="BY125" s="883">
        <v>0</v>
      </c>
      <c r="BZ125" s="890"/>
      <c r="CA125" s="883">
        <f t="shared" si="47"/>
        <v>0</v>
      </c>
      <c r="CB125" s="880"/>
      <c r="CC125" s="881"/>
      <c r="CD125" s="883"/>
      <c r="CE125" s="883"/>
      <c r="CF125" s="883"/>
      <c r="CG125" s="883"/>
      <c r="CH125" s="883"/>
      <c r="CI125" s="883"/>
      <c r="CJ125" s="883"/>
      <c r="CK125" s="883"/>
      <c r="CL125" s="883"/>
      <c r="CM125" s="883"/>
      <c r="CN125" s="883"/>
      <c r="CO125" s="883"/>
      <c r="CP125" s="883"/>
      <c r="CQ125" s="883"/>
      <c r="CR125" s="883"/>
      <c r="CS125" s="883"/>
      <c r="CT125" s="883"/>
      <c r="CU125" s="883"/>
    </row>
    <row r="126" spans="1:99" x14ac:dyDescent="0.25">
      <c r="A126" s="880" t="s">
        <v>1787</v>
      </c>
      <c r="B126" s="881" t="s">
        <v>1788</v>
      </c>
      <c r="C126" s="880" t="s">
        <v>2760</v>
      </c>
      <c r="D126" s="880"/>
      <c r="E126" s="884" t="s">
        <v>744</v>
      </c>
      <c r="F126" s="888">
        <v>1</v>
      </c>
      <c r="G126" s="881" t="s">
        <v>1007</v>
      </c>
      <c r="H126" s="881" t="s">
        <v>19</v>
      </c>
      <c r="I126" s="865">
        <v>46142</v>
      </c>
      <c r="J126" s="882" t="s">
        <v>8</v>
      </c>
      <c r="K126" s="880"/>
      <c r="L126" s="880"/>
      <c r="M126" s="883">
        <v>0</v>
      </c>
      <c r="N126" s="883">
        <v>0</v>
      </c>
      <c r="O126" s="883">
        <v>0</v>
      </c>
      <c r="P126" s="883">
        <v>22.32</v>
      </c>
      <c r="Q126" s="883">
        <v>15</v>
      </c>
      <c r="R126" s="883">
        <f t="shared" si="32"/>
        <v>3.35</v>
      </c>
      <c r="S126" s="883">
        <v>0</v>
      </c>
      <c r="T126" s="883">
        <v>5</v>
      </c>
      <c r="U126" s="883">
        <f t="shared" si="33"/>
        <v>0</v>
      </c>
      <c r="V126" s="883">
        <v>0</v>
      </c>
      <c r="W126" s="883">
        <v>8</v>
      </c>
      <c r="X126" s="883">
        <f t="shared" si="34"/>
        <v>0</v>
      </c>
      <c r="Y126" s="883">
        <v>0</v>
      </c>
      <c r="Z126" s="883">
        <v>0</v>
      </c>
      <c r="AA126" s="883">
        <v>0</v>
      </c>
      <c r="AB126" s="883">
        <f t="shared" si="35"/>
        <v>25.67</v>
      </c>
      <c r="AC126" s="883">
        <v>0</v>
      </c>
      <c r="AD126" s="881"/>
      <c r="AE126" s="880"/>
      <c r="AF126" s="883"/>
      <c r="AG126" s="889"/>
      <c r="AH126" s="880"/>
      <c r="AI126" s="880" t="s">
        <v>1241</v>
      </c>
      <c r="AJ126" s="884">
        <v>411</v>
      </c>
      <c r="AK126" s="883">
        <f t="shared" si="36"/>
        <v>22.32</v>
      </c>
      <c r="AL126" s="884">
        <v>413</v>
      </c>
      <c r="AM126" s="883">
        <f t="shared" si="37"/>
        <v>0</v>
      </c>
      <c r="AN126" s="884">
        <v>441</v>
      </c>
      <c r="AO126" s="883">
        <f t="shared" si="38"/>
        <v>0</v>
      </c>
      <c r="AP126" s="881"/>
      <c r="AQ126" s="881"/>
      <c r="AR126" s="883">
        <v>0</v>
      </c>
      <c r="AS126" s="883">
        <v>0</v>
      </c>
      <c r="AT126" s="883">
        <v>0</v>
      </c>
      <c r="AU126" s="880"/>
      <c r="AV126" s="886"/>
      <c r="AW126" s="880"/>
      <c r="AX126" s="886"/>
      <c r="AY126" s="880"/>
      <c r="AZ126" s="880"/>
      <c r="BA126" s="881"/>
      <c r="BB126" s="881" t="s">
        <v>57</v>
      </c>
      <c r="BC126" s="881"/>
      <c r="BD126" s="881"/>
      <c r="BE126" s="884">
        <f t="shared" si="39"/>
        <v>4</v>
      </c>
      <c r="BF126" s="887" t="str">
        <f t="shared" si="40"/>
        <v>SI</v>
      </c>
      <c r="BG126" s="883">
        <f t="shared" si="41"/>
        <v>22.32</v>
      </c>
      <c r="BH126" s="883">
        <f t="shared" si="42"/>
        <v>0</v>
      </c>
      <c r="BI126" s="883">
        <f t="shared" si="43"/>
        <v>0</v>
      </c>
      <c r="BJ126" s="883">
        <f t="shared" si="44"/>
        <v>0</v>
      </c>
      <c r="BK126" s="883">
        <f t="shared" si="45"/>
        <v>0</v>
      </c>
      <c r="BL126" s="883">
        <f t="shared" si="46"/>
        <v>3.35</v>
      </c>
      <c r="BM126" s="881"/>
      <c r="BN126" s="880"/>
      <c r="BO126" s="882" t="s">
        <v>1579</v>
      </c>
      <c r="BP126" s="882" t="s">
        <v>2286</v>
      </c>
      <c r="BQ126" s="882" t="s">
        <v>2285</v>
      </c>
      <c r="BR126" s="880"/>
      <c r="BS126" s="880"/>
      <c r="BT126" s="880"/>
      <c r="BU126" s="880"/>
      <c r="BV126" s="880"/>
      <c r="BW126" s="883">
        <v>0</v>
      </c>
      <c r="BX126" s="883">
        <v>0</v>
      </c>
      <c r="BY126" s="883">
        <v>0</v>
      </c>
      <c r="BZ126" s="890"/>
      <c r="CA126" s="883">
        <f t="shared" si="47"/>
        <v>0</v>
      </c>
      <c r="CB126" s="880"/>
      <c r="CC126" s="881"/>
      <c r="CD126" s="883"/>
      <c r="CE126" s="883"/>
      <c r="CF126" s="883"/>
      <c r="CG126" s="883"/>
      <c r="CH126" s="883"/>
      <c r="CI126" s="883"/>
      <c r="CJ126" s="883"/>
      <c r="CK126" s="883"/>
      <c r="CL126" s="883"/>
      <c r="CM126" s="883"/>
      <c r="CN126" s="883"/>
      <c r="CO126" s="883"/>
      <c r="CP126" s="883"/>
      <c r="CQ126" s="883"/>
      <c r="CR126" s="883"/>
      <c r="CS126" s="883"/>
      <c r="CT126" s="883"/>
      <c r="CU126" s="883"/>
    </row>
    <row r="127" spans="1:99" x14ac:dyDescent="0.25">
      <c r="A127" s="880" t="s">
        <v>1787</v>
      </c>
      <c r="B127" s="881" t="s">
        <v>1788</v>
      </c>
      <c r="C127" s="880" t="s">
        <v>2761</v>
      </c>
      <c r="D127" s="880"/>
      <c r="E127" s="884" t="s">
        <v>744</v>
      </c>
      <c r="F127" s="888">
        <v>1</v>
      </c>
      <c r="G127" s="881" t="s">
        <v>1007</v>
      </c>
      <c r="H127" s="881" t="s">
        <v>19</v>
      </c>
      <c r="I127" s="865">
        <v>46142</v>
      </c>
      <c r="J127" s="882" t="s">
        <v>8</v>
      </c>
      <c r="K127" s="880"/>
      <c r="L127" s="880"/>
      <c r="M127" s="883">
        <v>0</v>
      </c>
      <c r="N127" s="883">
        <v>0</v>
      </c>
      <c r="O127" s="883">
        <v>0</v>
      </c>
      <c r="P127" s="883">
        <v>22.32</v>
      </c>
      <c r="Q127" s="883">
        <v>15</v>
      </c>
      <c r="R127" s="883">
        <f t="shared" si="32"/>
        <v>3.35</v>
      </c>
      <c r="S127" s="883">
        <v>0</v>
      </c>
      <c r="T127" s="883">
        <v>5</v>
      </c>
      <c r="U127" s="883">
        <f t="shared" si="33"/>
        <v>0</v>
      </c>
      <c r="V127" s="883">
        <v>0</v>
      </c>
      <c r="W127" s="883">
        <v>8</v>
      </c>
      <c r="X127" s="883">
        <f t="shared" si="34"/>
        <v>0</v>
      </c>
      <c r="Y127" s="883">
        <v>0</v>
      </c>
      <c r="Z127" s="883">
        <v>0</v>
      </c>
      <c r="AA127" s="883">
        <v>0</v>
      </c>
      <c r="AB127" s="883">
        <f t="shared" si="35"/>
        <v>25.67</v>
      </c>
      <c r="AC127" s="883">
        <v>0</v>
      </c>
      <c r="AD127" s="881"/>
      <c r="AE127" s="880"/>
      <c r="AF127" s="883"/>
      <c r="AG127" s="889"/>
      <c r="AH127" s="880"/>
      <c r="AI127" s="880" t="s">
        <v>1241</v>
      </c>
      <c r="AJ127" s="884">
        <v>411</v>
      </c>
      <c r="AK127" s="883">
        <f t="shared" si="36"/>
        <v>22.32</v>
      </c>
      <c r="AL127" s="884">
        <v>413</v>
      </c>
      <c r="AM127" s="883">
        <f t="shared" si="37"/>
        <v>0</v>
      </c>
      <c r="AN127" s="884">
        <v>441</v>
      </c>
      <c r="AO127" s="883">
        <f t="shared" si="38"/>
        <v>0</v>
      </c>
      <c r="AP127" s="881"/>
      <c r="AQ127" s="881"/>
      <c r="AR127" s="883">
        <v>0</v>
      </c>
      <c r="AS127" s="883">
        <v>0</v>
      </c>
      <c r="AT127" s="883">
        <v>0</v>
      </c>
      <c r="AU127" s="880"/>
      <c r="AV127" s="886"/>
      <c r="AW127" s="880"/>
      <c r="AX127" s="886"/>
      <c r="AY127" s="880"/>
      <c r="AZ127" s="880"/>
      <c r="BA127" s="881"/>
      <c r="BB127" s="881" t="s">
        <v>57</v>
      </c>
      <c r="BC127" s="881"/>
      <c r="BD127" s="881"/>
      <c r="BE127" s="884">
        <f t="shared" si="39"/>
        <v>4</v>
      </c>
      <c r="BF127" s="887" t="str">
        <f t="shared" si="40"/>
        <v>SI</v>
      </c>
      <c r="BG127" s="883">
        <f t="shared" si="41"/>
        <v>22.32</v>
      </c>
      <c r="BH127" s="883">
        <f t="shared" si="42"/>
        <v>0</v>
      </c>
      <c r="BI127" s="883">
        <f t="shared" si="43"/>
        <v>0</v>
      </c>
      <c r="BJ127" s="883">
        <f t="shared" si="44"/>
        <v>0</v>
      </c>
      <c r="BK127" s="883">
        <f t="shared" si="45"/>
        <v>0</v>
      </c>
      <c r="BL127" s="883">
        <f t="shared" si="46"/>
        <v>3.35</v>
      </c>
      <c r="BM127" s="881"/>
      <c r="BN127" s="880"/>
      <c r="BO127" s="882" t="s">
        <v>1579</v>
      </c>
      <c r="BP127" s="882" t="s">
        <v>2286</v>
      </c>
      <c r="BQ127" s="882" t="s">
        <v>2285</v>
      </c>
      <c r="BR127" s="880"/>
      <c r="BS127" s="880"/>
      <c r="BT127" s="880"/>
      <c r="BU127" s="880"/>
      <c r="BV127" s="880"/>
      <c r="BW127" s="883">
        <v>0</v>
      </c>
      <c r="BX127" s="883">
        <v>0</v>
      </c>
      <c r="BY127" s="883">
        <v>0</v>
      </c>
      <c r="BZ127" s="890"/>
      <c r="CA127" s="883">
        <f t="shared" si="47"/>
        <v>0</v>
      </c>
      <c r="CB127" s="880"/>
      <c r="CC127" s="881"/>
      <c r="CD127" s="883"/>
      <c r="CE127" s="883"/>
      <c r="CF127" s="883"/>
      <c r="CG127" s="883"/>
      <c r="CH127" s="883"/>
      <c r="CI127" s="883"/>
      <c r="CJ127" s="883"/>
      <c r="CK127" s="883"/>
      <c r="CL127" s="883"/>
      <c r="CM127" s="883"/>
      <c r="CN127" s="883"/>
      <c r="CO127" s="883"/>
      <c r="CP127" s="883"/>
      <c r="CQ127" s="883"/>
      <c r="CR127" s="883"/>
      <c r="CS127" s="883"/>
      <c r="CT127" s="883"/>
      <c r="CU127" s="883"/>
    </row>
    <row r="128" spans="1:99" x14ac:dyDescent="0.25">
      <c r="A128" s="880" t="s">
        <v>1787</v>
      </c>
      <c r="B128" s="881" t="s">
        <v>1788</v>
      </c>
      <c r="C128" s="880" t="s">
        <v>2762</v>
      </c>
      <c r="D128" s="880"/>
      <c r="E128" s="884" t="s">
        <v>744</v>
      </c>
      <c r="F128" s="888">
        <v>1</v>
      </c>
      <c r="G128" s="881" t="s">
        <v>1007</v>
      </c>
      <c r="H128" s="881" t="s">
        <v>19</v>
      </c>
      <c r="I128" s="865">
        <v>46142</v>
      </c>
      <c r="J128" s="882" t="s">
        <v>8</v>
      </c>
      <c r="K128" s="880"/>
      <c r="L128" s="880"/>
      <c r="M128" s="883">
        <v>0</v>
      </c>
      <c r="N128" s="883">
        <v>0</v>
      </c>
      <c r="O128" s="883">
        <v>0</v>
      </c>
      <c r="P128" s="883">
        <v>21.74</v>
      </c>
      <c r="Q128" s="883">
        <v>15</v>
      </c>
      <c r="R128" s="883">
        <f t="shared" si="32"/>
        <v>3.26</v>
      </c>
      <c r="S128" s="883">
        <v>0</v>
      </c>
      <c r="T128" s="883">
        <v>5</v>
      </c>
      <c r="U128" s="883">
        <f t="shared" si="33"/>
        <v>0</v>
      </c>
      <c r="V128" s="883">
        <v>0</v>
      </c>
      <c r="W128" s="883">
        <v>8</v>
      </c>
      <c r="X128" s="883">
        <f t="shared" si="34"/>
        <v>0</v>
      </c>
      <c r="Y128" s="883">
        <v>0</v>
      </c>
      <c r="Z128" s="883">
        <v>0</v>
      </c>
      <c r="AA128" s="883">
        <v>0</v>
      </c>
      <c r="AB128" s="883">
        <f t="shared" si="35"/>
        <v>25</v>
      </c>
      <c r="AC128" s="883">
        <v>0</v>
      </c>
      <c r="AD128" s="881"/>
      <c r="AE128" s="880"/>
      <c r="AF128" s="883"/>
      <c r="AG128" s="889"/>
      <c r="AH128" s="880"/>
      <c r="AI128" s="880" t="s">
        <v>1241</v>
      </c>
      <c r="AJ128" s="884">
        <v>411</v>
      </c>
      <c r="AK128" s="883">
        <f t="shared" si="36"/>
        <v>21.74</v>
      </c>
      <c r="AL128" s="884">
        <v>413</v>
      </c>
      <c r="AM128" s="883">
        <f t="shared" si="37"/>
        <v>0</v>
      </c>
      <c r="AN128" s="884">
        <v>441</v>
      </c>
      <c r="AO128" s="883">
        <f t="shared" si="38"/>
        <v>0</v>
      </c>
      <c r="AP128" s="881"/>
      <c r="AQ128" s="881"/>
      <c r="AR128" s="883">
        <v>0</v>
      </c>
      <c r="AS128" s="883">
        <v>0</v>
      </c>
      <c r="AT128" s="883">
        <v>0</v>
      </c>
      <c r="AU128" s="880"/>
      <c r="AV128" s="886"/>
      <c r="AW128" s="880"/>
      <c r="AX128" s="886"/>
      <c r="AY128" s="880"/>
      <c r="AZ128" s="880"/>
      <c r="BA128" s="881"/>
      <c r="BB128" s="881" t="s">
        <v>57</v>
      </c>
      <c r="BC128" s="881"/>
      <c r="BD128" s="881"/>
      <c r="BE128" s="884">
        <f t="shared" si="39"/>
        <v>4</v>
      </c>
      <c r="BF128" s="887" t="str">
        <f t="shared" si="40"/>
        <v>SI</v>
      </c>
      <c r="BG128" s="883">
        <f t="shared" si="41"/>
        <v>21.74</v>
      </c>
      <c r="BH128" s="883">
        <f t="shared" si="42"/>
        <v>0</v>
      </c>
      <c r="BI128" s="883">
        <f t="shared" si="43"/>
        <v>0</v>
      </c>
      <c r="BJ128" s="883">
        <f t="shared" si="44"/>
        <v>0</v>
      </c>
      <c r="BK128" s="883">
        <f t="shared" si="45"/>
        <v>0</v>
      </c>
      <c r="BL128" s="883">
        <f t="shared" si="46"/>
        <v>3.26</v>
      </c>
      <c r="BM128" s="881"/>
      <c r="BN128" s="880"/>
      <c r="BO128" s="882" t="s">
        <v>1579</v>
      </c>
      <c r="BP128" s="882" t="s">
        <v>2286</v>
      </c>
      <c r="BQ128" s="882" t="s">
        <v>2285</v>
      </c>
      <c r="BR128" s="880"/>
      <c r="BS128" s="880"/>
      <c r="BT128" s="880"/>
      <c r="BU128" s="880"/>
      <c r="BV128" s="880"/>
      <c r="BW128" s="883">
        <v>0</v>
      </c>
      <c r="BX128" s="883">
        <v>0</v>
      </c>
      <c r="BY128" s="883">
        <v>0</v>
      </c>
      <c r="BZ128" s="890"/>
      <c r="CA128" s="883">
        <f t="shared" si="47"/>
        <v>0</v>
      </c>
      <c r="CB128" s="880"/>
      <c r="CC128" s="881"/>
      <c r="CD128" s="883"/>
      <c r="CE128" s="883"/>
      <c r="CF128" s="883"/>
      <c r="CG128" s="883"/>
      <c r="CH128" s="883"/>
      <c r="CI128" s="883"/>
      <c r="CJ128" s="883"/>
      <c r="CK128" s="883"/>
      <c r="CL128" s="883"/>
      <c r="CM128" s="883"/>
      <c r="CN128" s="883"/>
      <c r="CO128" s="883"/>
      <c r="CP128" s="883"/>
      <c r="CQ128" s="883"/>
      <c r="CR128" s="883"/>
      <c r="CS128" s="883"/>
      <c r="CT128" s="883"/>
      <c r="CU128" s="883"/>
    </row>
    <row r="129" spans="1:99" x14ac:dyDescent="0.25">
      <c r="A129" s="880" t="s">
        <v>1787</v>
      </c>
      <c r="B129" s="881" t="s">
        <v>1788</v>
      </c>
      <c r="C129" s="880" t="s">
        <v>2763</v>
      </c>
      <c r="D129" s="880"/>
      <c r="E129" s="884" t="s">
        <v>744</v>
      </c>
      <c r="F129" s="888">
        <v>1</v>
      </c>
      <c r="G129" s="881" t="s">
        <v>1007</v>
      </c>
      <c r="H129" s="881" t="s">
        <v>19</v>
      </c>
      <c r="I129" s="865">
        <v>46142</v>
      </c>
      <c r="J129" s="882" t="s">
        <v>8</v>
      </c>
      <c r="K129" s="880"/>
      <c r="L129" s="880"/>
      <c r="M129" s="883">
        <v>0</v>
      </c>
      <c r="N129" s="883">
        <v>0</v>
      </c>
      <c r="O129" s="883">
        <v>0</v>
      </c>
      <c r="P129" s="883">
        <v>13.39</v>
      </c>
      <c r="Q129" s="883">
        <v>15</v>
      </c>
      <c r="R129" s="883">
        <f t="shared" si="32"/>
        <v>2.0099999999999998</v>
      </c>
      <c r="S129" s="883">
        <v>0</v>
      </c>
      <c r="T129" s="883">
        <v>5</v>
      </c>
      <c r="U129" s="883">
        <f t="shared" si="33"/>
        <v>0</v>
      </c>
      <c r="V129" s="883">
        <v>0</v>
      </c>
      <c r="W129" s="883">
        <v>8</v>
      </c>
      <c r="X129" s="883">
        <f t="shared" si="34"/>
        <v>0</v>
      </c>
      <c r="Y129" s="883">
        <v>0</v>
      </c>
      <c r="Z129" s="883">
        <v>0</v>
      </c>
      <c r="AA129" s="883">
        <v>0</v>
      </c>
      <c r="AB129" s="883">
        <f t="shared" si="35"/>
        <v>15.4</v>
      </c>
      <c r="AC129" s="883">
        <v>0</v>
      </c>
      <c r="AD129" s="881"/>
      <c r="AE129" s="880"/>
      <c r="AF129" s="883"/>
      <c r="AG129" s="889"/>
      <c r="AH129" s="880"/>
      <c r="AI129" s="880" t="s">
        <v>1241</v>
      </c>
      <c r="AJ129" s="884">
        <v>411</v>
      </c>
      <c r="AK129" s="883">
        <f t="shared" si="36"/>
        <v>13.39</v>
      </c>
      <c r="AL129" s="884">
        <v>413</v>
      </c>
      <c r="AM129" s="883">
        <f t="shared" si="37"/>
        <v>0</v>
      </c>
      <c r="AN129" s="884">
        <v>441</v>
      </c>
      <c r="AO129" s="883">
        <f t="shared" si="38"/>
        <v>0</v>
      </c>
      <c r="AP129" s="881"/>
      <c r="AQ129" s="881"/>
      <c r="AR129" s="883">
        <v>0</v>
      </c>
      <c r="AS129" s="883">
        <v>0</v>
      </c>
      <c r="AT129" s="883">
        <v>0</v>
      </c>
      <c r="AU129" s="880"/>
      <c r="AV129" s="886"/>
      <c r="AW129" s="880"/>
      <c r="AX129" s="886"/>
      <c r="AY129" s="880"/>
      <c r="AZ129" s="880"/>
      <c r="BA129" s="881"/>
      <c r="BB129" s="881" t="s">
        <v>57</v>
      </c>
      <c r="BC129" s="881"/>
      <c r="BD129" s="881"/>
      <c r="BE129" s="884">
        <f t="shared" si="39"/>
        <v>4</v>
      </c>
      <c r="BF129" s="887" t="str">
        <f t="shared" si="40"/>
        <v>SI</v>
      </c>
      <c r="BG129" s="883">
        <f t="shared" si="41"/>
        <v>13.39</v>
      </c>
      <c r="BH129" s="883">
        <f t="shared" si="42"/>
        <v>0</v>
      </c>
      <c r="BI129" s="883">
        <f t="shared" si="43"/>
        <v>0</v>
      </c>
      <c r="BJ129" s="883">
        <f t="shared" si="44"/>
        <v>0</v>
      </c>
      <c r="BK129" s="883">
        <f t="shared" si="45"/>
        <v>0</v>
      </c>
      <c r="BL129" s="883">
        <f t="shared" si="46"/>
        <v>2.0099999999999998</v>
      </c>
      <c r="BM129" s="881"/>
      <c r="BN129" s="880"/>
      <c r="BO129" s="882" t="s">
        <v>1579</v>
      </c>
      <c r="BP129" s="882" t="s">
        <v>2286</v>
      </c>
      <c r="BQ129" s="882" t="s">
        <v>2285</v>
      </c>
      <c r="BR129" s="880"/>
      <c r="BS129" s="880"/>
      <c r="BT129" s="880"/>
      <c r="BU129" s="880"/>
      <c r="BV129" s="880"/>
      <c r="BW129" s="883">
        <v>0</v>
      </c>
      <c r="BX129" s="883">
        <v>0</v>
      </c>
      <c r="BY129" s="883">
        <v>0</v>
      </c>
      <c r="BZ129" s="890"/>
      <c r="CA129" s="883">
        <f t="shared" si="47"/>
        <v>0</v>
      </c>
      <c r="CB129" s="880"/>
      <c r="CC129" s="881"/>
      <c r="CD129" s="883"/>
      <c r="CE129" s="883"/>
      <c r="CF129" s="883"/>
      <c r="CG129" s="883"/>
      <c r="CH129" s="883"/>
      <c r="CI129" s="883"/>
      <c r="CJ129" s="883"/>
      <c r="CK129" s="883"/>
      <c r="CL129" s="883"/>
      <c r="CM129" s="883"/>
      <c r="CN129" s="883"/>
      <c r="CO129" s="883"/>
      <c r="CP129" s="883"/>
      <c r="CQ129" s="883"/>
      <c r="CR129" s="883"/>
      <c r="CS129" s="883"/>
      <c r="CT129" s="883"/>
      <c r="CU129" s="883"/>
    </row>
    <row r="130" spans="1:99" x14ac:dyDescent="0.25">
      <c r="A130" s="880" t="s">
        <v>1787</v>
      </c>
      <c r="B130" s="881" t="s">
        <v>1788</v>
      </c>
      <c r="C130" s="880" t="s">
        <v>2764</v>
      </c>
      <c r="D130" s="880"/>
      <c r="E130" s="884" t="s">
        <v>744</v>
      </c>
      <c r="F130" s="888">
        <v>1</v>
      </c>
      <c r="G130" s="881" t="s">
        <v>1007</v>
      </c>
      <c r="H130" s="881" t="s">
        <v>19</v>
      </c>
      <c r="I130" s="865">
        <v>46142</v>
      </c>
      <c r="J130" s="882" t="s">
        <v>8</v>
      </c>
      <c r="K130" s="880"/>
      <c r="L130" s="880"/>
      <c r="M130" s="883">
        <v>0</v>
      </c>
      <c r="N130" s="883">
        <v>0</v>
      </c>
      <c r="O130" s="883">
        <v>0</v>
      </c>
      <c r="P130" s="883">
        <v>17.39</v>
      </c>
      <c r="Q130" s="883">
        <v>15</v>
      </c>
      <c r="R130" s="883">
        <f t="shared" si="32"/>
        <v>2.61</v>
      </c>
      <c r="S130" s="883">
        <v>0</v>
      </c>
      <c r="T130" s="883">
        <v>5</v>
      </c>
      <c r="U130" s="883">
        <f t="shared" si="33"/>
        <v>0</v>
      </c>
      <c r="V130" s="883">
        <v>0</v>
      </c>
      <c r="W130" s="883">
        <v>8</v>
      </c>
      <c r="X130" s="883">
        <f t="shared" si="34"/>
        <v>0</v>
      </c>
      <c r="Y130" s="883">
        <v>0</v>
      </c>
      <c r="Z130" s="883">
        <v>0</v>
      </c>
      <c r="AA130" s="883">
        <v>0</v>
      </c>
      <c r="AB130" s="883">
        <f t="shared" si="35"/>
        <v>20</v>
      </c>
      <c r="AC130" s="883">
        <v>0</v>
      </c>
      <c r="AD130" s="881"/>
      <c r="AE130" s="880"/>
      <c r="AF130" s="883"/>
      <c r="AG130" s="889"/>
      <c r="AH130" s="880"/>
      <c r="AI130" s="880" t="s">
        <v>1241</v>
      </c>
      <c r="AJ130" s="884">
        <v>411</v>
      </c>
      <c r="AK130" s="883">
        <f t="shared" si="36"/>
        <v>17.39</v>
      </c>
      <c r="AL130" s="884">
        <v>413</v>
      </c>
      <c r="AM130" s="883">
        <f t="shared" si="37"/>
        <v>0</v>
      </c>
      <c r="AN130" s="884">
        <v>441</v>
      </c>
      <c r="AO130" s="883">
        <f t="shared" si="38"/>
        <v>0</v>
      </c>
      <c r="AP130" s="881"/>
      <c r="AQ130" s="881"/>
      <c r="AR130" s="883">
        <v>0</v>
      </c>
      <c r="AS130" s="883">
        <v>0</v>
      </c>
      <c r="AT130" s="883">
        <v>0</v>
      </c>
      <c r="AU130" s="880"/>
      <c r="AV130" s="886"/>
      <c r="AW130" s="880"/>
      <c r="AX130" s="886"/>
      <c r="AY130" s="880"/>
      <c r="AZ130" s="880"/>
      <c r="BA130" s="881"/>
      <c r="BB130" s="881" t="s">
        <v>57</v>
      </c>
      <c r="BC130" s="881"/>
      <c r="BD130" s="881"/>
      <c r="BE130" s="884">
        <f t="shared" si="39"/>
        <v>4</v>
      </c>
      <c r="BF130" s="887" t="str">
        <f t="shared" si="40"/>
        <v>SI</v>
      </c>
      <c r="BG130" s="883">
        <f t="shared" si="41"/>
        <v>17.39</v>
      </c>
      <c r="BH130" s="883">
        <f t="shared" si="42"/>
        <v>0</v>
      </c>
      <c r="BI130" s="883">
        <f t="shared" si="43"/>
        <v>0</v>
      </c>
      <c r="BJ130" s="883">
        <f t="shared" si="44"/>
        <v>0</v>
      </c>
      <c r="BK130" s="883">
        <f t="shared" si="45"/>
        <v>0</v>
      </c>
      <c r="BL130" s="883">
        <f t="shared" si="46"/>
        <v>2.61</v>
      </c>
      <c r="BM130" s="881"/>
      <c r="BN130" s="880"/>
      <c r="BO130" s="882" t="s">
        <v>1579</v>
      </c>
      <c r="BP130" s="882" t="s">
        <v>2286</v>
      </c>
      <c r="BQ130" s="882" t="s">
        <v>2285</v>
      </c>
      <c r="BR130" s="880"/>
      <c r="BS130" s="880"/>
      <c r="BT130" s="880"/>
      <c r="BU130" s="880"/>
      <c r="BV130" s="880"/>
      <c r="BW130" s="883">
        <v>0</v>
      </c>
      <c r="BX130" s="883">
        <v>0</v>
      </c>
      <c r="BY130" s="883">
        <v>0</v>
      </c>
      <c r="BZ130" s="890"/>
      <c r="CA130" s="883">
        <f t="shared" si="47"/>
        <v>0</v>
      </c>
      <c r="CB130" s="880"/>
      <c r="CC130" s="881"/>
      <c r="CD130" s="883"/>
      <c r="CE130" s="883"/>
      <c r="CF130" s="883"/>
      <c r="CG130" s="883"/>
      <c r="CH130" s="883"/>
      <c r="CI130" s="883"/>
      <c r="CJ130" s="883"/>
      <c r="CK130" s="883"/>
      <c r="CL130" s="883"/>
      <c r="CM130" s="883"/>
      <c r="CN130" s="883"/>
      <c r="CO130" s="883"/>
      <c r="CP130" s="883"/>
      <c r="CQ130" s="883"/>
      <c r="CR130" s="883"/>
      <c r="CS130" s="883"/>
      <c r="CT130" s="883"/>
      <c r="CU130" s="883"/>
    </row>
    <row r="131" spans="1:99" x14ac:dyDescent="0.25">
      <c r="A131" s="880" t="s">
        <v>1787</v>
      </c>
      <c r="B131" s="881" t="s">
        <v>1788</v>
      </c>
      <c r="C131" s="880" t="s">
        <v>2765</v>
      </c>
      <c r="D131" s="880"/>
      <c r="E131" s="884" t="s">
        <v>744</v>
      </c>
      <c r="F131" s="888">
        <v>1</v>
      </c>
      <c r="G131" s="881" t="s">
        <v>1007</v>
      </c>
      <c r="H131" s="881" t="s">
        <v>19</v>
      </c>
      <c r="I131" s="865">
        <v>46142</v>
      </c>
      <c r="J131" s="882" t="s">
        <v>8</v>
      </c>
      <c r="K131" s="880"/>
      <c r="L131" s="880"/>
      <c r="M131" s="883">
        <v>0</v>
      </c>
      <c r="N131" s="883">
        <v>0</v>
      </c>
      <c r="O131" s="883">
        <v>0</v>
      </c>
      <c r="P131" s="883">
        <v>21.74</v>
      </c>
      <c r="Q131" s="883">
        <v>15</v>
      </c>
      <c r="R131" s="883">
        <f t="shared" si="32"/>
        <v>3.26</v>
      </c>
      <c r="S131" s="883">
        <v>0</v>
      </c>
      <c r="T131" s="883">
        <v>5</v>
      </c>
      <c r="U131" s="883">
        <f t="shared" si="33"/>
        <v>0</v>
      </c>
      <c r="V131" s="883">
        <v>0</v>
      </c>
      <c r="W131" s="883">
        <v>8</v>
      </c>
      <c r="X131" s="883">
        <f t="shared" si="34"/>
        <v>0</v>
      </c>
      <c r="Y131" s="883">
        <v>0</v>
      </c>
      <c r="Z131" s="883">
        <v>0</v>
      </c>
      <c r="AA131" s="883">
        <v>0</v>
      </c>
      <c r="AB131" s="883">
        <f t="shared" si="35"/>
        <v>25</v>
      </c>
      <c r="AC131" s="883">
        <v>0</v>
      </c>
      <c r="AD131" s="881"/>
      <c r="AE131" s="880"/>
      <c r="AF131" s="883"/>
      <c r="AG131" s="889"/>
      <c r="AH131" s="880"/>
      <c r="AI131" s="880" t="s">
        <v>1241</v>
      </c>
      <c r="AJ131" s="884">
        <v>411</v>
      </c>
      <c r="AK131" s="883">
        <f t="shared" si="36"/>
        <v>21.74</v>
      </c>
      <c r="AL131" s="884">
        <v>413</v>
      </c>
      <c r="AM131" s="883">
        <f t="shared" si="37"/>
        <v>0</v>
      </c>
      <c r="AN131" s="884">
        <v>441</v>
      </c>
      <c r="AO131" s="883">
        <f t="shared" si="38"/>
        <v>0</v>
      </c>
      <c r="AP131" s="881"/>
      <c r="AQ131" s="881"/>
      <c r="AR131" s="883">
        <v>0</v>
      </c>
      <c r="AS131" s="883">
        <v>0</v>
      </c>
      <c r="AT131" s="883">
        <v>0</v>
      </c>
      <c r="AU131" s="880"/>
      <c r="AV131" s="886"/>
      <c r="AW131" s="880"/>
      <c r="AX131" s="886"/>
      <c r="AY131" s="880"/>
      <c r="AZ131" s="880"/>
      <c r="BA131" s="881"/>
      <c r="BB131" s="881" t="s">
        <v>57</v>
      </c>
      <c r="BC131" s="881"/>
      <c r="BD131" s="881"/>
      <c r="BE131" s="884">
        <f t="shared" si="39"/>
        <v>4</v>
      </c>
      <c r="BF131" s="887" t="str">
        <f t="shared" si="40"/>
        <v>SI</v>
      </c>
      <c r="BG131" s="883">
        <f t="shared" si="41"/>
        <v>21.74</v>
      </c>
      <c r="BH131" s="883">
        <f t="shared" si="42"/>
        <v>0</v>
      </c>
      <c r="BI131" s="883">
        <f t="shared" si="43"/>
        <v>0</v>
      </c>
      <c r="BJ131" s="883">
        <f t="shared" si="44"/>
        <v>0</v>
      </c>
      <c r="BK131" s="883">
        <f t="shared" si="45"/>
        <v>0</v>
      </c>
      <c r="BL131" s="883">
        <f t="shared" si="46"/>
        <v>3.26</v>
      </c>
      <c r="BM131" s="881"/>
      <c r="BN131" s="880"/>
      <c r="BO131" s="882" t="s">
        <v>1579</v>
      </c>
      <c r="BP131" s="882" t="s">
        <v>2286</v>
      </c>
      <c r="BQ131" s="882" t="s">
        <v>2285</v>
      </c>
      <c r="BR131" s="880"/>
      <c r="BS131" s="880"/>
      <c r="BT131" s="880"/>
      <c r="BU131" s="880"/>
      <c r="BV131" s="880"/>
      <c r="BW131" s="883">
        <v>0</v>
      </c>
      <c r="BX131" s="883">
        <v>0</v>
      </c>
      <c r="BY131" s="883">
        <v>0</v>
      </c>
      <c r="BZ131" s="890"/>
      <c r="CA131" s="883">
        <f t="shared" si="47"/>
        <v>0</v>
      </c>
      <c r="CB131" s="880"/>
      <c r="CC131" s="881"/>
      <c r="CD131" s="883"/>
      <c r="CE131" s="883"/>
      <c r="CF131" s="883"/>
      <c r="CG131" s="883"/>
      <c r="CH131" s="883"/>
      <c r="CI131" s="883"/>
      <c r="CJ131" s="883"/>
      <c r="CK131" s="883"/>
      <c r="CL131" s="883"/>
      <c r="CM131" s="883"/>
      <c r="CN131" s="883"/>
      <c r="CO131" s="883"/>
      <c r="CP131" s="883"/>
      <c r="CQ131" s="883"/>
      <c r="CR131" s="883"/>
      <c r="CS131" s="883"/>
      <c r="CT131" s="883"/>
      <c r="CU131" s="883"/>
    </row>
    <row r="132" spans="1:99" x14ac:dyDescent="0.25">
      <c r="A132" s="880" t="s">
        <v>1787</v>
      </c>
      <c r="B132" s="881" t="s">
        <v>1788</v>
      </c>
      <c r="C132" s="880" t="s">
        <v>2766</v>
      </c>
      <c r="D132" s="880"/>
      <c r="E132" s="884" t="s">
        <v>744</v>
      </c>
      <c r="F132" s="888">
        <v>1</v>
      </c>
      <c r="G132" s="881" t="s">
        <v>1007</v>
      </c>
      <c r="H132" s="881" t="s">
        <v>19</v>
      </c>
      <c r="I132" s="865">
        <v>46142</v>
      </c>
      <c r="J132" s="882" t="s">
        <v>8</v>
      </c>
      <c r="K132" s="880"/>
      <c r="L132" s="880"/>
      <c r="M132" s="883">
        <v>0</v>
      </c>
      <c r="N132" s="883">
        <v>0</v>
      </c>
      <c r="O132" s="883">
        <v>0</v>
      </c>
      <c r="P132" s="883">
        <v>17.86</v>
      </c>
      <c r="Q132" s="883">
        <v>15</v>
      </c>
      <c r="R132" s="883">
        <f t="shared" si="32"/>
        <v>2.68</v>
      </c>
      <c r="S132" s="883">
        <v>0</v>
      </c>
      <c r="T132" s="883">
        <v>5</v>
      </c>
      <c r="U132" s="883">
        <f t="shared" si="33"/>
        <v>0</v>
      </c>
      <c r="V132" s="883">
        <v>0</v>
      </c>
      <c r="W132" s="883">
        <v>8</v>
      </c>
      <c r="X132" s="883">
        <f t="shared" si="34"/>
        <v>0</v>
      </c>
      <c r="Y132" s="883">
        <v>0</v>
      </c>
      <c r="Z132" s="883">
        <v>0</v>
      </c>
      <c r="AA132" s="883">
        <v>0</v>
      </c>
      <c r="AB132" s="883">
        <f t="shared" si="35"/>
        <v>20.54</v>
      </c>
      <c r="AC132" s="883">
        <v>0</v>
      </c>
      <c r="AD132" s="881"/>
      <c r="AE132" s="880"/>
      <c r="AF132" s="883"/>
      <c r="AG132" s="889"/>
      <c r="AH132" s="880"/>
      <c r="AI132" s="880" t="s">
        <v>1241</v>
      </c>
      <c r="AJ132" s="884">
        <v>411</v>
      </c>
      <c r="AK132" s="883">
        <f t="shared" si="36"/>
        <v>17.86</v>
      </c>
      <c r="AL132" s="884">
        <v>413</v>
      </c>
      <c r="AM132" s="883">
        <f t="shared" si="37"/>
        <v>0</v>
      </c>
      <c r="AN132" s="884">
        <v>441</v>
      </c>
      <c r="AO132" s="883">
        <f t="shared" si="38"/>
        <v>0</v>
      </c>
      <c r="AP132" s="881"/>
      <c r="AQ132" s="881"/>
      <c r="AR132" s="883">
        <v>0</v>
      </c>
      <c r="AS132" s="883">
        <v>0</v>
      </c>
      <c r="AT132" s="883">
        <v>0</v>
      </c>
      <c r="AU132" s="880"/>
      <c r="AV132" s="886"/>
      <c r="AW132" s="880"/>
      <c r="AX132" s="886"/>
      <c r="AY132" s="880"/>
      <c r="AZ132" s="880"/>
      <c r="BA132" s="881"/>
      <c r="BB132" s="881" t="s">
        <v>57</v>
      </c>
      <c r="BC132" s="881"/>
      <c r="BD132" s="881"/>
      <c r="BE132" s="884">
        <f t="shared" si="39"/>
        <v>4</v>
      </c>
      <c r="BF132" s="887" t="str">
        <f t="shared" si="40"/>
        <v>SI</v>
      </c>
      <c r="BG132" s="883">
        <f t="shared" si="41"/>
        <v>17.86</v>
      </c>
      <c r="BH132" s="883">
        <f t="shared" si="42"/>
        <v>0</v>
      </c>
      <c r="BI132" s="883">
        <f t="shared" si="43"/>
        <v>0</v>
      </c>
      <c r="BJ132" s="883">
        <f t="shared" si="44"/>
        <v>0</v>
      </c>
      <c r="BK132" s="883">
        <f t="shared" si="45"/>
        <v>0</v>
      </c>
      <c r="BL132" s="883">
        <f t="shared" si="46"/>
        <v>2.68</v>
      </c>
      <c r="BM132" s="881"/>
      <c r="BN132" s="880"/>
      <c r="BO132" s="882" t="s">
        <v>1579</v>
      </c>
      <c r="BP132" s="882" t="s">
        <v>2286</v>
      </c>
      <c r="BQ132" s="882" t="s">
        <v>2285</v>
      </c>
      <c r="BR132" s="880"/>
      <c r="BS132" s="880"/>
      <c r="BT132" s="880"/>
      <c r="BU132" s="880"/>
      <c r="BV132" s="880"/>
      <c r="BW132" s="883">
        <v>0</v>
      </c>
      <c r="BX132" s="883">
        <v>0</v>
      </c>
      <c r="BY132" s="883">
        <v>0</v>
      </c>
      <c r="BZ132" s="890"/>
      <c r="CA132" s="883">
        <f t="shared" si="47"/>
        <v>0</v>
      </c>
      <c r="CB132" s="880"/>
      <c r="CC132" s="881"/>
      <c r="CD132" s="883"/>
      <c r="CE132" s="883"/>
      <c r="CF132" s="883"/>
      <c r="CG132" s="883"/>
      <c r="CH132" s="883"/>
      <c r="CI132" s="883"/>
      <c r="CJ132" s="883"/>
      <c r="CK132" s="883"/>
      <c r="CL132" s="883"/>
      <c r="CM132" s="883"/>
      <c r="CN132" s="883"/>
      <c r="CO132" s="883"/>
      <c r="CP132" s="883"/>
      <c r="CQ132" s="883"/>
      <c r="CR132" s="883"/>
      <c r="CS132" s="883"/>
      <c r="CT132" s="883"/>
      <c r="CU132" s="883"/>
    </row>
    <row r="133" spans="1:99" x14ac:dyDescent="0.25">
      <c r="A133" s="880" t="s">
        <v>1787</v>
      </c>
      <c r="B133" s="881" t="s">
        <v>1788</v>
      </c>
      <c r="C133" s="880" t="s">
        <v>2767</v>
      </c>
      <c r="D133" s="880"/>
      <c r="E133" s="884" t="s">
        <v>744</v>
      </c>
      <c r="F133" s="888">
        <v>1</v>
      </c>
      <c r="G133" s="881" t="s">
        <v>1007</v>
      </c>
      <c r="H133" s="881" t="s">
        <v>19</v>
      </c>
      <c r="I133" s="865">
        <v>46142</v>
      </c>
      <c r="J133" s="882" t="s">
        <v>8</v>
      </c>
      <c r="K133" s="880"/>
      <c r="L133" s="880"/>
      <c r="M133" s="883">
        <v>0</v>
      </c>
      <c r="N133" s="883">
        <v>0</v>
      </c>
      <c r="O133" s="883">
        <v>0</v>
      </c>
      <c r="P133" s="883">
        <v>13.39</v>
      </c>
      <c r="Q133" s="883">
        <v>15</v>
      </c>
      <c r="R133" s="883">
        <f t="shared" si="32"/>
        <v>2.0099999999999998</v>
      </c>
      <c r="S133" s="883">
        <v>0</v>
      </c>
      <c r="T133" s="883">
        <v>5</v>
      </c>
      <c r="U133" s="883">
        <f t="shared" si="33"/>
        <v>0</v>
      </c>
      <c r="V133" s="883">
        <v>0</v>
      </c>
      <c r="W133" s="883">
        <v>8</v>
      </c>
      <c r="X133" s="883">
        <f t="shared" si="34"/>
        <v>0</v>
      </c>
      <c r="Y133" s="883">
        <v>0</v>
      </c>
      <c r="Z133" s="883">
        <v>0</v>
      </c>
      <c r="AA133" s="883">
        <v>0</v>
      </c>
      <c r="AB133" s="883">
        <f t="shared" si="35"/>
        <v>15.4</v>
      </c>
      <c r="AC133" s="883">
        <v>0</v>
      </c>
      <c r="AD133" s="881"/>
      <c r="AE133" s="880"/>
      <c r="AF133" s="883"/>
      <c r="AG133" s="889"/>
      <c r="AH133" s="880"/>
      <c r="AI133" s="880" t="s">
        <v>1241</v>
      </c>
      <c r="AJ133" s="884">
        <v>411</v>
      </c>
      <c r="AK133" s="883">
        <f t="shared" si="36"/>
        <v>13.39</v>
      </c>
      <c r="AL133" s="884">
        <v>413</v>
      </c>
      <c r="AM133" s="883">
        <f t="shared" si="37"/>
        <v>0</v>
      </c>
      <c r="AN133" s="884">
        <v>441</v>
      </c>
      <c r="AO133" s="883">
        <f t="shared" si="38"/>
        <v>0</v>
      </c>
      <c r="AP133" s="881"/>
      <c r="AQ133" s="881"/>
      <c r="AR133" s="883">
        <v>0</v>
      </c>
      <c r="AS133" s="883">
        <v>0</v>
      </c>
      <c r="AT133" s="883">
        <v>0</v>
      </c>
      <c r="AU133" s="880"/>
      <c r="AV133" s="886"/>
      <c r="AW133" s="880"/>
      <c r="AX133" s="886"/>
      <c r="AY133" s="880"/>
      <c r="AZ133" s="880"/>
      <c r="BA133" s="881"/>
      <c r="BB133" s="881" t="s">
        <v>57</v>
      </c>
      <c r="BC133" s="881"/>
      <c r="BD133" s="881"/>
      <c r="BE133" s="884">
        <f t="shared" si="39"/>
        <v>4</v>
      </c>
      <c r="BF133" s="887" t="str">
        <f t="shared" si="40"/>
        <v>SI</v>
      </c>
      <c r="BG133" s="883">
        <f t="shared" si="41"/>
        <v>13.39</v>
      </c>
      <c r="BH133" s="883">
        <f t="shared" si="42"/>
        <v>0</v>
      </c>
      <c r="BI133" s="883">
        <f t="shared" si="43"/>
        <v>0</v>
      </c>
      <c r="BJ133" s="883">
        <f t="shared" si="44"/>
        <v>0</v>
      </c>
      <c r="BK133" s="883">
        <f t="shared" si="45"/>
        <v>0</v>
      </c>
      <c r="BL133" s="883">
        <f t="shared" si="46"/>
        <v>2.0099999999999998</v>
      </c>
      <c r="BM133" s="881"/>
      <c r="BN133" s="880"/>
      <c r="BO133" s="882" t="s">
        <v>1579</v>
      </c>
      <c r="BP133" s="882" t="s">
        <v>2286</v>
      </c>
      <c r="BQ133" s="882" t="s">
        <v>2285</v>
      </c>
      <c r="BR133" s="880"/>
      <c r="BS133" s="880"/>
      <c r="BT133" s="880"/>
      <c r="BU133" s="880"/>
      <c r="BV133" s="880"/>
      <c r="BW133" s="883">
        <v>0</v>
      </c>
      <c r="BX133" s="883">
        <v>0</v>
      </c>
      <c r="BY133" s="883">
        <v>0</v>
      </c>
      <c r="BZ133" s="890"/>
      <c r="CA133" s="883">
        <f t="shared" si="47"/>
        <v>0</v>
      </c>
      <c r="CB133" s="880"/>
      <c r="CC133" s="881"/>
      <c r="CD133" s="883"/>
      <c r="CE133" s="883"/>
      <c r="CF133" s="883"/>
      <c r="CG133" s="883"/>
      <c r="CH133" s="883"/>
      <c r="CI133" s="883"/>
      <c r="CJ133" s="883"/>
      <c r="CK133" s="883"/>
      <c r="CL133" s="883"/>
      <c r="CM133" s="883"/>
      <c r="CN133" s="883"/>
      <c r="CO133" s="883"/>
      <c r="CP133" s="883"/>
      <c r="CQ133" s="883"/>
      <c r="CR133" s="883"/>
      <c r="CS133" s="883"/>
      <c r="CT133" s="883"/>
      <c r="CU133" s="883"/>
    </row>
    <row r="134" spans="1:99" x14ac:dyDescent="0.25">
      <c r="A134" s="880" t="s">
        <v>1787</v>
      </c>
      <c r="B134" s="881" t="s">
        <v>1788</v>
      </c>
      <c r="C134" s="880" t="s">
        <v>2768</v>
      </c>
      <c r="D134" s="880"/>
      <c r="E134" s="884" t="s">
        <v>744</v>
      </c>
      <c r="F134" s="888">
        <v>1</v>
      </c>
      <c r="G134" s="881" t="s">
        <v>1007</v>
      </c>
      <c r="H134" s="881" t="s">
        <v>19</v>
      </c>
      <c r="I134" s="865">
        <v>46142</v>
      </c>
      <c r="J134" s="882" t="s">
        <v>8</v>
      </c>
      <c r="K134" s="880"/>
      <c r="L134" s="880"/>
      <c r="M134" s="883">
        <v>0</v>
      </c>
      <c r="N134" s="883">
        <v>0</v>
      </c>
      <c r="O134" s="883">
        <v>0</v>
      </c>
      <c r="P134" s="883">
        <v>8.6999999999999993</v>
      </c>
      <c r="Q134" s="883">
        <v>15</v>
      </c>
      <c r="R134" s="883">
        <f t="shared" si="32"/>
        <v>1.31</v>
      </c>
      <c r="S134" s="883">
        <v>0</v>
      </c>
      <c r="T134" s="883">
        <v>5</v>
      </c>
      <c r="U134" s="883">
        <f t="shared" si="33"/>
        <v>0</v>
      </c>
      <c r="V134" s="883">
        <v>0</v>
      </c>
      <c r="W134" s="883">
        <v>8</v>
      </c>
      <c r="X134" s="883">
        <f t="shared" si="34"/>
        <v>0</v>
      </c>
      <c r="Y134" s="883">
        <v>0</v>
      </c>
      <c r="Z134" s="883">
        <v>0</v>
      </c>
      <c r="AA134" s="883">
        <v>0</v>
      </c>
      <c r="AB134" s="883">
        <f t="shared" si="35"/>
        <v>10.01</v>
      </c>
      <c r="AC134" s="883">
        <v>0</v>
      </c>
      <c r="AD134" s="881"/>
      <c r="AE134" s="880"/>
      <c r="AF134" s="883"/>
      <c r="AG134" s="889"/>
      <c r="AH134" s="880"/>
      <c r="AI134" s="880" t="s">
        <v>1241</v>
      </c>
      <c r="AJ134" s="884">
        <v>411</v>
      </c>
      <c r="AK134" s="883">
        <f t="shared" si="36"/>
        <v>8.6999999999999993</v>
      </c>
      <c r="AL134" s="884">
        <v>413</v>
      </c>
      <c r="AM134" s="883">
        <f t="shared" si="37"/>
        <v>0</v>
      </c>
      <c r="AN134" s="884">
        <v>441</v>
      </c>
      <c r="AO134" s="883">
        <f t="shared" si="38"/>
        <v>0</v>
      </c>
      <c r="AP134" s="881"/>
      <c r="AQ134" s="881"/>
      <c r="AR134" s="883">
        <v>0</v>
      </c>
      <c r="AS134" s="883">
        <v>0</v>
      </c>
      <c r="AT134" s="883">
        <v>0</v>
      </c>
      <c r="AU134" s="880"/>
      <c r="AV134" s="886"/>
      <c r="AW134" s="880"/>
      <c r="AX134" s="886"/>
      <c r="AY134" s="880"/>
      <c r="AZ134" s="880"/>
      <c r="BA134" s="881"/>
      <c r="BB134" s="881" t="s">
        <v>57</v>
      </c>
      <c r="BC134" s="881"/>
      <c r="BD134" s="881"/>
      <c r="BE134" s="884">
        <f t="shared" si="39"/>
        <v>4</v>
      </c>
      <c r="BF134" s="887" t="str">
        <f t="shared" si="40"/>
        <v>SI</v>
      </c>
      <c r="BG134" s="883">
        <f t="shared" si="41"/>
        <v>8.6999999999999993</v>
      </c>
      <c r="BH134" s="883">
        <f t="shared" si="42"/>
        <v>0</v>
      </c>
      <c r="BI134" s="883">
        <f t="shared" si="43"/>
        <v>0</v>
      </c>
      <c r="BJ134" s="883">
        <f t="shared" si="44"/>
        <v>0</v>
      </c>
      <c r="BK134" s="883">
        <f t="shared" si="45"/>
        <v>0</v>
      </c>
      <c r="BL134" s="883">
        <f t="shared" si="46"/>
        <v>1.31</v>
      </c>
      <c r="BM134" s="881"/>
      <c r="BN134" s="880"/>
      <c r="BO134" s="882" t="s">
        <v>1579</v>
      </c>
      <c r="BP134" s="882" t="s">
        <v>2286</v>
      </c>
      <c r="BQ134" s="882" t="s">
        <v>2285</v>
      </c>
      <c r="BR134" s="880"/>
      <c r="BS134" s="880"/>
      <c r="BT134" s="880"/>
      <c r="BU134" s="880"/>
      <c r="BV134" s="880"/>
      <c r="BW134" s="883">
        <v>0</v>
      </c>
      <c r="BX134" s="883">
        <v>0</v>
      </c>
      <c r="BY134" s="883">
        <v>0</v>
      </c>
      <c r="BZ134" s="890"/>
      <c r="CA134" s="883">
        <f t="shared" si="47"/>
        <v>0</v>
      </c>
      <c r="CB134" s="880"/>
      <c r="CC134" s="881"/>
      <c r="CD134" s="883"/>
      <c r="CE134" s="883"/>
      <c r="CF134" s="883"/>
      <c r="CG134" s="883"/>
      <c r="CH134" s="883"/>
      <c r="CI134" s="883"/>
      <c r="CJ134" s="883"/>
      <c r="CK134" s="883"/>
      <c r="CL134" s="883"/>
      <c r="CM134" s="883"/>
      <c r="CN134" s="883"/>
      <c r="CO134" s="883"/>
      <c r="CP134" s="883"/>
      <c r="CQ134" s="883"/>
      <c r="CR134" s="883"/>
      <c r="CS134" s="883"/>
      <c r="CT134" s="883"/>
      <c r="CU134" s="883"/>
    </row>
    <row r="135" spans="1:99" x14ac:dyDescent="0.25">
      <c r="A135" s="880" t="s">
        <v>1787</v>
      </c>
      <c r="B135" s="881" t="s">
        <v>1788</v>
      </c>
      <c r="C135" s="880" t="s">
        <v>2769</v>
      </c>
      <c r="D135" s="880"/>
      <c r="E135" s="884" t="s">
        <v>744</v>
      </c>
      <c r="F135" s="888">
        <v>1</v>
      </c>
      <c r="G135" s="881" t="s">
        <v>1007</v>
      </c>
      <c r="H135" s="881" t="s">
        <v>19</v>
      </c>
      <c r="I135" s="865">
        <v>46142</v>
      </c>
      <c r="J135" s="882" t="s">
        <v>8</v>
      </c>
      <c r="K135" s="880"/>
      <c r="L135" s="880"/>
      <c r="M135" s="883">
        <v>0</v>
      </c>
      <c r="N135" s="883">
        <v>0</v>
      </c>
      <c r="O135" s="883">
        <v>0</v>
      </c>
      <c r="P135" s="883">
        <v>21.74</v>
      </c>
      <c r="Q135" s="883">
        <v>15</v>
      </c>
      <c r="R135" s="883">
        <f t="shared" si="32"/>
        <v>3.26</v>
      </c>
      <c r="S135" s="883">
        <v>0</v>
      </c>
      <c r="T135" s="883">
        <v>5</v>
      </c>
      <c r="U135" s="883">
        <f t="shared" si="33"/>
        <v>0</v>
      </c>
      <c r="V135" s="883">
        <v>0</v>
      </c>
      <c r="W135" s="883">
        <v>8</v>
      </c>
      <c r="X135" s="883">
        <f t="shared" si="34"/>
        <v>0</v>
      </c>
      <c r="Y135" s="883">
        <v>0</v>
      </c>
      <c r="Z135" s="883">
        <v>0</v>
      </c>
      <c r="AA135" s="883">
        <v>0</v>
      </c>
      <c r="AB135" s="883">
        <f t="shared" si="35"/>
        <v>25</v>
      </c>
      <c r="AC135" s="883">
        <v>0</v>
      </c>
      <c r="AD135" s="881"/>
      <c r="AE135" s="880"/>
      <c r="AF135" s="883"/>
      <c r="AG135" s="889"/>
      <c r="AH135" s="880"/>
      <c r="AI135" s="880" t="s">
        <v>1241</v>
      </c>
      <c r="AJ135" s="884">
        <v>411</v>
      </c>
      <c r="AK135" s="883">
        <f t="shared" si="36"/>
        <v>21.74</v>
      </c>
      <c r="AL135" s="884">
        <v>413</v>
      </c>
      <c r="AM135" s="883">
        <f t="shared" si="37"/>
        <v>0</v>
      </c>
      <c r="AN135" s="884">
        <v>441</v>
      </c>
      <c r="AO135" s="883">
        <f t="shared" si="38"/>
        <v>0</v>
      </c>
      <c r="AP135" s="881"/>
      <c r="AQ135" s="881"/>
      <c r="AR135" s="883">
        <v>0</v>
      </c>
      <c r="AS135" s="883">
        <v>0</v>
      </c>
      <c r="AT135" s="883">
        <v>0</v>
      </c>
      <c r="AU135" s="880"/>
      <c r="AV135" s="886"/>
      <c r="AW135" s="880"/>
      <c r="AX135" s="886"/>
      <c r="AY135" s="880"/>
      <c r="AZ135" s="880"/>
      <c r="BA135" s="881"/>
      <c r="BB135" s="881" t="s">
        <v>57</v>
      </c>
      <c r="BC135" s="881"/>
      <c r="BD135" s="881"/>
      <c r="BE135" s="884">
        <f t="shared" si="39"/>
        <v>4</v>
      </c>
      <c r="BF135" s="887" t="str">
        <f t="shared" si="40"/>
        <v>SI</v>
      </c>
      <c r="BG135" s="883">
        <f t="shared" si="41"/>
        <v>21.74</v>
      </c>
      <c r="BH135" s="883">
        <f t="shared" si="42"/>
        <v>0</v>
      </c>
      <c r="BI135" s="883">
        <f t="shared" si="43"/>
        <v>0</v>
      </c>
      <c r="BJ135" s="883">
        <f t="shared" si="44"/>
        <v>0</v>
      </c>
      <c r="BK135" s="883">
        <f t="shared" si="45"/>
        <v>0</v>
      </c>
      <c r="BL135" s="883">
        <f t="shared" si="46"/>
        <v>3.26</v>
      </c>
      <c r="BM135" s="881"/>
      <c r="BN135" s="880"/>
      <c r="BO135" s="882" t="s">
        <v>1579</v>
      </c>
      <c r="BP135" s="882" t="s">
        <v>2286</v>
      </c>
      <c r="BQ135" s="882" t="s">
        <v>2285</v>
      </c>
      <c r="BR135" s="880"/>
      <c r="BS135" s="880"/>
      <c r="BT135" s="880"/>
      <c r="BU135" s="880"/>
      <c r="BV135" s="880"/>
      <c r="BW135" s="883">
        <v>0</v>
      </c>
      <c r="BX135" s="883">
        <v>0</v>
      </c>
      <c r="BY135" s="883">
        <v>0</v>
      </c>
      <c r="BZ135" s="890"/>
      <c r="CA135" s="883">
        <f t="shared" si="47"/>
        <v>0</v>
      </c>
      <c r="CB135" s="880"/>
      <c r="CC135" s="881"/>
      <c r="CD135" s="883"/>
      <c r="CE135" s="883"/>
      <c r="CF135" s="883"/>
      <c r="CG135" s="883"/>
      <c r="CH135" s="883"/>
      <c r="CI135" s="883"/>
      <c r="CJ135" s="883"/>
      <c r="CK135" s="883"/>
      <c r="CL135" s="883"/>
      <c r="CM135" s="883"/>
      <c r="CN135" s="883"/>
      <c r="CO135" s="883"/>
      <c r="CP135" s="883"/>
      <c r="CQ135" s="883"/>
      <c r="CR135" s="883"/>
      <c r="CS135" s="883"/>
      <c r="CT135" s="883"/>
      <c r="CU135" s="883"/>
    </row>
    <row r="136" spans="1:99" x14ac:dyDescent="0.25">
      <c r="A136" s="880" t="s">
        <v>1787</v>
      </c>
      <c r="B136" s="881" t="s">
        <v>1788</v>
      </c>
      <c r="C136" s="880" t="s">
        <v>2770</v>
      </c>
      <c r="D136" s="880"/>
      <c r="E136" s="884" t="s">
        <v>744</v>
      </c>
      <c r="F136" s="888">
        <v>1</v>
      </c>
      <c r="G136" s="881" t="s">
        <v>1007</v>
      </c>
      <c r="H136" s="881" t="s">
        <v>19</v>
      </c>
      <c r="I136" s="865">
        <v>46142</v>
      </c>
      <c r="J136" s="882" t="s">
        <v>8</v>
      </c>
      <c r="K136" s="880"/>
      <c r="L136" s="880"/>
      <c r="M136" s="883">
        <v>0</v>
      </c>
      <c r="N136" s="883">
        <v>0</v>
      </c>
      <c r="O136" s="883">
        <v>0</v>
      </c>
      <c r="P136" s="883">
        <v>17.39</v>
      </c>
      <c r="Q136" s="883">
        <v>15</v>
      </c>
      <c r="R136" s="883">
        <f t="shared" si="32"/>
        <v>2.61</v>
      </c>
      <c r="S136" s="883">
        <v>0</v>
      </c>
      <c r="T136" s="883">
        <v>5</v>
      </c>
      <c r="U136" s="883">
        <f t="shared" si="33"/>
        <v>0</v>
      </c>
      <c r="V136" s="883">
        <v>0</v>
      </c>
      <c r="W136" s="883">
        <v>8</v>
      </c>
      <c r="X136" s="883">
        <f t="shared" si="34"/>
        <v>0</v>
      </c>
      <c r="Y136" s="883">
        <v>0</v>
      </c>
      <c r="Z136" s="883">
        <v>0</v>
      </c>
      <c r="AA136" s="883">
        <v>0</v>
      </c>
      <c r="AB136" s="883">
        <f t="shared" si="35"/>
        <v>20</v>
      </c>
      <c r="AC136" s="883">
        <v>0</v>
      </c>
      <c r="AD136" s="881"/>
      <c r="AE136" s="880"/>
      <c r="AF136" s="883"/>
      <c r="AG136" s="889"/>
      <c r="AH136" s="880"/>
      <c r="AI136" s="880" t="s">
        <v>1241</v>
      </c>
      <c r="AJ136" s="884">
        <v>411</v>
      </c>
      <c r="AK136" s="883">
        <f t="shared" si="36"/>
        <v>17.39</v>
      </c>
      <c r="AL136" s="884">
        <v>413</v>
      </c>
      <c r="AM136" s="883">
        <f t="shared" si="37"/>
        <v>0</v>
      </c>
      <c r="AN136" s="884">
        <v>441</v>
      </c>
      <c r="AO136" s="883">
        <f t="shared" si="38"/>
        <v>0</v>
      </c>
      <c r="AP136" s="881"/>
      <c r="AQ136" s="881"/>
      <c r="AR136" s="883">
        <v>0</v>
      </c>
      <c r="AS136" s="883">
        <v>0</v>
      </c>
      <c r="AT136" s="883">
        <v>0</v>
      </c>
      <c r="AU136" s="880"/>
      <c r="AV136" s="886"/>
      <c r="AW136" s="880"/>
      <c r="AX136" s="886"/>
      <c r="AY136" s="880"/>
      <c r="AZ136" s="880"/>
      <c r="BA136" s="881"/>
      <c r="BB136" s="881" t="s">
        <v>57</v>
      </c>
      <c r="BC136" s="881"/>
      <c r="BD136" s="881"/>
      <c r="BE136" s="884">
        <f t="shared" si="39"/>
        <v>4</v>
      </c>
      <c r="BF136" s="887" t="str">
        <f t="shared" si="40"/>
        <v>SI</v>
      </c>
      <c r="BG136" s="883">
        <f t="shared" si="41"/>
        <v>17.39</v>
      </c>
      <c r="BH136" s="883">
        <f t="shared" si="42"/>
        <v>0</v>
      </c>
      <c r="BI136" s="883">
        <f t="shared" si="43"/>
        <v>0</v>
      </c>
      <c r="BJ136" s="883">
        <f t="shared" si="44"/>
        <v>0</v>
      </c>
      <c r="BK136" s="883">
        <f t="shared" si="45"/>
        <v>0</v>
      </c>
      <c r="BL136" s="883">
        <f t="shared" si="46"/>
        <v>2.61</v>
      </c>
      <c r="BM136" s="881"/>
      <c r="BN136" s="880"/>
      <c r="BO136" s="882" t="s">
        <v>1579</v>
      </c>
      <c r="BP136" s="882" t="s">
        <v>2286</v>
      </c>
      <c r="BQ136" s="882" t="s">
        <v>2285</v>
      </c>
      <c r="BR136" s="880"/>
      <c r="BS136" s="880"/>
      <c r="BT136" s="880"/>
      <c r="BU136" s="880"/>
      <c r="BV136" s="880"/>
      <c r="BW136" s="883">
        <v>0</v>
      </c>
      <c r="BX136" s="883">
        <v>0</v>
      </c>
      <c r="BY136" s="883">
        <v>0</v>
      </c>
      <c r="BZ136" s="890"/>
      <c r="CA136" s="883">
        <f t="shared" si="47"/>
        <v>0</v>
      </c>
      <c r="CB136" s="880"/>
      <c r="CC136" s="881"/>
      <c r="CD136" s="883"/>
      <c r="CE136" s="883"/>
      <c r="CF136" s="883"/>
      <c r="CG136" s="883"/>
      <c r="CH136" s="883"/>
      <c r="CI136" s="883"/>
      <c r="CJ136" s="883"/>
      <c r="CK136" s="883"/>
      <c r="CL136" s="883"/>
      <c r="CM136" s="883"/>
      <c r="CN136" s="883"/>
      <c r="CO136" s="883"/>
      <c r="CP136" s="883"/>
      <c r="CQ136" s="883"/>
      <c r="CR136" s="883"/>
      <c r="CS136" s="883"/>
      <c r="CT136" s="883"/>
      <c r="CU136" s="883"/>
    </row>
    <row r="137" spans="1:99" x14ac:dyDescent="0.25">
      <c r="A137" s="880" t="s">
        <v>1787</v>
      </c>
      <c r="B137" s="881" t="s">
        <v>1788</v>
      </c>
      <c r="C137" s="880" t="s">
        <v>2771</v>
      </c>
      <c r="D137" s="880"/>
      <c r="E137" s="884" t="s">
        <v>744</v>
      </c>
      <c r="F137" s="888">
        <v>1</v>
      </c>
      <c r="G137" s="881" t="s">
        <v>1007</v>
      </c>
      <c r="H137" s="881" t="s">
        <v>19</v>
      </c>
      <c r="I137" s="865">
        <v>46142</v>
      </c>
      <c r="J137" s="882" t="s">
        <v>8</v>
      </c>
      <c r="K137" s="880"/>
      <c r="L137" s="880"/>
      <c r="M137" s="883">
        <v>0</v>
      </c>
      <c r="N137" s="883">
        <v>0</v>
      </c>
      <c r="O137" s="883">
        <v>0</v>
      </c>
      <c r="P137" s="883">
        <v>22.32</v>
      </c>
      <c r="Q137" s="883">
        <v>15</v>
      </c>
      <c r="R137" s="883">
        <f t="shared" si="32"/>
        <v>3.35</v>
      </c>
      <c r="S137" s="883">
        <v>0</v>
      </c>
      <c r="T137" s="883">
        <v>5</v>
      </c>
      <c r="U137" s="883">
        <f t="shared" si="33"/>
        <v>0</v>
      </c>
      <c r="V137" s="883">
        <v>0</v>
      </c>
      <c r="W137" s="883">
        <v>8</v>
      </c>
      <c r="X137" s="883">
        <f t="shared" si="34"/>
        <v>0</v>
      </c>
      <c r="Y137" s="883">
        <v>0</v>
      </c>
      <c r="Z137" s="883">
        <v>0</v>
      </c>
      <c r="AA137" s="883">
        <v>0</v>
      </c>
      <c r="AB137" s="883">
        <f t="shared" si="35"/>
        <v>25.67</v>
      </c>
      <c r="AC137" s="883">
        <v>0</v>
      </c>
      <c r="AD137" s="881"/>
      <c r="AE137" s="880"/>
      <c r="AF137" s="883"/>
      <c r="AG137" s="889"/>
      <c r="AH137" s="880"/>
      <c r="AI137" s="880" t="s">
        <v>1241</v>
      </c>
      <c r="AJ137" s="884">
        <v>411</v>
      </c>
      <c r="AK137" s="883">
        <f t="shared" si="36"/>
        <v>22.32</v>
      </c>
      <c r="AL137" s="884">
        <v>413</v>
      </c>
      <c r="AM137" s="883">
        <f t="shared" si="37"/>
        <v>0</v>
      </c>
      <c r="AN137" s="884">
        <v>441</v>
      </c>
      <c r="AO137" s="883">
        <f t="shared" si="38"/>
        <v>0</v>
      </c>
      <c r="AP137" s="881"/>
      <c r="AQ137" s="881"/>
      <c r="AR137" s="883">
        <v>0</v>
      </c>
      <c r="AS137" s="883">
        <v>0</v>
      </c>
      <c r="AT137" s="883">
        <v>0</v>
      </c>
      <c r="AU137" s="880"/>
      <c r="AV137" s="886"/>
      <c r="AW137" s="880"/>
      <c r="AX137" s="886"/>
      <c r="AY137" s="880"/>
      <c r="AZ137" s="880"/>
      <c r="BA137" s="881"/>
      <c r="BB137" s="881" t="s">
        <v>57</v>
      </c>
      <c r="BC137" s="881"/>
      <c r="BD137" s="881"/>
      <c r="BE137" s="884">
        <f t="shared" si="39"/>
        <v>4</v>
      </c>
      <c r="BF137" s="887" t="str">
        <f t="shared" si="40"/>
        <v>SI</v>
      </c>
      <c r="BG137" s="883">
        <f t="shared" si="41"/>
        <v>22.32</v>
      </c>
      <c r="BH137" s="883">
        <f t="shared" si="42"/>
        <v>0</v>
      </c>
      <c r="BI137" s="883">
        <f t="shared" si="43"/>
        <v>0</v>
      </c>
      <c r="BJ137" s="883">
        <f t="shared" si="44"/>
        <v>0</v>
      </c>
      <c r="BK137" s="883">
        <f t="shared" si="45"/>
        <v>0</v>
      </c>
      <c r="BL137" s="883">
        <f t="shared" si="46"/>
        <v>3.35</v>
      </c>
      <c r="BM137" s="881"/>
      <c r="BN137" s="880"/>
      <c r="BO137" s="882" t="s">
        <v>1579</v>
      </c>
      <c r="BP137" s="882" t="s">
        <v>2286</v>
      </c>
      <c r="BQ137" s="882" t="s">
        <v>2285</v>
      </c>
      <c r="BR137" s="880"/>
      <c r="BS137" s="880"/>
      <c r="BT137" s="880"/>
      <c r="BU137" s="880"/>
      <c r="BV137" s="880"/>
      <c r="BW137" s="883">
        <v>0</v>
      </c>
      <c r="BX137" s="883">
        <v>0</v>
      </c>
      <c r="BY137" s="883">
        <v>0</v>
      </c>
      <c r="BZ137" s="890"/>
      <c r="CA137" s="883">
        <f t="shared" si="47"/>
        <v>0</v>
      </c>
      <c r="CB137" s="880"/>
      <c r="CC137" s="881"/>
      <c r="CD137" s="883"/>
      <c r="CE137" s="883"/>
      <c r="CF137" s="883"/>
      <c r="CG137" s="883"/>
      <c r="CH137" s="883"/>
      <c r="CI137" s="883"/>
      <c r="CJ137" s="883"/>
      <c r="CK137" s="883"/>
      <c r="CL137" s="883"/>
      <c r="CM137" s="883"/>
      <c r="CN137" s="883"/>
      <c r="CO137" s="883"/>
      <c r="CP137" s="883"/>
      <c r="CQ137" s="883"/>
      <c r="CR137" s="883"/>
      <c r="CS137" s="883"/>
      <c r="CT137" s="883"/>
      <c r="CU137" s="883"/>
    </row>
    <row r="138" spans="1:99" x14ac:dyDescent="0.25">
      <c r="A138" s="880" t="s">
        <v>1787</v>
      </c>
      <c r="B138" s="881" t="s">
        <v>1788</v>
      </c>
      <c r="C138" s="880" t="s">
        <v>2772</v>
      </c>
      <c r="D138" s="880"/>
      <c r="E138" s="884" t="s">
        <v>744</v>
      </c>
      <c r="F138" s="888">
        <v>1</v>
      </c>
      <c r="G138" s="881" t="s">
        <v>1007</v>
      </c>
      <c r="H138" s="881" t="s">
        <v>19</v>
      </c>
      <c r="I138" s="865">
        <v>46142</v>
      </c>
      <c r="J138" s="882" t="s">
        <v>8</v>
      </c>
      <c r="K138" s="880"/>
      <c r="L138" s="880"/>
      <c r="M138" s="883">
        <v>0</v>
      </c>
      <c r="N138" s="883">
        <v>0</v>
      </c>
      <c r="O138" s="883">
        <v>0</v>
      </c>
      <c r="P138" s="883">
        <v>21.73</v>
      </c>
      <c r="Q138" s="883">
        <v>15</v>
      </c>
      <c r="R138" s="883">
        <f t="shared" si="32"/>
        <v>3.26</v>
      </c>
      <c r="S138" s="883">
        <v>0</v>
      </c>
      <c r="T138" s="883">
        <v>5</v>
      </c>
      <c r="U138" s="883">
        <f t="shared" si="33"/>
        <v>0</v>
      </c>
      <c r="V138" s="883">
        <v>0</v>
      </c>
      <c r="W138" s="883">
        <v>8</v>
      </c>
      <c r="X138" s="883">
        <f t="shared" si="34"/>
        <v>0</v>
      </c>
      <c r="Y138" s="883">
        <v>0</v>
      </c>
      <c r="Z138" s="883">
        <v>0</v>
      </c>
      <c r="AA138" s="883">
        <v>0</v>
      </c>
      <c r="AB138" s="883">
        <f t="shared" si="35"/>
        <v>24.99</v>
      </c>
      <c r="AC138" s="883">
        <v>0</v>
      </c>
      <c r="AD138" s="881"/>
      <c r="AE138" s="880"/>
      <c r="AF138" s="883"/>
      <c r="AG138" s="889"/>
      <c r="AH138" s="880"/>
      <c r="AI138" s="880" t="s">
        <v>1241</v>
      </c>
      <c r="AJ138" s="884">
        <v>411</v>
      </c>
      <c r="AK138" s="883">
        <f t="shared" si="36"/>
        <v>21.73</v>
      </c>
      <c r="AL138" s="884">
        <v>413</v>
      </c>
      <c r="AM138" s="883">
        <f t="shared" si="37"/>
        <v>0</v>
      </c>
      <c r="AN138" s="884">
        <v>441</v>
      </c>
      <c r="AO138" s="883">
        <f t="shared" si="38"/>
        <v>0</v>
      </c>
      <c r="AP138" s="881"/>
      <c r="AQ138" s="881"/>
      <c r="AR138" s="883">
        <v>0</v>
      </c>
      <c r="AS138" s="883">
        <v>0</v>
      </c>
      <c r="AT138" s="883">
        <v>0</v>
      </c>
      <c r="AU138" s="880"/>
      <c r="AV138" s="886"/>
      <c r="AW138" s="880"/>
      <c r="AX138" s="886"/>
      <c r="AY138" s="880"/>
      <c r="AZ138" s="880"/>
      <c r="BA138" s="881"/>
      <c r="BB138" s="881" t="s">
        <v>57</v>
      </c>
      <c r="BC138" s="881"/>
      <c r="BD138" s="881"/>
      <c r="BE138" s="884">
        <f t="shared" si="39"/>
        <v>4</v>
      </c>
      <c r="BF138" s="887" t="str">
        <f t="shared" si="40"/>
        <v>SI</v>
      </c>
      <c r="BG138" s="883">
        <f t="shared" si="41"/>
        <v>21.73</v>
      </c>
      <c r="BH138" s="883">
        <f t="shared" si="42"/>
        <v>0</v>
      </c>
      <c r="BI138" s="883">
        <f t="shared" si="43"/>
        <v>0</v>
      </c>
      <c r="BJ138" s="883">
        <f t="shared" si="44"/>
        <v>0</v>
      </c>
      <c r="BK138" s="883">
        <f t="shared" si="45"/>
        <v>0</v>
      </c>
      <c r="BL138" s="883">
        <f t="shared" si="46"/>
        <v>3.26</v>
      </c>
      <c r="BM138" s="881"/>
      <c r="BN138" s="880"/>
      <c r="BO138" s="882" t="s">
        <v>1579</v>
      </c>
      <c r="BP138" s="882" t="s">
        <v>2286</v>
      </c>
      <c r="BQ138" s="882" t="s">
        <v>2285</v>
      </c>
      <c r="BR138" s="880"/>
      <c r="BS138" s="880"/>
      <c r="BT138" s="880"/>
      <c r="BU138" s="880"/>
      <c r="BV138" s="880"/>
      <c r="BW138" s="883">
        <v>0</v>
      </c>
      <c r="BX138" s="883">
        <v>0</v>
      </c>
      <c r="BY138" s="883">
        <v>0</v>
      </c>
      <c r="BZ138" s="890"/>
      <c r="CA138" s="883">
        <f t="shared" si="47"/>
        <v>0</v>
      </c>
      <c r="CB138" s="880"/>
      <c r="CC138" s="881"/>
      <c r="CD138" s="883"/>
      <c r="CE138" s="883"/>
      <c r="CF138" s="883"/>
      <c r="CG138" s="883"/>
      <c r="CH138" s="883"/>
      <c r="CI138" s="883"/>
      <c r="CJ138" s="883"/>
      <c r="CK138" s="883"/>
      <c r="CL138" s="883"/>
      <c r="CM138" s="883"/>
      <c r="CN138" s="883"/>
      <c r="CO138" s="883"/>
      <c r="CP138" s="883"/>
      <c r="CQ138" s="883"/>
      <c r="CR138" s="883"/>
      <c r="CS138" s="883"/>
      <c r="CT138" s="883"/>
      <c r="CU138" s="883"/>
    </row>
    <row r="139" spans="1:99" x14ac:dyDescent="0.25">
      <c r="A139" s="880" t="s">
        <v>1787</v>
      </c>
      <c r="B139" s="881" t="s">
        <v>1788</v>
      </c>
      <c r="C139" s="880" t="s">
        <v>2773</v>
      </c>
      <c r="D139" s="880"/>
      <c r="E139" s="884" t="s">
        <v>744</v>
      </c>
      <c r="F139" s="888">
        <v>1</v>
      </c>
      <c r="G139" s="881" t="s">
        <v>1007</v>
      </c>
      <c r="H139" s="881" t="s">
        <v>19</v>
      </c>
      <c r="I139" s="865">
        <v>46142</v>
      </c>
      <c r="J139" s="882" t="s">
        <v>8</v>
      </c>
      <c r="K139" s="880"/>
      <c r="L139" s="880"/>
      <c r="M139" s="883">
        <v>0</v>
      </c>
      <c r="N139" s="883">
        <v>0</v>
      </c>
      <c r="O139" s="883">
        <v>0</v>
      </c>
      <c r="P139" s="883">
        <v>21.73</v>
      </c>
      <c r="Q139" s="883">
        <v>15</v>
      </c>
      <c r="R139" s="883">
        <f t="shared" ref="R139:R202" si="48">ROUND(P139*Q139%,2)</f>
        <v>3.26</v>
      </c>
      <c r="S139" s="883">
        <v>0</v>
      </c>
      <c r="T139" s="883">
        <v>5</v>
      </c>
      <c r="U139" s="883">
        <f t="shared" ref="U139:U202" si="49">ROUND(S139*T139%,2)</f>
        <v>0</v>
      </c>
      <c r="V139" s="883">
        <v>0</v>
      </c>
      <c r="W139" s="883">
        <v>8</v>
      </c>
      <c r="X139" s="883">
        <f t="shared" ref="X139:X202" si="50">ROUND(V139*W139%,2)</f>
        <v>0</v>
      </c>
      <c r="Y139" s="883">
        <v>0</v>
      </c>
      <c r="Z139" s="883">
        <v>0</v>
      </c>
      <c r="AA139" s="883">
        <v>0</v>
      </c>
      <c r="AB139" s="883">
        <f t="shared" ref="AB139:AB202" si="51">ROUND(SUM(M139:P139)+SUM(R139:S139)+SUM(U139:V139)+SUM(X139:AA139),2)</f>
        <v>24.99</v>
      </c>
      <c r="AC139" s="883">
        <v>0</v>
      </c>
      <c r="AD139" s="881"/>
      <c r="AE139" s="880"/>
      <c r="AF139" s="883"/>
      <c r="AG139" s="889"/>
      <c r="AH139" s="880"/>
      <c r="AI139" s="880" t="s">
        <v>1241</v>
      </c>
      <c r="AJ139" s="884">
        <v>411</v>
      </c>
      <c r="AK139" s="883">
        <f t="shared" ref="AK139:AK202" si="52">IF(OR(AJ139=441,AJ139=444,AJ139=417,AJ139=418),IF(AJ139=441,SUM($M139:$N139)+SUM($Y139:$AA139),SUM($M139:$P139)+$S139+$V139),IF(AND(AJ139&gt;412,AJ139&lt;417),$O139,IF(OR(AJ139=411,AJ139=412),$P139,IF(AJ139=420,$V139,IF(AJ139=435,$S139,0)))))</f>
        <v>21.73</v>
      </c>
      <c r="AL139" s="884">
        <v>413</v>
      </c>
      <c r="AM139" s="883">
        <f t="shared" ref="AM139:AM202" si="53">IF(OR(AL139=441,AL139=444,AL139=417,AL139=418),IF(AL139=441,SUM($M139:$N139)+SUM($Y139:$AA139),SUM($M139:$P139)+$S139+$V139),IF(AND(AL139&gt;412,AL139&lt;417),$O139,IF(OR(AL139=411,AL139=412),$P139,IF(AL139=420,$V139,IF(AL139=435,$S139,0)))))</f>
        <v>0</v>
      </c>
      <c r="AN139" s="884">
        <v>441</v>
      </c>
      <c r="AO139" s="883">
        <f t="shared" ref="AO139:AO202" si="54">IF(OR(AN139=441,AN139=444,AN139=417,AN139=418),IF(AN139=441,SUM($M139:$N139)+SUM($Y139:$AA139),SUM($M139:$P139)+$S139+$V139),IF(AND(AN139&gt;412,AN139&lt;417),$O139,IF(OR(AN139=411,AN139=412),$P139,IF(AN139=420,$V139,IF(AN139=435,$S139,0)))))</f>
        <v>0</v>
      </c>
      <c r="AP139" s="881"/>
      <c r="AQ139" s="881"/>
      <c r="AR139" s="883">
        <v>0</v>
      </c>
      <c r="AS139" s="883">
        <v>0</v>
      </c>
      <c r="AT139" s="883">
        <v>0</v>
      </c>
      <c r="AU139" s="880"/>
      <c r="AV139" s="886"/>
      <c r="AW139" s="880"/>
      <c r="AX139" s="886"/>
      <c r="AY139" s="880"/>
      <c r="AZ139" s="880"/>
      <c r="BA139" s="881"/>
      <c r="BB139" s="881" t="s">
        <v>57</v>
      </c>
      <c r="BC139" s="881"/>
      <c r="BD139" s="881"/>
      <c r="BE139" s="884">
        <f t="shared" ref="BE139:BE202" si="55">IF(ISNUMBER(I139),MONTH(I139),0)</f>
        <v>4</v>
      </c>
      <c r="BF139" s="887" t="str">
        <f t="shared" ref="BF139:BF202" si="56">IF(ISNUMBER(I139),IF(ISERROR(HLOOKUP(MONTH(I139),meses_104,1,0)),"NO","SI"),"NO")</f>
        <v>SI</v>
      </c>
      <c r="BG139" s="883">
        <f t="shared" ref="BG139:BG202" si="57">IF(ISBLANK(H139),0,IF(OR((VALUE(LEFT(H139,2))=4),((LEFT(H139,3))="372")),0,AK139))</f>
        <v>21.73</v>
      </c>
      <c r="BH139" s="883">
        <f t="shared" ref="BH139:BH202" si="58">IF(ISBLANK(H139),0,IF(OR((VALUE(LEFT(H139,2))=4),((LEFT(H139,3))="372")),0,AM139))</f>
        <v>0</v>
      </c>
      <c r="BI139" s="883">
        <f t="shared" ref="BI139:BI202" si="59">IF(ISBLANK(H139),0,IF(OR((VALUE(LEFT(H139,2))=4),((LEFT(H139,3))="372")),0,AO139))</f>
        <v>0</v>
      </c>
      <c r="BJ139" s="883">
        <f t="shared" ref="BJ139:BJ202" si="60">SUM(M139:O139)+SUM(Y139:AA139)</f>
        <v>0</v>
      </c>
      <c r="BK139" s="883">
        <f t="shared" ref="BK139:BK202" si="61">ROUND((IF(AJ139=444,(R139+U139+X139),0)+IF(AL139=444,(R139+U139+X139),0)+IF(AN139=444,(R139+U139+X139),0)),2)</f>
        <v>0</v>
      </c>
      <c r="BL139" s="883">
        <f t="shared" ref="BL139:BL202" si="62">R139+U139+X139-BK139</f>
        <v>3.26</v>
      </c>
      <c r="BM139" s="881"/>
      <c r="BN139" s="880"/>
      <c r="BO139" s="882" t="s">
        <v>1579</v>
      </c>
      <c r="BP139" s="882" t="s">
        <v>2286</v>
      </c>
      <c r="BQ139" s="882" t="s">
        <v>2285</v>
      </c>
      <c r="BR139" s="880"/>
      <c r="BS139" s="880"/>
      <c r="BT139" s="880"/>
      <c r="BU139" s="880"/>
      <c r="BV139" s="880"/>
      <c r="BW139" s="883">
        <v>0</v>
      </c>
      <c r="BX139" s="883">
        <v>0</v>
      </c>
      <c r="BY139" s="883">
        <v>0</v>
      </c>
      <c r="BZ139" s="890"/>
      <c r="CA139" s="883">
        <f t="shared" ref="CA139:CA202" si="63">ROUND((IF(OR(AJ139=413,AJ139=414),AK139,0)+IF(OR(AL139=413,AL139=414),AM139,0)+IF(OR(AN139=413,AN139=414),AO139,0)),2)</f>
        <v>0</v>
      </c>
      <c r="CB139" s="880"/>
      <c r="CC139" s="881"/>
      <c r="CD139" s="883"/>
      <c r="CE139" s="883"/>
      <c r="CF139" s="883"/>
      <c r="CG139" s="883"/>
      <c r="CH139" s="883"/>
      <c r="CI139" s="883"/>
      <c r="CJ139" s="883"/>
      <c r="CK139" s="883"/>
      <c r="CL139" s="883"/>
      <c r="CM139" s="883"/>
      <c r="CN139" s="883"/>
      <c r="CO139" s="883"/>
      <c r="CP139" s="883"/>
      <c r="CQ139" s="883"/>
      <c r="CR139" s="883"/>
      <c r="CS139" s="883"/>
      <c r="CT139" s="883"/>
      <c r="CU139" s="883"/>
    </row>
    <row r="140" spans="1:99" x14ac:dyDescent="0.25">
      <c r="A140" s="880" t="s">
        <v>1787</v>
      </c>
      <c r="B140" s="881" t="s">
        <v>1788</v>
      </c>
      <c r="C140" s="880" t="s">
        <v>2774</v>
      </c>
      <c r="D140" s="880"/>
      <c r="E140" s="884" t="s">
        <v>744</v>
      </c>
      <c r="F140" s="888">
        <v>1</v>
      </c>
      <c r="G140" s="881" t="s">
        <v>1007</v>
      </c>
      <c r="H140" s="881" t="s">
        <v>19</v>
      </c>
      <c r="I140" s="865">
        <v>46142</v>
      </c>
      <c r="J140" s="882" t="s">
        <v>8</v>
      </c>
      <c r="K140" s="880"/>
      <c r="L140" s="880"/>
      <c r="M140" s="883">
        <v>0</v>
      </c>
      <c r="N140" s="883">
        <v>0</v>
      </c>
      <c r="O140" s="883">
        <v>0</v>
      </c>
      <c r="P140" s="883">
        <v>21.74</v>
      </c>
      <c r="Q140" s="883">
        <v>15</v>
      </c>
      <c r="R140" s="883">
        <f t="shared" si="48"/>
        <v>3.26</v>
      </c>
      <c r="S140" s="883">
        <v>0</v>
      </c>
      <c r="T140" s="883">
        <v>5</v>
      </c>
      <c r="U140" s="883">
        <f t="shared" si="49"/>
        <v>0</v>
      </c>
      <c r="V140" s="883">
        <v>0</v>
      </c>
      <c r="W140" s="883">
        <v>8</v>
      </c>
      <c r="X140" s="883">
        <f t="shared" si="50"/>
        <v>0</v>
      </c>
      <c r="Y140" s="883">
        <v>0</v>
      </c>
      <c r="Z140" s="883">
        <v>0</v>
      </c>
      <c r="AA140" s="883">
        <v>0</v>
      </c>
      <c r="AB140" s="883">
        <f t="shared" si="51"/>
        <v>25</v>
      </c>
      <c r="AC140" s="883">
        <v>0</v>
      </c>
      <c r="AD140" s="881"/>
      <c r="AE140" s="880"/>
      <c r="AF140" s="883"/>
      <c r="AG140" s="889"/>
      <c r="AH140" s="880"/>
      <c r="AI140" s="880" t="s">
        <v>1241</v>
      </c>
      <c r="AJ140" s="884">
        <v>411</v>
      </c>
      <c r="AK140" s="883">
        <f t="shared" si="52"/>
        <v>21.74</v>
      </c>
      <c r="AL140" s="884">
        <v>413</v>
      </c>
      <c r="AM140" s="883">
        <f t="shared" si="53"/>
        <v>0</v>
      </c>
      <c r="AN140" s="884">
        <v>441</v>
      </c>
      <c r="AO140" s="883">
        <f t="shared" si="54"/>
        <v>0</v>
      </c>
      <c r="AP140" s="881"/>
      <c r="AQ140" s="881"/>
      <c r="AR140" s="883">
        <v>0</v>
      </c>
      <c r="AS140" s="883">
        <v>0</v>
      </c>
      <c r="AT140" s="883">
        <v>0</v>
      </c>
      <c r="AU140" s="880"/>
      <c r="AV140" s="886"/>
      <c r="AW140" s="880"/>
      <c r="AX140" s="886"/>
      <c r="AY140" s="880"/>
      <c r="AZ140" s="880"/>
      <c r="BA140" s="881"/>
      <c r="BB140" s="881" t="s">
        <v>57</v>
      </c>
      <c r="BC140" s="881"/>
      <c r="BD140" s="881"/>
      <c r="BE140" s="884">
        <f t="shared" si="55"/>
        <v>4</v>
      </c>
      <c r="BF140" s="887" t="str">
        <f t="shared" si="56"/>
        <v>SI</v>
      </c>
      <c r="BG140" s="883">
        <f t="shared" si="57"/>
        <v>21.74</v>
      </c>
      <c r="BH140" s="883">
        <f t="shared" si="58"/>
        <v>0</v>
      </c>
      <c r="BI140" s="883">
        <f t="shared" si="59"/>
        <v>0</v>
      </c>
      <c r="BJ140" s="883">
        <f t="shared" si="60"/>
        <v>0</v>
      </c>
      <c r="BK140" s="883">
        <f t="shared" si="61"/>
        <v>0</v>
      </c>
      <c r="BL140" s="883">
        <f t="shared" si="62"/>
        <v>3.26</v>
      </c>
      <c r="BM140" s="881"/>
      <c r="BN140" s="880"/>
      <c r="BO140" s="882" t="s">
        <v>1579</v>
      </c>
      <c r="BP140" s="882" t="s">
        <v>2286</v>
      </c>
      <c r="BQ140" s="882" t="s">
        <v>2285</v>
      </c>
      <c r="BR140" s="880"/>
      <c r="BS140" s="880"/>
      <c r="BT140" s="880"/>
      <c r="BU140" s="880"/>
      <c r="BV140" s="880"/>
      <c r="BW140" s="883">
        <v>0</v>
      </c>
      <c r="BX140" s="883">
        <v>0</v>
      </c>
      <c r="BY140" s="883">
        <v>0</v>
      </c>
      <c r="BZ140" s="890"/>
      <c r="CA140" s="883">
        <f t="shared" si="63"/>
        <v>0</v>
      </c>
      <c r="CB140" s="880"/>
      <c r="CC140" s="881"/>
      <c r="CD140" s="883"/>
      <c r="CE140" s="883"/>
      <c r="CF140" s="883"/>
      <c r="CG140" s="883"/>
      <c r="CH140" s="883"/>
      <c r="CI140" s="883"/>
      <c r="CJ140" s="883"/>
      <c r="CK140" s="883"/>
      <c r="CL140" s="883"/>
      <c r="CM140" s="883"/>
      <c r="CN140" s="883"/>
      <c r="CO140" s="883"/>
      <c r="CP140" s="883"/>
      <c r="CQ140" s="883"/>
      <c r="CR140" s="883"/>
      <c r="CS140" s="883"/>
      <c r="CT140" s="883"/>
      <c r="CU140" s="883"/>
    </row>
    <row r="141" spans="1:99" x14ac:dyDescent="0.25">
      <c r="A141" s="880" t="s">
        <v>1787</v>
      </c>
      <c r="B141" s="881" t="s">
        <v>1788</v>
      </c>
      <c r="C141" s="880" t="s">
        <v>2775</v>
      </c>
      <c r="D141" s="880"/>
      <c r="E141" s="884" t="s">
        <v>744</v>
      </c>
      <c r="F141" s="888">
        <v>1</v>
      </c>
      <c r="G141" s="881" t="s">
        <v>1007</v>
      </c>
      <c r="H141" s="881" t="s">
        <v>19</v>
      </c>
      <c r="I141" s="865">
        <v>46142</v>
      </c>
      <c r="J141" s="882" t="s">
        <v>8</v>
      </c>
      <c r="K141" s="880"/>
      <c r="L141" s="880"/>
      <c r="M141" s="883">
        <v>0</v>
      </c>
      <c r="N141" s="883">
        <v>0</v>
      </c>
      <c r="O141" s="883">
        <v>0</v>
      </c>
      <c r="P141" s="883">
        <v>31.25</v>
      </c>
      <c r="Q141" s="883">
        <v>15</v>
      </c>
      <c r="R141" s="883">
        <f t="shared" si="48"/>
        <v>4.6900000000000004</v>
      </c>
      <c r="S141" s="883">
        <v>0</v>
      </c>
      <c r="T141" s="883">
        <v>5</v>
      </c>
      <c r="U141" s="883">
        <f t="shared" si="49"/>
        <v>0</v>
      </c>
      <c r="V141" s="883">
        <v>0</v>
      </c>
      <c r="W141" s="883">
        <v>8</v>
      </c>
      <c r="X141" s="883">
        <f t="shared" si="50"/>
        <v>0</v>
      </c>
      <c r="Y141" s="883">
        <v>0</v>
      </c>
      <c r="Z141" s="883">
        <v>0</v>
      </c>
      <c r="AA141" s="883">
        <v>0</v>
      </c>
      <c r="AB141" s="883">
        <f t="shared" si="51"/>
        <v>35.94</v>
      </c>
      <c r="AC141" s="883">
        <v>0</v>
      </c>
      <c r="AD141" s="881"/>
      <c r="AE141" s="880"/>
      <c r="AF141" s="883"/>
      <c r="AG141" s="889"/>
      <c r="AH141" s="880"/>
      <c r="AI141" s="880" t="s">
        <v>1241</v>
      </c>
      <c r="AJ141" s="884">
        <v>411</v>
      </c>
      <c r="AK141" s="883">
        <f t="shared" si="52"/>
        <v>31.25</v>
      </c>
      <c r="AL141" s="884">
        <v>413</v>
      </c>
      <c r="AM141" s="883">
        <f t="shared" si="53"/>
        <v>0</v>
      </c>
      <c r="AN141" s="884">
        <v>441</v>
      </c>
      <c r="AO141" s="883">
        <f t="shared" si="54"/>
        <v>0</v>
      </c>
      <c r="AP141" s="881"/>
      <c r="AQ141" s="881"/>
      <c r="AR141" s="883">
        <v>0</v>
      </c>
      <c r="AS141" s="883">
        <v>0</v>
      </c>
      <c r="AT141" s="883">
        <v>0</v>
      </c>
      <c r="AU141" s="880"/>
      <c r="AV141" s="886"/>
      <c r="AW141" s="880"/>
      <c r="AX141" s="886"/>
      <c r="AY141" s="880"/>
      <c r="AZ141" s="880"/>
      <c r="BA141" s="881"/>
      <c r="BB141" s="881" t="s">
        <v>57</v>
      </c>
      <c r="BC141" s="881"/>
      <c r="BD141" s="881"/>
      <c r="BE141" s="884">
        <f t="shared" si="55"/>
        <v>4</v>
      </c>
      <c r="BF141" s="887" t="str">
        <f t="shared" si="56"/>
        <v>SI</v>
      </c>
      <c r="BG141" s="883">
        <f t="shared" si="57"/>
        <v>31.25</v>
      </c>
      <c r="BH141" s="883">
        <f t="shared" si="58"/>
        <v>0</v>
      </c>
      <c r="BI141" s="883">
        <f t="shared" si="59"/>
        <v>0</v>
      </c>
      <c r="BJ141" s="883">
        <f t="shared" si="60"/>
        <v>0</v>
      </c>
      <c r="BK141" s="883">
        <f t="shared" si="61"/>
        <v>0</v>
      </c>
      <c r="BL141" s="883">
        <f t="shared" si="62"/>
        <v>4.6900000000000004</v>
      </c>
      <c r="BM141" s="881"/>
      <c r="BN141" s="880"/>
      <c r="BO141" s="882" t="s">
        <v>1579</v>
      </c>
      <c r="BP141" s="882" t="s">
        <v>2286</v>
      </c>
      <c r="BQ141" s="882" t="s">
        <v>2285</v>
      </c>
      <c r="BR141" s="880"/>
      <c r="BS141" s="880"/>
      <c r="BT141" s="880"/>
      <c r="BU141" s="880"/>
      <c r="BV141" s="880"/>
      <c r="BW141" s="883">
        <v>0</v>
      </c>
      <c r="BX141" s="883">
        <v>0</v>
      </c>
      <c r="BY141" s="883">
        <v>0</v>
      </c>
      <c r="BZ141" s="890"/>
      <c r="CA141" s="883">
        <f t="shared" si="63"/>
        <v>0</v>
      </c>
      <c r="CB141" s="880"/>
      <c r="CC141" s="881"/>
      <c r="CD141" s="883"/>
      <c r="CE141" s="883"/>
      <c r="CF141" s="883"/>
      <c r="CG141" s="883"/>
      <c r="CH141" s="883"/>
      <c r="CI141" s="883"/>
      <c r="CJ141" s="883"/>
      <c r="CK141" s="883"/>
      <c r="CL141" s="883"/>
      <c r="CM141" s="883"/>
      <c r="CN141" s="883"/>
      <c r="CO141" s="883"/>
      <c r="CP141" s="883"/>
      <c r="CQ141" s="883"/>
      <c r="CR141" s="883"/>
      <c r="CS141" s="883"/>
      <c r="CT141" s="883"/>
      <c r="CU141" s="883"/>
    </row>
    <row r="142" spans="1:99" x14ac:dyDescent="0.25">
      <c r="A142" s="880" t="s">
        <v>1787</v>
      </c>
      <c r="B142" s="881" t="s">
        <v>1788</v>
      </c>
      <c r="C142" s="880" t="s">
        <v>2776</v>
      </c>
      <c r="D142" s="880"/>
      <c r="E142" s="884" t="s">
        <v>744</v>
      </c>
      <c r="F142" s="888">
        <v>1</v>
      </c>
      <c r="G142" s="881" t="s">
        <v>1007</v>
      </c>
      <c r="H142" s="881" t="s">
        <v>19</v>
      </c>
      <c r="I142" s="865">
        <v>46142</v>
      </c>
      <c r="J142" s="882" t="s">
        <v>8</v>
      </c>
      <c r="K142" s="880"/>
      <c r="L142" s="880"/>
      <c r="M142" s="883">
        <v>0</v>
      </c>
      <c r="N142" s="883">
        <v>0</v>
      </c>
      <c r="O142" s="883">
        <v>0</v>
      </c>
      <c r="P142" s="883">
        <v>22.32</v>
      </c>
      <c r="Q142" s="883">
        <v>15</v>
      </c>
      <c r="R142" s="883">
        <f t="shared" si="48"/>
        <v>3.35</v>
      </c>
      <c r="S142" s="883">
        <v>0</v>
      </c>
      <c r="T142" s="883">
        <v>5</v>
      </c>
      <c r="U142" s="883">
        <f t="shared" si="49"/>
        <v>0</v>
      </c>
      <c r="V142" s="883">
        <v>0</v>
      </c>
      <c r="W142" s="883">
        <v>8</v>
      </c>
      <c r="X142" s="883">
        <f t="shared" si="50"/>
        <v>0</v>
      </c>
      <c r="Y142" s="883">
        <v>0</v>
      </c>
      <c r="Z142" s="883">
        <v>0</v>
      </c>
      <c r="AA142" s="883">
        <v>0</v>
      </c>
      <c r="AB142" s="883">
        <f t="shared" si="51"/>
        <v>25.67</v>
      </c>
      <c r="AC142" s="883">
        <v>0</v>
      </c>
      <c r="AD142" s="881"/>
      <c r="AE142" s="880"/>
      <c r="AF142" s="883"/>
      <c r="AG142" s="889"/>
      <c r="AH142" s="880"/>
      <c r="AI142" s="880" t="s">
        <v>1241</v>
      </c>
      <c r="AJ142" s="884">
        <v>411</v>
      </c>
      <c r="AK142" s="883">
        <f t="shared" si="52"/>
        <v>22.32</v>
      </c>
      <c r="AL142" s="884">
        <v>413</v>
      </c>
      <c r="AM142" s="883">
        <f t="shared" si="53"/>
        <v>0</v>
      </c>
      <c r="AN142" s="884">
        <v>441</v>
      </c>
      <c r="AO142" s="883">
        <f t="shared" si="54"/>
        <v>0</v>
      </c>
      <c r="AP142" s="881"/>
      <c r="AQ142" s="881"/>
      <c r="AR142" s="883">
        <v>0</v>
      </c>
      <c r="AS142" s="883">
        <v>0</v>
      </c>
      <c r="AT142" s="883">
        <v>0</v>
      </c>
      <c r="AU142" s="880"/>
      <c r="AV142" s="886"/>
      <c r="AW142" s="880"/>
      <c r="AX142" s="886"/>
      <c r="AY142" s="880"/>
      <c r="AZ142" s="880"/>
      <c r="BA142" s="881"/>
      <c r="BB142" s="881" t="s">
        <v>57</v>
      </c>
      <c r="BC142" s="881"/>
      <c r="BD142" s="881"/>
      <c r="BE142" s="884">
        <f t="shared" si="55"/>
        <v>4</v>
      </c>
      <c r="BF142" s="887" t="str">
        <f t="shared" si="56"/>
        <v>SI</v>
      </c>
      <c r="BG142" s="883">
        <f t="shared" si="57"/>
        <v>22.32</v>
      </c>
      <c r="BH142" s="883">
        <f t="shared" si="58"/>
        <v>0</v>
      </c>
      <c r="BI142" s="883">
        <f t="shared" si="59"/>
        <v>0</v>
      </c>
      <c r="BJ142" s="883">
        <f t="shared" si="60"/>
        <v>0</v>
      </c>
      <c r="BK142" s="883">
        <f t="shared" si="61"/>
        <v>0</v>
      </c>
      <c r="BL142" s="883">
        <f t="shared" si="62"/>
        <v>3.35</v>
      </c>
      <c r="BM142" s="881"/>
      <c r="BN142" s="880"/>
      <c r="BO142" s="882" t="s">
        <v>1579</v>
      </c>
      <c r="BP142" s="882" t="s">
        <v>2286</v>
      </c>
      <c r="BQ142" s="882" t="s">
        <v>2285</v>
      </c>
      <c r="BR142" s="880"/>
      <c r="BS142" s="880"/>
      <c r="BT142" s="880"/>
      <c r="BU142" s="880"/>
      <c r="BV142" s="880"/>
      <c r="BW142" s="883">
        <v>0</v>
      </c>
      <c r="BX142" s="883">
        <v>0</v>
      </c>
      <c r="BY142" s="883">
        <v>0</v>
      </c>
      <c r="BZ142" s="890"/>
      <c r="CA142" s="883">
        <f t="shared" si="63"/>
        <v>0</v>
      </c>
      <c r="CB142" s="880"/>
      <c r="CC142" s="881"/>
      <c r="CD142" s="883"/>
      <c r="CE142" s="883"/>
      <c r="CF142" s="883"/>
      <c r="CG142" s="883"/>
      <c r="CH142" s="883"/>
      <c r="CI142" s="883"/>
      <c r="CJ142" s="883"/>
      <c r="CK142" s="883"/>
      <c r="CL142" s="883"/>
      <c r="CM142" s="883"/>
      <c r="CN142" s="883"/>
      <c r="CO142" s="883"/>
      <c r="CP142" s="883"/>
      <c r="CQ142" s="883"/>
      <c r="CR142" s="883"/>
      <c r="CS142" s="883"/>
      <c r="CT142" s="883"/>
      <c r="CU142" s="883"/>
    </row>
    <row r="143" spans="1:99" x14ac:dyDescent="0.25">
      <c r="A143" s="880" t="s">
        <v>1787</v>
      </c>
      <c r="B143" s="881" t="s">
        <v>1788</v>
      </c>
      <c r="C143" s="880" t="s">
        <v>2777</v>
      </c>
      <c r="D143" s="880"/>
      <c r="E143" s="884" t="s">
        <v>744</v>
      </c>
      <c r="F143" s="888">
        <v>1</v>
      </c>
      <c r="G143" s="881" t="s">
        <v>1007</v>
      </c>
      <c r="H143" s="881" t="s">
        <v>19</v>
      </c>
      <c r="I143" s="865">
        <v>46142</v>
      </c>
      <c r="J143" s="882" t="s">
        <v>8</v>
      </c>
      <c r="K143" s="880"/>
      <c r="L143" s="880"/>
      <c r="M143" s="883">
        <v>0</v>
      </c>
      <c r="N143" s="883">
        <v>0</v>
      </c>
      <c r="O143" s="883">
        <v>0</v>
      </c>
      <c r="P143" s="883">
        <v>21.73</v>
      </c>
      <c r="Q143" s="883">
        <v>15</v>
      </c>
      <c r="R143" s="883">
        <f t="shared" si="48"/>
        <v>3.26</v>
      </c>
      <c r="S143" s="883">
        <v>0</v>
      </c>
      <c r="T143" s="883">
        <v>5</v>
      </c>
      <c r="U143" s="883">
        <f t="shared" si="49"/>
        <v>0</v>
      </c>
      <c r="V143" s="883">
        <v>0</v>
      </c>
      <c r="W143" s="883">
        <v>8</v>
      </c>
      <c r="X143" s="883">
        <f t="shared" si="50"/>
        <v>0</v>
      </c>
      <c r="Y143" s="883">
        <v>0</v>
      </c>
      <c r="Z143" s="883">
        <v>0</v>
      </c>
      <c r="AA143" s="883">
        <v>0</v>
      </c>
      <c r="AB143" s="883">
        <f t="shared" si="51"/>
        <v>24.99</v>
      </c>
      <c r="AC143" s="883">
        <v>0</v>
      </c>
      <c r="AD143" s="881"/>
      <c r="AE143" s="880"/>
      <c r="AF143" s="883"/>
      <c r="AG143" s="889"/>
      <c r="AH143" s="880"/>
      <c r="AI143" s="880" t="s">
        <v>1241</v>
      </c>
      <c r="AJ143" s="884">
        <v>411</v>
      </c>
      <c r="AK143" s="883">
        <f t="shared" si="52"/>
        <v>21.73</v>
      </c>
      <c r="AL143" s="884">
        <v>413</v>
      </c>
      <c r="AM143" s="883">
        <f t="shared" si="53"/>
        <v>0</v>
      </c>
      <c r="AN143" s="884">
        <v>441</v>
      </c>
      <c r="AO143" s="883">
        <f t="shared" si="54"/>
        <v>0</v>
      </c>
      <c r="AP143" s="881"/>
      <c r="AQ143" s="881"/>
      <c r="AR143" s="883">
        <v>0</v>
      </c>
      <c r="AS143" s="883">
        <v>0</v>
      </c>
      <c r="AT143" s="883">
        <v>0</v>
      </c>
      <c r="AU143" s="880"/>
      <c r="AV143" s="886"/>
      <c r="AW143" s="880"/>
      <c r="AX143" s="886"/>
      <c r="AY143" s="880"/>
      <c r="AZ143" s="880"/>
      <c r="BA143" s="881"/>
      <c r="BB143" s="881" t="s">
        <v>57</v>
      </c>
      <c r="BC143" s="881"/>
      <c r="BD143" s="881"/>
      <c r="BE143" s="884">
        <f t="shared" si="55"/>
        <v>4</v>
      </c>
      <c r="BF143" s="887" t="str">
        <f t="shared" si="56"/>
        <v>SI</v>
      </c>
      <c r="BG143" s="883">
        <f t="shared" si="57"/>
        <v>21.73</v>
      </c>
      <c r="BH143" s="883">
        <f t="shared" si="58"/>
        <v>0</v>
      </c>
      <c r="BI143" s="883">
        <f t="shared" si="59"/>
        <v>0</v>
      </c>
      <c r="BJ143" s="883">
        <f t="shared" si="60"/>
        <v>0</v>
      </c>
      <c r="BK143" s="883">
        <f t="shared" si="61"/>
        <v>0</v>
      </c>
      <c r="BL143" s="883">
        <f t="shared" si="62"/>
        <v>3.26</v>
      </c>
      <c r="BM143" s="881"/>
      <c r="BN143" s="880"/>
      <c r="BO143" s="882" t="s">
        <v>1579</v>
      </c>
      <c r="BP143" s="882" t="s">
        <v>2286</v>
      </c>
      <c r="BQ143" s="882" t="s">
        <v>2285</v>
      </c>
      <c r="BR143" s="880"/>
      <c r="BS143" s="880"/>
      <c r="BT143" s="880"/>
      <c r="BU143" s="880"/>
      <c r="BV143" s="880"/>
      <c r="BW143" s="883">
        <v>0</v>
      </c>
      <c r="BX143" s="883">
        <v>0</v>
      </c>
      <c r="BY143" s="883">
        <v>0</v>
      </c>
      <c r="BZ143" s="890"/>
      <c r="CA143" s="883">
        <f t="shared" si="63"/>
        <v>0</v>
      </c>
      <c r="CB143" s="880"/>
      <c r="CC143" s="881"/>
      <c r="CD143" s="883"/>
      <c r="CE143" s="883"/>
      <c r="CF143" s="883"/>
      <c r="CG143" s="883"/>
      <c r="CH143" s="883"/>
      <c r="CI143" s="883"/>
      <c r="CJ143" s="883"/>
      <c r="CK143" s="883"/>
      <c r="CL143" s="883"/>
      <c r="CM143" s="883"/>
      <c r="CN143" s="883"/>
      <c r="CO143" s="883"/>
      <c r="CP143" s="883"/>
      <c r="CQ143" s="883"/>
      <c r="CR143" s="883"/>
      <c r="CS143" s="883"/>
      <c r="CT143" s="883"/>
      <c r="CU143" s="883"/>
    </row>
    <row r="144" spans="1:99" x14ac:dyDescent="0.25">
      <c r="A144" s="880" t="s">
        <v>1787</v>
      </c>
      <c r="B144" s="881" t="s">
        <v>1788</v>
      </c>
      <c r="C144" s="880" t="s">
        <v>2778</v>
      </c>
      <c r="D144" s="880"/>
      <c r="E144" s="884" t="s">
        <v>744</v>
      </c>
      <c r="F144" s="888">
        <v>1</v>
      </c>
      <c r="G144" s="881" t="s">
        <v>1007</v>
      </c>
      <c r="H144" s="881" t="s">
        <v>19</v>
      </c>
      <c r="I144" s="865">
        <v>46142</v>
      </c>
      <c r="J144" s="882" t="s">
        <v>8</v>
      </c>
      <c r="K144" s="880"/>
      <c r="L144" s="880"/>
      <c r="M144" s="883">
        <v>0</v>
      </c>
      <c r="N144" s="883">
        <v>0</v>
      </c>
      <c r="O144" s="883">
        <v>0</v>
      </c>
      <c r="P144" s="883">
        <v>17.39</v>
      </c>
      <c r="Q144" s="883">
        <v>15</v>
      </c>
      <c r="R144" s="883">
        <f t="shared" si="48"/>
        <v>2.61</v>
      </c>
      <c r="S144" s="883">
        <v>0</v>
      </c>
      <c r="T144" s="883">
        <v>5</v>
      </c>
      <c r="U144" s="883">
        <f t="shared" si="49"/>
        <v>0</v>
      </c>
      <c r="V144" s="883">
        <v>0</v>
      </c>
      <c r="W144" s="883">
        <v>8</v>
      </c>
      <c r="X144" s="883">
        <f t="shared" si="50"/>
        <v>0</v>
      </c>
      <c r="Y144" s="883">
        <v>0</v>
      </c>
      <c r="Z144" s="883">
        <v>0</v>
      </c>
      <c r="AA144" s="883">
        <v>0</v>
      </c>
      <c r="AB144" s="883">
        <f t="shared" si="51"/>
        <v>20</v>
      </c>
      <c r="AC144" s="883">
        <v>0</v>
      </c>
      <c r="AD144" s="881"/>
      <c r="AE144" s="880"/>
      <c r="AF144" s="883"/>
      <c r="AG144" s="889"/>
      <c r="AH144" s="880"/>
      <c r="AI144" s="880" t="s">
        <v>1241</v>
      </c>
      <c r="AJ144" s="884">
        <v>411</v>
      </c>
      <c r="AK144" s="883">
        <f t="shared" si="52"/>
        <v>17.39</v>
      </c>
      <c r="AL144" s="884">
        <v>413</v>
      </c>
      <c r="AM144" s="883">
        <f t="shared" si="53"/>
        <v>0</v>
      </c>
      <c r="AN144" s="884">
        <v>441</v>
      </c>
      <c r="AO144" s="883">
        <f t="shared" si="54"/>
        <v>0</v>
      </c>
      <c r="AP144" s="881"/>
      <c r="AQ144" s="881"/>
      <c r="AR144" s="883">
        <v>0</v>
      </c>
      <c r="AS144" s="883">
        <v>0</v>
      </c>
      <c r="AT144" s="883">
        <v>0</v>
      </c>
      <c r="AU144" s="880"/>
      <c r="AV144" s="886"/>
      <c r="AW144" s="880"/>
      <c r="AX144" s="886"/>
      <c r="AY144" s="880"/>
      <c r="AZ144" s="880"/>
      <c r="BA144" s="881"/>
      <c r="BB144" s="881" t="s">
        <v>57</v>
      </c>
      <c r="BC144" s="881"/>
      <c r="BD144" s="881"/>
      <c r="BE144" s="884">
        <f t="shared" si="55"/>
        <v>4</v>
      </c>
      <c r="BF144" s="887" t="str">
        <f t="shared" si="56"/>
        <v>SI</v>
      </c>
      <c r="BG144" s="883">
        <f t="shared" si="57"/>
        <v>17.39</v>
      </c>
      <c r="BH144" s="883">
        <f t="shared" si="58"/>
        <v>0</v>
      </c>
      <c r="BI144" s="883">
        <f t="shared" si="59"/>
        <v>0</v>
      </c>
      <c r="BJ144" s="883">
        <f t="shared" si="60"/>
        <v>0</v>
      </c>
      <c r="BK144" s="883">
        <f t="shared" si="61"/>
        <v>0</v>
      </c>
      <c r="BL144" s="883">
        <f t="shared" si="62"/>
        <v>2.61</v>
      </c>
      <c r="BM144" s="881"/>
      <c r="BN144" s="880"/>
      <c r="BO144" s="882" t="s">
        <v>1579</v>
      </c>
      <c r="BP144" s="882" t="s">
        <v>2286</v>
      </c>
      <c r="BQ144" s="882" t="s">
        <v>2285</v>
      </c>
      <c r="BR144" s="880"/>
      <c r="BS144" s="880"/>
      <c r="BT144" s="880"/>
      <c r="BU144" s="880"/>
      <c r="BV144" s="880"/>
      <c r="BW144" s="883">
        <v>0</v>
      </c>
      <c r="BX144" s="883">
        <v>0</v>
      </c>
      <c r="BY144" s="883">
        <v>0</v>
      </c>
      <c r="BZ144" s="890"/>
      <c r="CA144" s="883">
        <f t="shared" si="63"/>
        <v>0</v>
      </c>
      <c r="CB144" s="880"/>
      <c r="CC144" s="881"/>
      <c r="CD144" s="883"/>
      <c r="CE144" s="883"/>
      <c r="CF144" s="883"/>
      <c r="CG144" s="883"/>
      <c r="CH144" s="883"/>
      <c r="CI144" s="883"/>
      <c r="CJ144" s="883"/>
      <c r="CK144" s="883"/>
      <c r="CL144" s="883"/>
      <c r="CM144" s="883"/>
      <c r="CN144" s="883"/>
      <c r="CO144" s="883"/>
      <c r="CP144" s="883"/>
      <c r="CQ144" s="883"/>
      <c r="CR144" s="883"/>
      <c r="CS144" s="883"/>
      <c r="CT144" s="883"/>
      <c r="CU144" s="883"/>
    </row>
    <row r="145" spans="1:99" x14ac:dyDescent="0.25">
      <c r="A145" s="880" t="s">
        <v>1787</v>
      </c>
      <c r="B145" s="881" t="s">
        <v>1788</v>
      </c>
      <c r="C145" s="880" t="s">
        <v>2779</v>
      </c>
      <c r="D145" s="880"/>
      <c r="E145" s="884" t="s">
        <v>744</v>
      </c>
      <c r="F145" s="888">
        <v>1</v>
      </c>
      <c r="G145" s="881" t="s">
        <v>1007</v>
      </c>
      <c r="H145" s="881" t="s">
        <v>19</v>
      </c>
      <c r="I145" s="865">
        <v>46142</v>
      </c>
      <c r="J145" s="882" t="s">
        <v>8</v>
      </c>
      <c r="K145" s="880"/>
      <c r="L145" s="880"/>
      <c r="M145" s="883">
        <v>0</v>
      </c>
      <c r="N145" s="883">
        <v>0</v>
      </c>
      <c r="O145" s="883">
        <v>0</v>
      </c>
      <c r="P145" s="883">
        <v>21.74</v>
      </c>
      <c r="Q145" s="883">
        <v>15</v>
      </c>
      <c r="R145" s="883">
        <f t="shared" si="48"/>
        <v>3.26</v>
      </c>
      <c r="S145" s="883">
        <v>0</v>
      </c>
      <c r="T145" s="883">
        <v>5</v>
      </c>
      <c r="U145" s="883">
        <f t="shared" si="49"/>
        <v>0</v>
      </c>
      <c r="V145" s="883">
        <v>0</v>
      </c>
      <c r="W145" s="883">
        <v>8</v>
      </c>
      <c r="X145" s="883">
        <f t="shared" si="50"/>
        <v>0</v>
      </c>
      <c r="Y145" s="883">
        <v>0</v>
      </c>
      <c r="Z145" s="883">
        <v>0</v>
      </c>
      <c r="AA145" s="883">
        <v>0</v>
      </c>
      <c r="AB145" s="883">
        <f t="shared" si="51"/>
        <v>25</v>
      </c>
      <c r="AC145" s="883">
        <v>0</v>
      </c>
      <c r="AD145" s="881"/>
      <c r="AE145" s="880"/>
      <c r="AF145" s="883"/>
      <c r="AG145" s="889"/>
      <c r="AH145" s="880"/>
      <c r="AI145" s="880" t="s">
        <v>1241</v>
      </c>
      <c r="AJ145" s="884">
        <v>411</v>
      </c>
      <c r="AK145" s="883">
        <f t="shared" si="52"/>
        <v>21.74</v>
      </c>
      <c r="AL145" s="884">
        <v>413</v>
      </c>
      <c r="AM145" s="883">
        <f t="shared" si="53"/>
        <v>0</v>
      </c>
      <c r="AN145" s="884">
        <v>441</v>
      </c>
      <c r="AO145" s="883">
        <f t="shared" si="54"/>
        <v>0</v>
      </c>
      <c r="AP145" s="881"/>
      <c r="AQ145" s="881"/>
      <c r="AR145" s="883">
        <v>0</v>
      </c>
      <c r="AS145" s="883">
        <v>0</v>
      </c>
      <c r="AT145" s="883">
        <v>0</v>
      </c>
      <c r="AU145" s="880"/>
      <c r="AV145" s="886"/>
      <c r="AW145" s="880"/>
      <c r="AX145" s="886"/>
      <c r="AY145" s="880"/>
      <c r="AZ145" s="880"/>
      <c r="BA145" s="881"/>
      <c r="BB145" s="881" t="s">
        <v>57</v>
      </c>
      <c r="BC145" s="881"/>
      <c r="BD145" s="881"/>
      <c r="BE145" s="884">
        <f t="shared" si="55"/>
        <v>4</v>
      </c>
      <c r="BF145" s="887" t="str">
        <f t="shared" si="56"/>
        <v>SI</v>
      </c>
      <c r="BG145" s="883">
        <f t="shared" si="57"/>
        <v>21.74</v>
      </c>
      <c r="BH145" s="883">
        <f t="shared" si="58"/>
        <v>0</v>
      </c>
      <c r="BI145" s="883">
        <f t="shared" si="59"/>
        <v>0</v>
      </c>
      <c r="BJ145" s="883">
        <f t="shared" si="60"/>
        <v>0</v>
      </c>
      <c r="BK145" s="883">
        <f t="shared" si="61"/>
        <v>0</v>
      </c>
      <c r="BL145" s="883">
        <f t="shared" si="62"/>
        <v>3.26</v>
      </c>
      <c r="BM145" s="881"/>
      <c r="BN145" s="880"/>
      <c r="BO145" s="882" t="s">
        <v>1579</v>
      </c>
      <c r="BP145" s="882" t="s">
        <v>2286</v>
      </c>
      <c r="BQ145" s="882" t="s">
        <v>2285</v>
      </c>
      <c r="BR145" s="880"/>
      <c r="BS145" s="880"/>
      <c r="BT145" s="880"/>
      <c r="BU145" s="880"/>
      <c r="BV145" s="880"/>
      <c r="BW145" s="883">
        <v>0</v>
      </c>
      <c r="BX145" s="883">
        <v>0</v>
      </c>
      <c r="BY145" s="883">
        <v>0</v>
      </c>
      <c r="BZ145" s="890"/>
      <c r="CA145" s="883">
        <f t="shared" si="63"/>
        <v>0</v>
      </c>
      <c r="CB145" s="880"/>
      <c r="CC145" s="881"/>
      <c r="CD145" s="883"/>
      <c r="CE145" s="883"/>
      <c r="CF145" s="883"/>
      <c r="CG145" s="883"/>
      <c r="CH145" s="883"/>
      <c r="CI145" s="883"/>
      <c r="CJ145" s="883"/>
      <c r="CK145" s="883"/>
      <c r="CL145" s="883"/>
      <c r="CM145" s="883"/>
      <c r="CN145" s="883"/>
      <c r="CO145" s="883"/>
      <c r="CP145" s="883"/>
      <c r="CQ145" s="883"/>
      <c r="CR145" s="883"/>
      <c r="CS145" s="883"/>
      <c r="CT145" s="883"/>
      <c r="CU145" s="883"/>
    </row>
    <row r="146" spans="1:99" x14ac:dyDescent="0.25">
      <c r="A146" s="880" t="s">
        <v>1787</v>
      </c>
      <c r="B146" s="881" t="s">
        <v>1788</v>
      </c>
      <c r="C146" s="880" t="s">
        <v>2780</v>
      </c>
      <c r="D146" s="880"/>
      <c r="E146" s="884" t="s">
        <v>744</v>
      </c>
      <c r="F146" s="888">
        <v>1</v>
      </c>
      <c r="G146" s="881" t="s">
        <v>1007</v>
      </c>
      <c r="H146" s="881" t="s">
        <v>19</v>
      </c>
      <c r="I146" s="865">
        <v>46142</v>
      </c>
      <c r="J146" s="882" t="s">
        <v>8</v>
      </c>
      <c r="K146" s="880"/>
      <c r="L146" s="880"/>
      <c r="M146" s="883">
        <v>0</v>
      </c>
      <c r="N146" s="883">
        <v>0</v>
      </c>
      <c r="O146" s="883">
        <v>0</v>
      </c>
      <c r="P146" s="883">
        <v>21.73</v>
      </c>
      <c r="Q146" s="883">
        <v>15</v>
      </c>
      <c r="R146" s="883">
        <f t="shared" si="48"/>
        <v>3.26</v>
      </c>
      <c r="S146" s="883">
        <v>0</v>
      </c>
      <c r="T146" s="883">
        <v>5</v>
      </c>
      <c r="U146" s="883">
        <f t="shared" si="49"/>
        <v>0</v>
      </c>
      <c r="V146" s="883">
        <v>0</v>
      </c>
      <c r="W146" s="883">
        <v>8</v>
      </c>
      <c r="X146" s="883">
        <f t="shared" si="50"/>
        <v>0</v>
      </c>
      <c r="Y146" s="883">
        <v>0</v>
      </c>
      <c r="Z146" s="883">
        <v>0</v>
      </c>
      <c r="AA146" s="883">
        <v>0</v>
      </c>
      <c r="AB146" s="883">
        <f t="shared" si="51"/>
        <v>24.99</v>
      </c>
      <c r="AC146" s="883">
        <v>0</v>
      </c>
      <c r="AD146" s="881"/>
      <c r="AE146" s="880"/>
      <c r="AF146" s="883"/>
      <c r="AG146" s="889"/>
      <c r="AH146" s="880"/>
      <c r="AI146" s="880" t="s">
        <v>1241</v>
      </c>
      <c r="AJ146" s="884">
        <v>411</v>
      </c>
      <c r="AK146" s="883">
        <f t="shared" si="52"/>
        <v>21.73</v>
      </c>
      <c r="AL146" s="884">
        <v>413</v>
      </c>
      <c r="AM146" s="883">
        <f t="shared" si="53"/>
        <v>0</v>
      </c>
      <c r="AN146" s="884">
        <v>441</v>
      </c>
      <c r="AO146" s="883">
        <f t="shared" si="54"/>
        <v>0</v>
      </c>
      <c r="AP146" s="881"/>
      <c r="AQ146" s="881"/>
      <c r="AR146" s="883">
        <v>0</v>
      </c>
      <c r="AS146" s="883">
        <v>0</v>
      </c>
      <c r="AT146" s="883">
        <v>0</v>
      </c>
      <c r="AU146" s="880"/>
      <c r="AV146" s="886"/>
      <c r="AW146" s="880"/>
      <c r="AX146" s="886"/>
      <c r="AY146" s="880"/>
      <c r="AZ146" s="880"/>
      <c r="BA146" s="881"/>
      <c r="BB146" s="881" t="s">
        <v>57</v>
      </c>
      <c r="BC146" s="881"/>
      <c r="BD146" s="881"/>
      <c r="BE146" s="884">
        <f t="shared" si="55"/>
        <v>4</v>
      </c>
      <c r="BF146" s="887" t="str">
        <f t="shared" si="56"/>
        <v>SI</v>
      </c>
      <c r="BG146" s="883">
        <f t="shared" si="57"/>
        <v>21.73</v>
      </c>
      <c r="BH146" s="883">
        <f t="shared" si="58"/>
        <v>0</v>
      </c>
      <c r="BI146" s="883">
        <f t="shared" si="59"/>
        <v>0</v>
      </c>
      <c r="BJ146" s="883">
        <f t="shared" si="60"/>
        <v>0</v>
      </c>
      <c r="BK146" s="883">
        <f t="shared" si="61"/>
        <v>0</v>
      </c>
      <c r="BL146" s="883">
        <f t="shared" si="62"/>
        <v>3.26</v>
      </c>
      <c r="BM146" s="881"/>
      <c r="BN146" s="880"/>
      <c r="BO146" s="882" t="s">
        <v>1579</v>
      </c>
      <c r="BP146" s="882" t="s">
        <v>2286</v>
      </c>
      <c r="BQ146" s="882" t="s">
        <v>2285</v>
      </c>
      <c r="BR146" s="880"/>
      <c r="BS146" s="880"/>
      <c r="BT146" s="880"/>
      <c r="BU146" s="880"/>
      <c r="BV146" s="880"/>
      <c r="BW146" s="883">
        <v>0</v>
      </c>
      <c r="BX146" s="883">
        <v>0</v>
      </c>
      <c r="BY146" s="883">
        <v>0</v>
      </c>
      <c r="BZ146" s="890"/>
      <c r="CA146" s="883">
        <f t="shared" si="63"/>
        <v>0</v>
      </c>
      <c r="CB146" s="880"/>
      <c r="CC146" s="881"/>
      <c r="CD146" s="883"/>
      <c r="CE146" s="883"/>
      <c r="CF146" s="883"/>
      <c r="CG146" s="883"/>
      <c r="CH146" s="883"/>
      <c r="CI146" s="883"/>
      <c r="CJ146" s="883"/>
      <c r="CK146" s="883"/>
      <c r="CL146" s="883"/>
      <c r="CM146" s="883"/>
      <c r="CN146" s="883"/>
      <c r="CO146" s="883"/>
      <c r="CP146" s="883"/>
      <c r="CQ146" s="883"/>
      <c r="CR146" s="883"/>
      <c r="CS146" s="883"/>
      <c r="CT146" s="883"/>
      <c r="CU146" s="883"/>
    </row>
    <row r="147" spans="1:99" x14ac:dyDescent="0.25">
      <c r="A147" s="880" t="s">
        <v>1787</v>
      </c>
      <c r="B147" s="881" t="s">
        <v>1788</v>
      </c>
      <c r="C147" s="880" t="s">
        <v>2781</v>
      </c>
      <c r="D147" s="880"/>
      <c r="E147" s="884" t="s">
        <v>744</v>
      </c>
      <c r="F147" s="888">
        <v>1</v>
      </c>
      <c r="G147" s="881" t="s">
        <v>1007</v>
      </c>
      <c r="H147" s="881" t="s">
        <v>19</v>
      </c>
      <c r="I147" s="865">
        <v>46142</v>
      </c>
      <c r="J147" s="882" t="s">
        <v>8</v>
      </c>
      <c r="K147" s="880"/>
      <c r="L147" s="880"/>
      <c r="M147" s="883">
        <v>0</v>
      </c>
      <c r="N147" s="883">
        <v>0</v>
      </c>
      <c r="O147" s="883">
        <v>0</v>
      </c>
      <c r="P147" s="883">
        <v>13.04</v>
      </c>
      <c r="Q147" s="883">
        <v>15</v>
      </c>
      <c r="R147" s="883">
        <f t="shared" si="48"/>
        <v>1.96</v>
      </c>
      <c r="S147" s="883">
        <v>0</v>
      </c>
      <c r="T147" s="883">
        <v>5</v>
      </c>
      <c r="U147" s="883">
        <f t="shared" si="49"/>
        <v>0</v>
      </c>
      <c r="V147" s="883">
        <v>0</v>
      </c>
      <c r="W147" s="883">
        <v>8</v>
      </c>
      <c r="X147" s="883">
        <f t="shared" si="50"/>
        <v>0</v>
      </c>
      <c r="Y147" s="883">
        <v>0</v>
      </c>
      <c r="Z147" s="883">
        <v>0</v>
      </c>
      <c r="AA147" s="883">
        <v>0</v>
      </c>
      <c r="AB147" s="883">
        <f t="shared" si="51"/>
        <v>15</v>
      </c>
      <c r="AC147" s="883">
        <v>0</v>
      </c>
      <c r="AD147" s="881"/>
      <c r="AE147" s="880"/>
      <c r="AF147" s="883"/>
      <c r="AG147" s="889"/>
      <c r="AH147" s="880"/>
      <c r="AI147" s="880" t="s">
        <v>1241</v>
      </c>
      <c r="AJ147" s="884">
        <v>411</v>
      </c>
      <c r="AK147" s="883">
        <f t="shared" si="52"/>
        <v>13.04</v>
      </c>
      <c r="AL147" s="884">
        <v>413</v>
      </c>
      <c r="AM147" s="883">
        <f t="shared" si="53"/>
        <v>0</v>
      </c>
      <c r="AN147" s="884">
        <v>441</v>
      </c>
      <c r="AO147" s="883">
        <f t="shared" si="54"/>
        <v>0</v>
      </c>
      <c r="AP147" s="881"/>
      <c r="AQ147" s="881"/>
      <c r="AR147" s="883">
        <v>0</v>
      </c>
      <c r="AS147" s="883">
        <v>0</v>
      </c>
      <c r="AT147" s="883">
        <v>0</v>
      </c>
      <c r="AU147" s="880"/>
      <c r="AV147" s="886"/>
      <c r="AW147" s="880"/>
      <c r="AX147" s="886"/>
      <c r="AY147" s="880"/>
      <c r="AZ147" s="880"/>
      <c r="BA147" s="881"/>
      <c r="BB147" s="881" t="s">
        <v>57</v>
      </c>
      <c r="BC147" s="881"/>
      <c r="BD147" s="881"/>
      <c r="BE147" s="884">
        <f t="shared" si="55"/>
        <v>4</v>
      </c>
      <c r="BF147" s="887" t="str">
        <f t="shared" si="56"/>
        <v>SI</v>
      </c>
      <c r="BG147" s="883">
        <f t="shared" si="57"/>
        <v>13.04</v>
      </c>
      <c r="BH147" s="883">
        <f t="shared" si="58"/>
        <v>0</v>
      </c>
      <c r="BI147" s="883">
        <f t="shared" si="59"/>
        <v>0</v>
      </c>
      <c r="BJ147" s="883">
        <f t="shared" si="60"/>
        <v>0</v>
      </c>
      <c r="BK147" s="883">
        <f t="shared" si="61"/>
        <v>0</v>
      </c>
      <c r="BL147" s="883">
        <f t="shared" si="62"/>
        <v>1.96</v>
      </c>
      <c r="BM147" s="881"/>
      <c r="BN147" s="880"/>
      <c r="BO147" s="882" t="s">
        <v>1579</v>
      </c>
      <c r="BP147" s="882" t="s">
        <v>2286</v>
      </c>
      <c r="BQ147" s="882" t="s">
        <v>2285</v>
      </c>
      <c r="BR147" s="880"/>
      <c r="BS147" s="880"/>
      <c r="BT147" s="880"/>
      <c r="BU147" s="880"/>
      <c r="BV147" s="880"/>
      <c r="BW147" s="883">
        <v>0</v>
      </c>
      <c r="BX147" s="883">
        <v>0</v>
      </c>
      <c r="BY147" s="883">
        <v>0</v>
      </c>
      <c r="BZ147" s="890"/>
      <c r="CA147" s="883">
        <f t="shared" si="63"/>
        <v>0</v>
      </c>
      <c r="CB147" s="880"/>
      <c r="CC147" s="881"/>
      <c r="CD147" s="883"/>
      <c r="CE147" s="883"/>
      <c r="CF147" s="883"/>
      <c r="CG147" s="883"/>
      <c r="CH147" s="883"/>
      <c r="CI147" s="883"/>
      <c r="CJ147" s="883"/>
      <c r="CK147" s="883"/>
      <c r="CL147" s="883"/>
      <c r="CM147" s="883"/>
      <c r="CN147" s="883"/>
      <c r="CO147" s="883"/>
      <c r="CP147" s="883"/>
      <c r="CQ147" s="883"/>
      <c r="CR147" s="883"/>
      <c r="CS147" s="883"/>
      <c r="CT147" s="883"/>
      <c r="CU147" s="883"/>
    </row>
    <row r="148" spans="1:99" x14ac:dyDescent="0.25">
      <c r="A148" s="880" t="s">
        <v>1787</v>
      </c>
      <c r="B148" s="881" t="s">
        <v>1788</v>
      </c>
      <c r="C148" s="880" t="s">
        <v>2782</v>
      </c>
      <c r="D148" s="880"/>
      <c r="E148" s="884" t="s">
        <v>744</v>
      </c>
      <c r="F148" s="888">
        <v>1</v>
      </c>
      <c r="G148" s="881" t="s">
        <v>1007</v>
      </c>
      <c r="H148" s="881" t="s">
        <v>19</v>
      </c>
      <c r="I148" s="865">
        <v>46142</v>
      </c>
      <c r="J148" s="882" t="s">
        <v>8</v>
      </c>
      <c r="K148" s="880"/>
      <c r="L148" s="880"/>
      <c r="M148" s="883">
        <v>0</v>
      </c>
      <c r="N148" s="883">
        <v>0</v>
      </c>
      <c r="O148" s="883">
        <v>0</v>
      </c>
      <c r="P148" s="883">
        <v>17.39</v>
      </c>
      <c r="Q148" s="883">
        <v>15</v>
      </c>
      <c r="R148" s="883">
        <f t="shared" si="48"/>
        <v>2.61</v>
      </c>
      <c r="S148" s="883">
        <v>0</v>
      </c>
      <c r="T148" s="883">
        <v>5</v>
      </c>
      <c r="U148" s="883">
        <f t="shared" si="49"/>
        <v>0</v>
      </c>
      <c r="V148" s="883">
        <v>0</v>
      </c>
      <c r="W148" s="883">
        <v>8</v>
      </c>
      <c r="X148" s="883">
        <f t="shared" si="50"/>
        <v>0</v>
      </c>
      <c r="Y148" s="883">
        <v>0</v>
      </c>
      <c r="Z148" s="883">
        <v>0</v>
      </c>
      <c r="AA148" s="883">
        <v>0</v>
      </c>
      <c r="AB148" s="883">
        <f t="shared" si="51"/>
        <v>20</v>
      </c>
      <c r="AC148" s="883">
        <v>0</v>
      </c>
      <c r="AD148" s="881"/>
      <c r="AE148" s="880"/>
      <c r="AF148" s="883"/>
      <c r="AG148" s="889"/>
      <c r="AH148" s="880"/>
      <c r="AI148" s="880" t="s">
        <v>1241</v>
      </c>
      <c r="AJ148" s="884">
        <v>411</v>
      </c>
      <c r="AK148" s="883">
        <f t="shared" si="52"/>
        <v>17.39</v>
      </c>
      <c r="AL148" s="884">
        <v>413</v>
      </c>
      <c r="AM148" s="883">
        <f t="shared" si="53"/>
        <v>0</v>
      </c>
      <c r="AN148" s="884">
        <v>441</v>
      </c>
      <c r="AO148" s="883">
        <f t="shared" si="54"/>
        <v>0</v>
      </c>
      <c r="AP148" s="881"/>
      <c r="AQ148" s="881"/>
      <c r="AR148" s="883">
        <v>0</v>
      </c>
      <c r="AS148" s="883">
        <v>0</v>
      </c>
      <c r="AT148" s="883">
        <v>0</v>
      </c>
      <c r="AU148" s="880"/>
      <c r="AV148" s="886"/>
      <c r="AW148" s="880"/>
      <c r="AX148" s="886"/>
      <c r="AY148" s="880"/>
      <c r="AZ148" s="880"/>
      <c r="BA148" s="881"/>
      <c r="BB148" s="881" t="s">
        <v>57</v>
      </c>
      <c r="BC148" s="881"/>
      <c r="BD148" s="881"/>
      <c r="BE148" s="884">
        <f t="shared" si="55"/>
        <v>4</v>
      </c>
      <c r="BF148" s="887" t="str">
        <f t="shared" si="56"/>
        <v>SI</v>
      </c>
      <c r="BG148" s="883">
        <f t="shared" si="57"/>
        <v>17.39</v>
      </c>
      <c r="BH148" s="883">
        <f t="shared" si="58"/>
        <v>0</v>
      </c>
      <c r="BI148" s="883">
        <f t="shared" si="59"/>
        <v>0</v>
      </c>
      <c r="BJ148" s="883">
        <f t="shared" si="60"/>
        <v>0</v>
      </c>
      <c r="BK148" s="883">
        <f t="shared" si="61"/>
        <v>0</v>
      </c>
      <c r="BL148" s="883">
        <f t="shared" si="62"/>
        <v>2.61</v>
      </c>
      <c r="BM148" s="881"/>
      <c r="BN148" s="880"/>
      <c r="BO148" s="882" t="s">
        <v>1579</v>
      </c>
      <c r="BP148" s="882" t="s">
        <v>2286</v>
      </c>
      <c r="BQ148" s="882" t="s">
        <v>2285</v>
      </c>
      <c r="BR148" s="880"/>
      <c r="BS148" s="880"/>
      <c r="BT148" s="880"/>
      <c r="BU148" s="880"/>
      <c r="BV148" s="880"/>
      <c r="BW148" s="883">
        <v>0</v>
      </c>
      <c r="BX148" s="883">
        <v>0</v>
      </c>
      <c r="BY148" s="883">
        <v>0</v>
      </c>
      <c r="BZ148" s="890"/>
      <c r="CA148" s="883">
        <f t="shared" si="63"/>
        <v>0</v>
      </c>
      <c r="CB148" s="880"/>
      <c r="CC148" s="881"/>
      <c r="CD148" s="883"/>
      <c r="CE148" s="883"/>
      <c r="CF148" s="883"/>
      <c r="CG148" s="883"/>
      <c r="CH148" s="883"/>
      <c r="CI148" s="883"/>
      <c r="CJ148" s="883"/>
      <c r="CK148" s="883"/>
      <c r="CL148" s="883"/>
      <c r="CM148" s="883"/>
      <c r="CN148" s="883"/>
      <c r="CO148" s="883"/>
      <c r="CP148" s="883"/>
      <c r="CQ148" s="883"/>
      <c r="CR148" s="883"/>
      <c r="CS148" s="883"/>
      <c r="CT148" s="883"/>
      <c r="CU148" s="883"/>
    </row>
    <row r="149" spans="1:99" x14ac:dyDescent="0.25">
      <c r="A149" s="880" t="s">
        <v>1787</v>
      </c>
      <c r="B149" s="881" t="s">
        <v>1788</v>
      </c>
      <c r="C149" s="880" t="s">
        <v>2783</v>
      </c>
      <c r="D149" s="880"/>
      <c r="E149" s="884" t="s">
        <v>744</v>
      </c>
      <c r="F149" s="888">
        <v>1</v>
      </c>
      <c r="G149" s="881" t="s">
        <v>1007</v>
      </c>
      <c r="H149" s="881" t="s">
        <v>19</v>
      </c>
      <c r="I149" s="865">
        <v>46142</v>
      </c>
      <c r="J149" s="882" t="s">
        <v>8</v>
      </c>
      <c r="K149" s="880"/>
      <c r="L149" s="880"/>
      <c r="M149" s="883">
        <v>0</v>
      </c>
      <c r="N149" s="883">
        <v>0</v>
      </c>
      <c r="O149" s="883">
        <v>0</v>
      </c>
      <c r="P149" s="883">
        <v>22.32</v>
      </c>
      <c r="Q149" s="883">
        <v>15</v>
      </c>
      <c r="R149" s="883">
        <f t="shared" si="48"/>
        <v>3.35</v>
      </c>
      <c r="S149" s="883">
        <v>0</v>
      </c>
      <c r="T149" s="883">
        <v>5</v>
      </c>
      <c r="U149" s="883">
        <f t="shared" si="49"/>
        <v>0</v>
      </c>
      <c r="V149" s="883">
        <v>0</v>
      </c>
      <c r="W149" s="883">
        <v>8</v>
      </c>
      <c r="X149" s="883">
        <f t="shared" si="50"/>
        <v>0</v>
      </c>
      <c r="Y149" s="883">
        <v>0</v>
      </c>
      <c r="Z149" s="883">
        <v>0</v>
      </c>
      <c r="AA149" s="883">
        <v>0</v>
      </c>
      <c r="AB149" s="883">
        <f t="shared" si="51"/>
        <v>25.67</v>
      </c>
      <c r="AC149" s="883">
        <v>0</v>
      </c>
      <c r="AD149" s="881"/>
      <c r="AE149" s="880"/>
      <c r="AF149" s="883"/>
      <c r="AG149" s="889"/>
      <c r="AH149" s="880"/>
      <c r="AI149" s="880" t="s">
        <v>1241</v>
      </c>
      <c r="AJ149" s="884">
        <v>411</v>
      </c>
      <c r="AK149" s="883">
        <f t="shared" si="52"/>
        <v>22.32</v>
      </c>
      <c r="AL149" s="884">
        <v>413</v>
      </c>
      <c r="AM149" s="883">
        <f t="shared" si="53"/>
        <v>0</v>
      </c>
      <c r="AN149" s="884">
        <v>441</v>
      </c>
      <c r="AO149" s="883">
        <f t="shared" si="54"/>
        <v>0</v>
      </c>
      <c r="AP149" s="881"/>
      <c r="AQ149" s="881"/>
      <c r="AR149" s="883">
        <v>0</v>
      </c>
      <c r="AS149" s="883">
        <v>0</v>
      </c>
      <c r="AT149" s="883">
        <v>0</v>
      </c>
      <c r="AU149" s="880"/>
      <c r="AV149" s="886"/>
      <c r="AW149" s="880"/>
      <c r="AX149" s="886"/>
      <c r="AY149" s="880"/>
      <c r="AZ149" s="880"/>
      <c r="BA149" s="881"/>
      <c r="BB149" s="881" t="s">
        <v>57</v>
      </c>
      <c r="BC149" s="881"/>
      <c r="BD149" s="881"/>
      <c r="BE149" s="884">
        <f t="shared" si="55"/>
        <v>4</v>
      </c>
      <c r="BF149" s="887" t="str">
        <f t="shared" si="56"/>
        <v>SI</v>
      </c>
      <c r="BG149" s="883">
        <f t="shared" si="57"/>
        <v>22.32</v>
      </c>
      <c r="BH149" s="883">
        <f t="shared" si="58"/>
        <v>0</v>
      </c>
      <c r="BI149" s="883">
        <f t="shared" si="59"/>
        <v>0</v>
      </c>
      <c r="BJ149" s="883">
        <f t="shared" si="60"/>
        <v>0</v>
      </c>
      <c r="BK149" s="883">
        <f t="shared" si="61"/>
        <v>0</v>
      </c>
      <c r="BL149" s="883">
        <f t="shared" si="62"/>
        <v>3.35</v>
      </c>
      <c r="BM149" s="881"/>
      <c r="BN149" s="880"/>
      <c r="BO149" s="882" t="s">
        <v>1579</v>
      </c>
      <c r="BP149" s="882" t="s">
        <v>2286</v>
      </c>
      <c r="BQ149" s="882" t="s">
        <v>2285</v>
      </c>
      <c r="BR149" s="880"/>
      <c r="BS149" s="880"/>
      <c r="BT149" s="880"/>
      <c r="BU149" s="880"/>
      <c r="BV149" s="880"/>
      <c r="BW149" s="883">
        <v>0</v>
      </c>
      <c r="BX149" s="883">
        <v>0</v>
      </c>
      <c r="BY149" s="883">
        <v>0</v>
      </c>
      <c r="BZ149" s="890"/>
      <c r="CA149" s="883">
        <f t="shared" si="63"/>
        <v>0</v>
      </c>
      <c r="CB149" s="880"/>
      <c r="CC149" s="881"/>
      <c r="CD149" s="883"/>
      <c r="CE149" s="883"/>
      <c r="CF149" s="883"/>
      <c r="CG149" s="883"/>
      <c r="CH149" s="883"/>
      <c r="CI149" s="883"/>
      <c r="CJ149" s="883"/>
      <c r="CK149" s="883"/>
      <c r="CL149" s="883"/>
      <c r="CM149" s="883"/>
      <c r="CN149" s="883"/>
      <c r="CO149" s="883"/>
      <c r="CP149" s="883"/>
      <c r="CQ149" s="883"/>
      <c r="CR149" s="883"/>
      <c r="CS149" s="883"/>
      <c r="CT149" s="883"/>
      <c r="CU149" s="883"/>
    </row>
    <row r="150" spans="1:99" x14ac:dyDescent="0.25">
      <c r="A150" s="880" t="s">
        <v>1787</v>
      </c>
      <c r="B150" s="881" t="s">
        <v>1788</v>
      </c>
      <c r="C150" s="880" t="s">
        <v>2784</v>
      </c>
      <c r="D150" s="880"/>
      <c r="E150" s="884" t="s">
        <v>744</v>
      </c>
      <c r="F150" s="888">
        <v>1</v>
      </c>
      <c r="G150" s="881" t="s">
        <v>1007</v>
      </c>
      <c r="H150" s="881" t="s">
        <v>19</v>
      </c>
      <c r="I150" s="865">
        <v>46142</v>
      </c>
      <c r="J150" s="882" t="s">
        <v>8</v>
      </c>
      <c r="K150" s="880"/>
      <c r="L150" s="880"/>
      <c r="M150" s="883">
        <v>0</v>
      </c>
      <c r="N150" s="883">
        <v>0</v>
      </c>
      <c r="O150" s="883">
        <v>0</v>
      </c>
      <c r="P150" s="883">
        <v>26.08</v>
      </c>
      <c r="Q150" s="883">
        <v>15</v>
      </c>
      <c r="R150" s="883">
        <f t="shared" si="48"/>
        <v>3.91</v>
      </c>
      <c r="S150" s="883">
        <v>0</v>
      </c>
      <c r="T150" s="883">
        <v>5</v>
      </c>
      <c r="U150" s="883">
        <f t="shared" si="49"/>
        <v>0</v>
      </c>
      <c r="V150" s="883">
        <v>0</v>
      </c>
      <c r="W150" s="883">
        <v>8</v>
      </c>
      <c r="X150" s="883">
        <f t="shared" si="50"/>
        <v>0</v>
      </c>
      <c r="Y150" s="883">
        <v>0</v>
      </c>
      <c r="Z150" s="883">
        <v>0</v>
      </c>
      <c r="AA150" s="883">
        <v>0</v>
      </c>
      <c r="AB150" s="883">
        <f t="shared" si="51"/>
        <v>29.99</v>
      </c>
      <c r="AC150" s="883">
        <v>0</v>
      </c>
      <c r="AD150" s="881"/>
      <c r="AE150" s="880"/>
      <c r="AF150" s="883"/>
      <c r="AG150" s="889"/>
      <c r="AH150" s="880"/>
      <c r="AI150" s="880" t="s">
        <v>1241</v>
      </c>
      <c r="AJ150" s="884">
        <v>411</v>
      </c>
      <c r="AK150" s="883">
        <f t="shared" si="52"/>
        <v>26.08</v>
      </c>
      <c r="AL150" s="884">
        <v>413</v>
      </c>
      <c r="AM150" s="883">
        <f t="shared" si="53"/>
        <v>0</v>
      </c>
      <c r="AN150" s="884">
        <v>441</v>
      </c>
      <c r="AO150" s="883">
        <f t="shared" si="54"/>
        <v>0</v>
      </c>
      <c r="AP150" s="881"/>
      <c r="AQ150" s="881"/>
      <c r="AR150" s="883">
        <v>0</v>
      </c>
      <c r="AS150" s="883">
        <v>0</v>
      </c>
      <c r="AT150" s="883">
        <v>0</v>
      </c>
      <c r="AU150" s="880"/>
      <c r="AV150" s="886"/>
      <c r="AW150" s="880"/>
      <c r="AX150" s="886"/>
      <c r="AY150" s="880"/>
      <c r="AZ150" s="880"/>
      <c r="BA150" s="881"/>
      <c r="BB150" s="881" t="s">
        <v>57</v>
      </c>
      <c r="BC150" s="881"/>
      <c r="BD150" s="881"/>
      <c r="BE150" s="884">
        <f t="shared" si="55"/>
        <v>4</v>
      </c>
      <c r="BF150" s="887" t="str">
        <f t="shared" si="56"/>
        <v>SI</v>
      </c>
      <c r="BG150" s="883">
        <f t="shared" si="57"/>
        <v>26.08</v>
      </c>
      <c r="BH150" s="883">
        <f t="shared" si="58"/>
        <v>0</v>
      </c>
      <c r="BI150" s="883">
        <f t="shared" si="59"/>
        <v>0</v>
      </c>
      <c r="BJ150" s="883">
        <f t="shared" si="60"/>
        <v>0</v>
      </c>
      <c r="BK150" s="883">
        <f t="shared" si="61"/>
        <v>0</v>
      </c>
      <c r="BL150" s="883">
        <f t="shared" si="62"/>
        <v>3.91</v>
      </c>
      <c r="BM150" s="881"/>
      <c r="BN150" s="880"/>
      <c r="BO150" s="882" t="s">
        <v>1579</v>
      </c>
      <c r="BP150" s="882" t="s">
        <v>2286</v>
      </c>
      <c r="BQ150" s="882" t="s">
        <v>2285</v>
      </c>
      <c r="BR150" s="880"/>
      <c r="BS150" s="880"/>
      <c r="BT150" s="880"/>
      <c r="BU150" s="880"/>
      <c r="BV150" s="880"/>
      <c r="BW150" s="883">
        <v>0</v>
      </c>
      <c r="BX150" s="883">
        <v>0</v>
      </c>
      <c r="BY150" s="883">
        <v>0</v>
      </c>
      <c r="BZ150" s="890"/>
      <c r="CA150" s="883">
        <f t="shared" si="63"/>
        <v>0</v>
      </c>
      <c r="CB150" s="880"/>
      <c r="CC150" s="881"/>
      <c r="CD150" s="883"/>
      <c r="CE150" s="883"/>
      <c r="CF150" s="883"/>
      <c r="CG150" s="883"/>
      <c r="CH150" s="883"/>
      <c r="CI150" s="883"/>
      <c r="CJ150" s="883"/>
      <c r="CK150" s="883"/>
      <c r="CL150" s="883"/>
      <c r="CM150" s="883"/>
      <c r="CN150" s="883"/>
      <c r="CO150" s="883"/>
      <c r="CP150" s="883"/>
      <c r="CQ150" s="883"/>
      <c r="CR150" s="883"/>
      <c r="CS150" s="883"/>
      <c r="CT150" s="883"/>
      <c r="CU150" s="883"/>
    </row>
    <row r="151" spans="1:99" x14ac:dyDescent="0.25">
      <c r="A151" s="880" t="s">
        <v>1787</v>
      </c>
      <c r="B151" s="881" t="s">
        <v>1788</v>
      </c>
      <c r="C151" s="880" t="s">
        <v>2785</v>
      </c>
      <c r="D151" s="880"/>
      <c r="E151" s="884" t="s">
        <v>744</v>
      </c>
      <c r="F151" s="888">
        <v>1</v>
      </c>
      <c r="G151" s="881" t="s">
        <v>1007</v>
      </c>
      <c r="H151" s="881" t="s">
        <v>19</v>
      </c>
      <c r="I151" s="865">
        <v>46142</v>
      </c>
      <c r="J151" s="882" t="s">
        <v>8</v>
      </c>
      <c r="K151" s="880"/>
      <c r="L151" s="880"/>
      <c r="M151" s="883">
        <v>0</v>
      </c>
      <c r="N151" s="883">
        <v>0</v>
      </c>
      <c r="O151" s="883">
        <v>0</v>
      </c>
      <c r="P151" s="883">
        <v>21.74</v>
      </c>
      <c r="Q151" s="883">
        <v>15</v>
      </c>
      <c r="R151" s="883">
        <f t="shared" si="48"/>
        <v>3.26</v>
      </c>
      <c r="S151" s="883">
        <v>0</v>
      </c>
      <c r="T151" s="883">
        <v>5</v>
      </c>
      <c r="U151" s="883">
        <f t="shared" si="49"/>
        <v>0</v>
      </c>
      <c r="V151" s="883">
        <v>0</v>
      </c>
      <c r="W151" s="883">
        <v>8</v>
      </c>
      <c r="X151" s="883">
        <f t="shared" si="50"/>
        <v>0</v>
      </c>
      <c r="Y151" s="883">
        <v>0</v>
      </c>
      <c r="Z151" s="883">
        <v>0</v>
      </c>
      <c r="AA151" s="883">
        <v>0</v>
      </c>
      <c r="AB151" s="883">
        <f t="shared" si="51"/>
        <v>25</v>
      </c>
      <c r="AC151" s="883">
        <v>0</v>
      </c>
      <c r="AD151" s="881"/>
      <c r="AE151" s="880"/>
      <c r="AF151" s="883"/>
      <c r="AG151" s="889"/>
      <c r="AH151" s="880"/>
      <c r="AI151" s="880" t="s">
        <v>1241</v>
      </c>
      <c r="AJ151" s="884">
        <v>411</v>
      </c>
      <c r="AK151" s="883">
        <f t="shared" si="52"/>
        <v>21.74</v>
      </c>
      <c r="AL151" s="884">
        <v>413</v>
      </c>
      <c r="AM151" s="883">
        <f t="shared" si="53"/>
        <v>0</v>
      </c>
      <c r="AN151" s="884">
        <v>441</v>
      </c>
      <c r="AO151" s="883">
        <f t="shared" si="54"/>
        <v>0</v>
      </c>
      <c r="AP151" s="881"/>
      <c r="AQ151" s="881"/>
      <c r="AR151" s="883">
        <v>0</v>
      </c>
      <c r="AS151" s="883">
        <v>0</v>
      </c>
      <c r="AT151" s="883">
        <v>0</v>
      </c>
      <c r="AU151" s="880"/>
      <c r="AV151" s="886"/>
      <c r="AW151" s="880"/>
      <c r="AX151" s="886"/>
      <c r="AY151" s="880"/>
      <c r="AZ151" s="880"/>
      <c r="BA151" s="881"/>
      <c r="BB151" s="881" t="s">
        <v>57</v>
      </c>
      <c r="BC151" s="881"/>
      <c r="BD151" s="881"/>
      <c r="BE151" s="884">
        <f t="shared" si="55"/>
        <v>4</v>
      </c>
      <c r="BF151" s="887" t="str">
        <f t="shared" si="56"/>
        <v>SI</v>
      </c>
      <c r="BG151" s="883">
        <f t="shared" si="57"/>
        <v>21.74</v>
      </c>
      <c r="BH151" s="883">
        <f t="shared" si="58"/>
        <v>0</v>
      </c>
      <c r="BI151" s="883">
        <f t="shared" si="59"/>
        <v>0</v>
      </c>
      <c r="BJ151" s="883">
        <f t="shared" si="60"/>
        <v>0</v>
      </c>
      <c r="BK151" s="883">
        <f t="shared" si="61"/>
        <v>0</v>
      </c>
      <c r="BL151" s="883">
        <f t="shared" si="62"/>
        <v>3.26</v>
      </c>
      <c r="BM151" s="881"/>
      <c r="BN151" s="880"/>
      <c r="BO151" s="882" t="s">
        <v>1579</v>
      </c>
      <c r="BP151" s="882" t="s">
        <v>2286</v>
      </c>
      <c r="BQ151" s="882" t="s">
        <v>2285</v>
      </c>
      <c r="BR151" s="880"/>
      <c r="BS151" s="880"/>
      <c r="BT151" s="880"/>
      <c r="BU151" s="880"/>
      <c r="BV151" s="880"/>
      <c r="BW151" s="883">
        <v>0</v>
      </c>
      <c r="BX151" s="883">
        <v>0</v>
      </c>
      <c r="BY151" s="883">
        <v>0</v>
      </c>
      <c r="BZ151" s="890"/>
      <c r="CA151" s="883">
        <f t="shared" si="63"/>
        <v>0</v>
      </c>
      <c r="CB151" s="880"/>
      <c r="CC151" s="881"/>
      <c r="CD151" s="883"/>
      <c r="CE151" s="883"/>
      <c r="CF151" s="883"/>
      <c r="CG151" s="883"/>
      <c r="CH151" s="883"/>
      <c r="CI151" s="883"/>
      <c r="CJ151" s="883"/>
      <c r="CK151" s="883"/>
      <c r="CL151" s="883"/>
      <c r="CM151" s="883"/>
      <c r="CN151" s="883"/>
      <c r="CO151" s="883"/>
      <c r="CP151" s="883"/>
      <c r="CQ151" s="883"/>
      <c r="CR151" s="883"/>
      <c r="CS151" s="883"/>
      <c r="CT151" s="883"/>
      <c r="CU151" s="883"/>
    </row>
    <row r="152" spans="1:99" x14ac:dyDescent="0.25">
      <c r="A152" s="880" t="s">
        <v>1787</v>
      </c>
      <c r="B152" s="881" t="s">
        <v>1788</v>
      </c>
      <c r="C152" s="880" t="s">
        <v>2786</v>
      </c>
      <c r="D152" s="880"/>
      <c r="E152" s="884" t="s">
        <v>744</v>
      </c>
      <c r="F152" s="888">
        <v>1</v>
      </c>
      <c r="G152" s="881" t="s">
        <v>1007</v>
      </c>
      <c r="H152" s="881" t="s">
        <v>19</v>
      </c>
      <c r="I152" s="865">
        <v>46142</v>
      </c>
      <c r="J152" s="882" t="s">
        <v>8</v>
      </c>
      <c r="K152" s="880"/>
      <c r="L152" s="880"/>
      <c r="M152" s="883">
        <v>0</v>
      </c>
      <c r="N152" s="883">
        <v>0</v>
      </c>
      <c r="O152" s="883">
        <v>0</v>
      </c>
      <c r="P152" s="883">
        <v>17.39</v>
      </c>
      <c r="Q152" s="883">
        <v>15</v>
      </c>
      <c r="R152" s="883">
        <f t="shared" si="48"/>
        <v>2.61</v>
      </c>
      <c r="S152" s="883">
        <v>0</v>
      </c>
      <c r="T152" s="883">
        <v>5</v>
      </c>
      <c r="U152" s="883">
        <f t="shared" si="49"/>
        <v>0</v>
      </c>
      <c r="V152" s="883">
        <v>0</v>
      </c>
      <c r="W152" s="883">
        <v>8</v>
      </c>
      <c r="X152" s="883">
        <f t="shared" si="50"/>
        <v>0</v>
      </c>
      <c r="Y152" s="883">
        <v>0</v>
      </c>
      <c r="Z152" s="883">
        <v>0</v>
      </c>
      <c r="AA152" s="883">
        <v>0</v>
      </c>
      <c r="AB152" s="883">
        <f t="shared" si="51"/>
        <v>20</v>
      </c>
      <c r="AC152" s="883">
        <v>0</v>
      </c>
      <c r="AD152" s="881"/>
      <c r="AE152" s="880"/>
      <c r="AF152" s="883"/>
      <c r="AG152" s="889"/>
      <c r="AH152" s="880"/>
      <c r="AI152" s="880" t="s">
        <v>1241</v>
      </c>
      <c r="AJ152" s="884">
        <v>411</v>
      </c>
      <c r="AK152" s="883">
        <f t="shared" si="52"/>
        <v>17.39</v>
      </c>
      <c r="AL152" s="884">
        <v>413</v>
      </c>
      <c r="AM152" s="883">
        <f t="shared" si="53"/>
        <v>0</v>
      </c>
      <c r="AN152" s="884">
        <v>441</v>
      </c>
      <c r="AO152" s="883">
        <f t="shared" si="54"/>
        <v>0</v>
      </c>
      <c r="AP152" s="881"/>
      <c r="AQ152" s="881"/>
      <c r="AR152" s="883">
        <v>0</v>
      </c>
      <c r="AS152" s="883">
        <v>0</v>
      </c>
      <c r="AT152" s="883">
        <v>0</v>
      </c>
      <c r="AU152" s="880"/>
      <c r="AV152" s="886"/>
      <c r="AW152" s="880"/>
      <c r="AX152" s="886"/>
      <c r="AY152" s="880"/>
      <c r="AZ152" s="880"/>
      <c r="BA152" s="881"/>
      <c r="BB152" s="881" t="s">
        <v>57</v>
      </c>
      <c r="BC152" s="881"/>
      <c r="BD152" s="881"/>
      <c r="BE152" s="884">
        <f t="shared" si="55"/>
        <v>4</v>
      </c>
      <c r="BF152" s="887" t="str">
        <f t="shared" si="56"/>
        <v>SI</v>
      </c>
      <c r="BG152" s="883">
        <f t="shared" si="57"/>
        <v>17.39</v>
      </c>
      <c r="BH152" s="883">
        <f t="shared" si="58"/>
        <v>0</v>
      </c>
      <c r="BI152" s="883">
        <f t="shared" si="59"/>
        <v>0</v>
      </c>
      <c r="BJ152" s="883">
        <f t="shared" si="60"/>
        <v>0</v>
      </c>
      <c r="BK152" s="883">
        <f t="shared" si="61"/>
        <v>0</v>
      </c>
      <c r="BL152" s="883">
        <f t="shared" si="62"/>
        <v>2.61</v>
      </c>
      <c r="BM152" s="881"/>
      <c r="BN152" s="880"/>
      <c r="BO152" s="882" t="s">
        <v>1579</v>
      </c>
      <c r="BP152" s="882" t="s">
        <v>2286</v>
      </c>
      <c r="BQ152" s="882" t="s">
        <v>2285</v>
      </c>
      <c r="BR152" s="880"/>
      <c r="BS152" s="880"/>
      <c r="BT152" s="880"/>
      <c r="BU152" s="880"/>
      <c r="BV152" s="880"/>
      <c r="BW152" s="883">
        <v>0</v>
      </c>
      <c r="BX152" s="883">
        <v>0</v>
      </c>
      <c r="BY152" s="883">
        <v>0</v>
      </c>
      <c r="BZ152" s="890"/>
      <c r="CA152" s="883">
        <f t="shared" si="63"/>
        <v>0</v>
      </c>
      <c r="CB152" s="880"/>
      <c r="CC152" s="881"/>
      <c r="CD152" s="883"/>
      <c r="CE152" s="883"/>
      <c r="CF152" s="883"/>
      <c r="CG152" s="883"/>
      <c r="CH152" s="883"/>
      <c r="CI152" s="883"/>
      <c r="CJ152" s="883"/>
      <c r="CK152" s="883"/>
      <c r="CL152" s="883"/>
      <c r="CM152" s="883"/>
      <c r="CN152" s="883"/>
      <c r="CO152" s="883"/>
      <c r="CP152" s="883"/>
      <c r="CQ152" s="883"/>
      <c r="CR152" s="883"/>
      <c r="CS152" s="883"/>
      <c r="CT152" s="883"/>
      <c r="CU152" s="883"/>
    </row>
    <row r="153" spans="1:99" x14ac:dyDescent="0.25">
      <c r="A153" s="880" t="s">
        <v>1787</v>
      </c>
      <c r="B153" s="881" t="s">
        <v>1788</v>
      </c>
      <c r="C153" s="880" t="s">
        <v>2786</v>
      </c>
      <c r="D153" s="880"/>
      <c r="E153" s="884" t="s">
        <v>744</v>
      </c>
      <c r="F153" s="888">
        <v>1</v>
      </c>
      <c r="G153" s="881" t="s">
        <v>1007</v>
      </c>
      <c r="H153" s="881" t="s">
        <v>19</v>
      </c>
      <c r="I153" s="865">
        <v>46142</v>
      </c>
      <c r="J153" s="882" t="s">
        <v>8</v>
      </c>
      <c r="K153" s="880"/>
      <c r="L153" s="880"/>
      <c r="M153" s="883">
        <v>0</v>
      </c>
      <c r="N153" s="883">
        <v>0</v>
      </c>
      <c r="O153" s="883">
        <v>0</v>
      </c>
      <c r="P153" s="883">
        <v>17.39</v>
      </c>
      <c r="Q153" s="883">
        <v>15</v>
      </c>
      <c r="R153" s="883">
        <f t="shared" si="48"/>
        <v>2.61</v>
      </c>
      <c r="S153" s="883">
        <v>0</v>
      </c>
      <c r="T153" s="883">
        <v>5</v>
      </c>
      <c r="U153" s="883">
        <f t="shared" si="49"/>
        <v>0</v>
      </c>
      <c r="V153" s="883">
        <v>0</v>
      </c>
      <c r="W153" s="883">
        <v>8</v>
      </c>
      <c r="X153" s="883">
        <f t="shared" si="50"/>
        <v>0</v>
      </c>
      <c r="Y153" s="883">
        <v>0</v>
      </c>
      <c r="Z153" s="883">
        <v>0</v>
      </c>
      <c r="AA153" s="883">
        <v>0</v>
      </c>
      <c r="AB153" s="883">
        <f t="shared" si="51"/>
        <v>20</v>
      </c>
      <c r="AC153" s="883">
        <v>0</v>
      </c>
      <c r="AD153" s="881"/>
      <c r="AE153" s="880"/>
      <c r="AF153" s="883"/>
      <c r="AG153" s="889"/>
      <c r="AH153" s="880"/>
      <c r="AI153" s="880" t="s">
        <v>1241</v>
      </c>
      <c r="AJ153" s="884">
        <v>411</v>
      </c>
      <c r="AK153" s="883">
        <f t="shared" si="52"/>
        <v>17.39</v>
      </c>
      <c r="AL153" s="884">
        <v>413</v>
      </c>
      <c r="AM153" s="883">
        <f t="shared" si="53"/>
        <v>0</v>
      </c>
      <c r="AN153" s="884">
        <v>441</v>
      </c>
      <c r="AO153" s="883">
        <f t="shared" si="54"/>
        <v>0</v>
      </c>
      <c r="AP153" s="881"/>
      <c r="AQ153" s="881"/>
      <c r="AR153" s="883">
        <v>0</v>
      </c>
      <c r="AS153" s="883">
        <v>0</v>
      </c>
      <c r="AT153" s="883">
        <v>0</v>
      </c>
      <c r="AU153" s="880"/>
      <c r="AV153" s="886"/>
      <c r="AW153" s="880"/>
      <c r="AX153" s="886"/>
      <c r="AY153" s="880"/>
      <c r="AZ153" s="880"/>
      <c r="BA153" s="881"/>
      <c r="BB153" s="881" t="s">
        <v>57</v>
      </c>
      <c r="BC153" s="881"/>
      <c r="BD153" s="881"/>
      <c r="BE153" s="884">
        <f t="shared" si="55"/>
        <v>4</v>
      </c>
      <c r="BF153" s="887" t="str">
        <f t="shared" si="56"/>
        <v>SI</v>
      </c>
      <c r="BG153" s="883">
        <f t="shared" si="57"/>
        <v>17.39</v>
      </c>
      <c r="BH153" s="883">
        <f t="shared" si="58"/>
        <v>0</v>
      </c>
      <c r="BI153" s="883">
        <f t="shared" si="59"/>
        <v>0</v>
      </c>
      <c r="BJ153" s="883">
        <f t="shared" si="60"/>
        <v>0</v>
      </c>
      <c r="BK153" s="883">
        <f t="shared" si="61"/>
        <v>0</v>
      </c>
      <c r="BL153" s="883">
        <f t="shared" si="62"/>
        <v>2.61</v>
      </c>
      <c r="BM153" s="881"/>
      <c r="BN153" s="880"/>
      <c r="BO153" s="882" t="s">
        <v>1579</v>
      </c>
      <c r="BP153" s="882" t="s">
        <v>2286</v>
      </c>
      <c r="BQ153" s="882" t="s">
        <v>2285</v>
      </c>
      <c r="BR153" s="880"/>
      <c r="BS153" s="880"/>
      <c r="BT153" s="880"/>
      <c r="BU153" s="880"/>
      <c r="BV153" s="880"/>
      <c r="BW153" s="883">
        <v>0</v>
      </c>
      <c r="BX153" s="883">
        <v>0</v>
      </c>
      <c r="BY153" s="883">
        <v>0</v>
      </c>
      <c r="BZ153" s="890"/>
      <c r="CA153" s="883">
        <f t="shared" si="63"/>
        <v>0</v>
      </c>
      <c r="CB153" s="880"/>
      <c r="CC153" s="881"/>
      <c r="CD153" s="883"/>
      <c r="CE153" s="883"/>
      <c r="CF153" s="883"/>
      <c r="CG153" s="883"/>
      <c r="CH153" s="883"/>
      <c r="CI153" s="883"/>
      <c r="CJ153" s="883"/>
      <c r="CK153" s="883"/>
      <c r="CL153" s="883"/>
      <c r="CM153" s="883"/>
      <c r="CN153" s="883"/>
      <c r="CO153" s="883"/>
      <c r="CP153" s="883"/>
      <c r="CQ153" s="883"/>
      <c r="CR153" s="883"/>
      <c r="CS153" s="883"/>
      <c r="CT153" s="883"/>
      <c r="CU153" s="883"/>
    </row>
    <row r="154" spans="1:99" x14ac:dyDescent="0.25">
      <c r="A154" s="880" t="s">
        <v>1787</v>
      </c>
      <c r="B154" s="881" t="s">
        <v>1788</v>
      </c>
      <c r="C154" s="880" t="s">
        <v>2787</v>
      </c>
      <c r="D154" s="880"/>
      <c r="E154" s="884" t="s">
        <v>744</v>
      </c>
      <c r="F154" s="888">
        <v>1</v>
      </c>
      <c r="G154" s="881" t="s">
        <v>1007</v>
      </c>
      <c r="H154" s="881" t="s">
        <v>19</v>
      </c>
      <c r="I154" s="865">
        <v>46142</v>
      </c>
      <c r="J154" s="882" t="s">
        <v>8</v>
      </c>
      <c r="K154" s="880"/>
      <c r="L154" s="880"/>
      <c r="M154" s="883">
        <v>0</v>
      </c>
      <c r="N154" s="883">
        <v>0</v>
      </c>
      <c r="O154" s="883">
        <v>0</v>
      </c>
      <c r="P154" s="883">
        <v>22.32</v>
      </c>
      <c r="Q154" s="883">
        <v>15</v>
      </c>
      <c r="R154" s="883">
        <f t="shared" si="48"/>
        <v>3.35</v>
      </c>
      <c r="S154" s="883">
        <v>0</v>
      </c>
      <c r="T154" s="883">
        <v>5</v>
      </c>
      <c r="U154" s="883">
        <f t="shared" si="49"/>
        <v>0</v>
      </c>
      <c r="V154" s="883">
        <v>0</v>
      </c>
      <c r="W154" s="883">
        <v>8</v>
      </c>
      <c r="X154" s="883">
        <f t="shared" si="50"/>
        <v>0</v>
      </c>
      <c r="Y154" s="883">
        <v>0</v>
      </c>
      <c r="Z154" s="883">
        <v>0</v>
      </c>
      <c r="AA154" s="883">
        <v>0</v>
      </c>
      <c r="AB154" s="883">
        <f t="shared" si="51"/>
        <v>25.67</v>
      </c>
      <c r="AC154" s="883">
        <v>0</v>
      </c>
      <c r="AD154" s="881"/>
      <c r="AE154" s="880"/>
      <c r="AF154" s="883"/>
      <c r="AG154" s="889"/>
      <c r="AH154" s="880"/>
      <c r="AI154" s="880" t="s">
        <v>1241</v>
      </c>
      <c r="AJ154" s="884">
        <v>411</v>
      </c>
      <c r="AK154" s="883">
        <f t="shared" si="52"/>
        <v>22.32</v>
      </c>
      <c r="AL154" s="884">
        <v>413</v>
      </c>
      <c r="AM154" s="883">
        <f t="shared" si="53"/>
        <v>0</v>
      </c>
      <c r="AN154" s="884">
        <v>441</v>
      </c>
      <c r="AO154" s="883">
        <f t="shared" si="54"/>
        <v>0</v>
      </c>
      <c r="AP154" s="881"/>
      <c r="AQ154" s="881"/>
      <c r="AR154" s="883">
        <v>0</v>
      </c>
      <c r="AS154" s="883">
        <v>0</v>
      </c>
      <c r="AT154" s="883">
        <v>0</v>
      </c>
      <c r="AU154" s="880"/>
      <c r="AV154" s="886"/>
      <c r="AW154" s="880"/>
      <c r="AX154" s="886"/>
      <c r="AY154" s="880"/>
      <c r="AZ154" s="880"/>
      <c r="BA154" s="881"/>
      <c r="BB154" s="881" t="s">
        <v>57</v>
      </c>
      <c r="BC154" s="881"/>
      <c r="BD154" s="881"/>
      <c r="BE154" s="884">
        <f t="shared" si="55"/>
        <v>4</v>
      </c>
      <c r="BF154" s="887" t="str">
        <f t="shared" si="56"/>
        <v>SI</v>
      </c>
      <c r="BG154" s="883">
        <f t="shared" si="57"/>
        <v>22.32</v>
      </c>
      <c r="BH154" s="883">
        <f t="shared" si="58"/>
        <v>0</v>
      </c>
      <c r="BI154" s="883">
        <f t="shared" si="59"/>
        <v>0</v>
      </c>
      <c r="BJ154" s="883">
        <f t="shared" si="60"/>
        <v>0</v>
      </c>
      <c r="BK154" s="883">
        <f t="shared" si="61"/>
        <v>0</v>
      </c>
      <c r="BL154" s="883">
        <f t="shared" si="62"/>
        <v>3.35</v>
      </c>
      <c r="BM154" s="881"/>
      <c r="BN154" s="880"/>
      <c r="BO154" s="882" t="s">
        <v>1579</v>
      </c>
      <c r="BP154" s="882" t="s">
        <v>2286</v>
      </c>
      <c r="BQ154" s="882" t="s">
        <v>2285</v>
      </c>
      <c r="BR154" s="880"/>
      <c r="BS154" s="880"/>
      <c r="BT154" s="880"/>
      <c r="BU154" s="880"/>
      <c r="BV154" s="880"/>
      <c r="BW154" s="883">
        <v>0</v>
      </c>
      <c r="BX154" s="883">
        <v>0</v>
      </c>
      <c r="BY154" s="883">
        <v>0</v>
      </c>
      <c r="BZ154" s="890"/>
      <c r="CA154" s="883">
        <f t="shared" si="63"/>
        <v>0</v>
      </c>
      <c r="CB154" s="880"/>
      <c r="CC154" s="881"/>
      <c r="CD154" s="883"/>
      <c r="CE154" s="883"/>
      <c r="CF154" s="883"/>
      <c r="CG154" s="883"/>
      <c r="CH154" s="883"/>
      <c r="CI154" s="883"/>
      <c r="CJ154" s="883"/>
      <c r="CK154" s="883"/>
      <c r="CL154" s="883"/>
      <c r="CM154" s="883"/>
      <c r="CN154" s="883"/>
      <c r="CO154" s="883"/>
      <c r="CP154" s="883"/>
      <c r="CQ154" s="883"/>
      <c r="CR154" s="883"/>
      <c r="CS154" s="883"/>
      <c r="CT154" s="883"/>
      <c r="CU154" s="883"/>
    </row>
    <row r="155" spans="1:99" x14ac:dyDescent="0.25">
      <c r="A155" s="880" t="s">
        <v>1787</v>
      </c>
      <c r="B155" s="881" t="s">
        <v>1788</v>
      </c>
      <c r="C155" s="880" t="s">
        <v>2788</v>
      </c>
      <c r="D155" s="880"/>
      <c r="E155" s="884" t="s">
        <v>744</v>
      </c>
      <c r="F155" s="888">
        <v>1</v>
      </c>
      <c r="G155" s="881" t="s">
        <v>1007</v>
      </c>
      <c r="H155" s="881" t="s">
        <v>19</v>
      </c>
      <c r="I155" s="865">
        <v>46142</v>
      </c>
      <c r="J155" s="882" t="s">
        <v>8</v>
      </c>
      <c r="K155" s="880"/>
      <c r="L155" s="880"/>
      <c r="M155" s="883">
        <v>0</v>
      </c>
      <c r="N155" s="883">
        <v>0</v>
      </c>
      <c r="O155" s="883">
        <v>0</v>
      </c>
      <c r="P155" s="883">
        <v>43.48</v>
      </c>
      <c r="Q155" s="883">
        <v>15</v>
      </c>
      <c r="R155" s="883">
        <f t="shared" si="48"/>
        <v>6.52</v>
      </c>
      <c r="S155" s="883">
        <v>0</v>
      </c>
      <c r="T155" s="883">
        <v>5</v>
      </c>
      <c r="U155" s="883">
        <f t="shared" si="49"/>
        <v>0</v>
      </c>
      <c r="V155" s="883">
        <v>0</v>
      </c>
      <c r="W155" s="883">
        <v>8</v>
      </c>
      <c r="X155" s="883">
        <f t="shared" si="50"/>
        <v>0</v>
      </c>
      <c r="Y155" s="883">
        <v>0</v>
      </c>
      <c r="Z155" s="883">
        <v>0</v>
      </c>
      <c r="AA155" s="883">
        <v>0</v>
      </c>
      <c r="AB155" s="883">
        <f t="shared" si="51"/>
        <v>50</v>
      </c>
      <c r="AC155" s="883">
        <v>0</v>
      </c>
      <c r="AD155" s="881"/>
      <c r="AE155" s="880"/>
      <c r="AF155" s="883"/>
      <c r="AG155" s="889"/>
      <c r="AH155" s="880"/>
      <c r="AI155" s="880" t="s">
        <v>1241</v>
      </c>
      <c r="AJ155" s="884">
        <v>411</v>
      </c>
      <c r="AK155" s="883">
        <f t="shared" si="52"/>
        <v>43.48</v>
      </c>
      <c r="AL155" s="884">
        <v>413</v>
      </c>
      <c r="AM155" s="883">
        <f t="shared" si="53"/>
        <v>0</v>
      </c>
      <c r="AN155" s="884">
        <v>441</v>
      </c>
      <c r="AO155" s="883">
        <f t="shared" si="54"/>
        <v>0</v>
      </c>
      <c r="AP155" s="881"/>
      <c r="AQ155" s="881" t="s">
        <v>1222</v>
      </c>
      <c r="AR155" s="883">
        <v>4.5599999999999996</v>
      </c>
      <c r="AS155" s="883">
        <v>1.3</v>
      </c>
      <c r="AT155" s="883">
        <v>0</v>
      </c>
      <c r="AU155" s="880"/>
      <c r="AV155" s="886"/>
      <c r="AW155" s="880"/>
      <c r="AX155" s="886"/>
      <c r="AY155" s="880"/>
      <c r="AZ155" s="880"/>
      <c r="BA155" s="881"/>
      <c r="BB155" s="881" t="s">
        <v>57</v>
      </c>
      <c r="BC155" s="881"/>
      <c r="BD155" s="881"/>
      <c r="BE155" s="884">
        <f t="shared" si="55"/>
        <v>4</v>
      </c>
      <c r="BF155" s="887" t="str">
        <f t="shared" si="56"/>
        <v>SI</v>
      </c>
      <c r="BG155" s="883">
        <f t="shared" si="57"/>
        <v>43.48</v>
      </c>
      <c r="BH155" s="883">
        <f t="shared" si="58"/>
        <v>0</v>
      </c>
      <c r="BI155" s="883">
        <f t="shared" si="59"/>
        <v>0</v>
      </c>
      <c r="BJ155" s="883">
        <f t="shared" si="60"/>
        <v>0</v>
      </c>
      <c r="BK155" s="883">
        <f t="shared" si="61"/>
        <v>0</v>
      </c>
      <c r="BL155" s="883">
        <f t="shared" si="62"/>
        <v>6.52</v>
      </c>
      <c r="BM155" s="881"/>
      <c r="BN155" s="880"/>
      <c r="BO155" s="882" t="s">
        <v>1579</v>
      </c>
      <c r="BP155" s="882" t="s">
        <v>2286</v>
      </c>
      <c r="BQ155" s="882" t="s">
        <v>2285</v>
      </c>
      <c r="BR155" s="880"/>
      <c r="BS155" s="880"/>
      <c r="BT155" s="880"/>
      <c r="BU155" s="880"/>
      <c r="BV155" s="880"/>
      <c r="BW155" s="883">
        <v>0</v>
      </c>
      <c r="BX155" s="883">
        <v>0</v>
      </c>
      <c r="BY155" s="883">
        <v>0</v>
      </c>
      <c r="BZ155" s="890"/>
      <c r="CA155" s="883">
        <f t="shared" si="63"/>
        <v>0</v>
      </c>
      <c r="CB155" s="880"/>
      <c r="CC155" s="881"/>
      <c r="CD155" s="883"/>
      <c r="CE155" s="883"/>
      <c r="CF155" s="883"/>
      <c r="CG155" s="883"/>
      <c r="CH155" s="883"/>
      <c r="CI155" s="883"/>
      <c r="CJ155" s="883"/>
      <c r="CK155" s="883"/>
      <c r="CL155" s="883"/>
      <c r="CM155" s="883"/>
      <c r="CN155" s="883"/>
      <c r="CO155" s="883"/>
      <c r="CP155" s="883"/>
      <c r="CQ155" s="883"/>
      <c r="CR155" s="883"/>
      <c r="CS155" s="883"/>
      <c r="CT155" s="883"/>
      <c r="CU155" s="883"/>
    </row>
    <row r="156" spans="1:99" x14ac:dyDescent="0.25">
      <c r="A156" s="880" t="s">
        <v>1787</v>
      </c>
      <c r="B156" s="881" t="s">
        <v>1788</v>
      </c>
      <c r="C156" s="880" t="s">
        <v>2789</v>
      </c>
      <c r="D156" s="880"/>
      <c r="E156" s="884" t="s">
        <v>744</v>
      </c>
      <c r="F156" s="888">
        <v>1</v>
      </c>
      <c r="G156" s="881" t="s">
        <v>1007</v>
      </c>
      <c r="H156" s="881" t="s">
        <v>19</v>
      </c>
      <c r="I156" s="865">
        <v>46142</v>
      </c>
      <c r="J156" s="882" t="s">
        <v>8</v>
      </c>
      <c r="K156" s="880"/>
      <c r="L156" s="880"/>
      <c r="M156" s="883">
        <v>0</v>
      </c>
      <c r="N156" s="883">
        <v>0</v>
      </c>
      <c r="O156" s="883">
        <v>0</v>
      </c>
      <c r="P156" s="883">
        <v>21.73</v>
      </c>
      <c r="Q156" s="883">
        <v>15</v>
      </c>
      <c r="R156" s="883">
        <f t="shared" si="48"/>
        <v>3.26</v>
      </c>
      <c r="S156" s="883">
        <v>0</v>
      </c>
      <c r="T156" s="883">
        <v>5</v>
      </c>
      <c r="U156" s="883">
        <f t="shared" si="49"/>
        <v>0</v>
      </c>
      <c r="V156" s="883">
        <v>0</v>
      </c>
      <c r="W156" s="883">
        <v>8</v>
      </c>
      <c r="X156" s="883">
        <f t="shared" si="50"/>
        <v>0</v>
      </c>
      <c r="Y156" s="883">
        <v>0</v>
      </c>
      <c r="Z156" s="883">
        <v>0</v>
      </c>
      <c r="AA156" s="883">
        <v>0</v>
      </c>
      <c r="AB156" s="883">
        <f t="shared" si="51"/>
        <v>24.99</v>
      </c>
      <c r="AC156" s="883">
        <v>0</v>
      </c>
      <c r="AD156" s="881"/>
      <c r="AE156" s="880"/>
      <c r="AF156" s="883"/>
      <c r="AG156" s="889"/>
      <c r="AH156" s="880"/>
      <c r="AI156" s="880" t="s">
        <v>1241</v>
      </c>
      <c r="AJ156" s="884">
        <v>411</v>
      </c>
      <c r="AK156" s="883">
        <f t="shared" si="52"/>
        <v>21.73</v>
      </c>
      <c r="AL156" s="884">
        <v>413</v>
      </c>
      <c r="AM156" s="883">
        <f t="shared" si="53"/>
        <v>0</v>
      </c>
      <c r="AN156" s="884">
        <v>441</v>
      </c>
      <c r="AO156" s="883">
        <f t="shared" si="54"/>
        <v>0</v>
      </c>
      <c r="AP156" s="881"/>
      <c r="AQ156" s="881"/>
      <c r="AR156" s="883">
        <v>0</v>
      </c>
      <c r="AS156" s="883">
        <v>0</v>
      </c>
      <c r="AT156" s="883">
        <v>0</v>
      </c>
      <c r="AU156" s="880"/>
      <c r="AV156" s="886"/>
      <c r="AW156" s="880"/>
      <c r="AX156" s="886"/>
      <c r="AY156" s="880"/>
      <c r="AZ156" s="880"/>
      <c r="BA156" s="881"/>
      <c r="BB156" s="881" t="s">
        <v>57</v>
      </c>
      <c r="BC156" s="881"/>
      <c r="BD156" s="881"/>
      <c r="BE156" s="884">
        <f t="shared" si="55"/>
        <v>4</v>
      </c>
      <c r="BF156" s="887" t="str">
        <f t="shared" si="56"/>
        <v>SI</v>
      </c>
      <c r="BG156" s="883">
        <f t="shared" si="57"/>
        <v>21.73</v>
      </c>
      <c r="BH156" s="883">
        <f t="shared" si="58"/>
        <v>0</v>
      </c>
      <c r="BI156" s="883">
        <f t="shared" si="59"/>
        <v>0</v>
      </c>
      <c r="BJ156" s="883">
        <f t="shared" si="60"/>
        <v>0</v>
      </c>
      <c r="BK156" s="883">
        <f t="shared" si="61"/>
        <v>0</v>
      </c>
      <c r="BL156" s="883">
        <f t="shared" si="62"/>
        <v>3.26</v>
      </c>
      <c r="BM156" s="881"/>
      <c r="BN156" s="880"/>
      <c r="BO156" s="882" t="s">
        <v>1579</v>
      </c>
      <c r="BP156" s="882" t="s">
        <v>2286</v>
      </c>
      <c r="BQ156" s="882" t="s">
        <v>2285</v>
      </c>
      <c r="BR156" s="880"/>
      <c r="BS156" s="880"/>
      <c r="BT156" s="880"/>
      <c r="BU156" s="880"/>
      <c r="BV156" s="880"/>
      <c r="BW156" s="883">
        <v>0</v>
      </c>
      <c r="BX156" s="883">
        <v>0</v>
      </c>
      <c r="BY156" s="883">
        <v>0</v>
      </c>
      <c r="BZ156" s="890"/>
      <c r="CA156" s="883">
        <f t="shared" si="63"/>
        <v>0</v>
      </c>
      <c r="CB156" s="880"/>
      <c r="CC156" s="881"/>
      <c r="CD156" s="883"/>
      <c r="CE156" s="883"/>
      <c r="CF156" s="883"/>
      <c r="CG156" s="883"/>
      <c r="CH156" s="883"/>
      <c r="CI156" s="883"/>
      <c r="CJ156" s="883"/>
      <c r="CK156" s="883"/>
      <c r="CL156" s="883"/>
      <c r="CM156" s="883"/>
      <c r="CN156" s="883"/>
      <c r="CO156" s="883"/>
      <c r="CP156" s="883"/>
      <c r="CQ156" s="883"/>
      <c r="CR156" s="883"/>
      <c r="CS156" s="883"/>
      <c r="CT156" s="883"/>
      <c r="CU156" s="883"/>
    </row>
    <row r="157" spans="1:99" x14ac:dyDescent="0.25">
      <c r="A157" s="880" t="s">
        <v>1787</v>
      </c>
      <c r="B157" s="881" t="s">
        <v>1788</v>
      </c>
      <c r="C157" s="880" t="s">
        <v>2790</v>
      </c>
      <c r="D157" s="880"/>
      <c r="E157" s="884" t="s">
        <v>744</v>
      </c>
      <c r="F157" s="888">
        <v>1</v>
      </c>
      <c r="G157" s="881" t="s">
        <v>1007</v>
      </c>
      <c r="H157" s="881" t="s">
        <v>19</v>
      </c>
      <c r="I157" s="865">
        <v>46142</v>
      </c>
      <c r="J157" s="882" t="s">
        <v>8</v>
      </c>
      <c r="K157" s="880"/>
      <c r="L157" s="880"/>
      <c r="M157" s="883">
        <v>0</v>
      </c>
      <c r="N157" s="883">
        <v>0</v>
      </c>
      <c r="O157" s="883">
        <v>0</v>
      </c>
      <c r="P157" s="883">
        <v>21.73</v>
      </c>
      <c r="Q157" s="883">
        <v>15</v>
      </c>
      <c r="R157" s="883">
        <f t="shared" si="48"/>
        <v>3.26</v>
      </c>
      <c r="S157" s="883">
        <v>0</v>
      </c>
      <c r="T157" s="883">
        <v>5</v>
      </c>
      <c r="U157" s="883">
        <f t="shared" si="49"/>
        <v>0</v>
      </c>
      <c r="V157" s="883">
        <v>0</v>
      </c>
      <c r="W157" s="883">
        <v>8</v>
      </c>
      <c r="X157" s="883">
        <f t="shared" si="50"/>
        <v>0</v>
      </c>
      <c r="Y157" s="883">
        <v>0</v>
      </c>
      <c r="Z157" s="883">
        <v>0</v>
      </c>
      <c r="AA157" s="883">
        <v>0</v>
      </c>
      <c r="AB157" s="883">
        <f t="shared" si="51"/>
        <v>24.99</v>
      </c>
      <c r="AC157" s="883">
        <v>0</v>
      </c>
      <c r="AD157" s="881"/>
      <c r="AE157" s="880"/>
      <c r="AF157" s="883"/>
      <c r="AG157" s="889"/>
      <c r="AH157" s="880"/>
      <c r="AI157" s="880" t="s">
        <v>1241</v>
      </c>
      <c r="AJ157" s="884">
        <v>411</v>
      </c>
      <c r="AK157" s="883">
        <f t="shared" si="52"/>
        <v>21.73</v>
      </c>
      <c r="AL157" s="884">
        <v>413</v>
      </c>
      <c r="AM157" s="883">
        <f t="shared" si="53"/>
        <v>0</v>
      </c>
      <c r="AN157" s="884">
        <v>441</v>
      </c>
      <c r="AO157" s="883">
        <f t="shared" si="54"/>
        <v>0</v>
      </c>
      <c r="AP157" s="881"/>
      <c r="AQ157" s="881"/>
      <c r="AR157" s="883">
        <v>0</v>
      </c>
      <c r="AS157" s="883">
        <v>0</v>
      </c>
      <c r="AT157" s="883">
        <v>0</v>
      </c>
      <c r="AU157" s="880"/>
      <c r="AV157" s="886"/>
      <c r="AW157" s="880"/>
      <c r="AX157" s="886"/>
      <c r="AY157" s="880"/>
      <c r="AZ157" s="880"/>
      <c r="BA157" s="881"/>
      <c r="BB157" s="881" t="s">
        <v>57</v>
      </c>
      <c r="BC157" s="881"/>
      <c r="BD157" s="881"/>
      <c r="BE157" s="884">
        <f t="shared" si="55"/>
        <v>4</v>
      </c>
      <c r="BF157" s="887" t="str">
        <f t="shared" si="56"/>
        <v>SI</v>
      </c>
      <c r="BG157" s="883">
        <f t="shared" si="57"/>
        <v>21.73</v>
      </c>
      <c r="BH157" s="883">
        <f t="shared" si="58"/>
        <v>0</v>
      </c>
      <c r="BI157" s="883">
        <f t="shared" si="59"/>
        <v>0</v>
      </c>
      <c r="BJ157" s="883">
        <f t="shared" si="60"/>
        <v>0</v>
      </c>
      <c r="BK157" s="883">
        <f t="shared" si="61"/>
        <v>0</v>
      </c>
      <c r="BL157" s="883">
        <f t="shared" si="62"/>
        <v>3.26</v>
      </c>
      <c r="BM157" s="881"/>
      <c r="BN157" s="880"/>
      <c r="BO157" s="882" t="s">
        <v>1579</v>
      </c>
      <c r="BP157" s="882" t="s">
        <v>2286</v>
      </c>
      <c r="BQ157" s="882" t="s">
        <v>2285</v>
      </c>
      <c r="BR157" s="880"/>
      <c r="BS157" s="880"/>
      <c r="BT157" s="880"/>
      <c r="BU157" s="880"/>
      <c r="BV157" s="880"/>
      <c r="BW157" s="883">
        <v>0</v>
      </c>
      <c r="BX157" s="883">
        <v>0</v>
      </c>
      <c r="BY157" s="883">
        <v>0</v>
      </c>
      <c r="BZ157" s="890"/>
      <c r="CA157" s="883">
        <f t="shared" si="63"/>
        <v>0</v>
      </c>
      <c r="CB157" s="880"/>
      <c r="CC157" s="881"/>
      <c r="CD157" s="883"/>
      <c r="CE157" s="883"/>
      <c r="CF157" s="883"/>
      <c r="CG157" s="883"/>
      <c r="CH157" s="883"/>
      <c r="CI157" s="883"/>
      <c r="CJ157" s="883"/>
      <c r="CK157" s="883"/>
      <c r="CL157" s="883"/>
      <c r="CM157" s="883"/>
      <c r="CN157" s="883"/>
      <c r="CO157" s="883"/>
      <c r="CP157" s="883"/>
      <c r="CQ157" s="883"/>
      <c r="CR157" s="883"/>
      <c r="CS157" s="883"/>
      <c r="CT157" s="883"/>
      <c r="CU157" s="883"/>
    </row>
    <row r="158" spans="1:99" x14ac:dyDescent="0.25">
      <c r="A158" s="880" t="s">
        <v>1787</v>
      </c>
      <c r="B158" s="881" t="s">
        <v>1788</v>
      </c>
      <c r="C158" s="880" t="s">
        <v>2791</v>
      </c>
      <c r="D158" s="880"/>
      <c r="E158" s="884" t="s">
        <v>744</v>
      </c>
      <c r="F158" s="888">
        <v>1</v>
      </c>
      <c r="G158" s="881" t="s">
        <v>1007</v>
      </c>
      <c r="H158" s="881" t="s">
        <v>19</v>
      </c>
      <c r="I158" s="865">
        <v>46142</v>
      </c>
      <c r="J158" s="882" t="s">
        <v>8</v>
      </c>
      <c r="K158" s="880"/>
      <c r="L158" s="880"/>
      <c r="M158" s="883">
        <v>0</v>
      </c>
      <c r="N158" s="883">
        <v>0</v>
      </c>
      <c r="O158" s="883">
        <v>0</v>
      </c>
      <c r="P158" s="883">
        <v>40.18</v>
      </c>
      <c r="Q158" s="883">
        <v>15</v>
      </c>
      <c r="R158" s="883">
        <f t="shared" si="48"/>
        <v>6.03</v>
      </c>
      <c r="S158" s="883">
        <v>0</v>
      </c>
      <c r="T158" s="883">
        <v>5</v>
      </c>
      <c r="U158" s="883">
        <f t="shared" si="49"/>
        <v>0</v>
      </c>
      <c r="V158" s="883">
        <v>0</v>
      </c>
      <c r="W158" s="883">
        <v>8</v>
      </c>
      <c r="X158" s="883">
        <f t="shared" si="50"/>
        <v>0</v>
      </c>
      <c r="Y158" s="883">
        <v>0</v>
      </c>
      <c r="Z158" s="883">
        <v>0</v>
      </c>
      <c r="AA158" s="883">
        <v>0</v>
      </c>
      <c r="AB158" s="883">
        <f t="shared" si="51"/>
        <v>46.21</v>
      </c>
      <c r="AC158" s="883">
        <v>0</v>
      </c>
      <c r="AD158" s="881"/>
      <c r="AE158" s="880"/>
      <c r="AF158" s="883"/>
      <c r="AG158" s="889"/>
      <c r="AH158" s="880"/>
      <c r="AI158" s="880" t="s">
        <v>1241</v>
      </c>
      <c r="AJ158" s="884">
        <v>411</v>
      </c>
      <c r="AK158" s="883">
        <f t="shared" si="52"/>
        <v>40.18</v>
      </c>
      <c r="AL158" s="884">
        <v>413</v>
      </c>
      <c r="AM158" s="883">
        <f t="shared" si="53"/>
        <v>0</v>
      </c>
      <c r="AN158" s="884">
        <v>441</v>
      </c>
      <c r="AO158" s="883">
        <f t="shared" si="54"/>
        <v>0</v>
      </c>
      <c r="AP158" s="881"/>
      <c r="AQ158" s="881"/>
      <c r="AR158" s="883">
        <v>0</v>
      </c>
      <c r="AS158" s="883">
        <v>0</v>
      </c>
      <c r="AT158" s="883">
        <v>0</v>
      </c>
      <c r="AU158" s="880"/>
      <c r="AV158" s="886"/>
      <c r="AW158" s="880"/>
      <c r="AX158" s="886"/>
      <c r="AY158" s="880"/>
      <c r="AZ158" s="880"/>
      <c r="BA158" s="881"/>
      <c r="BB158" s="881" t="s">
        <v>57</v>
      </c>
      <c r="BC158" s="881"/>
      <c r="BD158" s="881"/>
      <c r="BE158" s="884">
        <f t="shared" si="55"/>
        <v>4</v>
      </c>
      <c r="BF158" s="887" t="str">
        <f t="shared" si="56"/>
        <v>SI</v>
      </c>
      <c r="BG158" s="883">
        <f t="shared" si="57"/>
        <v>40.18</v>
      </c>
      <c r="BH158" s="883">
        <f t="shared" si="58"/>
        <v>0</v>
      </c>
      <c r="BI158" s="883">
        <f t="shared" si="59"/>
        <v>0</v>
      </c>
      <c r="BJ158" s="883">
        <f t="shared" si="60"/>
        <v>0</v>
      </c>
      <c r="BK158" s="883">
        <f t="shared" si="61"/>
        <v>0</v>
      </c>
      <c r="BL158" s="883">
        <f t="shared" si="62"/>
        <v>6.03</v>
      </c>
      <c r="BM158" s="881"/>
      <c r="BN158" s="880"/>
      <c r="BO158" s="882" t="s">
        <v>1579</v>
      </c>
      <c r="BP158" s="882" t="s">
        <v>2286</v>
      </c>
      <c r="BQ158" s="882" t="s">
        <v>2285</v>
      </c>
      <c r="BR158" s="880"/>
      <c r="BS158" s="880"/>
      <c r="BT158" s="880"/>
      <c r="BU158" s="880"/>
      <c r="BV158" s="880"/>
      <c r="BW158" s="883">
        <v>0</v>
      </c>
      <c r="BX158" s="883">
        <v>0</v>
      </c>
      <c r="BY158" s="883">
        <v>0</v>
      </c>
      <c r="BZ158" s="890"/>
      <c r="CA158" s="883">
        <f t="shared" si="63"/>
        <v>0</v>
      </c>
      <c r="CB158" s="880"/>
      <c r="CC158" s="881"/>
      <c r="CD158" s="883"/>
      <c r="CE158" s="883"/>
      <c r="CF158" s="883"/>
      <c r="CG158" s="883"/>
      <c r="CH158" s="883"/>
      <c r="CI158" s="883"/>
      <c r="CJ158" s="883"/>
      <c r="CK158" s="883"/>
      <c r="CL158" s="883"/>
      <c r="CM158" s="883"/>
      <c r="CN158" s="883"/>
      <c r="CO158" s="883"/>
      <c r="CP158" s="883"/>
      <c r="CQ158" s="883"/>
      <c r="CR158" s="883"/>
      <c r="CS158" s="883"/>
      <c r="CT158" s="883"/>
      <c r="CU158" s="883"/>
    </row>
    <row r="159" spans="1:99" x14ac:dyDescent="0.25">
      <c r="A159" s="880" t="s">
        <v>1787</v>
      </c>
      <c r="B159" s="881" t="s">
        <v>1788</v>
      </c>
      <c r="C159" s="880" t="s">
        <v>2792</v>
      </c>
      <c r="D159" s="880"/>
      <c r="E159" s="884" t="s">
        <v>744</v>
      </c>
      <c r="F159" s="888">
        <v>1</v>
      </c>
      <c r="G159" s="881" t="s">
        <v>1007</v>
      </c>
      <c r="H159" s="881" t="s">
        <v>19</v>
      </c>
      <c r="I159" s="865">
        <v>46142</v>
      </c>
      <c r="J159" s="882" t="s">
        <v>8</v>
      </c>
      <c r="K159" s="880"/>
      <c r="L159" s="880"/>
      <c r="M159" s="883">
        <v>0</v>
      </c>
      <c r="N159" s="883">
        <v>0</v>
      </c>
      <c r="O159" s="883">
        <v>0</v>
      </c>
      <c r="P159" s="883">
        <v>21.74</v>
      </c>
      <c r="Q159" s="883">
        <v>15</v>
      </c>
      <c r="R159" s="883">
        <f t="shared" si="48"/>
        <v>3.26</v>
      </c>
      <c r="S159" s="883">
        <v>0</v>
      </c>
      <c r="T159" s="883">
        <v>5</v>
      </c>
      <c r="U159" s="883">
        <f t="shared" si="49"/>
        <v>0</v>
      </c>
      <c r="V159" s="883">
        <v>0</v>
      </c>
      <c r="W159" s="883">
        <v>8</v>
      </c>
      <c r="X159" s="883">
        <f t="shared" si="50"/>
        <v>0</v>
      </c>
      <c r="Y159" s="883">
        <v>0</v>
      </c>
      <c r="Z159" s="883">
        <v>0</v>
      </c>
      <c r="AA159" s="883">
        <v>0</v>
      </c>
      <c r="AB159" s="883">
        <f t="shared" si="51"/>
        <v>25</v>
      </c>
      <c r="AC159" s="883">
        <v>0</v>
      </c>
      <c r="AD159" s="881"/>
      <c r="AE159" s="880"/>
      <c r="AF159" s="883"/>
      <c r="AG159" s="889"/>
      <c r="AH159" s="880"/>
      <c r="AI159" s="880" t="s">
        <v>1241</v>
      </c>
      <c r="AJ159" s="884">
        <v>411</v>
      </c>
      <c r="AK159" s="883">
        <f t="shared" si="52"/>
        <v>21.74</v>
      </c>
      <c r="AL159" s="884">
        <v>413</v>
      </c>
      <c r="AM159" s="883">
        <f t="shared" si="53"/>
        <v>0</v>
      </c>
      <c r="AN159" s="884">
        <v>441</v>
      </c>
      <c r="AO159" s="883">
        <f t="shared" si="54"/>
        <v>0</v>
      </c>
      <c r="AP159" s="881"/>
      <c r="AQ159" s="881"/>
      <c r="AR159" s="883">
        <v>0</v>
      </c>
      <c r="AS159" s="883">
        <v>0</v>
      </c>
      <c r="AT159" s="883">
        <v>0</v>
      </c>
      <c r="AU159" s="880"/>
      <c r="AV159" s="886"/>
      <c r="AW159" s="880"/>
      <c r="AX159" s="886"/>
      <c r="AY159" s="880"/>
      <c r="AZ159" s="880"/>
      <c r="BA159" s="881"/>
      <c r="BB159" s="881" t="s">
        <v>57</v>
      </c>
      <c r="BC159" s="881"/>
      <c r="BD159" s="881"/>
      <c r="BE159" s="884">
        <f t="shared" si="55"/>
        <v>4</v>
      </c>
      <c r="BF159" s="887" t="str">
        <f t="shared" si="56"/>
        <v>SI</v>
      </c>
      <c r="BG159" s="883">
        <f t="shared" si="57"/>
        <v>21.74</v>
      </c>
      <c r="BH159" s="883">
        <f t="shared" si="58"/>
        <v>0</v>
      </c>
      <c r="BI159" s="883">
        <f t="shared" si="59"/>
        <v>0</v>
      </c>
      <c r="BJ159" s="883">
        <f t="shared" si="60"/>
        <v>0</v>
      </c>
      <c r="BK159" s="883">
        <f t="shared" si="61"/>
        <v>0</v>
      </c>
      <c r="BL159" s="883">
        <f t="shared" si="62"/>
        <v>3.26</v>
      </c>
      <c r="BM159" s="881"/>
      <c r="BN159" s="880"/>
      <c r="BO159" s="882" t="s">
        <v>1579</v>
      </c>
      <c r="BP159" s="882" t="s">
        <v>2286</v>
      </c>
      <c r="BQ159" s="882" t="s">
        <v>2285</v>
      </c>
      <c r="BR159" s="880"/>
      <c r="BS159" s="880"/>
      <c r="BT159" s="880"/>
      <c r="BU159" s="880"/>
      <c r="BV159" s="880"/>
      <c r="BW159" s="883">
        <v>0</v>
      </c>
      <c r="BX159" s="883">
        <v>0</v>
      </c>
      <c r="BY159" s="883">
        <v>0</v>
      </c>
      <c r="BZ159" s="890"/>
      <c r="CA159" s="883">
        <f t="shared" si="63"/>
        <v>0</v>
      </c>
      <c r="CB159" s="880"/>
      <c r="CC159" s="881"/>
      <c r="CD159" s="883"/>
      <c r="CE159" s="883"/>
      <c r="CF159" s="883"/>
      <c r="CG159" s="883"/>
      <c r="CH159" s="883"/>
      <c r="CI159" s="883"/>
      <c r="CJ159" s="883"/>
      <c r="CK159" s="883"/>
      <c r="CL159" s="883"/>
      <c r="CM159" s="883"/>
      <c r="CN159" s="883"/>
      <c r="CO159" s="883"/>
      <c r="CP159" s="883"/>
      <c r="CQ159" s="883"/>
      <c r="CR159" s="883"/>
      <c r="CS159" s="883"/>
      <c r="CT159" s="883"/>
      <c r="CU159" s="883"/>
    </row>
    <row r="160" spans="1:99" x14ac:dyDescent="0.25">
      <c r="A160" s="880" t="s">
        <v>1787</v>
      </c>
      <c r="B160" s="881" t="s">
        <v>1788</v>
      </c>
      <c r="C160" s="880" t="s">
        <v>2793</v>
      </c>
      <c r="D160" s="880"/>
      <c r="E160" s="884" t="s">
        <v>744</v>
      </c>
      <c r="F160" s="888">
        <v>1</v>
      </c>
      <c r="G160" s="881" t="s">
        <v>1007</v>
      </c>
      <c r="H160" s="881" t="s">
        <v>19</v>
      </c>
      <c r="I160" s="865">
        <v>46142</v>
      </c>
      <c r="J160" s="882" t="s">
        <v>8</v>
      </c>
      <c r="K160" s="880"/>
      <c r="L160" s="880"/>
      <c r="M160" s="883">
        <v>0</v>
      </c>
      <c r="N160" s="883">
        <v>0</v>
      </c>
      <c r="O160" s="883">
        <v>0</v>
      </c>
      <c r="P160" s="883">
        <v>17.86</v>
      </c>
      <c r="Q160" s="883">
        <v>15</v>
      </c>
      <c r="R160" s="883">
        <f t="shared" si="48"/>
        <v>2.68</v>
      </c>
      <c r="S160" s="883">
        <v>0</v>
      </c>
      <c r="T160" s="883">
        <v>5</v>
      </c>
      <c r="U160" s="883">
        <f t="shared" si="49"/>
        <v>0</v>
      </c>
      <c r="V160" s="883">
        <v>0</v>
      </c>
      <c r="W160" s="883">
        <v>8</v>
      </c>
      <c r="X160" s="883">
        <f t="shared" si="50"/>
        <v>0</v>
      </c>
      <c r="Y160" s="883">
        <v>0</v>
      </c>
      <c r="Z160" s="883">
        <v>0</v>
      </c>
      <c r="AA160" s="883">
        <v>0</v>
      </c>
      <c r="AB160" s="883">
        <f t="shared" si="51"/>
        <v>20.54</v>
      </c>
      <c r="AC160" s="883">
        <v>0</v>
      </c>
      <c r="AD160" s="881"/>
      <c r="AE160" s="880"/>
      <c r="AF160" s="883"/>
      <c r="AG160" s="889"/>
      <c r="AH160" s="880"/>
      <c r="AI160" s="880" t="s">
        <v>1241</v>
      </c>
      <c r="AJ160" s="884">
        <v>411</v>
      </c>
      <c r="AK160" s="883">
        <f t="shared" si="52"/>
        <v>17.86</v>
      </c>
      <c r="AL160" s="884">
        <v>413</v>
      </c>
      <c r="AM160" s="883">
        <f t="shared" si="53"/>
        <v>0</v>
      </c>
      <c r="AN160" s="884">
        <v>441</v>
      </c>
      <c r="AO160" s="883">
        <f t="shared" si="54"/>
        <v>0</v>
      </c>
      <c r="AP160" s="881"/>
      <c r="AQ160" s="881"/>
      <c r="AR160" s="883">
        <v>0</v>
      </c>
      <c r="AS160" s="883">
        <v>0</v>
      </c>
      <c r="AT160" s="883">
        <v>0</v>
      </c>
      <c r="AU160" s="880"/>
      <c r="AV160" s="886"/>
      <c r="AW160" s="880"/>
      <c r="AX160" s="886"/>
      <c r="AY160" s="880"/>
      <c r="AZ160" s="880"/>
      <c r="BA160" s="881"/>
      <c r="BB160" s="881" t="s">
        <v>57</v>
      </c>
      <c r="BC160" s="881"/>
      <c r="BD160" s="881"/>
      <c r="BE160" s="884">
        <f t="shared" si="55"/>
        <v>4</v>
      </c>
      <c r="BF160" s="887" t="str">
        <f t="shared" si="56"/>
        <v>SI</v>
      </c>
      <c r="BG160" s="883">
        <f t="shared" si="57"/>
        <v>17.86</v>
      </c>
      <c r="BH160" s="883">
        <f t="shared" si="58"/>
        <v>0</v>
      </c>
      <c r="BI160" s="883">
        <f t="shared" si="59"/>
        <v>0</v>
      </c>
      <c r="BJ160" s="883">
        <f t="shared" si="60"/>
        <v>0</v>
      </c>
      <c r="BK160" s="883">
        <f t="shared" si="61"/>
        <v>0</v>
      </c>
      <c r="BL160" s="883">
        <f t="shared" si="62"/>
        <v>2.68</v>
      </c>
      <c r="BM160" s="881"/>
      <c r="BN160" s="880"/>
      <c r="BO160" s="882" t="s">
        <v>1579</v>
      </c>
      <c r="BP160" s="882" t="s">
        <v>2286</v>
      </c>
      <c r="BQ160" s="882" t="s">
        <v>2285</v>
      </c>
      <c r="BR160" s="880"/>
      <c r="BS160" s="880"/>
      <c r="BT160" s="880"/>
      <c r="BU160" s="880"/>
      <c r="BV160" s="880"/>
      <c r="BW160" s="883">
        <v>0</v>
      </c>
      <c r="BX160" s="883">
        <v>0</v>
      </c>
      <c r="BY160" s="883">
        <v>0</v>
      </c>
      <c r="BZ160" s="890"/>
      <c r="CA160" s="883">
        <f t="shared" si="63"/>
        <v>0</v>
      </c>
      <c r="CB160" s="880"/>
      <c r="CC160" s="881"/>
      <c r="CD160" s="883"/>
      <c r="CE160" s="883"/>
      <c r="CF160" s="883"/>
      <c r="CG160" s="883"/>
      <c r="CH160" s="883"/>
      <c r="CI160" s="883"/>
      <c r="CJ160" s="883"/>
      <c r="CK160" s="883"/>
      <c r="CL160" s="883"/>
      <c r="CM160" s="883"/>
      <c r="CN160" s="883"/>
      <c r="CO160" s="883"/>
      <c r="CP160" s="883"/>
      <c r="CQ160" s="883"/>
      <c r="CR160" s="883"/>
      <c r="CS160" s="883"/>
      <c r="CT160" s="883"/>
      <c r="CU160" s="883"/>
    </row>
    <row r="161" spans="1:99" x14ac:dyDescent="0.25">
      <c r="A161" s="880" t="s">
        <v>1787</v>
      </c>
      <c r="B161" s="881" t="s">
        <v>1788</v>
      </c>
      <c r="C161" s="880" t="s">
        <v>2794</v>
      </c>
      <c r="D161" s="880"/>
      <c r="E161" s="884" t="s">
        <v>744</v>
      </c>
      <c r="F161" s="888">
        <v>1</v>
      </c>
      <c r="G161" s="881" t="s">
        <v>1007</v>
      </c>
      <c r="H161" s="881" t="s">
        <v>19</v>
      </c>
      <c r="I161" s="865">
        <v>46142</v>
      </c>
      <c r="J161" s="882" t="s">
        <v>8</v>
      </c>
      <c r="K161" s="880"/>
      <c r="L161" s="880"/>
      <c r="M161" s="883">
        <v>0</v>
      </c>
      <c r="N161" s="883">
        <v>0</v>
      </c>
      <c r="O161" s="883">
        <v>0</v>
      </c>
      <c r="P161" s="883">
        <v>21.74</v>
      </c>
      <c r="Q161" s="883">
        <v>15</v>
      </c>
      <c r="R161" s="883">
        <f t="shared" si="48"/>
        <v>3.26</v>
      </c>
      <c r="S161" s="883">
        <v>0</v>
      </c>
      <c r="T161" s="883">
        <v>5</v>
      </c>
      <c r="U161" s="883">
        <f t="shared" si="49"/>
        <v>0</v>
      </c>
      <c r="V161" s="883">
        <v>0</v>
      </c>
      <c r="W161" s="883">
        <v>8</v>
      </c>
      <c r="X161" s="883">
        <f t="shared" si="50"/>
        <v>0</v>
      </c>
      <c r="Y161" s="883">
        <v>0</v>
      </c>
      <c r="Z161" s="883">
        <v>0</v>
      </c>
      <c r="AA161" s="883">
        <v>0</v>
      </c>
      <c r="AB161" s="883">
        <f t="shared" si="51"/>
        <v>25</v>
      </c>
      <c r="AC161" s="883">
        <v>0</v>
      </c>
      <c r="AD161" s="881"/>
      <c r="AE161" s="880"/>
      <c r="AF161" s="883"/>
      <c r="AG161" s="889"/>
      <c r="AH161" s="880"/>
      <c r="AI161" s="880" t="s">
        <v>1241</v>
      </c>
      <c r="AJ161" s="884">
        <v>411</v>
      </c>
      <c r="AK161" s="883">
        <f t="shared" si="52"/>
        <v>21.74</v>
      </c>
      <c r="AL161" s="884">
        <v>413</v>
      </c>
      <c r="AM161" s="883">
        <f t="shared" si="53"/>
        <v>0</v>
      </c>
      <c r="AN161" s="884">
        <v>441</v>
      </c>
      <c r="AO161" s="883">
        <f t="shared" si="54"/>
        <v>0</v>
      </c>
      <c r="AP161" s="881"/>
      <c r="AQ161" s="881"/>
      <c r="AR161" s="883">
        <v>0</v>
      </c>
      <c r="AS161" s="883">
        <v>0</v>
      </c>
      <c r="AT161" s="883">
        <v>0</v>
      </c>
      <c r="AU161" s="880"/>
      <c r="AV161" s="886"/>
      <c r="AW161" s="880"/>
      <c r="AX161" s="886"/>
      <c r="AY161" s="880"/>
      <c r="AZ161" s="880"/>
      <c r="BA161" s="881"/>
      <c r="BB161" s="881" t="s">
        <v>57</v>
      </c>
      <c r="BC161" s="881"/>
      <c r="BD161" s="881"/>
      <c r="BE161" s="884">
        <f t="shared" si="55"/>
        <v>4</v>
      </c>
      <c r="BF161" s="887" t="str">
        <f t="shared" si="56"/>
        <v>SI</v>
      </c>
      <c r="BG161" s="883">
        <f t="shared" si="57"/>
        <v>21.74</v>
      </c>
      <c r="BH161" s="883">
        <f t="shared" si="58"/>
        <v>0</v>
      </c>
      <c r="BI161" s="883">
        <f t="shared" si="59"/>
        <v>0</v>
      </c>
      <c r="BJ161" s="883">
        <f t="shared" si="60"/>
        <v>0</v>
      </c>
      <c r="BK161" s="883">
        <f t="shared" si="61"/>
        <v>0</v>
      </c>
      <c r="BL161" s="883">
        <f t="shared" si="62"/>
        <v>3.26</v>
      </c>
      <c r="BM161" s="881"/>
      <c r="BN161" s="880"/>
      <c r="BO161" s="882" t="s">
        <v>1579</v>
      </c>
      <c r="BP161" s="882" t="s">
        <v>2286</v>
      </c>
      <c r="BQ161" s="882" t="s">
        <v>2285</v>
      </c>
      <c r="BR161" s="880"/>
      <c r="BS161" s="880"/>
      <c r="BT161" s="880"/>
      <c r="BU161" s="880"/>
      <c r="BV161" s="880"/>
      <c r="BW161" s="883">
        <v>0</v>
      </c>
      <c r="BX161" s="883">
        <v>0</v>
      </c>
      <c r="BY161" s="883">
        <v>0</v>
      </c>
      <c r="BZ161" s="890"/>
      <c r="CA161" s="883">
        <f t="shared" si="63"/>
        <v>0</v>
      </c>
      <c r="CB161" s="880"/>
      <c r="CC161" s="881"/>
      <c r="CD161" s="883"/>
      <c r="CE161" s="883"/>
      <c r="CF161" s="883"/>
      <c r="CG161" s="883"/>
      <c r="CH161" s="883"/>
      <c r="CI161" s="883"/>
      <c r="CJ161" s="883"/>
      <c r="CK161" s="883"/>
      <c r="CL161" s="883"/>
      <c r="CM161" s="883"/>
      <c r="CN161" s="883"/>
      <c r="CO161" s="883"/>
      <c r="CP161" s="883"/>
      <c r="CQ161" s="883"/>
      <c r="CR161" s="883"/>
      <c r="CS161" s="883"/>
      <c r="CT161" s="883"/>
      <c r="CU161" s="883"/>
    </row>
    <row r="162" spans="1:99" x14ac:dyDescent="0.25">
      <c r="A162" s="880" t="s">
        <v>1787</v>
      </c>
      <c r="B162" s="881" t="s">
        <v>1788</v>
      </c>
      <c r="C162" s="880" t="s">
        <v>2795</v>
      </c>
      <c r="D162" s="880"/>
      <c r="E162" s="884" t="s">
        <v>744</v>
      </c>
      <c r="F162" s="888">
        <v>1</v>
      </c>
      <c r="G162" s="881" t="s">
        <v>1007</v>
      </c>
      <c r="H162" s="881" t="s">
        <v>19</v>
      </c>
      <c r="I162" s="865">
        <v>46142</v>
      </c>
      <c r="J162" s="882" t="s">
        <v>8</v>
      </c>
      <c r="K162" s="880"/>
      <c r="L162" s="880"/>
      <c r="M162" s="883">
        <v>0</v>
      </c>
      <c r="N162" s="883">
        <v>0</v>
      </c>
      <c r="O162" s="883">
        <v>0</v>
      </c>
      <c r="P162" s="883">
        <v>26.78</v>
      </c>
      <c r="Q162" s="883">
        <v>15</v>
      </c>
      <c r="R162" s="883">
        <f t="shared" si="48"/>
        <v>4.0199999999999996</v>
      </c>
      <c r="S162" s="883">
        <v>0</v>
      </c>
      <c r="T162" s="883">
        <v>5</v>
      </c>
      <c r="U162" s="883">
        <f t="shared" si="49"/>
        <v>0</v>
      </c>
      <c r="V162" s="883">
        <v>0</v>
      </c>
      <c r="W162" s="883">
        <v>8</v>
      </c>
      <c r="X162" s="883">
        <f t="shared" si="50"/>
        <v>0</v>
      </c>
      <c r="Y162" s="883">
        <v>0</v>
      </c>
      <c r="Z162" s="883">
        <v>0</v>
      </c>
      <c r="AA162" s="883">
        <v>0</v>
      </c>
      <c r="AB162" s="883">
        <f t="shared" si="51"/>
        <v>30.8</v>
      </c>
      <c r="AC162" s="883">
        <v>0</v>
      </c>
      <c r="AD162" s="881"/>
      <c r="AE162" s="880"/>
      <c r="AF162" s="883"/>
      <c r="AG162" s="889"/>
      <c r="AH162" s="880"/>
      <c r="AI162" s="880" t="s">
        <v>1241</v>
      </c>
      <c r="AJ162" s="884">
        <v>411</v>
      </c>
      <c r="AK162" s="883">
        <f t="shared" si="52"/>
        <v>26.78</v>
      </c>
      <c r="AL162" s="884">
        <v>413</v>
      </c>
      <c r="AM162" s="883">
        <f t="shared" si="53"/>
        <v>0</v>
      </c>
      <c r="AN162" s="884">
        <v>441</v>
      </c>
      <c r="AO162" s="883">
        <f t="shared" si="54"/>
        <v>0</v>
      </c>
      <c r="AP162" s="881"/>
      <c r="AQ162" s="881"/>
      <c r="AR162" s="883">
        <v>0</v>
      </c>
      <c r="AS162" s="883">
        <v>0</v>
      </c>
      <c r="AT162" s="883">
        <v>0</v>
      </c>
      <c r="AU162" s="880"/>
      <c r="AV162" s="886"/>
      <c r="AW162" s="880"/>
      <c r="AX162" s="886"/>
      <c r="AY162" s="880"/>
      <c r="AZ162" s="880"/>
      <c r="BA162" s="881"/>
      <c r="BB162" s="881" t="s">
        <v>57</v>
      </c>
      <c r="BC162" s="881"/>
      <c r="BD162" s="881"/>
      <c r="BE162" s="884">
        <f t="shared" si="55"/>
        <v>4</v>
      </c>
      <c r="BF162" s="887" t="str">
        <f t="shared" si="56"/>
        <v>SI</v>
      </c>
      <c r="BG162" s="883">
        <f t="shared" si="57"/>
        <v>26.78</v>
      </c>
      <c r="BH162" s="883">
        <f t="shared" si="58"/>
        <v>0</v>
      </c>
      <c r="BI162" s="883">
        <f t="shared" si="59"/>
        <v>0</v>
      </c>
      <c r="BJ162" s="883">
        <f t="shared" si="60"/>
        <v>0</v>
      </c>
      <c r="BK162" s="883">
        <f t="shared" si="61"/>
        <v>0</v>
      </c>
      <c r="BL162" s="883">
        <f t="shared" si="62"/>
        <v>4.0199999999999996</v>
      </c>
      <c r="BM162" s="881"/>
      <c r="BN162" s="880"/>
      <c r="BO162" s="882" t="s">
        <v>1579</v>
      </c>
      <c r="BP162" s="882" t="s">
        <v>2286</v>
      </c>
      <c r="BQ162" s="882" t="s">
        <v>2285</v>
      </c>
      <c r="BR162" s="880"/>
      <c r="BS162" s="880"/>
      <c r="BT162" s="880"/>
      <c r="BU162" s="880"/>
      <c r="BV162" s="880"/>
      <c r="BW162" s="883">
        <v>0</v>
      </c>
      <c r="BX162" s="883">
        <v>0</v>
      </c>
      <c r="BY162" s="883">
        <v>0</v>
      </c>
      <c r="BZ162" s="890"/>
      <c r="CA162" s="883">
        <f t="shared" si="63"/>
        <v>0</v>
      </c>
      <c r="CB162" s="880"/>
      <c r="CC162" s="881"/>
      <c r="CD162" s="883"/>
      <c r="CE162" s="883"/>
      <c r="CF162" s="883"/>
      <c r="CG162" s="883"/>
      <c r="CH162" s="883"/>
      <c r="CI162" s="883"/>
      <c r="CJ162" s="883"/>
      <c r="CK162" s="883"/>
      <c r="CL162" s="883"/>
      <c r="CM162" s="883"/>
      <c r="CN162" s="883"/>
      <c r="CO162" s="883"/>
      <c r="CP162" s="883"/>
      <c r="CQ162" s="883"/>
      <c r="CR162" s="883"/>
      <c r="CS162" s="883"/>
      <c r="CT162" s="883"/>
      <c r="CU162" s="883"/>
    </row>
    <row r="163" spans="1:99" x14ac:dyDescent="0.25">
      <c r="A163" s="880" t="s">
        <v>1787</v>
      </c>
      <c r="B163" s="881" t="s">
        <v>1788</v>
      </c>
      <c r="C163" s="880" t="s">
        <v>2796</v>
      </c>
      <c r="D163" s="880"/>
      <c r="E163" s="884" t="s">
        <v>744</v>
      </c>
      <c r="F163" s="888">
        <v>1</v>
      </c>
      <c r="G163" s="881" t="s">
        <v>1007</v>
      </c>
      <c r="H163" s="881" t="s">
        <v>19</v>
      </c>
      <c r="I163" s="865">
        <v>46142</v>
      </c>
      <c r="J163" s="882" t="s">
        <v>8</v>
      </c>
      <c r="K163" s="880"/>
      <c r="L163" s="880"/>
      <c r="M163" s="883">
        <v>0</v>
      </c>
      <c r="N163" s="883">
        <v>0</v>
      </c>
      <c r="O163" s="883">
        <v>0</v>
      </c>
      <c r="P163" s="883">
        <v>13.39</v>
      </c>
      <c r="Q163" s="883">
        <v>15</v>
      </c>
      <c r="R163" s="883">
        <f t="shared" si="48"/>
        <v>2.0099999999999998</v>
      </c>
      <c r="S163" s="883">
        <v>0</v>
      </c>
      <c r="T163" s="883">
        <v>5</v>
      </c>
      <c r="U163" s="883">
        <f t="shared" si="49"/>
        <v>0</v>
      </c>
      <c r="V163" s="883">
        <v>0</v>
      </c>
      <c r="W163" s="883">
        <v>8</v>
      </c>
      <c r="X163" s="883">
        <f t="shared" si="50"/>
        <v>0</v>
      </c>
      <c r="Y163" s="883">
        <v>0</v>
      </c>
      <c r="Z163" s="883">
        <v>0</v>
      </c>
      <c r="AA163" s="883">
        <v>0</v>
      </c>
      <c r="AB163" s="883">
        <f t="shared" si="51"/>
        <v>15.4</v>
      </c>
      <c r="AC163" s="883">
        <v>0</v>
      </c>
      <c r="AD163" s="881"/>
      <c r="AE163" s="880"/>
      <c r="AF163" s="883"/>
      <c r="AG163" s="889"/>
      <c r="AH163" s="880"/>
      <c r="AI163" s="880" t="s">
        <v>1241</v>
      </c>
      <c r="AJ163" s="884">
        <v>411</v>
      </c>
      <c r="AK163" s="883">
        <f t="shared" si="52"/>
        <v>13.39</v>
      </c>
      <c r="AL163" s="884">
        <v>413</v>
      </c>
      <c r="AM163" s="883">
        <f t="shared" si="53"/>
        <v>0</v>
      </c>
      <c r="AN163" s="884">
        <v>441</v>
      </c>
      <c r="AO163" s="883">
        <f t="shared" si="54"/>
        <v>0</v>
      </c>
      <c r="AP163" s="881"/>
      <c r="AQ163" s="881"/>
      <c r="AR163" s="883">
        <v>0</v>
      </c>
      <c r="AS163" s="883">
        <v>0</v>
      </c>
      <c r="AT163" s="883">
        <v>0</v>
      </c>
      <c r="AU163" s="880"/>
      <c r="AV163" s="886"/>
      <c r="AW163" s="880"/>
      <c r="AX163" s="886"/>
      <c r="AY163" s="880"/>
      <c r="AZ163" s="880"/>
      <c r="BA163" s="881"/>
      <c r="BB163" s="881" t="s">
        <v>57</v>
      </c>
      <c r="BC163" s="881"/>
      <c r="BD163" s="881"/>
      <c r="BE163" s="884">
        <f t="shared" si="55"/>
        <v>4</v>
      </c>
      <c r="BF163" s="887" t="str">
        <f t="shared" si="56"/>
        <v>SI</v>
      </c>
      <c r="BG163" s="883">
        <f t="shared" si="57"/>
        <v>13.39</v>
      </c>
      <c r="BH163" s="883">
        <f t="shared" si="58"/>
        <v>0</v>
      </c>
      <c r="BI163" s="883">
        <f t="shared" si="59"/>
        <v>0</v>
      </c>
      <c r="BJ163" s="883">
        <f t="shared" si="60"/>
        <v>0</v>
      </c>
      <c r="BK163" s="883">
        <f t="shared" si="61"/>
        <v>0</v>
      </c>
      <c r="BL163" s="883">
        <f t="shared" si="62"/>
        <v>2.0099999999999998</v>
      </c>
      <c r="BM163" s="881"/>
      <c r="BN163" s="880"/>
      <c r="BO163" s="882" t="s">
        <v>1579</v>
      </c>
      <c r="BP163" s="882" t="s">
        <v>2286</v>
      </c>
      <c r="BQ163" s="882" t="s">
        <v>2285</v>
      </c>
      <c r="BR163" s="880"/>
      <c r="BS163" s="880"/>
      <c r="BT163" s="880"/>
      <c r="BU163" s="880"/>
      <c r="BV163" s="880"/>
      <c r="BW163" s="883">
        <v>0</v>
      </c>
      <c r="BX163" s="883">
        <v>0</v>
      </c>
      <c r="BY163" s="883">
        <v>0</v>
      </c>
      <c r="BZ163" s="890"/>
      <c r="CA163" s="883">
        <f t="shared" si="63"/>
        <v>0</v>
      </c>
      <c r="CB163" s="880"/>
      <c r="CC163" s="881"/>
      <c r="CD163" s="883"/>
      <c r="CE163" s="883"/>
      <c r="CF163" s="883"/>
      <c r="CG163" s="883"/>
      <c r="CH163" s="883"/>
      <c r="CI163" s="883"/>
      <c r="CJ163" s="883"/>
      <c r="CK163" s="883"/>
      <c r="CL163" s="883"/>
      <c r="CM163" s="883"/>
      <c r="CN163" s="883"/>
      <c r="CO163" s="883"/>
      <c r="CP163" s="883"/>
      <c r="CQ163" s="883"/>
      <c r="CR163" s="883"/>
      <c r="CS163" s="883"/>
      <c r="CT163" s="883"/>
      <c r="CU163" s="883"/>
    </row>
    <row r="164" spans="1:99" x14ac:dyDescent="0.25">
      <c r="A164" s="880" t="s">
        <v>1787</v>
      </c>
      <c r="B164" s="881" t="s">
        <v>1788</v>
      </c>
      <c r="C164" s="880" t="s">
        <v>2797</v>
      </c>
      <c r="D164" s="880"/>
      <c r="E164" s="884" t="s">
        <v>744</v>
      </c>
      <c r="F164" s="888">
        <v>1</v>
      </c>
      <c r="G164" s="881" t="s">
        <v>1007</v>
      </c>
      <c r="H164" s="881" t="s">
        <v>19</v>
      </c>
      <c r="I164" s="865">
        <v>46142</v>
      </c>
      <c r="J164" s="882" t="s">
        <v>8</v>
      </c>
      <c r="K164" s="880"/>
      <c r="L164" s="880"/>
      <c r="M164" s="883">
        <v>0</v>
      </c>
      <c r="N164" s="883">
        <v>0</v>
      </c>
      <c r="O164" s="883">
        <v>0</v>
      </c>
      <c r="P164" s="883">
        <v>21.74</v>
      </c>
      <c r="Q164" s="883">
        <v>15</v>
      </c>
      <c r="R164" s="883">
        <f t="shared" si="48"/>
        <v>3.26</v>
      </c>
      <c r="S164" s="883">
        <v>0</v>
      </c>
      <c r="T164" s="883">
        <v>5</v>
      </c>
      <c r="U164" s="883">
        <f t="shared" si="49"/>
        <v>0</v>
      </c>
      <c r="V164" s="883">
        <v>0</v>
      </c>
      <c r="W164" s="883">
        <v>8</v>
      </c>
      <c r="X164" s="883">
        <f t="shared" si="50"/>
        <v>0</v>
      </c>
      <c r="Y164" s="883">
        <v>0</v>
      </c>
      <c r="Z164" s="883">
        <v>0</v>
      </c>
      <c r="AA164" s="883">
        <v>0</v>
      </c>
      <c r="AB164" s="883">
        <f t="shared" si="51"/>
        <v>25</v>
      </c>
      <c r="AC164" s="883">
        <v>0</v>
      </c>
      <c r="AD164" s="881"/>
      <c r="AE164" s="880"/>
      <c r="AF164" s="883"/>
      <c r="AG164" s="889"/>
      <c r="AH164" s="880"/>
      <c r="AI164" s="880" t="s">
        <v>1241</v>
      </c>
      <c r="AJ164" s="884">
        <v>411</v>
      </c>
      <c r="AK164" s="883">
        <f t="shared" si="52"/>
        <v>21.74</v>
      </c>
      <c r="AL164" s="884">
        <v>413</v>
      </c>
      <c r="AM164" s="883">
        <f t="shared" si="53"/>
        <v>0</v>
      </c>
      <c r="AN164" s="884">
        <v>441</v>
      </c>
      <c r="AO164" s="883">
        <f t="shared" si="54"/>
        <v>0</v>
      </c>
      <c r="AP164" s="881"/>
      <c r="AQ164" s="881"/>
      <c r="AR164" s="883">
        <v>0</v>
      </c>
      <c r="AS164" s="883">
        <v>0</v>
      </c>
      <c r="AT164" s="883">
        <v>0</v>
      </c>
      <c r="AU164" s="880"/>
      <c r="AV164" s="886"/>
      <c r="AW164" s="880"/>
      <c r="AX164" s="886"/>
      <c r="AY164" s="880"/>
      <c r="AZ164" s="880"/>
      <c r="BA164" s="881"/>
      <c r="BB164" s="881" t="s">
        <v>57</v>
      </c>
      <c r="BC164" s="881"/>
      <c r="BD164" s="881"/>
      <c r="BE164" s="884">
        <f t="shared" si="55"/>
        <v>4</v>
      </c>
      <c r="BF164" s="887" t="str">
        <f t="shared" si="56"/>
        <v>SI</v>
      </c>
      <c r="BG164" s="883">
        <f t="shared" si="57"/>
        <v>21.74</v>
      </c>
      <c r="BH164" s="883">
        <f t="shared" si="58"/>
        <v>0</v>
      </c>
      <c r="BI164" s="883">
        <f t="shared" si="59"/>
        <v>0</v>
      </c>
      <c r="BJ164" s="883">
        <f t="shared" si="60"/>
        <v>0</v>
      </c>
      <c r="BK164" s="883">
        <f t="shared" si="61"/>
        <v>0</v>
      </c>
      <c r="BL164" s="883">
        <f t="shared" si="62"/>
        <v>3.26</v>
      </c>
      <c r="BM164" s="881"/>
      <c r="BN164" s="880"/>
      <c r="BO164" s="882" t="s">
        <v>1579</v>
      </c>
      <c r="BP164" s="882" t="s">
        <v>2286</v>
      </c>
      <c r="BQ164" s="882" t="s">
        <v>2285</v>
      </c>
      <c r="BR164" s="880"/>
      <c r="BS164" s="880"/>
      <c r="BT164" s="880"/>
      <c r="BU164" s="880"/>
      <c r="BV164" s="880"/>
      <c r="BW164" s="883">
        <v>0</v>
      </c>
      <c r="BX164" s="883">
        <v>0</v>
      </c>
      <c r="BY164" s="883">
        <v>0</v>
      </c>
      <c r="BZ164" s="890"/>
      <c r="CA164" s="883">
        <f t="shared" si="63"/>
        <v>0</v>
      </c>
      <c r="CB164" s="880"/>
      <c r="CC164" s="881"/>
      <c r="CD164" s="883"/>
      <c r="CE164" s="883"/>
      <c r="CF164" s="883"/>
      <c r="CG164" s="883"/>
      <c r="CH164" s="883"/>
      <c r="CI164" s="883"/>
      <c r="CJ164" s="883"/>
      <c r="CK164" s="883"/>
      <c r="CL164" s="883"/>
      <c r="CM164" s="883"/>
      <c r="CN164" s="883"/>
      <c r="CO164" s="883"/>
      <c r="CP164" s="883"/>
      <c r="CQ164" s="883"/>
      <c r="CR164" s="883"/>
      <c r="CS164" s="883"/>
      <c r="CT164" s="883"/>
      <c r="CU164" s="883"/>
    </row>
    <row r="165" spans="1:99" x14ac:dyDescent="0.25">
      <c r="A165" s="880" t="s">
        <v>1787</v>
      </c>
      <c r="B165" s="881" t="s">
        <v>1788</v>
      </c>
      <c r="C165" s="880" t="s">
        <v>2798</v>
      </c>
      <c r="D165" s="880"/>
      <c r="E165" s="884" t="s">
        <v>744</v>
      </c>
      <c r="F165" s="888">
        <v>1</v>
      </c>
      <c r="G165" s="881" t="s">
        <v>1007</v>
      </c>
      <c r="H165" s="881" t="s">
        <v>19</v>
      </c>
      <c r="I165" s="865">
        <v>46142</v>
      </c>
      <c r="J165" s="882" t="s">
        <v>8</v>
      </c>
      <c r="K165" s="880"/>
      <c r="L165" s="880"/>
      <c r="M165" s="883">
        <v>0</v>
      </c>
      <c r="N165" s="883">
        <v>0</v>
      </c>
      <c r="O165" s="883">
        <v>0</v>
      </c>
      <c r="P165" s="883">
        <v>21.74</v>
      </c>
      <c r="Q165" s="883">
        <v>15</v>
      </c>
      <c r="R165" s="883">
        <f t="shared" si="48"/>
        <v>3.26</v>
      </c>
      <c r="S165" s="883">
        <v>0</v>
      </c>
      <c r="T165" s="883">
        <v>5</v>
      </c>
      <c r="U165" s="883">
        <f t="shared" si="49"/>
        <v>0</v>
      </c>
      <c r="V165" s="883">
        <v>0</v>
      </c>
      <c r="W165" s="883">
        <v>8</v>
      </c>
      <c r="X165" s="883">
        <f t="shared" si="50"/>
        <v>0</v>
      </c>
      <c r="Y165" s="883">
        <v>0</v>
      </c>
      <c r="Z165" s="883">
        <v>0</v>
      </c>
      <c r="AA165" s="883">
        <v>0</v>
      </c>
      <c r="AB165" s="883">
        <f t="shared" si="51"/>
        <v>25</v>
      </c>
      <c r="AC165" s="883">
        <v>0</v>
      </c>
      <c r="AD165" s="881"/>
      <c r="AE165" s="880"/>
      <c r="AF165" s="883"/>
      <c r="AG165" s="889"/>
      <c r="AH165" s="880"/>
      <c r="AI165" s="880" t="s">
        <v>1241</v>
      </c>
      <c r="AJ165" s="884">
        <v>411</v>
      </c>
      <c r="AK165" s="883">
        <f t="shared" si="52"/>
        <v>21.74</v>
      </c>
      <c r="AL165" s="884">
        <v>413</v>
      </c>
      <c r="AM165" s="883">
        <f t="shared" si="53"/>
        <v>0</v>
      </c>
      <c r="AN165" s="884">
        <v>441</v>
      </c>
      <c r="AO165" s="883">
        <f t="shared" si="54"/>
        <v>0</v>
      </c>
      <c r="AP165" s="881"/>
      <c r="AQ165" s="881"/>
      <c r="AR165" s="883">
        <v>0</v>
      </c>
      <c r="AS165" s="883">
        <v>0</v>
      </c>
      <c r="AT165" s="883">
        <v>0</v>
      </c>
      <c r="AU165" s="880"/>
      <c r="AV165" s="886"/>
      <c r="AW165" s="880"/>
      <c r="AX165" s="886"/>
      <c r="AY165" s="880"/>
      <c r="AZ165" s="880"/>
      <c r="BA165" s="881"/>
      <c r="BB165" s="881" t="s">
        <v>57</v>
      </c>
      <c r="BC165" s="881"/>
      <c r="BD165" s="881"/>
      <c r="BE165" s="884">
        <f t="shared" si="55"/>
        <v>4</v>
      </c>
      <c r="BF165" s="887" t="str">
        <f t="shared" si="56"/>
        <v>SI</v>
      </c>
      <c r="BG165" s="883">
        <f t="shared" si="57"/>
        <v>21.74</v>
      </c>
      <c r="BH165" s="883">
        <f t="shared" si="58"/>
        <v>0</v>
      </c>
      <c r="BI165" s="883">
        <f t="shared" si="59"/>
        <v>0</v>
      </c>
      <c r="BJ165" s="883">
        <f t="shared" si="60"/>
        <v>0</v>
      </c>
      <c r="BK165" s="883">
        <f t="shared" si="61"/>
        <v>0</v>
      </c>
      <c r="BL165" s="883">
        <f t="shared" si="62"/>
        <v>3.26</v>
      </c>
      <c r="BM165" s="881"/>
      <c r="BN165" s="880"/>
      <c r="BO165" s="882" t="s">
        <v>1579</v>
      </c>
      <c r="BP165" s="882" t="s">
        <v>2286</v>
      </c>
      <c r="BQ165" s="882" t="s">
        <v>2285</v>
      </c>
      <c r="BR165" s="880"/>
      <c r="BS165" s="880"/>
      <c r="BT165" s="880"/>
      <c r="BU165" s="880"/>
      <c r="BV165" s="880"/>
      <c r="BW165" s="883">
        <v>0</v>
      </c>
      <c r="BX165" s="883">
        <v>0</v>
      </c>
      <c r="BY165" s="883">
        <v>0</v>
      </c>
      <c r="BZ165" s="890"/>
      <c r="CA165" s="883">
        <f t="shared" si="63"/>
        <v>0</v>
      </c>
      <c r="CB165" s="880"/>
      <c r="CC165" s="881"/>
      <c r="CD165" s="883"/>
      <c r="CE165" s="883"/>
      <c r="CF165" s="883"/>
      <c r="CG165" s="883"/>
      <c r="CH165" s="883"/>
      <c r="CI165" s="883"/>
      <c r="CJ165" s="883"/>
      <c r="CK165" s="883"/>
      <c r="CL165" s="883"/>
      <c r="CM165" s="883"/>
      <c r="CN165" s="883"/>
      <c r="CO165" s="883"/>
      <c r="CP165" s="883"/>
      <c r="CQ165" s="883"/>
      <c r="CR165" s="883"/>
      <c r="CS165" s="883"/>
      <c r="CT165" s="883"/>
      <c r="CU165" s="883"/>
    </row>
    <row r="166" spans="1:99" x14ac:dyDescent="0.25">
      <c r="A166" s="880" t="s">
        <v>1787</v>
      </c>
      <c r="B166" s="881" t="s">
        <v>1788</v>
      </c>
      <c r="C166" s="880" t="s">
        <v>2799</v>
      </c>
      <c r="D166" s="880"/>
      <c r="E166" s="884" t="s">
        <v>744</v>
      </c>
      <c r="F166" s="888">
        <v>1</v>
      </c>
      <c r="G166" s="881" t="s">
        <v>1007</v>
      </c>
      <c r="H166" s="881" t="s">
        <v>19</v>
      </c>
      <c r="I166" s="865">
        <v>46142</v>
      </c>
      <c r="J166" s="882" t="s">
        <v>8</v>
      </c>
      <c r="K166" s="880"/>
      <c r="L166" s="880"/>
      <c r="M166" s="883">
        <v>0</v>
      </c>
      <c r="N166" s="883">
        <v>0</v>
      </c>
      <c r="O166" s="883">
        <v>0</v>
      </c>
      <c r="P166" s="883">
        <v>22.32</v>
      </c>
      <c r="Q166" s="883">
        <v>15</v>
      </c>
      <c r="R166" s="883">
        <f t="shared" si="48"/>
        <v>3.35</v>
      </c>
      <c r="S166" s="883">
        <v>0</v>
      </c>
      <c r="T166" s="883">
        <v>5</v>
      </c>
      <c r="U166" s="883">
        <f t="shared" si="49"/>
        <v>0</v>
      </c>
      <c r="V166" s="883">
        <v>0</v>
      </c>
      <c r="W166" s="883">
        <v>8</v>
      </c>
      <c r="X166" s="883">
        <f t="shared" si="50"/>
        <v>0</v>
      </c>
      <c r="Y166" s="883">
        <v>0</v>
      </c>
      <c r="Z166" s="883">
        <v>0</v>
      </c>
      <c r="AA166" s="883">
        <v>0</v>
      </c>
      <c r="AB166" s="883">
        <f t="shared" si="51"/>
        <v>25.67</v>
      </c>
      <c r="AC166" s="883">
        <v>0</v>
      </c>
      <c r="AD166" s="881"/>
      <c r="AE166" s="880"/>
      <c r="AF166" s="883"/>
      <c r="AG166" s="889"/>
      <c r="AH166" s="880"/>
      <c r="AI166" s="880" t="s">
        <v>1241</v>
      </c>
      <c r="AJ166" s="884">
        <v>411</v>
      </c>
      <c r="AK166" s="883">
        <f t="shared" si="52"/>
        <v>22.32</v>
      </c>
      <c r="AL166" s="884">
        <v>413</v>
      </c>
      <c r="AM166" s="883">
        <f t="shared" si="53"/>
        <v>0</v>
      </c>
      <c r="AN166" s="884">
        <v>441</v>
      </c>
      <c r="AO166" s="883">
        <f t="shared" si="54"/>
        <v>0</v>
      </c>
      <c r="AP166" s="881"/>
      <c r="AQ166" s="881"/>
      <c r="AR166" s="883">
        <v>0</v>
      </c>
      <c r="AS166" s="883">
        <v>0</v>
      </c>
      <c r="AT166" s="883">
        <v>0</v>
      </c>
      <c r="AU166" s="880"/>
      <c r="AV166" s="886"/>
      <c r="AW166" s="880"/>
      <c r="AX166" s="886"/>
      <c r="AY166" s="880"/>
      <c r="AZ166" s="880"/>
      <c r="BA166" s="881"/>
      <c r="BB166" s="881" t="s">
        <v>57</v>
      </c>
      <c r="BC166" s="881"/>
      <c r="BD166" s="881"/>
      <c r="BE166" s="884">
        <f t="shared" si="55"/>
        <v>4</v>
      </c>
      <c r="BF166" s="887" t="str">
        <f t="shared" si="56"/>
        <v>SI</v>
      </c>
      <c r="BG166" s="883">
        <f t="shared" si="57"/>
        <v>22.32</v>
      </c>
      <c r="BH166" s="883">
        <f t="shared" si="58"/>
        <v>0</v>
      </c>
      <c r="BI166" s="883">
        <f t="shared" si="59"/>
        <v>0</v>
      </c>
      <c r="BJ166" s="883">
        <f t="shared" si="60"/>
        <v>0</v>
      </c>
      <c r="BK166" s="883">
        <f t="shared" si="61"/>
        <v>0</v>
      </c>
      <c r="BL166" s="883">
        <f t="shared" si="62"/>
        <v>3.35</v>
      </c>
      <c r="BM166" s="881"/>
      <c r="BN166" s="880"/>
      <c r="BO166" s="882" t="s">
        <v>1579</v>
      </c>
      <c r="BP166" s="882" t="s">
        <v>2286</v>
      </c>
      <c r="BQ166" s="882" t="s">
        <v>2285</v>
      </c>
      <c r="BR166" s="880"/>
      <c r="BS166" s="880"/>
      <c r="BT166" s="880"/>
      <c r="BU166" s="880"/>
      <c r="BV166" s="880"/>
      <c r="BW166" s="883">
        <v>0</v>
      </c>
      <c r="BX166" s="883">
        <v>0</v>
      </c>
      <c r="BY166" s="883">
        <v>0</v>
      </c>
      <c r="BZ166" s="890"/>
      <c r="CA166" s="883">
        <f t="shared" si="63"/>
        <v>0</v>
      </c>
      <c r="CB166" s="880"/>
      <c r="CC166" s="881"/>
      <c r="CD166" s="883"/>
      <c r="CE166" s="883"/>
      <c r="CF166" s="883"/>
      <c r="CG166" s="883"/>
      <c r="CH166" s="883"/>
      <c r="CI166" s="883"/>
      <c r="CJ166" s="883"/>
      <c r="CK166" s="883"/>
      <c r="CL166" s="883"/>
      <c r="CM166" s="883"/>
      <c r="CN166" s="883"/>
      <c r="CO166" s="883"/>
      <c r="CP166" s="883"/>
      <c r="CQ166" s="883"/>
      <c r="CR166" s="883"/>
      <c r="CS166" s="883"/>
      <c r="CT166" s="883"/>
      <c r="CU166" s="883"/>
    </row>
    <row r="167" spans="1:99" x14ac:dyDescent="0.25">
      <c r="A167" s="880" t="s">
        <v>1787</v>
      </c>
      <c r="B167" s="881" t="s">
        <v>1788</v>
      </c>
      <c r="C167" s="880" t="s">
        <v>2800</v>
      </c>
      <c r="D167" s="880"/>
      <c r="E167" s="884" t="s">
        <v>744</v>
      </c>
      <c r="F167" s="888">
        <v>1</v>
      </c>
      <c r="G167" s="881" t="s">
        <v>1007</v>
      </c>
      <c r="H167" s="881" t="s">
        <v>19</v>
      </c>
      <c r="I167" s="865">
        <v>46142</v>
      </c>
      <c r="J167" s="882" t="s">
        <v>8</v>
      </c>
      <c r="K167" s="880"/>
      <c r="L167" s="880"/>
      <c r="M167" s="883">
        <v>0</v>
      </c>
      <c r="N167" s="883">
        <v>0</v>
      </c>
      <c r="O167" s="883">
        <v>0</v>
      </c>
      <c r="P167" s="883">
        <v>22.32</v>
      </c>
      <c r="Q167" s="883">
        <v>15</v>
      </c>
      <c r="R167" s="883">
        <f t="shared" si="48"/>
        <v>3.35</v>
      </c>
      <c r="S167" s="883">
        <v>0</v>
      </c>
      <c r="T167" s="883">
        <v>5</v>
      </c>
      <c r="U167" s="883">
        <f t="shared" si="49"/>
        <v>0</v>
      </c>
      <c r="V167" s="883">
        <v>0</v>
      </c>
      <c r="W167" s="883">
        <v>8</v>
      </c>
      <c r="X167" s="883">
        <f t="shared" si="50"/>
        <v>0</v>
      </c>
      <c r="Y167" s="883">
        <v>0</v>
      </c>
      <c r="Z167" s="883">
        <v>0</v>
      </c>
      <c r="AA167" s="883">
        <v>0</v>
      </c>
      <c r="AB167" s="883">
        <f t="shared" si="51"/>
        <v>25.67</v>
      </c>
      <c r="AC167" s="883">
        <v>0</v>
      </c>
      <c r="AD167" s="881"/>
      <c r="AE167" s="880"/>
      <c r="AF167" s="883"/>
      <c r="AG167" s="889"/>
      <c r="AH167" s="880"/>
      <c r="AI167" s="880" t="s">
        <v>1241</v>
      </c>
      <c r="AJ167" s="884">
        <v>411</v>
      </c>
      <c r="AK167" s="883">
        <f t="shared" si="52"/>
        <v>22.32</v>
      </c>
      <c r="AL167" s="884">
        <v>413</v>
      </c>
      <c r="AM167" s="883">
        <f t="shared" si="53"/>
        <v>0</v>
      </c>
      <c r="AN167" s="884">
        <v>441</v>
      </c>
      <c r="AO167" s="883">
        <f t="shared" si="54"/>
        <v>0</v>
      </c>
      <c r="AP167" s="881"/>
      <c r="AQ167" s="881"/>
      <c r="AR167" s="883">
        <v>0</v>
      </c>
      <c r="AS167" s="883">
        <v>0</v>
      </c>
      <c r="AT167" s="883">
        <v>0</v>
      </c>
      <c r="AU167" s="880"/>
      <c r="AV167" s="886"/>
      <c r="AW167" s="880"/>
      <c r="AX167" s="886"/>
      <c r="AY167" s="880"/>
      <c r="AZ167" s="880"/>
      <c r="BA167" s="881"/>
      <c r="BB167" s="881" t="s">
        <v>57</v>
      </c>
      <c r="BC167" s="881"/>
      <c r="BD167" s="881"/>
      <c r="BE167" s="884">
        <f t="shared" si="55"/>
        <v>4</v>
      </c>
      <c r="BF167" s="887" t="str">
        <f t="shared" si="56"/>
        <v>SI</v>
      </c>
      <c r="BG167" s="883">
        <f t="shared" si="57"/>
        <v>22.32</v>
      </c>
      <c r="BH167" s="883">
        <f t="shared" si="58"/>
        <v>0</v>
      </c>
      <c r="BI167" s="883">
        <f t="shared" si="59"/>
        <v>0</v>
      </c>
      <c r="BJ167" s="883">
        <f t="shared" si="60"/>
        <v>0</v>
      </c>
      <c r="BK167" s="883">
        <f t="shared" si="61"/>
        <v>0</v>
      </c>
      <c r="BL167" s="883">
        <f t="shared" si="62"/>
        <v>3.35</v>
      </c>
      <c r="BM167" s="881"/>
      <c r="BN167" s="880"/>
      <c r="BO167" s="882" t="s">
        <v>1579</v>
      </c>
      <c r="BP167" s="882" t="s">
        <v>2286</v>
      </c>
      <c r="BQ167" s="882" t="s">
        <v>2285</v>
      </c>
      <c r="BR167" s="880"/>
      <c r="BS167" s="880"/>
      <c r="BT167" s="880"/>
      <c r="BU167" s="880"/>
      <c r="BV167" s="880"/>
      <c r="BW167" s="883">
        <v>0</v>
      </c>
      <c r="BX167" s="883">
        <v>0</v>
      </c>
      <c r="BY167" s="883">
        <v>0</v>
      </c>
      <c r="BZ167" s="890"/>
      <c r="CA167" s="883">
        <f t="shared" si="63"/>
        <v>0</v>
      </c>
      <c r="CB167" s="880"/>
      <c r="CC167" s="881"/>
      <c r="CD167" s="883"/>
      <c r="CE167" s="883"/>
      <c r="CF167" s="883"/>
      <c r="CG167" s="883"/>
      <c r="CH167" s="883"/>
      <c r="CI167" s="883"/>
      <c r="CJ167" s="883"/>
      <c r="CK167" s="883"/>
      <c r="CL167" s="883"/>
      <c r="CM167" s="883"/>
      <c r="CN167" s="883"/>
      <c r="CO167" s="883"/>
      <c r="CP167" s="883"/>
      <c r="CQ167" s="883"/>
      <c r="CR167" s="883"/>
      <c r="CS167" s="883"/>
      <c r="CT167" s="883"/>
      <c r="CU167" s="883"/>
    </row>
    <row r="168" spans="1:99" x14ac:dyDescent="0.25">
      <c r="A168" s="880" t="s">
        <v>1787</v>
      </c>
      <c r="B168" s="881" t="s">
        <v>1788</v>
      </c>
      <c r="C168" s="880" t="s">
        <v>2801</v>
      </c>
      <c r="D168" s="880"/>
      <c r="E168" s="884" t="s">
        <v>744</v>
      </c>
      <c r="F168" s="888">
        <v>1</v>
      </c>
      <c r="G168" s="881" t="s">
        <v>1007</v>
      </c>
      <c r="H168" s="881" t="s">
        <v>19</v>
      </c>
      <c r="I168" s="865">
        <v>46142</v>
      </c>
      <c r="J168" s="882" t="s">
        <v>8</v>
      </c>
      <c r="K168" s="880"/>
      <c r="L168" s="880"/>
      <c r="M168" s="883">
        <v>0</v>
      </c>
      <c r="N168" s="883">
        <v>0</v>
      </c>
      <c r="O168" s="883">
        <v>0</v>
      </c>
      <c r="P168" s="883">
        <v>26.09</v>
      </c>
      <c r="Q168" s="883">
        <v>15</v>
      </c>
      <c r="R168" s="883">
        <f t="shared" si="48"/>
        <v>3.91</v>
      </c>
      <c r="S168" s="883">
        <v>0</v>
      </c>
      <c r="T168" s="883">
        <v>5</v>
      </c>
      <c r="U168" s="883">
        <f t="shared" si="49"/>
        <v>0</v>
      </c>
      <c r="V168" s="883">
        <v>0</v>
      </c>
      <c r="W168" s="883">
        <v>8</v>
      </c>
      <c r="X168" s="883">
        <f t="shared" si="50"/>
        <v>0</v>
      </c>
      <c r="Y168" s="883">
        <v>0</v>
      </c>
      <c r="Z168" s="883">
        <v>0</v>
      </c>
      <c r="AA168" s="883">
        <v>0</v>
      </c>
      <c r="AB168" s="883">
        <f t="shared" si="51"/>
        <v>30</v>
      </c>
      <c r="AC168" s="883">
        <v>0</v>
      </c>
      <c r="AD168" s="881"/>
      <c r="AE168" s="880"/>
      <c r="AF168" s="883"/>
      <c r="AG168" s="889"/>
      <c r="AH168" s="880"/>
      <c r="AI168" s="880" t="s">
        <v>1241</v>
      </c>
      <c r="AJ168" s="884">
        <v>411</v>
      </c>
      <c r="AK168" s="883">
        <f t="shared" si="52"/>
        <v>26.09</v>
      </c>
      <c r="AL168" s="884">
        <v>413</v>
      </c>
      <c r="AM168" s="883">
        <f t="shared" si="53"/>
        <v>0</v>
      </c>
      <c r="AN168" s="884">
        <v>441</v>
      </c>
      <c r="AO168" s="883">
        <f t="shared" si="54"/>
        <v>0</v>
      </c>
      <c r="AP168" s="881"/>
      <c r="AQ168" s="881"/>
      <c r="AR168" s="883">
        <v>0</v>
      </c>
      <c r="AS168" s="883">
        <v>0</v>
      </c>
      <c r="AT168" s="883">
        <v>0</v>
      </c>
      <c r="AU168" s="880"/>
      <c r="AV168" s="886"/>
      <c r="AW168" s="880"/>
      <c r="AX168" s="886"/>
      <c r="AY168" s="880"/>
      <c r="AZ168" s="880"/>
      <c r="BA168" s="881"/>
      <c r="BB168" s="881" t="s">
        <v>57</v>
      </c>
      <c r="BC168" s="881"/>
      <c r="BD168" s="881"/>
      <c r="BE168" s="884">
        <f t="shared" si="55"/>
        <v>4</v>
      </c>
      <c r="BF168" s="887" t="str">
        <f t="shared" si="56"/>
        <v>SI</v>
      </c>
      <c r="BG168" s="883">
        <f t="shared" si="57"/>
        <v>26.09</v>
      </c>
      <c r="BH168" s="883">
        <f t="shared" si="58"/>
        <v>0</v>
      </c>
      <c r="BI168" s="883">
        <f t="shared" si="59"/>
        <v>0</v>
      </c>
      <c r="BJ168" s="883">
        <f t="shared" si="60"/>
        <v>0</v>
      </c>
      <c r="BK168" s="883">
        <f t="shared" si="61"/>
        <v>0</v>
      </c>
      <c r="BL168" s="883">
        <f t="shared" si="62"/>
        <v>3.91</v>
      </c>
      <c r="BM168" s="881"/>
      <c r="BN168" s="880"/>
      <c r="BO168" s="882" t="s">
        <v>1579</v>
      </c>
      <c r="BP168" s="882" t="s">
        <v>2286</v>
      </c>
      <c r="BQ168" s="882" t="s">
        <v>2285</v>
      </c>
      <c r="BR168" s="880"/>
      <c r="BS168" s="880"/>
      <c r="BT168" s="880"/>
      <c r="BU168" s="880"/>
      <c r="BV168" s="880"/>
      <c r="BW168" s="883">
        <v>0</v>
      </c>
      <c r="BX168" s="883">
        <v>0</v>
      </c>
      <c r="BY168" s="883">
        <v>0</v>
      </c>
      <c r="BZ168" s="890"/>
      <c r="CA168" s="883">
        <f t="shared" si="63"/>
        <v>0</v>
      </c>
      <c r="CB168" s="880"/>
      <c r="CC168" s="881"/>
      <c r="CD168" s="883"/>
      <c r="CE168" s="883"/>
      <c r="CF168" s="883"/>
      <c r="CG168" s="883"/>
      <c r="CH168" s="883"/>
      <c r="CI168" s="883"/>
      <c r="CJ168" s="883"/>
      <c r="CK168" s="883"/>
      <c r="CL168" s="883"/>
      <c r="CM168" s="883"/>
      <c r="CN168" s="883"/>
      <c r="CO168" s="883"/>
      <c r="CP168" s="883"/>
      <c r="CQ168" s="883"/>
      <c r="CR168" s="883"/>
      <c r="CS168" s="883"/>
      <c r="CT168" s="883"/>
      <c r="CU168" s="883"/>
    </row>
    <row r="169" spans="1:99" x14ac:dyDescent="0.25">
      <c r="A169" s="880" t="s">
        <v>1787</v>
      </c>
      <c r="B169" s="881" t="s">
        <v>1788</v>
      </c>
      <c r="C169" s="880" t="s">
        <v>2802</v>
      </c>
      <c r="D169" s="880"/>
      <c r="E169" s="884" t="s">
        <v>744</v>
      </c>
      <c r="F169" s="888">
        <v>1</v>
      </c>
      <c r="G169" s="881" t="s">
        <v>1007</v>
      </c>
      <c r="H169" s="881" t="s">
        <v>19</v>
      </c>
      <c r="I169" s="865">
        <v>46142</v>
      </c>
      <c r="J169" s="882" t="s">
        <v>8</v>
      </c>
      <c r="K169" s="880"/>
      <c r="L169" s="880"/>
      <c r="M169" s="883">
        <v>0</v>
      </c>
      <c r="N169" s="883">
        <v>0</v>
      </c>
      <c r="O169" s="883">
        <v>0</v>
      </c>
      <c r="P169" s="883">
        <v>21.73</v>
      </c>
      <c r="Q169" s="883">
        <v>15</v>
      </c>
      <c r="R169" s="883">
        <f t="shared" si="48"/>
        <v>3.26</v>
      </c>
      <c r="S169" s="883">
        <v>0</v>
      </c>
      <c r="T169" s="883">
        <v>5</v>
      </c>
      <c r="U169" s="883">
        <f t="shared" si="49"/>
        <v>0</v>
      </c>
      <c r="V169" s="883">
        <v>0</v>
      </c>
      <c r="W169" s="883">
        <v>8</v>
      </c>
      <c r="X169" s="883">
        <f t="shared" si="50"/>
        <v>0</v>
      </c>
      <c r="Y169" s="883">
        <v>0</v>
      </c>
      <c r="Z169" s="883">
        <v>0</v>
      </c>
      <c r="AA169" s="883">
        <v>0</v>
      </c>
      <c r="AB169" s="883">
        <f t="shared" si="51"/>
        <v>24.99</v>
      </c>
      <c r="AC169" s="883">
        <v>0</v>
      </c>
      <c r="AD169" s="881"/>
      <c r="AE169" s="880"/>
      <c r="AF169" s="883"/>
      <c r="AG169" s="889"/>
      <c r="AH169" s="880"/>
      <c r="AI169" s="880" t="s">
        <v>1241</v>
      </c>
      <c r="AJ169" s="884">
        <v>411</v>
      </c>
      <c r="AK169" s="883">
        <f t="shared" si="52"/>
        <v>21.73</v>
      </c>
      <c r="AL169" s="884">
        <v>413</v>
      </c>
      <c r="AM169" s="883">
        <f t="shared" si="53"/>
        <v>0</v>
      </c>
      <c r="AN169" s="884">
        <v>441</v>
      </c>
      <c r="AO169" s="883">
        <f t="shared" si="54"/>
        <v>0</v>
      </c>
      <c r="AP169" s="881"/>
      <c r="AQ169" s="881"/>
      <c r="AR169" s="883">
        <v>0</v>
      </c>
      <c r="AS169" s="883">
        <v>0</v>
      </c>
      <c r="AT169" s="883">
        <v>0</v>
      </c>
      <c r="AU169" s="880"/>
      <c r="AV169" s="886"/>
      <c r="AW169" s="880"/>
      <c r="AX169" s="886"/>
      <c r="AY169" s="880"/>
      <c r="AZ169" s="880"/>
      <c r="BA169" s="881"/>
      <c r="BB169" s="881" t="s">
        <v>57</v>
      </c>
      <c r="BC169" s="881"/>
      <c r="BD169" s="881"/>
      <c r="BE169" s="884">
        <f t="shared" si="55"/>
        <v>4</v>
      </c>
      <c r="BF169" s="887" t="str">
        <f t="shared" si="56"/>
        <v>SI</v>
      </c>
      <c r="BG169" s="883">
        <f t="shared" si="57"/>
        <v>21.73</v>
      </c>
      <c r="BH169" s="883">
        <f t="shared" si="58"/>
        <v>0</v>
      </c>
      <c r="BI169" s="883">
        <f t="shared" si="59"/>
        <v>0</v>
      </c>
      <c r="BJ169" s="883">
        <f t="shared" si="60"/>
        <v>0</v>
      </c>
      <c r="BK169" s="883">
        <f t="shared" si="61"/>
        <v>0</v>
      </c>
      <c r="BL169" s="883">
        <f t="shared" si="62"/>
        <v>3.26</v>
      </c>
      <c r="BM169" s="881"/>
      <c r="BN169" s="880"/>
      <c r="BO169" s="882" t="s">
        <v>1579</v>
      </c>
      <c r="BP169" s="882" t="s">
        <v>2286</v>
      </c>
      <c r="BQ169" s="882" t="s">
        <v>2285</v>
      </c>
      <c r="BR169" s="880"/>
      <c r="BS169" s="880"/>
      <c r="BT169" s="880"/>
      <c r="BU169" s="880"/>
      <c r="BV169" s="880"/>
      <c r="BW169" s="883">
        <v>0</v>
      </c>
      <c r="BX169" s="883">
        <v>0</v>
      </c>
      <c r="BY169" s="883">
        <v>0</v>
      </c>
      <c r="BZ169" s="890"/>
      <c r="CA169" s="883">
        <f t="shared" si="63"/>
        <v>0</v>
      </c>
      <c r="CB169" s="880"/>
      <c r="CC169" s="881"/>
      <c r="CD169" s="883"/>
      <c r="CE169" s="883"/>
      <c r="CF169" s="883"/>
      <c r="CG169" s="883"/>
      <c r="CH169" s="883"/>
      <c r="CI169" s="883"/>
      <c r="CJ169" s="883"/>
      <c r="CK169" s="883"/>
      <c r="CL169" s="883"/>
      <c r="CM169" s="883"/>
      <c r="CN169" s="883"/>
      <c r="CO169" s="883"/>
      <c r="CP169" s="883"/>
      <c r="CQ169" s="883"/>
      <c r="CR169" s="883"/>
      <c r="CS169" s="883"/>
      <c r="CT169" s="883"/>
      <c r="CU169" s="883"/>
    </row>
    <row r="170" spans="1:99" x14ac:dyDescent="0.25">
      <c r="A170" s="880" t="s">
        <v>1787</v>
      </c>
      <c r="B170" s="881" t="s">
        <v>1788</v>
      </c>
      <c r="C170" s="880" t="s">
        <v>2803</v>
      </c>
      <c r="D170" s="880"/>
      <c r="E170" s="884" t="s">
        <v>744</v>
      </c>
      <c r="F170" s="888">
        <v>1</v>
      </c>
      <c r="G170" s="881" t="s">
        <v>1007</v>
      </c>
      <c r="H170" s="881" t="s">
        <v>19</v>
      </c>
      <c r="I170" s="865">
        <v>46142</v>
      </c>
      <c r="J170" s="882" t="s">
        <v>8</v>
      </c>
      <c r="K170" s="880"/>
      <c r="L170" s="880"/>
      <c r="M170" s="883">
        <v>0</v>
      </c>
      <c r="N170" s="883">
        <v>0</v>
      </c>
      <c r="O170" s="883">
        <v>0</v>
      </c>
      <c r="P170" s="883">
        <v>8.6999999999999993</v>
      </c>
      <c r="Q170" s="883">
        <v>15</v>
      </c>
      <c r="R170" s="883">
        <f t="shared" si="48"/>
        <v>1.31</v>
      </c>
      <c r="S170" s="883">
        <v>0</v>
      </c>
      <c r="T170" s="883">
        <v>5</v>
      </c>
      <c r="U170" s="883">
        <f t="shared" si="49"/>
        <v>0</v>
      </c>
      <c r="V170" s="883">
        <v>0</v>
      </c>
      <c r="W170" s="883">
        <v>8</v>
      </c>
      <c r="X170" s="883">
        <f t="shared" si="50"/>
        <v>0</v>
      </c>
      <c r="Y170" s="883">
        <v>0</v>
      </c>
      <c r="Z170" s="883">
        <v>0</v>
      </c>
      <c r="AA170" s="883">
        <v>0</v>
      </c>
      <c r="AB170" s="883">
        <f t="shared" si="51"/>
        <v>10.01</v>
      </c>
      <c r="AC170" s="883">
        <v>0</v>
      </c>
      <c r="AD170" s="881"/>
      <c r="AE170" s="880"/>
      <c r="AF170" s="883"/>
      <c r="AG170" s="889"/>
      <c r="AH170" s="880"/>
      <c r="AI170" s="880" t="s">
        <v>1241</v>
      </c>
      <c r="AJ170" s="884">
        <v>411</v>
      </c>
      <c r="AK170" s="883">
        <f t="shared" si="52"/>
        <v>8.6999999999999993</v>
      </c>
      <c r="AL170" s="884">
        <v>413</v>
      </c>
      <c r="AM170" s="883">
        <f t="shared" si="53"/>
        <v>0</v>
      </c>
      <c r="AN170" s="884">
        <v>441</v>
      </c>
      <c r="AO170" s="883">
        <f t="shared" si="54"/>
        <v>0</v>
      </c>
      <c r="AP170" s="881"/>
      <c r="AQ170" s="881"/>
      <c r="AR170" s="883">
        <v>0</v>
      </c>
      <c r="AS170" s="883">
        <v>0</v>
      </c>
      <c r="AT170" s="883">
        <v>0</v>
      </c>
      <c r="AU170" s="880"/>
      <c r="AV170" s="886"/>
      <c r="AW170" s="880"/>
      <c r="AX170" s="886"/>
      <c r="AY170" s="880"/>
      <c r="AZ170" s="880"/>
      <c r="BA170" s="881"/>
      <c r="BB170" s="881" t="s">
        <v>57</v>
      </c>
      <c r="BC170" s="881"/>
      <c r="BD170" s="881"/>
      <c r="BE170" s="884">
        <f t="shared" si="55"/>
        <v>4</v>
      </c>
      <c r="BF170" s="887" t="str">
        <f t="shared" si="56"/>
        <v>SI</v>
      </c>
      <c r="BG170" s="883">
        <f t="shared" si="57"/>
        <v>8.6999999999999993</v>
      </c>
      <c r="BH170" s="883">
        <f t="shared" si="58"/>
        <v>0</v>
      </c>
      <c r="BI170" s="883">
        <f t="shared" si="59"/>
        <v>0</v>
      </c>
      <c r="BJ170" s="883">
        <f t="shared" si="60"/>
        <v>0</v>
      </c>
      <c r="BK170" s="883">
        <f t="shared" si="61"/>
        <v>0</v>
      </c>
      <c r="BL170" s="883">
        <f t="shared" si="62"/>
        <v>1.31</v>
      </c>
      <c r="BM170" s="881"/>
      <c r="BN170" s="880"/>
      <c r="BO170" s="882" t="s">
        <v>1579</v>
      </c>
      <c r="BP170" s="882" t="s">
        <v>2286</v>
      </c>
      <c r="BQ170" s="882" t="s">
        <v>2285</v>
      </c>
      <c r="BR170" s="880"/>
      <c r="BS170" s="880"/>
      <c r="BT170" s="880"/>
      <c r="BU170" s="880"/>
      <c r="BV170" s="880"/>
      <c r="BW170" s="883">
        <v>0</v>
      </c>
      <c r="BX170" s="883">
        <v>0</v>
      </c>
      <c r="BY170" s="883">
        <v>0</v>
      </c>
      <c r="BZ170" s="890"/>
      <c r="CA170" s="883">
        <f t="shared" si="63"/>
        <v>0</v>
      </c>
      <c r="CB170" s="880"/>
      <c r="CC170" s="881"/>
      <c r="CD170" s="883"/>
      <c r="CE170" s="883"/>
      <c r="CF170" s="883"/>
      <c r="CG170" s="883"/>
      <c r="CH170" s="883"/>
      <c r="CI170" s="883"/>
      <c r="CJ170" s="883"/>
      <c r="CK170" s="883"/>
      <c r="CL170" s="883"/>
      <c r="CM170" s="883"/>
      <c r="CN170" s="883"/>
      <c r="CO170" s="883"/>
      <c r="CP170" s="883"/>
      <c r="CQ170" s="883"/>
      <c r="CR170" s="883"/>
      <c r="CS170" s="883"/>
      <c r="CT170" s="883"/>
      <c r="CU170" s="883"/>
    </row>
    <row r="171" spans="1:99" x14ac:dyDescent="0.25">
      <c r="A171" s="880" t="s">
        <v>1787</v>
      </c>
      <c r="B171" s="881" t="s">
        <v>1788</v>
      </c>
      <c r="C171" s="880" t="s">
        <v>2804</v>
      </c>
      <c r="D171" s="880"/>
      <c r="E171" s="884" t="s">
        <v>744</v>
      </c>
      <c r="F171" s="888">
        <v>1</v>
      </c>
      <c r="G171" s="881" t="s">
        <v>1007</v>
      </c>
      <c r="H171" s="881" t="s">
        <v>19</v>
      </c>
      <c r="I171" s="865">
        <v>46142</v>
      </c>
      <c r="J171" s="882" t="s">
        <v>8</v>
      </c>
      <c r="K171" s="880"/>
      <c r="L171" s="880"/>
      <c r="M171" s="883">
        <v>0</v>
      </c>
      <c r="N171" s="883">
        <v>0</v>
      </c>
      <c r="O171" s="883">
        <v>0</v>
      </c>
      <c r="P171" s="883">
        <v>21.73</v>
      </c>
      <c r="Q171" s="883">
        <v>15</v>
      </c>
      <c r="R171" s="883">
        <f t="shared" si="48"/>
        <v>3.26</v>
      </c>
      <c r="S171" s="883">
        <v>0</v>
      </c>
      <c r="T171" s="883">
        <v>5</v>
      </c>
      <c r="U171" s="883">
        <f t="shared" si="49"/>
        <v>0</v>
      </c>
      <c r="V171" s="883">
        <v>0</v>
      </c>
      <c r="W171" s="883">
        <v>8</v>
      </c>
      <c r="X171" s="883">
        <f t="shared" si="50"/>
        <v>0</v>
      </c>
      <c r="Y171" s="883">
        <v>0</v>
      </c>
      <c r="Z171" s="883">
        <v>0</v>
      </c>
      <c r="AA171" s="883">
        <v>0</v>
      </c>
      <c r="AB171" s="883">
        <f t="shared" si="51"/>
        <v>24.99</v>
      </c>
      <c r="AC171" s="883">
        <v>0</v>
      </c>
      <c r="AD171" s="881"/>
      <c r="AE171" s="880"/>
      <c r="AF171" s="883"/>
      <c r="AG171" s="889"/>
      <c r="AH171" s="880"/>
      <c r="AI171" s="880" t="s">
        <v>1241</v>
      </c>
      <c r="AJ171" s="884">
        <v>411</v>
      </c>
      <c r="AK171" s="883">
        <f t="shared" si="52"/>
        <v>21.73</v>
      </c>
      <c r="AL171" s="884">
        <v>413</v>
      </c>
      <c r="AM171" s="883">
        <f t="shared" si="53"/>
        <v>0</v>
      </c>
      <c r="AN171" s="884">
        <v>441</v>
      </c>
      <c r="AO171" s="883">
        <f t="shared" si="54"/>
        <v>0</v>
      </c>
      <c r="AP171" s="881"/>
      <c r="AQ171" s="881"/>
      <c r="AR171" s="883">
        <v>0</v>
      </c>
      <c r="AS171" s="883">
        <v>0</v>
      </c>
      <c r="AT171" s="883">
        <v>0</v>
      </c>
      <c r="AU171" s="880"/>
      <c r="AV171" s="886"/>
      <c r="AW171" s="880"/>
      <c r="AX171" s="886"/>
      <c r="AY171" s="880"/>
      <c r="AZ171" s="880"/>
      <c r="BA171" s="881"/>
      <c r="BB171" s="881" t="s">
        <v>57</v>
      </c>
      <c r="BC171" s="881"/>
      <c r="BD171" s="881"/>
      <c r="BE171" s="884">
        <f t="shared" si="55"/>
        <v>4</v>
      </c>
      <c r="BF171" s="887" t="str">
        <f t="shared" si="56"/>
        <v>SI</v>
      </c>
      <c r="BG171" s="883">
        <f t="shared" si="57"/>
        <v>21.73</v>
      </c>
      <c r="BH171" s="883">
        <f t="shared" si="58"/>
        <v>0</v>
      </c>
      <c r="BI171" s="883">
        <f t="shared" si="59"/>
        <v>0</v>
      </c>
      <c r="BJ171" s="883">
        <f t="shared" si="60"/>
        <v>0</v>
      </c>
      <c r="BK171" s="883">
        <f t="shared" si="61"/>
        <v>0</v>
      </c>
      <c r="BL171" s="883">
        <f t="shared" si="62"/>
        <v>3.26</v>
      </c>
      <c r="BM171" s="881"/>
      <c r="BN171" s="880"/>
      <c r="BO171" s="882" t="s">
        <v>1579</v>
      </c>
      <c r="BP171" s="882" t="s">
        <v>2286</v>
      </c>
      <c r="BQ171" s="882" t="s">
        <v>2285</v>
      </c>
      <c r="BR171" s="880"/>
      <c r="BS171" s="880"/>
      <c r="BT171" s="880"/>
      <c r="BU171" s="880"/>
      <c r="BV171" s="880"/>
      <c r="BW171" s="883">
        <v>0</v>
      </c>
      <c r="BX171" s="883">
        <v>0</v>
      </c>
      <c r="BY171" s="883">
        <v>0</v>
      </c>
      <c r="BZ171" s="890"/>
      <c r="CA171" s="883">
        <f t="shared" si="63"/>
        <v>0</v>
      </c>
      <c r="CB171" s="880"/>
      <c r="CC171" s="881"/>
      <c r="CD171" s="883"/>
      <c r="CE171" s="883"/>
      <c r="CF171" s="883"/>
      <c r="CG171" s="883"/>
      <c r="CH171" s="883"/>
      <c r="CI171" s="883"/>
      <c r="CJ171" s="883"/>
      <c r="CK171" s="883"/>
      <c r="CL171" s="883"/>
      <c r="CM171" s="883"/>
      <c r="CN171" s="883"/>
      <c r="CO171" s="883"/>
      <c r="CP171" s="883"/>
      <c r="CQ171" s="883"/>
      <c r="CR171" s="883"/>
      <c r="CS171" s="883"/>
      <c r="CT171" s="883"/>
      <c r="CU171" s="883"/>
    </row>
    <row r="172" spans="1:99" x14ac:dyDescent="0.25">
      <c r="A172" s="880" t="s">
        <v>1787</v>
      </c>
      <c r="B172" s="881" t="s">
        <v>1788</v>
      </c>
      <c r="C172" s="880" t="s">
        <v>2805</v>
      </c>
      <c r="D172" s="880"/>
      <c r="E172" s="884" t="s">
        <v>744</v>
      </c>
      <c r="F172" s="888">
        <v>1</v>
      </c>
      <c r="G172" s="881" t="s">
        <v>1007</v>
      </c>
      <c r="H172" s="881" t="s">
        <v>19</v>
      </c>
      <c r="I172" s="865">
        <v>46142</v>
      </c>
      <c r="J172" s="882" t="s">
        <v>8</v>
      </c>
      <c r="K172" s="880"/>
      <c r="L172" s="880"/>
      <c r="M172" s="883">
        <v>0</v>
      </c>
      <c r="N172" s="883">
        <v>0</v>
      </c>
      <c r="O172" s="883">
        <v>0</v>
      </c>
      <c r="P172" s="883">
        <v>22.32</v>
      </c>
      <c r="Q172" s="883">
        <v>15</v>
      </c>
      <c r="R172" s="883">
        <f t="shared" si="48"/>
        <v>3.35</v>
      </c>
      <c r="S172" s="883">
        <v>0</v>
      </c>
      <c r="T172" s="883">
        <v>5</v>
      </c>
      <c r="U172" s="883">
        <f t="shared" si="49"/>
        <v>0</v>
      </c>
      <c r="V172" s="883">
        <v>0</v>
      </c>
      <c r="W172" s="883">
        <v>8</v>
      </c>
      <c r="X172" s="883">
        <f t="shared" si="50"/>
        <v>0</v>
      </c>
      <c r="Y172" s="883">
        <v>0</v>
      </c>
      <c r="Z172" s="883">
        <v>0</v>
      </c>
      <c r="AA172" s="883">
        <v>0</v>
      </c>
      <c r="AB172" s="883">
        <f t="shared" si="51"/>
        <v>25.67</v>
      </c>
      <c r="AC172" s="883">
        <v>0</v>
      </c>
      <c r="AD172" s="881"/>
      <c r="AE172" s="880"/>
      <c r="AF172" s="883"/>
      <c r="AG172" s="889"/>
      <c r="AH172" s="880"/>
      <c r="AI172" s="880" t="s">
        <v>1241</v>
      </c>
      <c r="AJ172" s="884">
        <v>411</v>
      </c>
      <c r="AK172" s="883">
        <f t="shared" si="52"/>
        <v>22.32</v>
      </c>
      <c r="AL172" s="884">
        <v>413</v>
      </c>
      <c r="AM172" s="883">
        <f t="shared" si="53"/>
        <v>0</v>
      </c>
      <c r="AN172" s="884">
        <v>441</v>
      </c>
      <c r="AO172" s="883">
        <f t="shared" si="54"/>
        <v>0</v>
      </c>
      <c r="AP172" s="881"/>
      <c r="AQ172" s="881"/>
      <c r="AR172" s="883">
        <v>0</v>
      </c>
      <c r="AS172" s="883">
        <v>0</v>
      </c>
      <c r="AT172" s="883">
        <v>0</v>
      </c>
      <c r="AU172" s="880"/>
      <c r="AV172" s="886"/>
      <c r="AW172" s="880"/>
      <c r="AX172" s="886"/>
      <c r="AY172" s="880"/>
      <c r="AZ172" s="880"/>
      <c r="BA172" s="881"/>
      <c r="BB172" s="881" t="s">
        <v>57</v>
      </c>
      <c r="BC172" s="881"/>
      <c r="BD172" s="881"/>
      <c r="BE172" s="884">
        <f t="shared" si="55"/>
        <v>4</v>
      </c>
      <c r="BF172" s="887" t="str">
        <f t="shared" si="56"/>
        <v>SI</v>
      </c>
      <c r="BG172" s="883">
        <f t="shared" si="57"/>
        <v>22.32</v>
      </c>
      <c r="BH172" s="883">
        <f t="shared" si="58"/>
        <v>0</v>
      </c>
      <c r="BI172" s="883">
        <f t="shared" si="59"/>
        <v>0</v>
      </c>
      <c r="BJ172" s="883">
        <f t="shared" si="60"/>
        <v>0</v>
      </c>
      <c r="BK172" s="883">
        <f t="shared" si="61"/>
        <v>0</v>
      </c>
      <c r="BL172" s="883">
        <f t="shared" si="62"/>
        <v>3.35</v>
      </c>
      <c r="BM172" s="881"/>
      <c r="BN172" s="880"/>
      <c r="BO172" s="882" t="s">
        <v>1579</v>
      </c>
      <c r="BP172" s="882" t="s">
        <v>2286</v>
      </c>
      <c r="BQ172" s="882" t="s">
        <v>2285</v>
      </c>
      <c r="BR172" s="880"/>
      <c r="BS172" s="880"/>
      <c r="BT172" s="880"/>
      <c r="BU172" s="880"/>
      <c r="BV172" s="880"/>
      <c r="BW172" s="883">
        <v>0</v>
      </c>
      <c r="BX172" s="883">
        <v>0</v>
      </c>
      <c r="BY172" s="883">
        <v>0</v>
      </c>
      <c r="BZ172" s="890"/>
      <c r="CA172" s="883">
        <f t="shared" si="63"/>
        <v>0</v>
      </c>
      <c r="CB172" s="880"/>
      <c r="CC172" s="881"/>
      <c r="CD172" s="883"/>
      <c r="CE172" s="883"/>
      <c r="CF172" s="883"/>
      <c r="CG172" s="883"/>
      <c r="CH172" s="883"/>
      <c r="CI172" s="883"/>
      <c r="CJ172" s="883"/>
      <c r="CK172" s="883"/>
      <c r="CL172" s="883"/>
      <c r="CM172" s="883"/>
      <c r="CN172" s="883"/>
      <c r="CO172" s="883"/>
      <c r="CP172" s="883"/>
      <c r="CQ172" s="883"/>
      <c r="CR172" s="883"/>
      <c r="CS172" s="883"/>
      <c r="CT172" s="883"/>
      <c r="CU172" s="883"/>
    </row>
    <row r="173" spans="1:99" x14ac:dyDescent="0.25">
      <c r="A173" s="880" t="s">
        <v>1787</v>
      </c>
      <c r="B173" s="881" t="s">
        <v>1788</v>
      </c>
      <c r="C173" s="880" t="s">
        <v>2806</v>
      </c>
      <c r="D173" s="880"/>
      <c r="E173" s="884" t="s">
        <v>744</v>
      </c>
      <c r="F173" s="888">
        <v>1</v>
      </c>
      <c r="G173" s="881" t="s">
        <v>1007</v>
      </c>
      <c r="H173" s="881" t="s">
        <v>19</v>
      </c>
      <c r="I173" s="865">
        <v>46142</v>
      </c>
      <c r="J173" s="882" t="s">
        <v>8</v>
      </c>
      <c r="K173" s="880"/>
      <c r="L173" s="880"/>
      <c r="M173" s="883">
        <v>0</v>
      </c>
      <c r="N173" s="883">
        <v>0</v>
      </c>
      <c r="O173" s="883">
        <v>0</v>
      </c>
      <c r="P173" s="883">
        <v>21.74</v>
      </c>
      <c r="Q173" s="883">
        <v>15</v>
      </c>
      <c r="R173" s="883">
        <f t="shared" si="48"/>
        <v>3.26</v>
      </c>
      <c r="S173" s="883">
        <v>0</v>
      </c>
      <c r="T173" s="883">
        <v>5</v>
      </c>
      <c r="U173" s="883">
        <f t="shared" si="49"/>
        <v>0</v>
      </c>
      <c r="V173" s="883">
        <v>0</v>
      </c>
      <c r="W173" s="883">
        <v>8</v>
      </c>
      <c r="X173" s="883">
        <f t="shared" si="50"/>
        <v>0</v>
      </c>
      <c r="Y173" s="883">
        <v>0</v>
      </c>
      <c r="Z173" s="883">
        <v>0</v>
      </c>
      <c r="AA173" s="883">
        <v>0</v>
      </c>
      <c r="AB173" s="883">
        <f t="shared" si="51"/>
        <v>25</v>
      </c>
      <c r="AC173" s="883">
        <v>0</v>
      </c>
      <c r="AD173" s="881"/>
      <c r="AE173" s="880"/>
      <c r="AF173" s="883"/>
      <c r="AG173" s="889"/>
      <c r="AH173" s="880"/>
      <c r="AI173" s="880" t="s">
        <v>1241</v>
      </c>
      <c r="AJ173" s="884">
        <v>411</v>
      </c>
      <c r="AK173" s="883">
        <f t="shared" si="52"/>
        <v>21.74</v>
      </c>
      <c r="AL173" s="884">
        <v>413</v>
      </c>
      <c r="AM173" s="883">
        <f t="shared" si="53"/>
        <v>0</v>
      </c>
      <c r="AN173" s="884">
        <v>441</v>
      </c>
      <c r="AO173" s="883">
        <f t="shared" si="54"/>
        <v>0</v>
      </c>
      <c r="AP173" s="881"/>
      <c r="AQ173" s="881"/>
      <c r="AR173" s="883">
        <v>0</v>
      </c>
      <c r="AS173" s="883">
        <v>0</v>
      </c>
      <c r="AT173" s="883">
        <v>0</v>
      </c>
      <c r="AU173" s="880"/>
      <c r="AV173" s="886"/>
      <c r="AW173" s="880"/>
      <c r="AX173" s="886"/>
      <c r="AY173" s="880"/>
      <c r="AZ173" s="880"/>
      <c r="BA173" s="881"/>
      <c r="BB173" s="881" t="s">
        <v>57</v>
      </c>
      <c r="BC173" s="881"/>
      <c r="BD173" s="881"/>
      <c r="BE173" s="884">
        <f t="shared" si="55"/>
        <v>4</v>
      </c>
      <c r="BF173" s="887" t="str">
        <f t="shared" si="56"/>
        <v>SI</v>
      </c>
      <c r="BG173" s="883">
        <f t="shared" si="57"/>
        <v>21.74</v>
      </c>
      <c r="BH173" s="883">
        <f t="shared" si="58"/>
        <v>0</v>
      </c>
      <c r="BI173" s="883">
        <f t="shared" si="59"/>
        <v>0</v>
      </c>
      <c r="BJ173" s="883">
        <f t="shared" si="60"/>
        <v>0</v>
      </c>
      <c r="BK173" s="883">
        <f t="shared" si="61"/>
        <v>0</v>
      </c>
      <c r="BL173" s="883">
        <f t="shared" si="62"/>
        <v>3.26</v>
      </c>
      <c r="BM173" s="881"/>
      <c r="BN173" s="880"/>
      <c r="BO173" s="882" t="s">
        <v>1579</v>
      </c>
      <c r="BP173" s="882" t="s">
        <v>2286</v>
      </c>
      <c r="BQ173" s="882" t="s">
        <v>2285</v>
      </c>
      <c r="BR173" s="880"/>
      <c r="BS173" s="880"/>
      <c r="BT173" s="880"/>
      <c r="BU173" s="880"/>
      <c r="BV173" s="880"/>
      <c r="BW173" s="883">
        <v>0</v>
      </c>
      <c r="BX173" s="883">
        <v>0</v>
      </c>
      <c r="BY173" s="883">
        <v>0</v>
      </c>
      <c r="BZ173" s="890"/>
      <c r="CA173" s="883">
        <f t="shared" si="63"/>
        <v>0</v>
      </c>
      <c r="CB173" s="880"/>
      <c r="CC173" s="881"/>
      <c r="CD173" s="883"/>
      <c r="CE173" s="883"/>
      <c r="CF173" s="883"/>
      <c r="CG173" s="883"/>
      <c r="CH173" s="883"/>
      <c r="CI173" s="883"/>
      <c r="CJ173" s="883"/>
      <c r="CK173" s="883"/>
      <c r="CL173" s="883"/>
      <c r="CM173" s="883"/>
      <c r="CN173" s="883"/>
      <c r="CO173" s="883"/>
      <c r="CP173" s="883"/>
      <c r="CQ173" s="883"/>
      <c r="CR173" s="883"/>
      <c r="CS173" s="883"/>
      <c r="CT173" s="883"/>
      <c r="CU173" s="883"/>
    </row>
    <row r="174" spans="1:99" x14ac:dyDescent="0.25">
      <c r="A174" s="880" t="s">
        <v>1787</v>
      </c>
      <c r="B174" s="881" t="s">
        <v>1788</v>
      </c>
      <c r="C174" s="880" t="s">
        <v>2807</v>
      </c>
      <c r="D174" s="880"/>
      <c r="E174" s="884" t="s">
        <v>744</v>
      </c>
      <c r="F174" s="888">
        <v>1</v>
      </c>
      <c r="G174" s="881" t="s">
        <v>1007</v>
      </c>
      <c r="H174" s="881" t="s">
        <v>19</v>
      </c>
      <c r="I174" s="865">
        <v>46142</v>
      </c>
      <c r="J174" s="882" t="s">
        <v>8</v>
      </c>
      <c r="K174" s="880"/>
      <c r="L174" s="880"/>
      <c r="M174" s="883">
        <v>0</v>
      </c>
      <c r="N174" s="883">
        <v>0</v>
      </c>
      <c r="O174" s="883">
        <v>0</v>
      </c>
      <c r="P174" s="883">
        <v>13.39</v>
      </c>
      <c r="Q174" s="883">
        <v>15</v>
      </c>
      <c r="R174" s="883">
        <f t="shared" si="48"/>
        <v>2.0099999999999998</v>
      </c>
      <c r="S174" s="883">
        <v>0</v>
      </c>
      <c r="T174" s="883">
        <v>5</v>
      </c>
      <c r="U174" s="883">
        <f t="shared" si="49"/>
        <v>0</v>
      </c>
      <c r="V174" s="883">
        <v>0</v>
      </c>
      <c r="W174" s="883">
        <v>8</v>
      </c>
      <c r="X174" s="883">
        <f t="shared" si="50"/>
        <v>0</v>
      </c>
      <c r="Y174" s="883">
        <v>0</v>
      </c>
      <c r="Z174" s="883">
        <v>0</v>
      </c>
      <c r="AA174" s="883">
        <v>0</v>
      </c>
      <c r="AB174" s="883">
        <f t="shared" si="51"/>
        <v>15.4</v>
      </c>
      <c r="AC174" s="883">
        <v>0</v>
      </c>
      <c r="AD174" s="881"/>
      <c r="AE174" s="880"/>
      <c r="AF174" s="883"/>
      <c r="AG174" s="889"/>
      <c r="AH174" s="880"/>
      <c r="AI174" s="880" t="s">
        <v>1241</v>
      </c>
      <c r="AJ174" s="884">
        <v>411</v>
      </c>
      <c r="AK174" s="883">
        <f t="shared" si="52"/>
        <v>13.39</v>
      </c>
      <c r="AL174" s="884">
        <v>413</v>
      </c>
      <c r="AM174" s="883">
        <f t="shared" si="53"/>
        <v>0</v>
      </c>
      <c r="AN174" s="884">
        <v>441</v>
      </c>
      <c r="AO174" s="883">
        <f t="shared" si="54"/>
        <v>0</v>
      </c>
      <c r="AP174" s="881"/>
      <c r="AQ174" s="881"/>
      <c r="AR174" s="883">
        <v>0</v>
      </c>
      <c r="AS174" s="883">
        <v>0</v>
      </c>
      <c r="AT174" s="883">
        <v>0</v>
      </c>
      <c r="AU174" s="880"/>
      <c r="AV174" s="886"/>
      <c r="AW174" s="880"/>
      <c r="AX174" s="886"/>
      <c r="AY174" s="880"/>
      <c r="AZ174" s="880"/>
      <c r="BA174" s="881"/>
      <c r="BB174" s="881" t="s">
        <v>57</v>
      </c>
      <c r="BC174" s="881"/>
      <c r="BD174" s="881"/>
      <c r="BE174" s="884">
        <f t="shared" si="55"/>
        <v>4</v>
      </c>
      <c r="BF174" s="887" t="str">
        <f t="shared" si="56"/>
        <v>SI</v>
      </c>
      <c r="BG174" s="883">
        <f t="shared" si="57"/>
        <v>13.39</v>
      </c>
      <c r="BH174" s="883">
        <f t="shared" si="58"/>
        <v>0</v>
      </c>
      <c r="BI174" s="883">
        <f t="shared" si="59"/>
        <v>0</v>
      </c>
      <c r="BJ174" s="883">
        <f t="shared" si="60"/>
        <v>0</v>
      </c>
      <c r="BK174" s="883">
        <f t="shared" si="61"/>
        <v>0</v>
      </c>
      <c r="BL174" s="883">
        <f t="shared" si="62"/>
        <v>2.0099999999999998</v>
      </c>
      <c r="BM174" s="881"/>
      <c r="BN174" s="880"/>
      <c r="BO174" s="882" t="s">
        <v>1579</v>
      </c>
      <c r="BP174" s="882" t="s">
        <v>2286</v>
      </c>
      <c r="BQ174" s="882" t="s">
        <v>2285</v>
      </c>
      <c r="BR174" s="880"/>
      <c r="BS174" s="880"/>
      <c r="BT174" s="880"/>
      <c r="BU174" s="880"/>
      <c r="BV174" s="880"/>
      <c r="BW174" s="883">
        <v>0</v>
      </c>
      <c r="BX174" s="883">
        <v>0</v>
      </c>
      <c r="BY174" s="883">
        <v>0</v>
      </c>
      <c r="BZ174" s="890"/>
      <c r="CA174" s="883">
        <f t="shared" si="63"/>
        <v>0</v>
      </c>
      <c r="CB174" s="880"/>
      <c r="CC174" s="881"/>
      <c r="CD174" s="883"/>
      <c r="CE174" s="883"/>
      <c r="CF174" s="883"/>
      <c r="CG174" s="883"/>
      <c r="CH174" s="883"/>
      <c r="CI174" s="883"/>
      <c r="CJ174" s="883"/>
      <c r="CK174" s="883"/>
      <c r="CL174" s="883"/>
      <c r="CM174" s="883"/>
      <c r="CN174" s="883"/>
      <c r="CO174" s="883"/>
      <c r="CP174" s="883"/>
      <c r="CQ174" s="883"/>
      <c r="CR174" s="883"/>
      <c r="CS174" s="883"/>
      <c r="CT174" s="883"/>
      <c r="CU174" s="883"/>
    </row>
    <row r="175" spans="1:99" x14ac:dyDescent="0.25">
      <c r="A175" s="880" t="s">
        <v>1787</v>
      </c>
      <c r="B175" s="881" t="s">
        <v>1788</v>
      </c>
      <c r="C175" s="880" t="s">
        <v>2808</v>
      </c>
      <c r="D175" s="880"/>
      <c r="E175" s="884" t="s">
        <v>744</v>
      </c>
      <c r="F175" s="888">
        <v>1</v>
      </c>
      <c r="G175" s="881" t="s">
        <v>1007</v>
      </c>
      <c r="H175" s="881" t="s">
        <v>19</v>
      </c>
      <c r="I175" s="865">
        <v>46142</v>
      </c>
      <c r="J175" s="882" t="s">
        <v>8</v>
      </c>
      <c r="K175" s="880"/>
      <c r="L175" s="880"/>
      <c r="M175" s="883">
        <v>0</v>
      </c>
      <c r="N175" s="883">
        <v>0</v>
      </c>
      <c r="O175" s="883">
        <v>0</v>
      </c>
      <c r="P175" s="883">
        <v>21.74</v>
      </c>
      <c r="Q175" s="883">
        <v>15</v>
      </c>
      <c r="R175" s="883">
        <f t="shared" si="48"/>
        <v>3.26</v>
      </c>
      <c r="S175" s="883">
        <v>0</v>
      </c>
      <c r="T175" s="883">
        <v>5</v>
      </c>
      <c r="U175" s="883">
        <f t="shared" si="49"/>
        <v>0</v>
      </c>
      <c r="V175" s="883">
        <v>0</v>
      </c>
      <c r="W175" s="883">
        <v>8</v>
      </c>
      <c r="X175" s="883">
        <f t="shared" si="50"/>
        <v>0</v>
      </c>
      <c r="Y175" s="883">
        <v>0</v>
      </c>
      <c r="Z175" s="883">
        <v>0</v>
      </c>
      <c r="AA175" s="883">
        <v>0</v>
      </c>
      <c r="AB175" s="883">
        <f t="shared" si="51"/>
        <v>25</v>
      </c>
      <c r="AC175" s="883">
        <v>0</v>
      </c>
      <c r="AD175" s="881"/>
      <c r="AE175" s="880"/>
      <c r="AF175" s="883"/>
      <c r="AG175" s="889"/>
      <c r="AH175" s="880"/>
      <c r="AI175" s="880" t="s">
        <v>1241</v>
      </c>
      <c r="AJ175" s="884">
        <v>411</v>
      </c>
      <c r="AK175" s="883">
        <f t="shared" si="52"/>
        <v>21.74</v>
      </c>
      <c r="AL175" s="884">
        <v>413</v>
      </c>
      <c r="AM175" s="883">
        <f t="shared" si="53"/>
        <v>0</v>
      </c>
      <c r="AN175" s="884">
        <v>441</v>
      </c>
      <c r="AO175" s="883">
        <f t="shared" si="54"/>
        <v>0</v>
      </c>
      <c r="AP175" s="881"/>
      <c r="AQ175" s="881"/>
      <c r="AR175" s="883">
        <v>0</v>
      </c>
      <c r="AS175" s="883">
        <v>0</v>
      </c>
      <c r="AT175" s="883">
        <v>0</v>
      </c>
      <c r="AU175" s="880"/>
      <c r="AV175" s="886"/>
      <c r="AW175" s="880"/>
      <c r="AX175" s="886"/>
      <c r="AY175" s="880"/>
      <c r="AZ175" s="880"/>
      <c r="BA175" s="881"/>
      <c r="BB175" s="881" t="s">
        <v>57</v>
      </c>
      <c r="BC175" s="881"/>
      <c r="BD175" s="881"/>
      <c r="BE175" s="884">
        <f t="shared" si="55"/>
        <v>4</v>
      </c>
      <c r="BF175" s="887" t="str">
        <f t="shared" si="56"/>
        <v>SI</v>
      </c>
      <c r="BG175" s="883">
        <f t="shared" si="57"/>
        <v>21.74</v>
      </c>
      <c r="BH175" s="883">
        <f t="shared" si="58"/>
        <v>0</v>
      </c>
      <c r="BI175" s="883">
        <f t="shared" si="59"/>
        <v>0</v>
      </c>
      <c r="BJ175" s="883">
        <f t="shared" si="60"/>
        <v>0</v>
      </c>
      <c r="BK175" s="883">
        <f t="shared" si="61"/>
        <v>0</v>
      </c>
      <c r="BL175" s="883">
        <f t="shared" si="62"/>
        <v>3.26</v>
      </c>
      <c r="BM175" s="881"/>
      <c r="BN175" s="880"/>
      <c r="BO175" s="882" t="s">
        <v>1579</v>
      </c>
      <c r="BP175" s="882" t="s">
        <v>2286</v>
      </c>
      <c r="BQ175" s="882" t="s">
        <v>2285</v>
      </c>
      <c r="BR175" s="880"/>
      <c r="BS175" s="880"/>
      <c r="BT175" s="880"/>
      <c r="BU175" s="880"/>
      <c r="BV175" s="880"/>
      <c r="BW175" s="883">
        <v>0</v>
      </c>
      <c r="BX175" s="883">
        <v>0</v>
      </c>
      <c r="BY175" s="883">
        <v>0</v>
      </c>
      <c r="BZ175" s="890"/>
      <c r="CA175" s="883">
        <f t="shared" si="63"/>
        <v>0</v>
      </c>
      <c r="CB175" s="880"/>
      <c r="CC175" s="881"/>
      <c r="CD175" s="883"/>
      <c r="CE175" s="883"/>
      <c r="CF175" s="883"/>
      <c r="CG175" s="883"/>
      <c r="CH175" s="883"/>
      <c r="CI175" s="883"/>
      <c r="CJ175" s="883"/>
      <c r="CK175" s="883"/>
      <c r="CL175" s="883"/>
      <c r="CM175" s="883"/>
      <c r="CN175" s="883"/>
      <c r="CO175" s="883"/>
      <c r="CP175" s="883"/>
      <c r="CQ175" s="883"/>
      <c r="CR175" s="883"/>
      <c r="CS175" s="883"/>
      <c r="CT175" s="883"/>
      <c r="CU175" s="883"/>
    </row>
    <row r="176" spans="1:99" x14ac:dyDescent="0.25">
      <c r="A176" s="880" t="s">
        <v>1787</v>
      </c>
      <c r="B176" s="881" t="s">
        <v>1788</v>
      </c>
      <c r="C176" s="880" t="s">
        <v>2809</v>
      </c>
      <c r="D176" s="880"/>
      <c r="E176" s="884" t="s">
        <v>744</v>
      </c>
      <c r="F176" s="888">
        <v>1</v>
      </c>
      <c r="G176" s="881" t="s">
        <v>1007</v>
      </c>
      <c r="H176" s="881" t="s">
        <v>19</v>
      </c>
      <c r="I176" s="865">
        <v>46142</v>
      </c>
      <c r="J176" s="882" t="s">
        <v>8</v>
      </c>
      <c r="K176" s="880"/>
      <c r="L176" s="880"/>
      <c r="M176" s="883">
        <v>0</v>
      </c>
      <c r="N176" s="883">
        <v>0</v>
      </c>
      <c r="O176" s="883">
        <v>0</v>
      </c>
      <c r="P176" s="883">
        <v>13.04</v>
      </c>
      <c r="Q176" s="883">
        <v>15</v>
      </c>
      <c r="R176" s="883">
        <f t="shared" si="48"/>
        <v>1.96</v>
      </c>
      <c r="S176" s="883">
        <v>0</v>
      </c>
      <c r="T176" s="883">
        <v>5</v>
      </c>
      <c r="U176" s="883">
        <f t="shared" si="49"/>
        <v>0</v>
      </c>
      <c r="V176" s="883">
        <v>0</v>
      </c>
      <c r="W176" s="883">
        <v>8</v>
      </c>
      <c r="X176" s="883">
        <f t="shared" si="50"/>
        <v>0</v>
      </c>
      <c r="Y176" s="883">
        <v>0</v>
      </c>
      <c r="Z176" s="883">
        <v>0</v>
      </c>
      <c r="AA176" s="883">
        <v>0</v>
      </c>
      <c r="AB176" s="883">
        <f t="shared" si="51"/>
        <v>15</v>
      </c>
      <c r="AC176" s="883">
        <v>0</v>
      </c>
      <c r="AD176" s="881"/>
      <c r="AE176" s="880"/>
      <c r="AF176" s="883"/>
      <c r="AG176" s="889"/>
      <c r="AH176" s="880"/>
      <c r="AI176" s="880" t="s">
        <v>1241</v>
      </c>
      <c r="AJ176" s="884">
        <v>411</v>
      </c>
      <c r="AK176" s="883">
        <f t="shared" si="52"/>
        <v>13.04</v>
      </c>
      <c r="AL176" s="884">
        <v>413</v>
      </c>
      <c r="AM176" s="883">
        <f t="shared" si="53"/>
        <v>0</v>
      </c>
      <c r="AN176" s="884">
        <v>441</v>
      </c>
      <c r="AO176" s="883">
        <f t="shared" si="54"/>
        <v>0</v>
      </c>
      <c r="AP176" s="881"/>
      <c r="AQ176" s="881"/>
      <c r="AR176" s="883">
        <v>0</v>
      </c>
      <c r="AS176" s="883">
        <v>0</v>
      </c>
      <c r="AT176" s="883">
        <v>0</v>
      </c>
      <c r="AU176" s="880"/>
      <c r="AV176" s="886"/>
      <c r="AW176" s="880"/>
      <c r="AX176" s="886"/>
      <c r="AY176" s="880"/>
      <c r="AZ176" s="880"/>
      <c r="BA176" s="881"/>
      <c r="BB176" s="881" t="s">
        <v>57</v>
      </c>
      <c r="BC176" s="881"/>
      <c r="BD176" s="881"/>
      <c r="BE176" s="884">
        <f t="shared" si="55"/>
        <v>4</v>
      </c>
      <c r="BF176" s="887" t="str">
        <f t="shared" si="56"/>
        <v>SI</v>
      </c>
      <c r="BG176" s="883">
        <f t="shared" si="57"/>
        <v>13.04</v>
      </c>
      <c r="BH176" s="883">
        <f t="shared" si="58"/>
        <v>0</v>
      </c>
      <c r="BI176" s="883">
        <f t="shared" si="59"/>
        <v>0</v>
      </c>
      <c r="BJ176" s="883">
        <f t="shared" si="60"/>
        <v>0</v>
      </c>
      <c r="BK176" s="883">
        <f t="shared" si="61"/>
        <v>0</v>
      </c>
      <c r="BL176" s="883">
        <f t="shared" si="62"/>
        <v>1.96</v>
      </c>
      <c r="BM176" s="881"/>
      <c r="BN176" s="880"/>
      <c r="BO176" s="882" t="s">
        <v>1579</v>
      </c>
      <c r="BP176" s="882" t="s">
        <v>2286</v>
      </c>
      <c r="BQ176" s="882" t="s">
        <v>2285</v>
      </c>
      <c r="BR176" s="880"/>
      <c r="BS176" s="880"/>
      <c r="BT176" s="880"/>
      <c r="BU176" s="880"/>
      <c r="BV176" s="880"/>
      <c r="BW176" s="883">
        <v>0</v>
      </c>
      <c r="BX176" s="883">
        <v>0</v>
      </c>
      <c r="BY176" s="883">
        <v>0</v>
      </c>
      <c r="BZ176" s="890"/>
      <c r="CA176" s="883">
        <f t="shared" si="63"/>
        <v>0</v>
      </c>
      <c r="CB176" s="880"/>
      <c r="CC176" s="881"/>
      <c r="CD176" s="883"/>
      <c r="CE176" s="883"/>
      <c r="CF176" s="883"/>
      <c r="CG176" s="883"/>
      <c r="CH176" s="883"/>
      <c r="CI176" s="883"/>
      <c r="CJ176" s="883"/>
      <c r="CK176" s="883"/>
      <c r="CL176" s="883"/>
      <c r="CM176" s="883"/>
      <c r="CN176" s="883"/>
      <c r="CO176" s="883"/>
      <c r="CP176" s="883"/>
      <c r="CQ176" s="883"/>
      <c r="CR176" s="883"/>
      <c r="CS176" s="883"/>
      <c r="CT176" s="883"/>
      <c r="CU176" s="883"/>
    </row>
    <row r="177" spans="1:99" x14ac:dyDescent="0.25">
      <c r="A177" s="880" t="s">
        <v>1787</v>
      </c>
      <c r="B177" s="881" t="s">
        <v>1788</v>
      </c>
      <c r="C177" s="880" t="s">
        <v>2810</v>
      </c>
      <c r="D177" s="880"/>
      <c r="E177" s="884" t="s">
        <v>744</v>
      </c>
      <c r="F177" s="888">
        <v>1</v>
      </c>
      <c r="G177" s="881" t="s">
        <v>1007</v>
      </c>
      <c r="H177" s="881" t="s">
        <v>19</v>
      </c>
      <c r="I177" s="865">
        <v>46142</v>
      </c>
      <c r="J177" s="882" t="s">
        <v>8</v>
      </c>
      <c r="K177" s="880"/>
      <c r="L177" s="880"/>
      <c r="M177" s="883">
        <v>0</v>
      </c>
      <c r="N177" s="883">
        <v>0</v>
      </c>
      <c r="O177" s="883">
        <v>0</v>
      </c>
      <c r="P177" s="883">
        <v>21.73</v>
      </c>
      <c r="Q177" s="883">
        <v>15</v>
      </c>
      <c r="R177" s="883">
        <f t="shared" si="48"/>
        <v>3.26</v>
      </c>
      <c r="S177" s="883">
        <v>0</v>
      </c>
      <c r="T177" s="883">
        <v>5</v>
      </c>
      <c r="U177" s="883">
        <f t="shared" si="49"/>
        <v>0</v>
      </c>
      <c r="V177" s="883">
        <v>0</v>
      </c>
      <c r="W177" s="883">
        <v>8</v>
      </c>
      <c r="X177" s="883">
        <f t="shared" si="50"/>
        <v>0</v>
      </c>
      <c r="Y177" s="883">
        <v>0</v>
      </c>
      <c r="Z177" s="883">
        <v>0</v>
      </c>
      <c r="AA177" s="883">
        <v>0</v>
      </c>
      <c r="AB177" s="883">
        <f t="shared" si="51"/>
        <v>24.99</v>
      </c>
      <c r="AC177" s="883">
        <v>0</v>
      </c>
      <c r="AD177" s="881"/>
      <c r="AE177" s="880"/>
      <c r="AF177" s="883"/>
      <c r="AG177" s="889"/>
      <c r="AH177" s="880"/>
      <c r="AI177" s="880" t="s">
        <v>1241</v>
      </c>
      <c r="AJ177" s="884">
        <v>411</v>
      </c>
      <c r="AK177" s="883">
        <f t="shared" si="52"/>
        <v>21.73</v>
      </c>
      <c r="AL177" s="884">
        <v>413</v>
      </c>
      <c r="AM177" s="883">
        <f t="shared" si="53"/>
        <v>0</v>
      </c>
      <c r="AN177" s="884">
        <v>441</v>
      </c>
      <c r="AO177" s="883">
        <f t="shared" si="54"/>
        <v>0</v>
      </c>
      <c r="AP177" s="881"/>
      <c r="AQ177" s="881"/>
      <c r="AR177" s="883">
        <v>0</v>
      </c>
      <c r="AS177" s="883">
        <v>0</v>
      </c>
      <c r="AT177" s="883">
        <v>0</v>
      </c>
      <c r="AU177" s="880"/>
      <c r="AV177" s="886"/>
      <c r="AW177" s="880"/>
      <c r="AX177" s="886"/>
      <c r="AY177" s="880"/>
      <c r="AZ177" s="880"/>
      <c r="BA177" s="881"/>
      <c r="BB177" s="881" t="s">
        <v>57</v>
      </c>
      <c r="BC177" s="881"/>
      <c r="BD177" s="881"/>
      <c r="BE177" s="884">
        <f t="shared" si="55"/>
        <v>4</v>
      </c>
      <c r="BF177" s="887" t="str">
        <f t="shared" si="56"/>
        <v>SI</v>
      </c>
      <c r="BG177" s="883">
        <f t="shared" si="57"/>
        <v>21.73</v>
      </c>
      <c r="BH177" s="883">
        <f t="shared" si="58"/>
        <v>0</v>
      </c>
      <c r="BI177" s="883">
        <f t="shared" si="59"/>
        <v>0</v>
      </c>
      <c r="BJ177" s="883">
        <f t="shared" si="60"/>
        <v>0</v>
      </c>
      <c r="BK177" s="883">
        <f t="shared" si="61"/>
        <v>0</v>
      </c>
      <c r="BL177" s="883">
        <f t="shared" si="62"/>
        <v>3.26</v>
      </c>
      <c r="BM177" s="881"/>
      <c r="BN177" s="880"/>
      <c r="BO177" s="882" t="s">
        <v>1579</v>
      </c>
      <c r="BP177" s="882" t="s">
        <v>2286</v>
      </c>
      <c r="BQ177" s="882" t="s">
        <v>2285</v>
      </c>
      <c r="BR177" s="880"/>
      <c r="BS177" s="880"/>
      <c r="BT177" s="880"/>
      <c r="BU177" s="880"/>
      <c r="BV177" s="880"/>
      <c r="BW177" s="883">
        <v>0</v>
      </c>
      <c r="BX177" s="883">
        <v>0</v>
      </c>
      <c r="BY177" s="883">
        <v>0</v>
      </c>
      <c r="BZ177" s="890"/>
      <c r="CA177" s="883">
        <f t="shared" si="63"/>
        <v>0</v>
      </c>
      <c r="CB177" s="880"/>
      <c r="CC177" s="881"/>
      <c r="CD177" s="883"/>
      <c r="CE177" s="883"/>
      <c r="CF177" s="883"/>
      <c r="CG177" s="883"/>
      <c r="CH177" s="883"/>
      <c r="CI177" s="883"/>
      <c r="CJ177" s="883"/>
      <c r="CK177" s="883"/>
      <c r="CL177" s="883"/>
      <c r="CM177" s="883"/>
      <c r="CN177" s="883"/>
      <c r="CO177" s="883"/>
      <c r="CP177" s="883"/>
      <c r="CQ177" s="883"/>
      <c r="CR177" s="883"/>
      <c r="CS177" s="883"/>
      <c r="CT177" s="883"/>
      <c r="CU177" s="883"/>
    </row>
    <row r="178" spans="1:99" x14ac:dyDescent="0.25">
      <c r="A178" s="880" t="s">
        <v>1787</v>
      </c>
      <c r="B178" s="881" t="s">
        <v>1788</v>
      </c>
      <c r="C178" s="880" t="s">
        <v>2810</v>
      </c>
      <c r="D178" s="880"/>
      <c r="E178" s="884" t="s">
        <v>744</v>
      </c>
      <c r="F178" s="888">
        <v>1</v>
      </c>
      <c r="G178" s="881" t="s">
        <v>1007</v>
      </c>
      <c r="H178" s="881" t="s">
        <v>19</v>
      </c>
      <c r="I178" s="865">
        <v>46142</v>
      </c>
      <c r="J178" s="882" t="s">
        <v>8</v>
      </c>
      <c r="K178" s="880"/>
      <c r="L178" s="880"/>
      <c r="M178" s="883">
        <v>0</v>
      </c>
      <c r="N178" s="883">
        <v>0</v>
      </c>
      <c r="O178" s="883">
        <v>0</v>
      </c>
      <c r="P178" s="883">
        <v>21.73</v>
      </c>
      <c r="Q178" s="883">
        <v>15</v>
      </c>
      <c r="R178" s="883">
        <f t="shared" si="48"/>
        <v>3.26</v>
      </c>
      <c r="S178" s="883">
        <v>0</v>
      </c>
      <c r="T178" s="883">
        <v>5</v>
      </c>
      <c r="U178" s="883">
        <f t="shared" si="49"/>
        <v>0</v>
      </c>
      <c r="V178" s="883">
        <v>0</v>
      </c>
      <c r="W178" s="883">
        <v>8</v>
      </c>
      <c r="X178" s="883">
        <f t="shared" si="50"/>
        <v>0</v>
      </c>
      <c r="Y178" s="883">
        <v>0</v>
      </c>
      <c r="Z178" s="883">
        <v>0</v>
      </c>
      <c r="AA178" s="883">
        <v>0</v>
      </c>
      <c r="AB178" s="883">
        <f t="shared" si="51"/>
        <v>24.99</v>
      </c>
      <c r="AC178" s="883">
        <v>0</v>
      </c>
      <c r="AD178" s="881"/>
      <c r="AE178" s="880"/>
      <c r="AF178" s="883"/>
      <c r="AG178" s="889"/>
      <c r="AH178" s="880"/>
      <c r="AI178" s="880" t="s">
        <v>1241</v>
      </c>
      <c r="AJ178" s="884">
        <v>411</v>
      </c>
      <c r="AK178" s="883">
        <f t="shared" si="52"/>
        <v>21.73</v>
      </c>
      <c r="AL178" s="884">
        <v>413</v>
      </c>
      <c r="AM178" s="883">
        <f t="shared" si="53"/>
        <v>0</v>
      </c>
      <c r="AN178" s="884">
        <v>441</v>
      </c>
      <c r="AO178" s="883">
        <f t="shared" si="54"/>
        <v>0</v>
      </c>
      <c r="AP178" s="881"/>
      <c r="AQ178" s="881"/>
      <c r="AR178" s="883">
        <v>0</v>
      </c>
      <c r="AS178" s="883">
        <v>0</v>
      </c>
      <c r="AT178" s="883">
        <v>0</v>
      </c>
      <c r="AU178" s="880"/>
      <c r="AV178" s="886"/>
      <c r="AW178" s="880"/>
      <c r="AX178" s="886"/>
      <c r="AY178" s="880"/>
      <c r="AZ178" s="880"/>
      <c r="BA178" s="881"/>
      <c r="BB178" s="881" t="s">
        <v>57</v>
      </c>
      <c r="BC178" s="881"/>
      <c r="BD178" s="881"/>
      <c r="BE178" s="884">
        <f t="shared" si="55"/>
        <v>4</v>
      </c>
      <c r="BF178" s="887" t="str">
        <f t="shared" si="56"/>
        <v>SI</v>
      </c>
      <c r="BG178" s="883">
        <f t="shared" si="57"/>
        <v>21.73</v>
      </c>
      <c r="BH178" s="883">
        <f t="shared" si="58"/>
        <v>0</v>
      </c>
      <c r="BI178" s="883">
        <f t="shared" si="59"/>
        <v>0</v>
      </c>
      <c r="BJ178" s="883">
        <f t="shared" si="60"/>
        <v>0</v>
      </c>
      <c r="BK178" s="883">
        <f t="shared" si="61"/>
        <v>0</v>
      </c>
      <c r="BL178" s="883">
        <f t="shared" si="62"/>
        <v>3.26</v>
      </c>
      <c r="BM178" s="881"/>
      <c r="BN178" s="880"/>
      <c r="BO178" s="882" t="s">
        <v>1579</v>
      </c>
      <c r="BP178" s="882" t="s">
        <v>2286</v>
      </c>
      <c r="BQ178" s="882" t="s">
        <v>2285</v>
      </c>
      <c r="BR178" s="880"/>
      <c r="BS178" s="880"/>
      <c r="BT178" s="880"/>
      <c r="BU178" s="880"/>
      <c r="BV178" s="880"/>
      <c r="BW178" s="883">
        <v>0</v>
      </c>
      <c r="BX178" s="883">
        <v>0</v>
      </c>
      <c r="BY178" s="883">
        <v>0</v>
      </c>
      <c r="BZ178" s="890"/>
      <c r="CA178" s="883">
        <f t="shared" si="63"/>
        <v>0</v>
      </c>
      <c r="CB178" s="880"/>
      <c r="CC178" s="881"/>
      <c r="CD178" s="883"/>
      <c r="CE178" s="883"/>
      <c r="CF178" s="883"/>
      <c r="CG178" s="883"/>
      <c r="CH178" s="883"/>
      <c r="CI178" s="883"/>
      <c r="CJ178" s="883"/>
      <c r="CK178" s="883"/>
      <c r="CL178" s="883"/>
      <c r="CM178" s="883"/>
      <c r="CN178" s="883"/>
      <c r="CO178" s="883"/>
      <c r="CP178" s="883"/>
      <c r="CQ178" s="883"/>
      <c r="CR178" s="883"/>
      <c r="CS178" s="883"/>
      <c r="CT178" s="883"/>
      <c r="CU178" s="883"/>
    </row>
    <row r="179" spans="1:99" x14ac:dyDescent="0.25">
      <c r="A179" s="880" t="s">
        <v>1787</v>
      </c>
      <c r="B179" s="881" t="s">
        <v>1788</v>
      </c>
      <c r="C179" s="880" t="s">
        <v>2811</v>
      </c>
      <c r="D179" s="880"/>
      <c r="E179" s="884" t="s">
        <v>744</v>
      </c>
      <c r="F179" s="888">
        <v>1</v>
      </c>
      <c r="G179" s="881" t="s">
        <v>1007</v>
      </c>
      <c r="H179" s="881" t="s">
        <v>19</v>
      </c>
      <c r="I179" s="865">
        <v>46142</v>
      </c>
      <c r="J179" s="882" t="s">
        <v>8</v>
      </c>
      <c r="K179" s="880"/>
      <c r="L179" s="880"/>
      <c r="M179" s="883">
        <v>0</v>
      </c>
      <c r="N179" s="883">
        <v>0</v>
      </c>
      <c r="O179" s="883">
        <v>0</v>
      </c>
      <c r="P179" s="883">
        <v>21.74</v>
      </c>
      <c r="Q179" s="883">
        <v>15</v>
      </c>
      <c r="R179" s="883">
        <f t="shared" si="48"/>
        <v>3.26</v>
      </c>
      <c r="S179" s="883">
        <v>0</v>
      </c>
      <c r="T179" s="883">
        <v>5</v>
      </c>
      <c r="U179" s="883">
        <f t="shared" si="49"/>
        <v>0</v>
      </c>
      <c r="V179" s="883">
        <v>0</v>
      </c>
      <c r="W179" s="883">
        <v>8</v>
      </c>
      <c r="X179" s="883">
        <f t="shared" si="50"/>
        <v>0</v>
      </c>
      <c r="Y179" s="883">
        <v>0</v>
      </c>
      <c r="Z179" s="883">
        <v>0</v>
      </c>
      <c r="AA179" s="883">
        <v>0</v>
      </c>
      <c r="AB179" s="883">
        <f t="shared" si="51"/>
        <v>25</v>
      </c>
      <c r="AC179" s="883">
        <v>0</v>
      </c>
      <c r="AD179" s="881"/>
      <c r="AE179" s="880"/>
      <c r="AF179" s="883"/>
      <c r="AG179" s="889"/>
      <c r="AH179" s="880"/>
      <c r="AI179" s="880" t="s">
        <v>1241</v>
      </c>
      <c r="AJ179" s="884">
        <v>411</v>
      </c>
      <c r="AK179" s="883">
        <f t="shared" si="52"/>
        <v>21.74</v>
      </c>
      <c r="AL179" s="884">
        <v>413</v>
      </c>
      <c r="AM179" s="883">
        <f t="shared" si="53"/>
        <v>0</v>
      </c>
      <c r="AN179" s="884">
        <v>441</v>
      </c>
      <c r="AO179" s="883">
        <f t="shared" si="54"/>
        <v>0</v>
      </c>
      <c r="AP179" s="881"/>
      <c r="AQ179" s="881"/>
      <c r="AR179" s="883">
        <v>0</v>
      </c>
      <c r="AS179" s="883">
        <v>0</v>
      </c>
      <c r="AT179" s="883">
        <v>0</v>
      </c>
      <c r="AU179" s="880"/>
      <c r="AV179" s="886"/>
      <c r="AW179" s="880"/>
      <c r="AX179" s="886"/>
      <c r="AY179" s="880"/>
      <c r="AZ179" s="880"/>
      <c r="BA179" s="881"/>
      <c r="BB179" s="881" t="s">
        <v>57</v>
      </c>
      <c r="BC179" s="881"/>
      <c r="BD179" s="881"/>
      <c r="BE179" s="884">
        <f t="shared" si="55"/>
        <v>4</v>
      </c>
      <c r="BF179" s="887" t="str">
        <f t="shared" si="56"/>
        <v>SI</v>
      </c>
      <c r="BG179" s="883">
        <f t="shared" si="57"/>
        <v>21.74</v>
      </c>
      <c r="BH179" s="883">
        <f t="shared" si="58"/>
        <v>0</v>
      </c>
      <c r="BI179" s="883">
        <f t="shared" si="59"/>
        <v>0</v>
      </c>
      <c r="BJ179" s="883">
        <f t="shared" si="60"/>
        <v>0</v>
      </c>
      <c r="BK179" s="883">
        <f t="shared" si="61"/>
        <v>0</v>
      </c>
      <c r="BL179" s="883">
        <f t="shared" si="62"/>
        <v>3.26</v>
      </c>
      <c r="BM179" s="881"/>
      <c r="BN179" s="880"/>
      <c r="BO179" s="882" t="s">
        <v>1579</v>
      </c>
      <c r="BP179" s="882" t="s">
        <v>2286</v>
      </c>
      <c r="BQ179" s="882" t="s">
        <v>2285</v>
      </c>
      <c r="BR179" s="880"/>
      <c r="BS179" s="880"/>
      <c r="BT179" s="880"/>
      <c r="BU179" s="880"/>
      <c r="BV179" s="880"/>
      <c r="BW179" s="883">
        <v>0</v>
      </c>
      <c r="BX179" s="883">
        <v>0</v>
      </c>
      <c r="BY179" s="883">
        <v>0</v>
      </c>
      <c r="BZ179" s="890"/>
      <c r="CA179" s="883">
        <f t="shared" si="63"/>
        <v>0</v>
      </c>
      <c r="CB179" s="880"/>
      <c r="CC179" s="881"/>
      <c r="CD179" s="883"/>
      <c r="CE179" s="883"/>
      <c r="CF179" s="883"/>
      <c r="CG179" s="883"/>
      <c r="CH179" s="883"/>
      <c r="CI179" s="883"/>
      <c r="CJ179" s="883"/>
      <c r="CK179" s="883"/>
      <c r="CL179" s="883"/>
      <c r="CM179" s="883"/>
      <c r="CN179" s="883"/>
      <c r="CO179" s="883"/>
      <c r="CP179" s="883"/>
      <c r="CQ179" s="883"/>
      <c r="CR179" s="883"/>
      <c r="CS179" s="883"/>
      <c r="CT179" s="883"/>
      <c r="CU179" s="883"/>
    </row>
    <row r="180" spans="1:99" x14ac:dyDescent="0.25">
      <c r="A180" s="880" t="s">
        <v>1787</v>
      </c>
      <c r="B180" s="881" t="s">
        <v>1788</v>
      </c>
      <c r="C180" s="880" t="s">
        <v>2812</v>
      </c>
      <c r="D180" s="880"/>
      <c r="E180" s="884" t="s">
        <v>744</v>
      </c>
      <c r="F180" s="888">
        <v>1</v>
      </c>
      <c r="G180" s="881" t="s">
        <v>1007</v>
      </c>
      <c r="H180" s="881" t="s">
        <v>19</v>
      </c>
      <c r="I180" s="865">
        <v>46142</v>
      </c>
      <c r="J180" s="882" t="s">
        <v>8</v>
      </c>
      <c r="K180" s="880"/>
      <c r="L180" s="880"/>
      <c r="M180" s="883">
        <v>0</v>
      </c>
      <c r="N180" s="883">
        <v>0</v>
      </c>
      <c r="O180" s="883">
        <v>0</v>
      </c>
      <c r="P180" s="883">
        <v>13.04</v>
      </c>
      <c r="Q180" s="883">
        <v>15</v>
      </c>
      <c r="R180" s="883">
        <f t="shared" si="48"/>
        <v>1.96</v>
      </c>
      <c r="S180" s="883">
        <v>0</v>
      </c>
      <c r="T180" s="883">
        <v>5</v>
      </c>
      <c r="U180" s="883">
        <f t="shared" si="49"/>
        <v>0</v>
      </c>
      <c r="V180" s="883">
        <v>0</v>
      </c>
      <c r="W180" s="883">
        <v>8</v>
      </c>
      <c r="X180" s="883">
        <f t="shared" si="50"/>
        <v>0</v>
      </c>
      <c r="Y180" s="883">
        <v>0</v>
      </c>
      <c r="Z180" s="883">
        <v>0</v>
      </c>
      <c r="AA180" s="883">
        <v>0</v>
      </c>
      <c r="AB180" s="883">
        <f t="shared" si="51"/>
        <v>15</v>
      </c>
      <c r="AC180" s="883">
        <v>0</v>
      </c>
      <c r="AD180" s="881"/>
      <c r="AE180" s="880"/>
      <c r="AF180" s="883"/>
      <c r="AG180" s="889"/>
      <c r="AH180" s="880"/>
      <c r="AI180" s="880" t="s">
        <v>1241</v>
      </c>
      <c r="AJ180" s="884">
        <v>411</v>
      </c>
      <c r="AK180" s="883">
        <f t="shared" si="52"/>
        <v>13.04</v>
      </c>
      <c r="AL180" s="884">
        <v>413</v>
      </c>
      <c r="AM180" s="883">
        <f t="shared" si="53"/>
        <v>0</v>
      </c>
      <c r="AN180" s="884">
        <v>441</v>
      </c>
      <c r="AO180" s="883">
        <f t="shared" si="54"/>
        <v>0</v>
      </c>
      <c r="AP180" s="881"/>
      <c r="AQ180" s="881"/>
      <c r="AR180" s="883">
        <v>0</v>
      </c>
      <c r="AS180" s="883">
        <v>0</v>
      </c>
      <c r="AT180" s="883">
        <v>0</v>
      </c>
      <c r="AU180" s="880"/>
      <c r="AV180" s="886"/>
      <c r="AW180" s="880"/>
      <c r="AX180" s="886"/>
      <c r="AY180" s="880"/>
      <c r="AZ180" s="880"/>
      <c r="BA180" s="881"/>
      <c r="BB180" s="881" t="s">
        <v>57</v>
      </c>
      <c r="BC180" s="881"/>
      <c r="BD180" s="881"/>
      <c r="BE180" s="884">
        <f t="shared" si="55"/>
        <v>4</v>
      </c>
      <c r="BF180" s="887" t="str">
        <f t="shared" si="56"/>
        <v>SI</v>
      </c>
      <c r="BG180" s="883">
        <f t="shared" si="57"/>
        <v>13.04</v>
      </c>
      <c r="BH180" s="883">
        <f t="shared" si="58"/>
        <v>0</v>
      </c>
      <c r="BI180" s="883">
        <f t="shared" si="59"/>
        <v>0</v>
      </c>
      <c r="BJ180" s="883">
        <f t="shared" si="60"/>
        <v>0</v>
      </c>
      <c r="BK180" s="883">
        <f t="shared" si="61"/>
        <v>0</v>
      </c>
      <c r="BL180" s="883">
        <f t="shared" si="62"/>
        <v>1.96</v>
      </c>
      <c r="BM180" s="881"/>
      <c r="BN180" s="880"/>
      <c r="BO180" s="882" t="s">
        <v>1579</v>
      </c>
      <c r="BP180" s="882" t="s">
        <v>2286</v>
      </c>
      <c r="BQ180" s="882" t="s">
        <v>2285</v>
      </c>
      <c r="BR180" s="880"/>
      <c r="BS180" s="880"/>
      <c r="BT180" s="880"/>
      <c r="BU180" s="880"/>
      <c r="BV180" s="880"/>
      <c r="BW180" s="883">
        <v>0</v>
      </c>
      <c r="BX180" s="883">
        <v>0</v>
      </c>
      <c r="BY180" s="883">
        <v>0</v>
      </c>
      <c r="BZ180" s="890"/>
      <c r="CA180" s="883">
        <f t="shared" si="63"/>
        <v>0</v>
      </c>
      <c r="CB180" s="880"/>
      <c r="CC180" s="881"/>
      <c r="CD180" s="883"/>
      <c r="CE180" s="883"/>
      <c r="CF180" s="883"/>
      <c r="CG180" s="883"/>
      <c r="CH180" s="883"/>
      <c r="CI180" s="883"/>
      <c r="CJ180" s="883"/>
      <c r="CK180" s="883"/>
      <c r="CL180" s="883"/>
      <c r="CM180" s="883"/>
      <c r="CN180" s="883"/>
      <c r="CO180" s="883"/>
      <c r="CP180" s="883"/>
      <c r="CQ180" s="883"/>
      <c r="CR180" s="883"/>
      <c r="CS180" s="883"/>
      <c r="CT180" s="883"/>
      <c r="CU180" s="883"/>
    </row>
    <row r="181" spans="1:99" x14ac:dyDescent="0.25">
      <c r="A181" s="880" t="s">
        <v>1787</v>
      </c>
      <c r="B181" s="881" t="s">
        <v>1788</v>
      </c>
      <c r="C181" s="880" t="s">
        <v>2813</v>
      </c>
      <c r="D181" s="880"/>
      <c r="E181" s="884" t="s">
        <v>744</v>
      </c>
      <c r="F181" s="888">
        <v>1</v>
      </c>
      <c r="G181" s="881" t="s">
        <v>1007</v>
      </c>
      <c r="H181" s="881" t="s">
        <v>19</v>
      </c>
      <c r="I181" s="865">
        <v>46142</v>
      </c>
      <c r="J181" s="882" t="s">
        <v>8</v>
      </c>
      <c r="K181" s="880"/>
      <c r="L181" s="880"/>
      <c r="M181" s="883">
        <v>0</v>
      </c>
      <c r="N181" s="883">
        <v>0</v>
      </c>
      <c r="O181" s="883">
        <v>0</v>
      </c>
      <c r="P181" s="883">
        <v>13.04</v>
      </c>
      <c r="Q181" s="883">
        <v>15</v>
      </c>
      <c r="R181" s="883">
        <f t="shared" si="48"/>
        <v>1.96</v>
      </c>
      <c r="S181" s="883">
        <v>0</v>
      </c>
      <c r="T181" s="883">
        <v>5</v>
      </c>
      <c r="U181" s="883">
        <f t="shared" si="49"/>
        <v>0</v>
      </c>
      <c r="V181" s="883">
        <v>0</v>
      </c>
      <c r="W181" s="883">
        <v>8</v>
      </c>
      <c r="X181" s="883">
        <f t="shared" si="50"/>
        <v>0</v>
      </c>
      <c r="Y181" s="883">
        <v>0</v>
      </c>
      <c r="Z181" s="883">
        <v>0</v>
      </c>
      <c r="AA181" s="883">
        <v>0</v>
      </c>
      <c r="AB181" s="883">
        <f t="shared" si="51"/>
        <v>15</v>
      </c>
      <c r="AC181" s="883">
        <v>0</v>
      </c>
      <c r="AD181" s="881"/>
      <c r="AE181" s="880"/>
      <c r="AF181" s="883"/>
      <c r="AG181" s="889"/>
      <c r="AH181" s="880"/>
      <c r="AI181" s="880" t="s">
        <v>1241</v>
      </c>
      <c r="AJ181" s="884">
        <v>411</v>
      </c>
      <c r="AK181" s="883">
        <f t="shared" si="52"/>
        <v>13.04</v>
      </c>
      <c r="AL181" s="884">
        <v>413</v>
      </c>
      <c r="AM181" s="883">
        <f t="shared" si="53"/>
        <v>0</v>
      </c>
      <c r="AN181" s="884">
        <v>441</v>
      </c>
      <c r="AO181" s="883">
        <f t="shared" si="54"/>
        <v>0</v>
      </c>
      <c r="AP181" s="881"/>
      <c r="AQ181" s="881"/>
      <c r="AR181" s="883">
        <v>0</v>
      </c>
      <c r="AS181" s="883">
        <v>0</v>
      </c>
      <c r="AT181" s="883">
        <v>0</v>
      </c>
      <c r="AU181" s="880"/>
      <c r="AV181" s="886"/>
      <c r="AW181" s="880"/>
      <c r="AX181" s="886"/>
      <c r="AY181" s="880"/>
      <c r="AZ181" s="880"/>
      <c r="BA181" s="881"/>
      <c r="BB181" s="881" t="s">
        <v>57</v>
      </c>
      <c r="BC181" s="881"/>
      <c r="BD181" s="881"/>
      <c r="BE181" s="884">
        <f t="shared" si="55"/>
        <v>4</v>
      </c>
      <c r="BF181" s="887" t="str">
        <f t="shared" si="56"/>
        <v>SI</v>
      </c>
      <c r="BG181" s="883">
        <f t="shared" si="57"/>
        <v>13.04</v>
      </c>
      <c r="BH181" s="883">
        <f t="shared" si="58"/>
        <v>0</v>
      </c>
      <c r="BI181" s="883">
        <f t="shared" si="59"/>
        <v>0</v>
      </c>
      <c r="BJ181" s="883">
        <f t="shared" si="60"/>
        <v>0</v>
      </c>
      <c r="BK181" s="883">
        <f t="shared" si="61"/>
        <v>0</v>
      </c>
      <c r="BL181" s="883">
        <f t="shared" si="62"/>
        <v>1.96</v>
      </c>
      <c r="BM181" s="881"/>
      <c r="BN181" s="880"/>
      <c r="BO181" s="882" t="s">
        <v>1579</v>
      </c>
      <c r="BP181" s="882" t="s">
        <v>2286</v>
      </c>
      <c r="BQ181" s="882" t="s">
        <v>2285</v>
      </c>
      <c r="BR181" s="880"/>
      <c r="BS181" s="880"/>
      <c r="BT181" s="880"/>
      <c r="BU181" s="880"/>
      <c r="BV181" s="880"/>
      <c r="BW181" s="883">
        <v>0</v>
      </c>
      <c r="BX181" s="883">
        <v>0</v>
      </c>
      <c r="BY181" s="883">
        <v>0</v>
      </c>
      <c r="BZ181" s="890"/>
      <c r="CA181" s="883">
        <f t="shared" si="63"/>
        <v>0</v>
      </c>
      <c r="CB181" s="880"/>
      <c r="CC181" s="881"/>
      <c r="CD181" s="883"/>
      <c r="CE181" s="883"/>
      <c r="CF181" s="883"/>
      <c r="CG181" s="883"/>
      <c r="CH181" s="883"/>
      <c r="CI181" s="883"/>
      <c r="CJ181" s="883"/>
      <c r="CK181" s="883"/>
      <c r="CL181" s="883"/>
      <c r="CM181" s="883"/>
      <c r="CN181" s="883"/>
      <c r="CO181" s="883"/>
      <c r="CP181" s="883"/>
      <c r="CQ181" s="883"/>
      <c r="CR181" s="883"/>
      <c r="CS181" s="883"/>
      <c r="CT181" s="883"/>
      <c r="CU181" s="883"/>
    </row>
    <row r="182" spans="1:99" x14ac:dyDescent="0.25">
      <c r="A182" s="880" t="s">
        <v>1787</v>
      </c>
      <c r="B182" s="881" t="s">
        <v>1788</v>
      </c>
      <c r="C182" s="880" t="s">
        <v>2814</v>
      </c>
      <c r="D182" s="880"/>
      <c r="E182" s="884" t="s">
        <v>744</v>
      </c>
      <c r="F182" s="888">
        <v>1</v>
      </c>
      <c r="G182" s="881" t="s">
        <v>1007</v>
      </c>
      <c r="H182" s="881" t="s">
        <v>19</v>
      </c>
      <c r="I182" s="865">
        <v>46142</v>
      </c>
      <c r="J182" s="882" t="s">
        <v>8</v>
      </c>
      <c r="K182" s="880"/>
      <c r="L182" s="880"/>
      <c r="M182" s="883">
        <v>0</v>
      </c>
      <c r="N182" s="883">
        <v>0</v>
      </c>
      <c r="O182" s="883">
        <v>0</v>
      </c>
      <c r="P182" s="883">
        <v>13.39</v>
      </c>
      <c r="Q182" s="883">
        <v>15</v>
      </c>
      <c r="R182" s="883">
        <f t="shared" si="48"/>
        <v>2.0099999999999998</v>
      </c>
      <c r="S182" s="883">
        <v>0</v>
      </c>
      <c r="T182" s="883">
        <v>5</v>
      </c>
      <c r="U182" s="883">
        <f t="shared" si="49"/>
        <v>0</v>
      </c>
      <c r="V182" s="883">
        <v>0</v>
      </c>
      <c r="W182" s="883">
        <v>8</v>
      </c>
      <c r="X182" s="883">
        <f t="shared" si="50"/>
        <v>0</v>
      </c>
      <c r="Y182" s="883">
        <v>0</v>
      </c>
      <c r="Z182" s="883">
        <v>0</v>
      </c>
      <c r="AA182" s="883">
        <v>0</v>
      </c>
      <c r="AB182" s="883">
        <f t="shared" si="51"/>
        <v>15.4</v>
      </c>
      <c r="AC182" s="883">
        <v>0</v>
      </c>
      <c r="AD182" s="881"/>
      <c r="AE182" s="880"/>
      <c r="AF182" s="883"/>
      <c r="AG182" s="889"/>
      <c r="AH182" s="880"/>
      <c r="AI182" s="880" t="s">
        <v>1241</v>
      </c>
      <c r="AJ182" s="884">
        <v>411</v>
      </c>
      <c r="AK182" s="883">
        <f t="shared" si="52"/>
        <v>13.39</v>
      </c>
      <c r="AL182" s="884">
        <v>413</v>
      </c>
      <c r="AM182" s="883">
        <f t="shared" si="53"/>
        <v>0</v>
      </c>
      <c r="AN182" s="884">
        <v>441</v>
      </c>
      <c r="AO182" s="883">
        <f t="shared" si="54"/>
        <v>0</v>
      </c>
      <c r="AP182" s="881"/>
      <c r="AQ182" s="881"/>
      <c r="AR182" s="883">
        <v>0</v>
      </c>
      <c r="AS182" s="883">
        <v>0</v>
      </c>
      <c r="AT182" s="883">
        <v>0</v>
      </c>
      <c r="AU182" s="880"/>
      <c r="AV182" s="886"/>
      <c r="AW182" s="880"/>
      <c r="AX182" s="886"/>
      <c r="AY182" s="880"/>
      <c r="AZ182" s="880"/>
      <c r="BA182" s="881"/>
      <c r="BB182" s="881" t="s">
        <v>57</v>
      </c>
      <c r="BC182" s="881"/>
      <c r="BD182" s="881"/>
      <c r="BE182" s="884">
        <f t="shared" si="55"/>
        <v>4</v>
      </c>
      <c r="BF182" s="887" t="str">
        <f t="shared" si="56"/>
        <v>SI</v>
      </c>
      <c r="BG182" s="883">
        <f t="shared" si="57"/>
        <v>13.39</v>
      </c>
      <c r="BH182" s="883">
        <f t="shared" si="58"/>
        <v>0</v>
      </c>
      <c r="BI182" s="883">
        <f t="shared" si="59"/>
        <v>0</v>
      </c>
      <c r="BJ182" s="883">
        <f t="shared" si="60"/>
        <v>0</v>
      </c>
      <c r="BK182" s="883">
        <f t="shared" si="61"/>
        <v>0</v>
      </c>
      <c r="BL182" s="883">
        <f t="shared" si="62"/>
        <v>2.0099999999999998</v>
      </c>
      <c r="BM182" s="881"/>
      <c r="BN182" s="880"/>
      <c r="BO182" s="882" t="s">
        <v>1579</v>
      </c>
      <c r="BP182" s="882" t="s">
        <v>2286</v>
      </c>
      <c r="BQ182" s="882" t="s">
        <v>2285</v>
      </c>
      <c r="BR182" s="880"/>
      <c r="BS182" s="880"/>
      <c r="BT182" s="880"/>
      <c r="BU182" s="880"/>
      <c r="BV182" s="880"/>
      <c r="BW182" s="883">
        <v>0</v>
      </c>
      <c r="BX182" s="883">
        <v>0</v>
      </c>
      <c r="BY182" s="883">
        <v>0</v>
      </c>
      <c r="BZ182" s="890"/>
      <c r="CA182" s="883">
        <f t="shared" si="63"/>
        <v>0</v>
      </c>
      <c r="CB182" s="880"/>
      <c r="CC182" s="881"/>
      <c r="CD182" s="883"/>
      <c r="CE182" s="883"/>
      <c r="CF182" s="883"/>
      <c r="CG182" s="883"/>
      <c r="CH182" s="883"/>
      <c r="CI182" s="883"/>
      <c r="CJ182" s="883"/>
      <c r="CK182" s="883"/>
      <c r="CL182" s="883"/>
      <c r="CM182" s="883"/>
      <c r="CN182" s="883"/>
      <c r="CO182" s="883"/>
      <c r="CP182" s="883"/>
      <c r="CQ182" s="883"/>
      <c r="CR182" s="883"/>
      <c r="CS182" s="883"/>
      <c r="CT182" s="883"/>
      <c r="CU182" s="883"/>
    </row>
    <row r="183" spans="1:99" x14ac:dyDescent="0.25">
      <c r="A183" s="880" t="s">
        <v>1787</v>
      </c>
      <c r="B183" s="881" t="s">
        <v>1788</v>
      </c>
      <c r="C183" s="880" t="s">
        <v>2815</v>
      </c>
      <c r="D183" s="880"/>
      <c r="E183" s="884" t="s">
        <v>744</v>
      </c>
      <c r="F183" s="888">
        <v>1</v>
      </c>
      <c r="G183" s="881" t="s">
        <v>1007</v>
      </c>
      <c r="H183" s="881" t="s">
        <v>19</v>
      </c>
      <c r="I183" s="865">
        <v>46142</v>
      </c>
      <c r="J183" s="882" t="s">
        <v>8</v>
      </c>
      <c r="K183" s="880"/>
      <c r="L183" s="880"/>
      <c r="M183" s="883">
        <v>0</v>
      </c>
      <c r="N183" s="883">
        <v>0</v>
      </c>
      <c r="O183" s="883">
        <v>0</v>
      </c>
      <c r="P183" s="883">
        <v>17.39</v>
      </c>
      <c r="Q183" s="883">
        <v>15</v>
      </c>
      <c r="R183" s="883">
        <f t="shared" si="48"/>
        <v>2.61</v>
      </c>
      <c r="S183" s="883">
        <v>0</v>
      </c>
      <c r="T183" s="883">
        <v>5</v>
      </c>
      <c r="U183" s="883">
        <f t="shared" si="49"/>
        <v>0</v>
      </c>
      <c r="V183" s="883">
        <v>0</v>
      </c>
      <c r="W183" s="883">
        <v>8</v>
      </c>
      <c r="X183" s="883">
        <f t="shared" si="50"/>
        <v>0</v>
      </c>
      <c r="Y183" s="883">
        <v>0</v>
      </c>
      <c r="Z183" s="883">
        <v>0</v>
      </c>
      <c r="AA183" s="883">
        <v>0</v>
      </c>
      <c r="AB183" s="883">
        <f t="shared" si="51"/>
        <v>20</v>
      </c>
      <c r="AC183" s="883">
        <v>0</v>
      </c>
      <c r="AD183" s="881"/>
      <c r="AE183" s="880"/>
      <c r="AF183" s="883"/>
      <c r="AG183" s="889"/>
      <c r="AH183" s="880"/>
      <c r="AI183" s="880" t="s">
        <v>1241</v>
      </c>
      <c r="AJ183" s="884">
        <v>411</v>
      </c>
      <c r="AK183" s="883">
        <f t="shared" si="52"/>
        <v>17.39</v>
      </c>
      <c r="AL183" s="884">
        <v>413</v>
      </c>
      <c r="AM183" s="883">
        <f t="shared" si="53"/>
        <v>0</v>
      </c>
      <c r="AN183" s="884">
        <v>441</v>
      </c>
      <c r="AO183" s="883">
        <f t="shared" si="54"/>
        <v>0</v>
      </c>
      <c r="AP183" s="881"/>
      <c r="AQ183" s="881"/>
      <c r="AR183" s="883">
        <v>0</v>
      </c>
      <c r="AS183" s="883">
        <v>0</v>
      </c>
      <c r="AT183" s="883">
        <v>0</v>
      </c>
      <c r="AU183" s="880"/>
      <c r="AV183" s="886"/>
      <c r="AW183" s="880"/>
      <c r="AX183" s="886"/>
      <c r="AY183" s="880"/>
      <c r="AZ183" s="880"/>
      <c r="BA183" s="881"/>
      <c r="BB183" s="881" t="s">
        <v>57</v>
      </c>
      <c r="BC183" s="881"/>
      <c r="BD183" s="881"/>
      <c r="BE183" s="884">
        <f t="shared" si="55"/>
        <v>4</v>
      </c>
      <c r="BF183" s="887" t="str">
        <f t="shared" si="56"/>
        <v>SI</v>
      </c>
      <c r="BG183" s="883">
        <f t="shared" si="57"/>
        <v>17.39</v>
      </c>
      <c r="BH183" s="883">
        <f t="shared" si="58"/>
        <v>0</v>
      </c>
      <c r="BI183" s="883">
        <f t="shared" si="59"/>
        <v>0</v>
      </c>
      <c r="BJ183" s="883">
        <f t="shared" si="60"/>
        <v>0</v>
      </c>
      <c r="BK183" s="883">
        <f t="shared" si="61"/>
        <v>0</v>
      </c>
      <c r="BL183" s="883">
        <f t="shared" si="62"/>
        <v>2.61</v>
      </c>
      <c r="BM183" s="881"/>
      <c r="BN183" s="880"/>
      <c r="BO183" s="882" t="s">
        <v>1579</v>
      </c>
      <c r="BP183" s="882" t="s">
        <v>2286</v>
      </c>
      <c r="BQ183" s="882" t="s">
        <v>2285</v>
      </c>
      <c r="BR183" s="880"/>
      <c r="BS183" s="880"/>
      <c r="BT183" s="880"/>
      <c r="BU183" s="880"/>
      <c r="BV183" s="880"/>
      <c r="BW183" s="883">
        <v>0</v>
      </c>
      <c r="BX183" s="883">
        <v>0</v>
      </c>
      <c r="BY183" s="883">
        <v>0</v>
      </c>
      <c r="BZ183" s="890"/>
      <c r="CA183" s="883">
        <f t="shared" si="63"/>
        <v>0</v>
      </c>
      <c r="CB183" s="880"/>
      <c r="CC183" s="881"/>
      <c r="CD183" s="883"/>
      <c r="CE183" s="883"/>
      <c r="CF183" s="883"/>
      <c r="CG183" s="883"/>
      <c r="CH183" s="883"/>
      <c r="CI183" s="883"/>
      <c r="CJ183" s="883"/>
      <c r="CK183" s="883"/>
      <c r="CL183" s="883"/>
      <c r="CM183" s="883"/>
      <c r="CN183" s="883"/>
      <c r="CO183" s="883"/>
      <c r="CP183" s="883"/>
      <c r="CQ183" s="883"/>
      <c r="CR183" s="883"/>
      <c r="CS183" s="883"/>
      <c r="CT183" s="883"/>
      <c r="CU183" s="883"/>
    </row>
    <row r="184" spans="1:99" x14ac:dyDescent="0.25">
      <c r="A184" s="880" t="s">
        <v>1787</v>
      </c>
      <c r="B184" s="881" t="s">
        <v>1788</v>
      </c>
      <c r="C184" s="880" t="s">
        <v>2816</v>
      </c>
      <c r="D184" s="880"/>
      <c r="E184" s="884" t="s">
        <v>744</v>
      </c>
      <c r="F184" s="888">
        <v>1</v>
      </c>
      <c r="G184" s="881" t="s">
        <v>1007</v>
      </c>
      <c r="H184" s="881" t="s">
        <v>19</v>
      </c>
      <c r="I184" s="865">
        <v>46142</v>
      </c>
      <c r="J184" s="882" t="s">
        <v>8</v>
      </c>
      <c r="K184" s="880"/>
      <c r="L184" s="880"/>
      <c r="M184" s="883">
        <v>0</v>
      </c>
      <c r="N184" s="883">
        <v>0</v>
      </c>
      <c r="O184" s="883">
        <v>0</v>
      </c>
      <c r="P184" s="883">
        <v>34.78</v>
      </c>
      <c r="Q184" s="883">
        <v>15</v>
      </c>
      <c r="R184" s="883">
        <f t="shared" si="48"/>
        <v>5.22</v>
      </c>
      <c r="S184" s="883">
        <v>0</v>
      </c>
      <c r="T184" s="883">
        <v>5</v>
      </c>
      <c r="U184" s="883">
        <f t="shared" si="49"/>
        <v>0</v>
      </c>
      <c r="V184" s="883">
        <v>0</v>
      </c>
      <c r="W184" s="883">
        <v>8</v>
      </c>
      <c r="X184" s="883">
        <f t="shared" si="50"/>
        <v>0</v>
      </c>
      <c r="Y184" s="883">
        <v>0</v>
      </c>
      <c r="Z184" s="883">
        <v>0</v>
      </c>
      <c r="AA184" s="883">
        <v>0</v>
      </c>
      <c r="AB184" s="883">
        <f t="shared" si="51"/>
        <v>40</v>
      </c>
      <c r="AC184" s="883">
        <v>0</v>
      </c>
      <c r="AD184" s="881"/>
      <c r="AE184" s="880"/>
      <c r="AF184" s="883"/>
      <c r="AG184" s="889"/>
      <c r="AH184" s="880"/>
      <c r="AI184" s="880" t="s">
        <v>1241</v>
      </c>
      <c r="AJ184" s="884">
        <v>411</v>
      </c>
      <c r="AK184" s="883">
        <f t="shared" si="52"/>
        <v>34.78</v>
      </c>
      <c r="AL184" s="884">
        <v>413</v>
      </c>
      <c r="AM184" s="883">
        <f t="shared" si="53"/>
        <v>0</v>
      </c>
      <c r="AN184" s="884">
        <v>441</v>
      </c>
      <c r="AO184" s="883">
        <f t="shared" si="54"/>
        <v>0</v>
      </c>
      <c r="AP184" s="881"/>
      <c r="AQ184" s="881"/>
      <c r="AR184" s="883">
        <v>0</v>
      </c>
      <c r="AS184" s="883">
        <v>0</v>
      </c>
      <c r="AT184" s="883">
        <v>0</v>
      </c>
      <c r="AU184" s="880"/>
      <c r="AV184" s="886"/>
      <c r="AW184" s="880"/>
      <c r="AX184" s="886"/>
      <c r="AY184" s="880"/>
      <c r="AZ184" s="880"/>
      <c r="BA184" s="881"/>
      <c r="BB184" s="881" t="s">
        <v>57</v>
      </c>
      <c r="BC184" s="881"/>
      <c r="BD184" s="881"/>
      <c r="BE184" s="884">
        <f t="shared" si="55"/>
        <v>4</v>
      </c>
      <c r="BF184" s="887" t="str">
        <f t="shared" si="56"/>
        <v>SI</v>
      </c>
      <c r="BG184" s="883">
        <f t="shared" si="57"/>
        <v>34.78</v>
      </c>
      <c r="BH184" s="883">
        <f t="shared" si="58"/>
        <v>0</v>
      </c>
      <c r="BI184" s="883">
        <f t="shared" si="59"/>
        <v>0</v>
      </c>
      <c r="BJ184" s="883">
        <f t="shared" si="60"/>
        <v>0</v>
      </c>
      <c r="BK184" s="883">
        <f t="shared" si="61"/>
        <v>0</v>
      </c>
      <c r="BL184" s="883">
        <f t="shared" si="62"/>
        <v>5.22</v>
      </c>
      <c r="BM184" s="881"/>
      <c r="BN184" s="880"/>
      <c r="BO184" s="882" t="s">
        <v>1579</v>
      </c>
      <c r="BP184" s="882" t="s">
        <v>2286</v>
      </c>
      <c r="BQ184" s="882" t="s">
        <v>2285</v>
      </c>
      <c r="BR184" s="880"/>
      <c r="BS184" s="880"/>
      <c r="BT184" s="880"/>
      <c r="BU184" s="880"/>
      <c r="BV184" s="880"/>
      <c r="BW184" s="883">
        <v>0</v>
      </c>
      <c r="BX184" s="883">
        <v>0</v>
      </c>
      <c r="BY184" s="883">
        <v>0</v>
      </c>
      <c r="BZ184" s="890"/>
      <c r="CA184" s="883">
        <f t="shared" si="63"/>
        <v>0</v>
      </c>
      <c r="CB184" s="880"/>
      <c r="CC184" s="881"/>
      <c r="CD184" s="883"/>
      <c r="CE184" s="883"/>
      <c r="CF184" s="883"/>
      <c r="CG184" s="883"/>
      <c r="CH184" s="883"/>
      <c r="CI184" s="883"/>
      <c r="CJ184" s="883"/>
      <c r="CK184" s="883"/>
      <c r="CL184" s="883"/>
      <c r="CM184" s="883"/>
      <c r="CN184" s="883"/>
      <c r="CO184" s="883"/>
      <c r="CP184" s="883"/>
      <c r="CQ184" s="883"/>
      <c r="CR184" s="883"/>
      <c r="CS184" s="883"/>
      <c r="CT184" s="883"/>
      <c r="CU184" s="883"/>
    </row>
    <row r="185" spans="1:99" x14ac:dyDescent="0.25">
      <c r="A185" s="880" t="s">
        <v>1787</v>
      </c>
      <c r="B185" s="881" t="s">
        <v>1788</v>
      </c>
      <c r="C185" s="880" t="s">
        <v>2817</v>
      </c>
      <c r="D185" s="880"/>
      <c r="E185" s="884" t="s">
        <v>744</v>
      </c>
      <c r="F185" s="888">
        <v>1</v>
      </c>
      <c r="G185" s="881" t="s">
        <v>1007</v>
      </c>
      <c r="H185" s="881" t="s">
        <v>19</v>
      </c>
      <c r="I185" s="865">
        <v>46142</v>
      </c>
      <c r="J185" s="882" t="s">
        <v>8</v>
      </c>
      <c r="K185" s="880"/>
      <c r="L185" s="880"/>
      <c r="M185" s="883">
        <v>0</v>
      </c>
      <c r="N185" s="883">
        <v>0</v>
      </c>
      <c r="O185" s="883">
        <v>0</v>
      </c>
      <c r="P185" s="883">
        <v>17.39</v>
      </c>
      <c r="Q185" s="883">
        <v>15</v>
      </c>
      <c r="R185" s="883">
        <f t="shared" si="48"/>
        <v>2.61</v>
      </c>
      <c r="S185" s="883">
        <v>0</v>
      </c>
      <c r="T185" s="883">
        <v>5</v>
      </c>
      <c r="U185" s="883">
        <f t="shared" si="49"/>
        <v>0</v>
      </c>
      <c r="V185" s="883">
        <v>0</v>
      </c>
      <c r="W185" s="883">
        <v>8</v>
      </c>
      <c r="X185" s="883">
        <f t="shared" si="50"/>
        <v>0</v>
      </c>
      <c r="Y185" s="883">
        <v>0</v>
      </c>
      <c r="Z185" s="883">
        <v>0</v>
      </c>
      <c r="AA185" s="883">
        <v>0</v>
      </c>
      <c r="AB185" s="883">
        <f t="shared" si="51"/>
        <v>20</v>
      </c>
      <c r="AC185" s="883">
        <v>0</v>
      </c>
      <c r="AD185" s="881"/>
      <c r="AE185" s="880"/>
      <c r="AF185" s="883"/>
      <c r="AG185" s="889"/>
      <c r="AH185" s="880"/>
      <c r="AI185" s="880" t="s">
        <v>1241</v>
      </c>
      <c r="AJ185" s="884">
        <v>411</v>
      </c>
      <c r="AK185" s="883">
        <f t="shared" si="52"/>
        <v>17.39</v>
      </c>
      <c r="AL185" s="884">
        <v>413</v>
      </c>
      <c r="AM185" s="883">
        <f t="shared" si="53"/>
        <v>0</v>
      </c>
      <c r="AN185" s="884">
        <v>441</v>
      </c>
      <c r="AO185" s="883">
        <f t="shared" si="54"/>
        <v>0</v>
      </c>
      <c r="AP185" s="881"/>
      <c r="AQ185" s="881"/>
      <c r="AR185" s="883">
        <v>0</v>
      </c>
      <c r="AS185" s="883">
        <v>0</v>
      </c>
      <c r="AT185" s="883">
        <v>0</v>
      </c>
      <c r="AU185" s="880"/>
      <c r="AV185" s="886"/>
      <c r="AW185" s="880"/>
      <c r="AX185" s="886"/>
      <c r="AY185" s="880"/>
      <c r="AZ185" s="880"/>
      <c r="BA185" s="881"/>
      <c r="BB185" s="881" t="s">
        <v>57</v>
      </c>
      <c r="BC185" s="881"/>
      <c r="BD185" s="881"/>
      <c r="BE185" s="884">
        <f t="shared" si="55"/>
        <v>4</v>
      </c>
      <c r="BF185" s="887" t="str">
        <f t="shared" si="56"/>
        <v>SI</v>
      </c>
      <c r="BG185" s="883">
        <f t="shared" si="57"/>
        <v>17.39</v>
      </c>
      <c r="BH185" s="883">
        <f t="shared" si="58"/>
        <v>0</v>
      </c>
      <c r="BI185" s="883">
        <f t="shared" si="59"/>
        <v>0</v>
      </c>
      <c r="BJ185" s="883">
        <f t="shared" si="60"/>
        <v>0</v>
      </c>
      <c r="BK185" s="883">
        <f t="shared" si="61"/>
        <v>0</v>
      </c>
      <c r="BL185" s="883">
        <f t="shared" si="62"/>
        <v>2.61</v>
      </c>
      <c r="BM185" s="881"/>
      <c r="BN185" s="880"/>
      <c r="BO185" s="882" t="s">
        <v>1579</v>
      </c>
      <c r="BP185" s="882" t="s">
        <v>2286</v>
      </c>
      <c r="BQ185" s="882" t="s">
        <v>2285</v>
      </c>
      <c r="BR185" s="880"/>
      <c r="BS185" s="880"/>
      <c r="BT185" s="880"/>
      <c r="BU185" s="880"/>
      <c r="BV185" s="880"/>
      <c r="BW185" s="883">
        <v>0</v>
      </c>
      <c r="BX185" s="883">
        <v>0</v>
      </c>
      <c r="BY185" s="883">
        <v>0</v>
      </c>
      <c r="BZ185" s="890"/>
      <c r="CA185" s="883">
        <f t="shared" si="63"/>
        <v>0</v>
      </c>
      <c r="CB185" s="880"/>
      <c r="CC185" s="881"/>
      <c r="CD185" s="883"/>
      <c r="CE185" s="883"/>
      <c r="CF185" s="883"/>
      <c r="CG185" s="883"/>
      <c r="CH185" s="883"/>
      <c r="CI185" s="883"/>
      <c r="CJ185" s="883"/>
      <c r="CK185" s="883"/>
      <c r="CL185" s="883"/>
      <c r="CM185" s="883"/>
      <c r="CN185" s="883"/>
      <c r="CO185" s="883"/>
      <c r="CP185" s="883"/>
      <c r="CQ185" s="883"/>
      <c r="CR185" s="883"/>
      <c r="CS185" s="883"/>
      <c r="CT185" s="883"/>
      <c r="CU185" s="883"/>
    </row>
    <row r="186" spans="1:99" x14ac:dyDescent="0.25">
      <c r="A186" s="880" t="s">
        <v>1787</v>
      </c>
      <c r="B186" s="881" t="s">
        <v>1788</v>
      </c>
      <c r="C186" s="880" t="s">
        <v>2818</v>
      </c>
      <c r="D186" s="880"/>
      <c r="E186" s="884" t="s">
        <v>744</v>
      </c>
      <c r="F186" s="888">
        <v>1</v>
      </c>
      <c r="G186" s="881" t="s">
        <v>1007</v>
      </c>
      <c r="H186" s="881" t="s">
        <v>19</v>
      </c>
      <c r="I186" s="865">
        <v>46142</v>
      </c>
      <c r="J186" s="882" t="s">
        <v>8</v>
      </c>
      <c r="K186" s="880"/>
      <c r="L186" s="880"/>
      <c r="M186" s="883">
        <v>0</v>
      </c>
      <c r="N186" s="883">
        <v>0</v>
      </c>
      <c r="O186" s="883">
        <v>0</v>
      </c>
      <c r="P186" s="883">
        <v>13.39</v>
      </c>
      <c r="Q186" s="883">
        <v>15</v>
      </c>
      <c r="R186" s="883">
        <f t="shared" si="48"/>
        <v>2.0099999999999998</v>
      </c>
      <c r="S186" s="883">
        <v>0</v>
      </c>
      <c r="T186" s="883">
        <v>5</v>
      </c>
      <c r="U186" s="883">
        <f t="shared" si="49"/>
        <v>0</v>
      </c>
      <c r="V186" s="883">
        <v>0</v>
      </c>
      <c r="W186" s="883">
        <v>8</v>
      </c>
      <c r="X186" s="883">
        <f t="shared" si="50"/>
        <v>0</v>
      </c>
      <c r="Y186" s="883">
        <v>0</v>
      </c>
      <c r="Z186" s="883">
        <v>0</v>
      </c>
      <c r="AA186" s="883">
        <v>0</v>
      </c>
      <c r="AB186" s="883">
        <f t="shared" si="51"/>
        <v>15.4</v>
      </c>
      <c r="AC186" s="883">
        <v>0</v>
      </c>
      <c r="AD186" s="881"/>
      <c r="AE186" s="880"/>
      <c r="AF186" s="883"/>
      <c r="AG186" s="889"/>
      <c r="AH186" s="880"/>
      <c r="AI186" s="880" t="s">
        <v>1241</v>
      </c>
      <c r="AJ186" s="884">
        <v>411</v>
      </c>
      <c r="AK186" s="883">
        <f t="shared" si="52"/>
        <v>13.39</v>
      </c>
      <c r="AL186" s="884">
        <v>413</v>
      </c>
      <c r="AM186" s="883">
        <f t="shared" si="53"/>
        <v>0</v>
      </c>
      <c r="AN186" s="884">
        <v>441</v>
      </c>
      <c r="AO186" s="883">
        <f t="shared" si="54"/>
        <v>0</v>
      </c>
      <c r="AP186" s="881"/>
      <c r="AQ186" s="881"/>
      <c r="AR186" s="883">
        <v>0</v>
      </c>
      <c r="AS186" s="883">
        <v>0</v>
      </c>
      <c r="AT186" s="883">
        <v>0</v>
      </c>
      <c r="AU186" s="880"/>
      <c r="AV186" s="886"/>
      <c r="AW186" s="880"/>
      <c r="AX186" s="886"/>
      <c r="AY186" s="880"/>
      <c r="AZ186" s="880"/>
      <c r="BA186" s="881"/>
      <c r="BB186" s="881" t="s">
        <v>57</v>
      </c>
      <c r="BC186" s="881"/>
      <c r="BD186" s="881"/>
      <c r="BE186" s="884">
        <f t="shared" si="55"/>
        <v>4</v>
      </c>
      <c r="BF186" s="887" t="str">
        <f t="shared" si="56"/>
        <v>SI</v>
      </c>
      <c r="BG186" s="883">
        <f t="shared" si="57"/>
        <v>13.39</v>
      </c>
      <c r="BH186" s="883">
        <f t="shared" si="58"/>
        <v>0</v>
      </c>
      <c r="BI186" s="883">
        <f t="shared" si="59"/>
        <v>0</v>
      </c>
      <c r="BJ186" s="883">
        <f t="shared" si="60"/>
        <v>0</v>
      </c>
      <c r="BK186" s="883">
        <f t="shared" si="61"/>
        <v>0</v>
      </c>
      <c r="BL186" s="883">
        <f t="shared" si="62"/>
        <v>2.0099999999999998</v>
      </c>
      <c r="BM186" s="881"/>
      <c r="BN186" s="880"/>
      <c r="BO186" s="882" t="s">
        <v>1579</v>
      </c>
      <c r="BP186" s="882" t="s">
        <v>2286</v>
      </c>
      <c r="BQ186" s="882" t="s">
        <v>2285</v>
      </c>
      <c r="BR186" s="880"/>
      <c r="BS186" s="880"/>
      <c r="BT186" s="880"/>
      <c r="BU186" s="880"/>
      <c r="BV186" s="880"/>
      <c r="BW186" s="883">
        <v>0</v>
      </c>
      <c r="BX186" s="883">
        <v>0</v>
      </c>
      <c r="BY186" s="883">
        <v>0</v>
      </c>
      <c r="BZ186" s="890"/>
      <c r="CA186" s="883">
        <f t="shared" si="63"/>
        <v>0</v>
      </c>
      <c r="CB186" s="880"/>
      <c r="CC186" s="881"/>
      <c r="CD186" s="883"/>
      <c r="CE186" s="883"/>
      <c r="CF186" s="883"/>
      <c r="CG186" s="883"/>
      <c r="CH186" s="883"/>
      <c r="CI186" s="883"/>
      <c r="CJ186" s="883"/>
      <c r="CK186" s="883"/>
      <c r="CL186" s="883"/>
      <c r="CM186" s="883"/>
      <c r="CN186" s="883"/>
      <c r="CO186" s="883"/>
      <c r="CP186" s="883"/>
      <c r="CQ186" s="883"/>
      <c r="CR186" s="883"/>
      <c r="CS186" s="883"/>
      <c r="CT186" s="883"/>
      <c r="CU186" s="883"/>
    </row>
    <row r="187" spans="1:99" x14ac:dyDescent="0.25">
      <c r="A187" s="880" t="s">
        <v>1787</v>
      </c>
      <c r="B187" s="881" t="s">
        <v>1788</v>
      </c>
      <c r="C187" s="880" t="s">
        <v>2819</v>
      </c>
      <c r="D187" s="880"/>
      <c r="E187" s="884" t="s">
        <v>744</v>
      </c>
      <c r="F187" s="888">
        <v>1</v>
      </c>
      <c r="G187" s="881" t="s">
        <v>1007</v>
      </c>
      <c r="H187" s="881" t="s">
        <v>19</v>
      </c>
      <c r="I187" s="865">
        <v>46142</v>
      </c>
      <c r="J187" s="882" t="s">
        <v>8</v>
      </c>
      <c r="K187" s="880"/>
      <c r="L187" s="880"/>
      <c r="M187" s="883">
        <v>0</v>
      </c>
      <c r="N187" s="883">
        <v>0</v>
      </c>
      <c r="O187" s="883">
        <v>0</v>
      </c>
      <c r="P187" s="883">
        <v>21.74</v>
      </c>
      <c r="Q187" s="883">
        <v>15</v>
      </c>
      <c r="R187" s="883">
        <f t="shared" si="48"/>
        <v>3.26</v>
      </c>
      <c r="S187" s="883">
        <v>0</v>
      </c>
      <c r="T187" s="883">
        <v>5</v>
      </c>
      <c r="U187" s="883">
        <f t="shared" si="49"/>
        <v>0</v>
      </c>
      <c r="V187" s="883">
        <v>0</v>
      </c>
      <c r="W187" s="883">
        <v>8</v>
      </c>
      <c r="X187" s="883">
        <f t="shared" si="50"/>
        <v>0</v>
      </c>
      <c r="Y187" s="883">
        <v>0</v>
      </c>
      <c r="Z187" s="883">
        <v>0</v>
      </c>
      <c r="AA187" s="883">
        <v>0</v>
      </c>
      <c r="AB187" s="883">
        <f t="shared" si="51"/>
        <v>25</v>
      </c>
      <c r="AC187" s="883">
        <v>0</v>
      </c>
      <c r="AD187" s="881"/>
      <c r="AE187" s="880"/>
      <c r="AF187" s="883"/>
      <c r="AG187" s="889"/>
      <c r="AH187" s="880"/>
      <c r="AI187" s="880" t="s">
        <v>1241</v>
      </c>
      <c r="AJ187" s="884">
        <v>411</v>
      </c>
      <c r="AK187" s="883">
        <f t="shared" si="52"/>
        <v>21.74</v>
      </c>
      <c r="AL187" s="884">
        <v>413</v>
      </c>
      <c r="AM187" s="883">
        <f t="shared" si="53"/>
        <v>0</v>
      </c>
      <c r="AN187" s="884">
        <v>441</v>
      </c>
      <c r="AO187" s="883">
        <f t="shared" si="54"/>
        <v>0</v>
      </c>
      <c r="AP187" s="881"/>
      <c r="AQ187" s="881"/>
      <c r="AR187" s="883">
        <v>0</v>
      </c>
      <c r="AS187" s="883">
        <v>0</v>
      </c>
      <c r="AT187" s="883">
        <v>0</v>
      </c>
      <c r="AU187" s="880"/>
      <c r="AV187" s="886"/>
      <c r="AW187" s="880"/>
      <c r="AX187" s="886"/>
      <c r="AY187" s="880"/>
      <c r="AZ187" s="880"/>
      <c r="BA187" s="881"/>
      <c r="BB187" s="881" t="s">
        <v>57</v>
      </c>
      <c r="BC187" s="881"/>
      <c r="BD187" s="881"/>
      <c r="BE187" s="884">
        <f t="shared" si="55"/>
        <v>4</v>
      </c>
      <c r="BF187" s="887" t="str">
        <f t="shared" si="56"/>
        <v>SI</v>
      </c>
      <c r="BG187" s="883">
        <f t="shared" si="57"/>
        <v>21.74</v>
      </c>
      <c r="BH187" s="883">
        <f t="shared" si="58"/>
        <v>0</v>
      </c>
      <c r="BI187" s="883">
        <f t="shared" si="59"/>
        <v>0</v>
      </c>
      <c r="BJ187" s="883">
        <f t="shared" si="60"/>
        <v>0</v>
      </c>
      <c r="BK187" s="883">
        <f t="shared" si="61"/>
        <v>0</v>
      </c>
      <c r="BL187" s="883">
        <f t="shared" si="62"/>
        <v>3.26</v>
      </c>
      <c r="BM187" s="881"/>
      <c r="BN187" s="880"/>
      <c r="BO187" s="882" t="s">
        <v>1579</v>
      </c>
      <c r="BP187" s="882" t="s">
        <v>2286</v>
      </c>
      <c r="BQ187" s="882" t="s">
        <v>2285</v>
      </c>
      <c r="BR187" s="880"/>
      <c r="BS187" s="880"/>
      <c r="BT187" s="880"/>
      <c r="BU187" s="880"/>
      <c r="BV187" s="880"/>
      <c r="BW187" s="883">
        <v>0</v>
      </c>
      <c r="BX187" s="883">
        <v>0</v>
      </c>
      <c r="BY187" s="883">
        <v>0</v>
      </c>
      <c r="BZ187" s="890"/>
      <c r="CA187" s="883">
        <f t="shared" si="63"/>
        <v>0</v>
      </c>
      <c r="CB187" s="880"/>
      <c r="CC187" s="881"/>
      <c r="CD187" s="883"/>
      <c r="CE187" s="883"/>
      <c r="CF187" s="883"/>
      <c r="CG187" s="883"/>
      <c r="CH187" s="883"/>
      <c r="CI187" s="883"/>
      <c r="CJ187" s="883"/>
      <c r="CK187" s="883"/>
      <c r="CL187" s="883"/>
      <c r="CM187" s="883"/>
      <c r="CN187" s="883"/>
      <c r="CO187" s="883"/>
      <c r="CP187" s="883"/>
      <c r="CQ187" s="883"/>
      <c r="CR187" s="883"/>
      <c r="CS187" s="883"/>
      <c r="CT187" s="883"/>
      <c r="CU187" s="883"/>
    </row>
    <row r="188" spans="1:99" x14ac:dyDescent="0.25">
      <c r="A188" s="880" t="s">
        <v>1787</v>
      </c>
      <c r="B188" s="881" t="s">
        <v>1788</v>
      </c>
      <c r="C188" s="880" t="s">
        <v>2820</v>
      </c>
      <c r="D188" s="880"/>
      <c r="E188" s="884" t="s">
        <v>744</v>
      </c>
      <c r="F188" s="888">
        <v>1</v>
      </c>
      <c r="G188" s="881" t="s">
        <v>1007</v>
      </c>
      <c r="H188" s="881" t="s">
        <v>19</v>
      </c>
      <c r="I188" s="865">
        <v>46142</v>
      </c>
      <c r="J188" s="882" t="s">
        <v>8</v>
      </c>
      <c r="K188" s="880"/>
      <c r="L188" s="880"/>
      <c r="M188" s="883">
        <v>0</v>
      </c>
      <c r="N188" s="883">
        <v>0</v>
      </c>
      <c r="O188" s="883">
        <v>0</v>
      </c>
      <c r="P188" s="883">
        <v>17.39</v>
      </c>
      <c r="Q188" s="883">
        <v>15</v>
      </c>
      <c r="R188" s="883">
        <f t="shared" si="48"/>
        <v>2.61</v>
      </c>
      <c r="S188" s="883">
        <v>0</v>
      </c>
      <c r="T188" s="883">
        <v>5</v>
      </c>
      <c r="U188" s="883">
        <f t="shared" si="49"/>
        <v>0</v>
      </c>
      <c r="V188" s="883">
        <v>0</v>
      </c>
      <c r="W188" s="883">
        <v>8</v>
      </c>
      <c r="X188" s="883">
        <f t="shared" si="50"/>
        <v>0</v>
      </c>
      <c r="Y188" s="883">
        <v>0</v>
      </c>
      <c r="Z188" s="883">
        <v>0</v>
      </c>
      <c r="AA188" s="883">
        <v>0</v>
      </c>
      <c r="AB188" s="883">
        <f t="shared" si="51"/>
        <v>20</v>
      </c>
      <c r="AC188" s="883">
        <v>0</v>
      </c>
      <c r="AD188" s="881"/>
      <c r="AE188" s="880"/>
      <c r="AF188" s="883"/>
      <c r="AG188" s="889"/>
      <c r="AH188" s="880"/>
      <c r="AI188" s="880" t="s">
        <v>1241</v>
      </c>
      <c r="AJ188" s="884">
        <v>411</v>
      </c>
      <c r="AK188" s="883">
        <f t="shared" si="52"/>
        <v>17.39</v>
      </c>
      <c r="AL188" s="884">
        <v>413</v>
      </c>
      <c r="AM188" s="883">
        <f t="shared" si="53"/>
        <v>0</v>
      </c>
      <c r="AN188" s="884">
        <v>441</v>
      </c>
      <c r="AO188" s="883">
        <f t="shared" si="54"/>
        <v>0</v>
      </c>
      <c r="AP188" s="881"/>
      <c r="AQ188" s="881"/>
      <c r="AR188" s="883">
        <v>0</v>
      </c>
      <c r="AS188" s="883">
        <v>0</v>
      </c>
      <c r="AT188" s="883">
        <v>0</v>
      </c>
      <c r="AU188" s="880"/>
      <c r="AV188" s="886"/>
      <c r="AW188" s="880"/>
      <c r="AX188" s="886"/>
      <c r="AY188" s="880"/>
      <c r="AZ188" s="880"/>
      <c r="BA188" s="881"/>
      <c r="BB188" s="881" t="s">
        <v>57</v>
      </c>
      <c r="BC188" s="881"/>
      <c r="BD188" s="881"/>
      <c r="BE188" s="884">
        <f t="shared" si="55"/>
        <v>4</v>
      </c>
      <c r="BF188" s="887" t="str">
        <f t="shared" si="56"/>
        <v>SI</v>
      </c>
      <c r="BG188" s="883">
        <f t="shared" si="57"/>
        <v>17.39</v>
      </c>
      <c r="BH188" s="883">
        <f t="shared" si="58"/>
        <v>0</v>
      </c>
      <c r="BI188" s="883">
        <f t="shared" si="59"/>
        <v>0</v>
      </c>
      <c r="BJ188" s="883">
        <f t="shared" si="60"/>
        <v>0</v>
      </c>
      <c r="BK188" s="883">
        <f t="shared" si="61"/>
        <v>0</v>
      </c>
      <c r="BL188" s="883">
        <f t="shared" si="62"/>
        <v>2.61</v>
      </c>
      <c r="BM188" s="881"/>
      <c r="BN188" s="880"/>
      <c r="BO188" s="882" t="s">
        <v>1579</v>
      </c>
      <c r="BP188" s="882" t="s">
        <v>2286</v>
      </c>
      <c r="BQ188" s="882" t="s">
        <v>2285</v>
      </c>
      <c r="BR188" s="880"/>
      <c r="BS188" s="880"/>
      <c r="BT188" s="880"/>
      <c r="BU188" s="880"/>
      <c r="BV188" s="880"/>
      <c r="BW188" s="883">
        <v>0</v>
      </c>
      <c r="BX188" s="883">
        <v>0</v>
      </c>
      <c r="BY188" s="883">
        <v>0</v>
      </c>
      <c r="BZ188" s="890"/>
      <c r="CA188" s="883">
        <f t="shared" si="63"/>
        <v>0</v>
      </c>
      <c r="CB188" s="880"/>
      <c r="CC188" s="881"/>
      <c r="CD188" s="883"/>
      <c r="CE188" s="883"/>
      <c r="CF188" s="883"/>
      <c r="CG188" s="883"/>
      <c r="CH188" s="883"/>
      <c r="CI188" s="883"/>
      <c r="CJ188" s="883"/>
      <c r="CK188" s="883"/>
      <c r="CL188" s="883"/>
      <c r="CM188" s="883"/>
      <c r="CN188" s="883"/>
      <c r="CO188" s="883"/>
      <c r="CP188" s="883"/>
      <c r="CQ188" s="883"/>
      <c r="CR188" s="883"/>
      <c r="CS188" s="883"/>
      <c r="CT188" s="883"/>
      <c r="CU188" s="883"/>
    </row>
    <row r="189" spans="1:99" x14ac:dyDescent="0.25">
      <c r="A189" s="880" t="s">
        <v>1787</v>
      </c>
      <c r="B189" s="881" t="s">
        <v>1788</v>
      </c>
      <c r="C189" s="880" t="s">
        <v>2821</v>
      </c>
      <c r="D189" s="880"/>
      <c r="E189" s="884" t="s">
        <v>744</v>
      </c>
      <c r="F189" s="888">
        <v>1</v>
      </c>
      <c r="G189" s="881" t="s">
        <v>1007</v>
      </c>
      <c r="H189" s="881" t="s">
        <v>19</v>
      </c>
      <c r="I189" s="865">
        <v>46142</v>
      </c>
      <c r="J189" s="882" t="s">
        <v>8</v>
      </c>
      <c r="K189" s="880"/>
      <c r="L189" s="880"/>
      <c r="M189" s="883">
        <v>0</v>
      </c>
      <c r="N189" s="883">
        <v>0</v>
      </c>
      <c r="O189" s="883">
        <v>0</v>
      </c>
      <c r="P189" s="883">
        <v>13.04</v>
      </c>
      <c r="Q189" s="883">
        <v>15</v>
      </c>
      <c r="R189" s="883">
        <f t="shared" si="48"/>
        <v>1.96</v>
      </c>
      <c r="S189" s="883">
        <v>0</v>
      </c>
      <c r="T189" s="883">
        <v>5</v>
      </c>
      <c r="U189" s="883">
        <f t="shared" si="49"/>
        <v>0</v>
      </c>
      <c r="V189" s="883">
        <v>0</v>
      </c>
      <c r="W189" s="883">
        <v>8</v>
      </c>
      <c r="X189" s="883">
        <f t="shared" si="50"/>
        <v>0</v>
      </c>
      <c r="Y189" s="883">
        <v>0</v>
      </c>
      <c r="Z189" s="883">
        <v>0</v>
      </c>
      <c r="AA189" s="883">
        <v>0</v>
      </c>
      <c r="AB189" s="883">
        <f t="shared" si="51"/>
        <v>15</v>
      </c>
      <c r="AC189" s="883">
        <v>0</v>
      </c>
      <c r="AD189" s="881"/>
      <c r="AE189" s="880"/>
      <c r="AF189" s="883"/>
      <c r="AG189" s="889"/>
      <c r="AH189" s="880"/>
      <c r="AI189" s="880" t="s">
        <v>1241</v>
      </c>
      <c r="AJ189" s="884">
        <v>411</v>
      </c>
      <c r="AK189" s="883">
        <f t="shared" si="52"/>
        <v>13.04</v>
      </c>
      <c r="AL189" s="884">
        <v>413</v>
      </c>
      <c r="AM189" s="883">
        <f t="shared" si="53"/>
        <v>0</v>
      </c>
      <c r="AN189" s="884">
        <v>441</v>
      </c>
      <c r="AO189" s="883">
        <f t="shared" si="54"/>
        <v>0</v>
      </c>
      <c r="AP189" s="881"/>
      <c r="AQ189" s="881"/>
      <c r="AR189" s="883">
        <v>0</v>
      </c>
      <c r="AS189" s="883">
        <v>0</v>
      </c>
      <c r="AT189" s="883">
        <v>0</v>
      </c>
      <c r="AU189" s="880"/>
      <c r="AV189" s="886"/>
      <c r="AW189" s="880"/>
      <c r="AX189" s="886"/>
      <c r="AY189" s="880"/>
      <c r="AZ189" s="880"/>
      <c r="BA189" s="881"/>
      <c r="BB189" s="881" t="s">
        <v>57</v>
      </c>
      <c r="BC189" s="881"/>
      <c r="BD189" s="881"/>
      <c r="BE189" s="884">
        <f t="shared" si="55"/>
        <v>4</v>
      </c>
      <c r="BF189" s="887" t="str">
        <f t="shared" si="56"/>
        <v>SI</v>
      </c>
      <c r="BG189" s="883">
        <f t="shared" si="57"/>
        <v>13.04</v>
      </c>
      <c r="BH189" s="883">
        <f t="shared" si="58"/>
        <v>0</v>
      </c>
      <c r="BI189" s="883">
        <f t="shared" si="59"/>
        <v>0</v>
      </c>
      <c r="BJ189" s="883">
        <f t="shared" si="60"/>
        <v>0</v>
      </c>
      <c r="BK189" s="883">
        <f t="shared" si="61"/>
        <v>0</v>
      </c>
      <c r="BL189" s="883">
        <f t="shared" si="62"/>
        <v>1.96</v>
      </c>
      <c r="BM189" s="881"/>
      <c r="BN189" s="880"/>
      <c r="BO189" s="882" t="s">
        <v>1579</v>
      </c>
      <c r="BP189" s="882" t="s">
        <v>2286</v>
      </c>
      <c r="BQ189" s="882" t="s">
        <v>2285</v>
      </c>
      <c r="BR189" s="880"/>
      <c r="BS189" s="880"/>
      <c r="BT189" s="880"/>
      <c r="BU189" s="880"/>
      <c r="BV189" s="880"/>
      <c r="BW189" s="883">
        <v>0</v>
      </c>
      <c r="BX189" s="883">
        <v>0</v>
      </c>
      <c r="BY189" s="883">
        <v>0</v>
      </c>
      <c r="BZ189" s="890"/>
      <c r="CA189" s="883">
        <f t="shared" si="63"/>
        <v>0</v>
      </c>
      <c r="CB189" s="880"/>
      <c r="CC189" s="881"/>
      <c r="CD189" s="883"/>
      <c r="CE189" s="883"/>
      <c r="CF189" s="883"/>
      <c r="CG189" s="883"/>
      <c r="CH189" s="883"/>
      <c r="CI189" s="883"/>
      <c r="CJ189" s="883"/>
      <c r="CK189" s="883"/>
      <c r="CL189" s="883"/>
      <c r="CM189" s="883"/>
      <c r="CN189" s="883"/>
      <c r="CO189" s="883"/>
      <c r="CP189" s="883"/>
      <c r="CQ189" s="883"/>
      <c r="CR189" s="883"/>
      <c r="CS189" s="883"/>
      <c r="CT189" s="883"/>
      <c r="CU189" s="883"/>
    </row>
    <row r="190" spans="1:99" x14ac:dyDescent="0.25">
      <c r="A190" s="880" t="s">
        <v>1787</v>
      </c>
      <c r="B190" s="881" t="s">
        <v>1788</v>
      </c>
      <c r="C190" s="880" t="s">
        <v>2822</v>
      </c>
      <c r="D190" s="880"/>
      <c r="E190" s="884" t="s">
        <v>744</v>
      </c>
      <c r="F190" s="888">
        <v>1</v>
      </c>
      <c r="G190" s="881" t="s">
        <v>1007</v>
      </c>
      <c r="H190" s="881" t="s">
        <v>19</v>
      </c>
      <c r="I190" s="865">
        <v>46142</v>
      </c>
      <c r="J190" s="882" t="s">
        <v>8</v>
      </c>
      <c r="K190" s="880"/>
      <c r="L190" s="880"/>
      <c r="M190" s="883">
        <v>0</v>
      </c>
      <c r="N190" s="883">
        <v>0</v>
      </c>
      <c r="O190" s="883">
        <v>0</v>
      </c>
      <c r="P190" s="883">
        <v>13.04</v>
      </c>
      <c r="Q190" s="883">
        <v>15</v>
      </c>
      <c r="R190" s="883">
        <f t="shared" si="48"/>
        <v>1.96</v>
      </c>
      <c r="S190" s="883">
        <v>0</v>
      </c>
      <c r="T190" s="883">
        <v>5</v>
      </c>
      <c r="U190" s="883">
        <f t="shared" si="49"/>
        <v>0</v>
      </c>
      <c r="V190" s="883">
        <v>0</v>
      </c>
      <c r="W190" s="883">
        <v>8</v>
      </c>
      <c r="X190" s="883">
        <f t="shared" si="50"/>
        <v>0</v>
      </c>
      <c r="Y190" s="883">
        <v>0</v>
      </c>
      <c r="Z190" s="883">
        <v>0</v>
      </c>
      <c r="AA190" s="883">
        <v>0</v>
      </c>
      <c r="AB190" s="883">
        <f t="shared" si="51"/>
        <v>15</v>
      </c>
      <c r="AC190" s="883">
        <v>0</v>
      </c>
      <c r="AD190" s="881"/>
      <c r="AE190" s="880"/>
      <c r="AF190" s="883"/>
      <c r="AG190" s="889"/>
      <c r="AH190" s="880"/>
      <c r="AI190" s="880" t="s">
        <v>1241</v>
      </c>
      <c r="AJ190" s="884">
        <v>411</v>
      </c>
      <c r="AK190" s="883">
        <f t="shared" si="52"/>
        <v>13.04</v>
      </c>
      <c r="AL190" s="884">
        <v>413</v>
      </c>
      <c r="AM190" s="883">
        <f t="shared" si="53"/>
        <v>0</v>
      </c>
      <c r="AN190" s="884">
        <v>441</v>
      </c>
      <c r="AO190" s="883">
        <f t="shared" si="54"/>
        <v>0</v>
      </c>
      <c r="AP190" s="881"/>
      <c r="AQ190" s="881"/>
      <c r="AR190" s="883">
        <v>0</v>
      </c>
      <c r="AS190" s="883">
        <v>0</v>
      </c>
      <c r="AT190" s="883">
        <v>0</v>
      </c>
      <c r="AU190" s="880"/>
      <c r="AV190" s="886"/>
      <c r="AW190" s="880"/>
      <c r="AX190" s="886"/>
      <c r="AY190" s="880"/>
      <c r="AZ190" s="880"/>
      <c r="BA190" s="881"/>
      <c r="BB190" s="881" t="s">
        <v>57</v>
      </c>
      <c r="BC190" s="881"/>
      <c r="BD190" s="881"/>
      <c r="BE190" s="884">
        <f t="shared" si="55"/>
        <v>4</v>
      </c>
      <c r="BF190" s="887" t="str">
        <f t="shared" si="56"/>
        <v>SI</v>
      </c>
      <c r="BG190" s="883">
        <f t="shared" si="57"/>
        <v>13.04</v>
      </c>
      <c r="BH190" s="883">
        <f t="shared" si="58"/>
        <v>0</v>
      </c>
      <c r="BI190" s="883">
        <f t="shared" si="59"/>
        <v>0</v>
      </c>
      <c r="BJ190" s="883">
        <f t="shared" si="60"/>
        <v>0</v>
      </c>
      <c r="BK190" s="883">
        <f t="shared" si="61"/>
        <v>0</v>
      </c>
      <c r="BL190" s="883">
        <f t="shared" si="62"/>
        <v>1.96</v>
      </c>
      <c r="BM190" s="881"/>
      <c r="BN190" s="880"/>
      <c r="BO190" s="882" t="s">
        <v>1579</v>
      </c>
      <c r="BP190" s="882" t="s">
        <v>2286</v>
      </c>
      <c r="BQ190" s="882" t="s">
        <v>2285</v>
      </c>
      <c r="BR190" s="880"/>
      <c r="BS190" s="880"/>
      <c r="BT190" s="880"/>
      <c r="BU190" s="880"/>
      <c r="BV190" s="880"/>
      <c r="BW190" s="883">
        <v>0</v>
      </c>
      <c r="BX190" s="883">
        <v>0</v>
      </c>
      <c r="BY190" s="883">
        <v>0</v>
      </c>
      <c r="BZ190" s="890"/>
      <c r="CA190" s="883">
        <f t="shared" si="63"/>
        <v>0</v>
      </c>
      <c r="CB190" s="880"/>
      <c r="CC190" s="881"/>
      <c r="CD190" s="883"/>
      <c r="CE190" s="883"/>
      <c r="CF190" s="883"/>
      <c r="CG190" s="883"/>
      <c r="CH190" s="883"/>
      <c r="CI190" s="883"/>
      <c r="CJ190" s="883"/>
      <c r="CK190" s="883"/>
      <c r="CL190" s="883"/>
      <c r="CM190" s="883"/>
      <c r="CN190" s="883"/>
      <c r="CO190" s="883"/>
      <c r="CP190" s="883"/>
      <c r="CQ190" s="883"/>
      <c r="CR190" s="883"/>
      <c r="CS190" s="883"/>
      <c r="CT190" s="883"/>
      <c r="CU190" s="883"/>
    </row>
    <row r="191" spans="1:99" x14ac:dyDescent="0.25">
      <c r="A191" s="880" t="s">
        <v>1787</v>
      </c>
      <c r="B191" s="881" t="s">
        <v>1788</v>
      </c>
      <c r="C191" s="880" t="s">
        <v>2823</v>
      </c>
      <c r="D191" s="880"/>
      <c r="E191" s="884" t="s">
        <v>744</v>
      </c>
      <c r="F191" s="888">
        <v>1</v>
      </c>
      <c r="G191" s="881" t="s">
        <v>1007</v>
      </c>
      <c r="H191" s="881" t="s">
        <v>19</v>
      </c>
      <c r="I191" s="865">
        <v>46142</v>
      </c>
      <c r="J191" s="882" t="s">
        <v>8</v>
      </c>
      <c r="K191" s="880"/>
      <c r="L191" s="880"/>
      <c r="M191" s="883">
        <v>0</v>
      </c>
      <c r="N191" s="883">
        <v>0</v>
      </c>
      <c r="O191" s="883">
        <v>0</v>
      </c>
      <c r="P191" s="883">
        <v>40.17</v>
      </c>
      <c r="Q191" s="883">
        <v>15</v>
      </c>
      <c r="R191" s="883">
        <f t="shared" si="48"/>
        <v>6.03</v>
      </c>
      <c r="S191" s="883">
        <v>0</v>
      </c>
      <c r="T191" s="883">
        <v>5</v>
      </c>
      <c r="U191" s="883">
        <f t="shared" si="49"/>
        <v>0</v>
      </c>
      <c r="V191" s="883">
        <v>0</v>
      </c>
      <c r="W191" s="883">
        <v>8</v>
      </c>
      <c r="X191" s="883">
        <f t="shared" si="50"/>
        <v>0</v>
      </c>
      <c r="Y191" s="883">
        <v>0</v>
      </c>
      <c r="Z191" s="883">
        <v>0</v>
      </c>
      <c r="AA191" s="883">
        <v>0</v>
      </c>
      <c r="AB191" s="883">
        <f t="shared" si="51"/>
        <v>46.2</v>
      </c>
      <c r="AC191" s="883">
        <v>0</v>
      </c>
      <c r="AD191" s="881"/>
      <c r="AE191" s="880"/>
      <c r="AF191" s="883"/>
      <c r="AG191" s="889"/>
      <c r="AH191" s="880"/>
      <c r="AI191" s="880" t="s">
        <v>1241</v>
      </c>
      <c r="AJ191" s="884">
        <v>411</v>
      </c>
      <c r="AK191" s="883">
        <f t="shared" si="52"/>
        <v>40.17</v>
      </c>
      <c r="AL191" s="884">
        <v>413</v>
      </c>
      <c r="AM191" s="883">
        <f t="shared" si="53"/>
        <v>0</v>
      </c>
      <c r="AN191" s="884">
        <v>441</v>
      </c>
      <c r="AO191" s="883">
        <f t="shared" si="54"/>
        <v>0</v>
      </c>
      <c r="AP191" s="881"/>
      <c r="AQ191" s="881"/>
      <c r="AR191" s="883">
        <v>0</v>
      </c>
      <c r="AS191" s="883">
        <v>0</v>
      </c>
      <c r="AT191" s="883">
        <v>0</v>
      </c>
      <c r="AU191" s="880"/>
      <c r="AV191" s="886"/>
      <c r="AW191" s="880"/>
      <c r="AX191" s="886"/>
      <c r="AY191" s="880"/>
      <c r="AZ191" s="880"/>
      <c r="BA191" s="881"/>
      <c r="BB191" s="881" t="s">
        <v>57</v>
      </c>
      <c r="BC191" s="881"/>
      <c r="BD191" s="881"/>
      <c r="BE191" s="884">
        <f t="shared" si="55"/>
        <v>4</v>
      </c>
      <c r="BF191" s="887" t="str">
        <f t="shared" si="56"/>
        <v>SI</v>
      </c>
      <c r="BG191" s="883">
        <f t="shared" si="57"/>
        <v>40.17</v>
      </c>
      <c r="BH191" s="883">
        <f t="shared" si="58"/>
        <v>0</v>
      </c>
      <c r="BI191" s="883">
        <f t="shared" si="59"/>
        <v>0</v>
      </c>
      <c r="BJ191" s="883">
        <f t="shared" si="60"/>
        <v>0</v>
      </c>
      <c r="BK191" s="883">
        <f t="shared" si="61"/>
        <v>0</v>
      </c>
      <c r="BL191" s="883">
        <f t="shared" si="62"/>
        <v>6.03</v>
      </c>
      <c r="BM191" s="881"/>
      <c r="BN191" s="880"/>
      <c r="BO191" s="882" t="s">
        <v>1579</v>
      </c>
      <c r="BP191" s="882" t="s">
        <v>2286</v>
      </c>
      <c r="BQ191" s="882" t="s">
        <v>2285</v>
      </c>
      <c r="BR191" s="880"/>
      <c r="BS191" s="880"/>
      <c r="BT191" s="880"/>
      <c r="BU191" s="880"/>
      <c r="BV191" s="880"/>
      <c r="BW191" s="883">
        <v>0</v>
      </c>
      <c r="BX191" s="883">
        <v>0</v>
      </c>
      <c r="BY191" s="883">
        <v>0</v>
      </c>
      <c r="BZ191" s="890"/>
      <c r="CA191" s="883">
        <f t="shared" si="63"/>
        <v>0</v>
      </c>
      <c r="CB191" s="880"/>
      <c r="CC191" s="881"/>
      <c r="CD191" s="883"/>
      <c r="CE191" s="883"/>
      <c r="CF191" s="883"/>
      <c r="CG191" s="883"/>
      <c r="CH191" s="883"/>
      <c r="CI191" s="883"/>
      <c r="CJ191" s="883"/>
      <c r="CK191" s="883"/>
      <c r="CL191" s="883"/>
      <c r="CM191" s="883"/>
      <c r="CN191" s="883"/>
      <c r="CO191" s="883"/>
      <c r="CP191" s="883"/>
      <c r="CQ191" s="883"/>
      <c r="CR191" s="883"/>
      <c r="CS191" s="883"/>
      <c r="CT191" s="883"/>
      <c r="CU191" s="883"/>
    </row>
    <row r="192" spans="1:99" x14ac:dyDescent="0.25">
      <c r="A192" s="880" t="s">
        <v>1787</v>
      </c>
      <c r="B192" s="881" t="s">
        <v>1788</v>
      </c>
      <c r="C192" s="880" t="s">
        <v>2824</v>
      </c>
      <c r="D192" s="880"/>
      <c r="E192" s="884" t="s">
        <v>744</v>
      </c>
      <c r="F192" s="888">
        <v>1</v>
      </c>
      <c r="G192" s="881" t="s">
        <v>1007</v>
      </c>
      <c r="H192" s="881" t="s">
        <v>19</v>
      </c>
      <c r="I192" s="865">
        <v>46142</v>
      </c>
      <c r="J192" s="882" t="s">
        <v>8</v>
      </c>
      <c r="K192" s="880"/>
      <c r="L192" s="880"/>
      <c r="M192" s="883">
        <v>0</v>
      </c>
      <c r="N192" s="883">
        <v>0</v>
      </c>
      <c r="O192" s="883">
        <v>0</v>
      </c>
      <c r="P192" s="883">
        <v>21.74</v>
      </c>
      <c r="Q192" s="883">
        <v>15</v>
      </c>
      <c r="R192" s="883">
        <f t="shared" si="48"/>
        <v>3.26</v>
      </c>
      <c r="S192" s="883">
        <v>0</v>
      </c>
      <c r="T192" s="883">
        <v>5</v>
      </c>
      <c r="U192" s="883">
        <f t="shared" si="49"/>
        <v>0</v>
      </c>
      <c r="V192" s="883">
        <v>0</v>
      </c>
      <c r="W192" s="883">
        <v>8</v>
      </c>
      <c r="X192" s="883">
        <f t="shared" si="50"/>
        <v>0</v>
      </c>
      <c r="Y192" s="883">
        <v>0</v>
      </c>
      <c r="Z192" s="883">
        <v>0</v>
      </c>
      <c r="AA192" s="883">
        <v>0</v>
      </c>
      <c r="AB192" s="883">
        <f t="shared" si="51"/>
        <v>25</v>
      </c>
      <c r="AC192" s="883">
        <v>0</v>
      </c>
      <c r="AD192" s="881"/>
      <c r="AE192" s="880"/>
      <c r="AF192" s="883"/>
      <c r="AG192" s="889"/>
      <c r="AH192" s="880"/>
      <c r="AI192" s="880" t="s">
        <v>1241</v>
      </c>
      <c r="AJ192" s="884">
        <v>411</v>
      </c>
      <c r="AK192" s="883">
        <f t="shared" si="52"/>
        <v>21.74</v>
      </c>
      <c r="AL192" s="884">
        <v>413</v>
      </c>
      <c r="AM192" s="883">
        <f t="shared" si="53"/>
        <v>0</v>
      </c>
      <c r="AN192" s="884">
        <v>441</v>
      </c>
      <c r="AO192" s="883">
        <f t="shared" si="54"/>
        <v>0</v>
      </c>
      <c r="AP192" s="881"/>
      <c r="AQ192" s="881"/>
      <c r="AR192" s="883">
        <v>0</v>
      </c>
      <c r="AS192" s="883">
        <v>0</v>
      </c>
      <c r="AT192" s="883">
        <v>0</v>
      </c>
      <c r="AU192" s="880"/>
      <c r="AV192" s="886"/>
      <c r="AW192" s="880"/>
      <c r="AX192" s="886"/>
      <c r="AY192" s="880"/>
      <c r="AZ192" s="880"/>
      <c r="BA192" s="881"/>
      <c r="BB192" s="881" t="s">
        <v>57</v>
      </c>
      <c r="BC192" s="881"/>
      <c r="BD192" s="881"/>
      <c r="BE192" s="884">
        <f t="shared" si="55"/>
        <v>4</v>
      </c>
      <c r="BF192" s="887" t="str">
        <f t="shared" si="56"/>
        <v>SI</v>
      </c>
      <c r="BG192" s="883">
        <f t="shared" si="57"/>
        <v>21.74</v>
      </c>
      <c r="BH192" s="883">
        <f t="shared" si="58"/>
        <v>0</v>
      </c>
      <c r="BI192" s="883">
        <f t="shared" si="59"/>
        <v>0</v>
      </c>
      <c r="BJ192" s="883">
        <f t="shared" si="60"/>
        <v>0</v>
      </c>
      <c r="BK192" s="883">
        <f t="shared" si="61"/>
        <v>0</v>
      </c>
      <c r="BL192" s="883">
        <f t="shared" si="62"/>
        <v>3.26</v>
      </c>
      <c r="BM192" s="881"/>
      <c r="BN192" s="880"/>
      <c r="BO192" s="882" t="s">
        <v>1579</v>
      </c>
      <c r="BP192" s="882" t="s">
        <v>2286</v>
      </c>
      <c r="BQ192" s="882" t="s">
        <v>2285</v>
      </c>
      <c r="BR192" s="880"/>
      <c r="BS192" s="880"/>
      <c r="BT192" s="880"/>
      <c r="BU192" s="880"/>
      <c r="BV192" s="880"/>
      <c r="BW192" s="883">
        <v>0</v>
      </c>
      <c r="BX192" s="883">
        <v>0</v>
      </c>
      <c r="BY192" s="883">
        <v>0</v>
      </c>
      <c r="BZ192" s="890"/>
      <c r="CA192" s="883">
        <f t="shared" si="63"/>
        <v>0</v>
      </c>
      <c r="CB192" s="880"/>
      <c r="CC192" s="881"/>
      <c r="CD192" s="883"/>
      <c r="CE192" s="883"/>
      <c r="CF192" s="883"/>
      <c r="CG192" s="883"/>
      <c r="CH192" s="883"/>
      <c r="CI192" s="883"/>
      <c r="CJ192" s="883"/>
      <c r="CK192" s="883"/>
      <c r="CL192" s="883"/>
      <c r="CM192" s="883"/>
      <c r="CN192" s="883"/>
      <c r="CO192" s="883"/>
      <c r="CP192" s="883"/>
      <c r="CQ192" s="883"/>
      <c r="CR192" s="883"/>
      <c r="CS192" s="883"/>
      <c r="CT192" s="883"/>
      <c r="CU192" s="883"/>
    </row>
    <row r="193" spans="1:99" x14ac:dyDescent="0.25">
      <c r="A193" s="880" t="s">
        <v>1787</v>
      </c>
      <c r="B193" s="881" t="s">
        <v>1788</v>
      </c>
      <c r="C193" s="880" t="s">
        <v>2825</v>
      </c>
      <c r="D193" s="880"/>
      <c r="E193" s="884" t="s">
        <v>744</v>
      </c>
      <c r="F193" s="888">
        <v>1</v>
      </c>
      <c r="G193" s="881" t="s">
        <v>1007</v>
      </c>
      <c r="H193" s="881" t="s">
        <v>19</v>
      </c>
      <c r="I193" s="865">
        <v>46142</v>
      </c>
      <c r="J193" s="882" t="s">
        <v>8</v>
      </c>
      <c r="K193" s="880"/>
      <c r="L193" s="880"/>
      <c r="M193" s="883">
        <v>0</v>
      </c>
      <c r="N193" s="883">
        <v>0</v>
      </c>
      <c r="O193" s="883">
        <v>0</v>
      </c>
      <c r="P193" s="883">
        <v>22.32</v>
      </c>
      <c r="Q193" s="883">
        <v>15</v>
      </c>
      <c r="R193" s="883">
        <f t="shared" si="48"/>
        <v>3.35</v>
      </c>
      <c r="S193" s="883">
        <v>0</v>
      </c>
      <c r="T193" s="883">
        <v>5</v>
      </c>
      <c r="U193" s="883">
        <f t="shared" si="49"/>
        <v>0</v>
      </c>
      <c r="V193" s="883">
        <v>0</v>
      </c>
      <c r="W193" s="883">
        <v>8</v>
      </c>
      <c r="X193" s="883">
        <f t="shared" si="50"/>
        <v>0</v>
      </c>
      <c r="Y193" s="883">
        <v>0</v>
      </c>
      <c r="Z193" s="883">
        <v>0</v>
      </c>
      <c r="AA193" s="883">
        <v>0</v>
      </c>
      <c r="AB193" s="883">
        <f t="shared" si="51"/>
        <v>25.67</v>
      </c>
      <c r="AC193" s="883">
        <v>0</v>
      </c>
      <c r="AD193" s="881"/>
      <c r="AE193" s="880"/>
      <c r="AF193" s="883"/>
      <c r="AG193" s="889"/>
      <c r="AH193" s="880"/>
      <c r="AI193" s="880" t="s">
        <v>1241</v>
      </c>
      <c r="AJ193" s="884">
        <v>411</v>
      </c>
      <c r="AK193" s="883">
        <f t="shared" si="52"/>
        <v>22.32</v>
      </c>
      <c r="AL193" s="884">
        <v>413</v>
      </c>
      <c r="AM193" s="883">
        <f t="shared" si="53"/>
        <v>0</v>
      </c>
      <c r="AN193" s="884">
        <v>441</v>
      </c>
      <c r="AO193" s="883">
        <f t="shared" si="54"/>
        <v>0</v>
      </c>
      <c r="AP193" s="881"/>
      <c r="AQ193" s="881"/>
      <c r="AR193" s="883">
        <v>0</v>
      </c>
      <c r="AS193" s="883">
        <v>0</v>
      </c>
      <c r="AT193" s="883">
        <v>0</v>
      </c>
      <c r="AU193" s="880"/>
      <c r="AV193" s="886"/>
      <c r="AW193" s="880"/>
      <c r="AX193" s="886"/>
      <c r="AY193" s="880"/>
      <c r="AZ193" s="880"/>
      <c r="BA193" s="881"/>
      <c r="BB193" s="881" t="s">
        <v>57</v>
      </c>
      <c r="BC193" s="881"/>
      <c r="BD193" s="881"/>
      <c r="BE193" s="884">
        <f t="shared" si="55"/>
        <v>4</v>
      </c>
      <c r="BF193" s="887" t="str">
        <f t="shared" si="56"/>
        <v>SI</v>
      </c>
      <c r="BG193" s="883">
        <f t="shared" si="57"/>
        <v>22.32</v>
      </c>
      <c r="BH193" s="883">
        <f t="shared" si="58"/>
        <v>0</v>
      </c>
      <c r="BI193" s="883">
        <f t="shared" si="59"/>
        <v>0</v>
      </c>
      <c r="BJ193" s="883">
        <f t="shared" si="60"/>
        <v>0</v>
      </c>
      <c r="BK193" s="883">
        <f t="shared" si="61"/>
        <v>0</v>
      </c>
      <c r="BL193" s="883">
        <f t="shared" si="62"/>
        <v>3.35</v>
      </c>
      <c r="BM193" s="881"/>
      <c r="BN193" s="880"/>
      <c r="BO193" s="882" t="s">
        <v>1579</v>
      </c>
      <c r="BP193" s="882" t="s">
        <v>2286</v>
      </c>
      <c r="BQ193" s="882" t="s">
        <v>2285</v>
      </c>
      <c r="BR193" s="880"/>
      <c r="BS193" s="880"/>
      <c r="BT193" s="880"/>
      <c r="BU193" s="880"/>
      <c r="BV193" s="880"/>
      <c r="BW193" s="883">
        <v>0</v>
      </c>
      <c r="BX193" s="883">
        <v>0</v>
      </c>
      <c r="BY193" s="883">
        <v>0</v>
      </c>
      <c r="BZ193" s="890"/>
      <c r="CA193" s="883">
        <f t="shared" si="63"/>
        <v>0</v>
      </c>
      <c r="CB193" s="880"/>
      <c r="CC193" s="881"/>
      <c r="CD193" s="883"/>
      <c r="CE193" s="883"/>
      <c r="CF193" s="883"/>
      <c r="CG193" s="883"/>
      <c r="CH193" s="883"/>
      <c r="CI193" s="883"/>
      <c r="CJ193" s="883"/>
      <c r="CK193" s="883"/>
      <c r="CL193" s="883"/>
      <c r="CM193" s="883"/>
      <c r="CN193" s="883"/>
      <c r="CO193" s="883"/>
      <c r="CP193" s="883"/>
      <c r="CQ193" s="883"/>
      <c r="CR193" s="883"/>
      <c r="CS193" s="883"/>
      <c r="CT193" s="883"/>
      <c r="CU193" s="883"/>
    </row>
    <row r="194" spans="1:99" x14ac:dyDescent="0.25">
      <c r="A194" s="880" t="s">
        <v>1787</v>
      </c>
      <c r="B194" s="881" t="s">
        <v>1788</v>
      </c>
      <c r="C194" s="880" t="s">
        <v>2826</v>
      </c>
      <c r="D194" s="880"/>
      <c r="E194" s="884" t="s">
        <v>744</v>
      </c>
      <c r="F194" s="888">
        <v>1</v>
      </c>
      <c r="G194" s="881" t="s">
        <v>1007</v>
      </c>
      <c r="H194" s="881" t="s">
        <v>19</v>
      </c>
      <c r="I194" s="865">
        <v>46142</v>
      </c>
      <c r="J194" s="882" t="s">
        <v>8</v>
      </c>
      <c r="K194" s="880"/>
      <c r="L194" s="880"/>
      <c r="M194" s="883">
        <v>0</v>
      </c>
      <c r="N194" s="883">
        <v>0</v>
      </c>
      <c r="O194" s="883">
        <v>0</v>
      </c>
      <c r="P194" s="883">
        <v>17.39</v>
      </c>
      <c r="Q194" s="883">
        <v>15</v>
      </c>
      <c r="R194" s="883">
        <f t="shared" si="48"/>
        <v>2.61</v>
      </c>
      <c r="S194" s="883">
        <v>0</v>
      </c>
      <c r="T194" s="883">
        <v>5</v>
      </c>
      <c r="U194" s="883">
        <f t="shared" si="49"/>
        <v>0</v>
      </c>
      <c r="V194" s="883">
        <v>0</v>
      </c>
      <c r="W194" s="883">
        <v>8</v>
      </c>
      <c r="X194" s="883">
        <f t="shared" si="50"/>
        <v>0</v>
      </c>
      <c r="Y194" s="883">
        <v>0</v>
      </c>
      <c r="Z194" s="883">
        <v>0</v>
      </c>
      <c r="AA194" s="883">
        <v>0</v>
      </c>
      <c r="AB194" s="883">
        <f t="shared" si="51"/>
        <v>20</v>
      </c>
      <c r="AC194" s="883">
        <v>0</v>
      </c>
      <c r="AD194" s="881"/>
      <c r="AE194" s="880"/>
      <c r="AF194" s="883"/>
      <c r="AG194" s="889"/>
      <c r="AH194" s="880"/>
      <c r="AI194" s="880" t="s">
        <v>1241</v>
      </c>
      <c r="AJ194" s="884">
        <v>411</v>
      </c>
      <c r="AK194" s="883">
        <f t="shared" si="52"/>
        <v>17.39</v>
      </c>
      <c r="AL194" s="884">
        <v>413</v>
      </c>
      <c r="AM194" s="883">
        <f t="shared" si="53"/>
        <v>0</v>
      </c>
      <c r="AN194" s="884">
        <v>441</v>
      </c>
      <c r="AO194" s="883">
        <f t="shared" si="54"/>
        <v>0</v>
      </c>
      <c r="AP194" s="881"/>
      <c r="AQ194" s="881"/>
      <c r="AR194" s="883">
        <v>0</v>
      </c>
      <c r="AS194" s="883">
        <v>0</v>
      </c>
      <c r="AT194" s="883">
        <v>0</v>
      </c>
      <c r="AU194" s="880"/>
      <c r="AV194" s="886"/>
      <c r="AW194" s="880"/>
      <c r="AX194" s="886"/>
      <c r="AY194" s="880"/>
      <c r="AZ194" s="880"/>
      <c r="BA194" s="881"/>
      <c r="BB194" s="881" t="s">
        <v>57</v>
      </c>
      <c r="BC194" s="881"/>
      <c r="BD194" s="881"/>
      <c r="BE194" s="884">
        <f t="shared" si="55"/>
        <v>4</v>
      </c>
      <c r="BF194" s="887" t="str">
        <f t="shared" si="56"/>
        <v>SI</v>
      </c>
      <c r="BG194" s="883">
        <f t="shared" si="57"/>
        <v>17.39</v>
      </c>
      <c r="BH194" s="883">
        <f t="shared" si="58"/>
        <v>0</v>
      </c>
      <c r="BI194" s="883">
        <f t="shared" si="59"/>
        <v>0</v>
      </c>
      <c r="BJ194" s="883">
        <f t="shared" si="60"/>
        <v>0</v>
      </c>
      <c r="BK194" s="883">
        <f t="shared" si="61"/>
        <v>0</v>
      </c>
      <c r="BL194" s="883">
        <f t="shared" si="62"/>
        <v>2.61</v>
      </c>
      <c r="BM194" s="881"/>
      <c r="BN194" s="880"/>
      <c r="BO194" s="882" t="s">
        <v>1579</v>
      </c>
      <c r="BP194" s="882" t="s">
        <v>2286</v>
      </c>
      <c r="BQ194" s="882" t="s">
        <v>2285</v>
      </c>
      <c r="BR194" s="880"/>
      <c r="BS194" s="880"/>
      <c r="BT194" s="880"/>
      <c r="BU194" s="880"/>
      <c r="BV194" s="880"/>
      <c r="BW194" s="883">
        <v>0</v>
      </c>
      <c r="BX194" s="883">
        <v>0</v>
      </c>
      <c r="BY194" s="883">
        <v>0</v>
      </c>
      <c r="BZ194" s="890"/>
      <c r="CA194" s="883">
        <f t="shared" si="63"/>
        <v>0</v>
      </c>
      <c r="CB194" s="880"/>
      <c r="CC194" s="881"/>
      <c r="CD194" s="883"/>
      <c r="CE194" s="883"/>
      <c r="CF194" s="883"/>
      <c r="CG194" s="883"/>
      <c r="CH194" s="883"/>
      <c r="CI194" s="883"/>
      <c r="CJ194" s="883"/>
      <c r="CK194" s="883"/>
      <c r="CL194" s="883"/>
      <c r="CM194" s="883"/>
      <c r="CN194" s="883"/>
      <c r="CO194" s="883"/>
      <c r="CP194" s="883"/>
      <c r="CQ194" s="883"/>
      <c r="CR194" s="883"/>
      <c r="CS194" s="883"/>
      <c r="CT194" s="883"/>
      <c r="CU194" s="883"/>
    </row>
    <row r="195" spans="1:99" x14ac:dyDescent="0.25">
      <c r="A195" s="880" t="s">
        <v>1787</v>
      </c>
      <c r="B195" s="881" t="s">
        <v>1788</v>
      </c>
      <c r="C195" s="880" t="s">
        <v>2827</v>
      </c>
      <c r="D195" s="880"/>
      <c r="E195" s="884" t="s">
        <v>744</v>
      </c>
      <c r="F195" s="888">
        <v>1</v>
      </c>
      <c r="G195" s="881" t="s">
        <v>1007</v>
      </c>
      <c r="H195" s="881" t="s">
        <v>19</v>
      </c>
      <c r="I195" s="865">
        <v>46142</v>
      </c>
      <c r="J195" s="882" t="s">
        <v>8</v>
      </c>
      <c r="K195" s="880"/>
      <c r="L195" s="880"/>
      <c r="M195" s="883">
        <v>0</v>
      </c>
      <c r="N195" s="883">
        <v>0</v>
      </c>
      <c r="O195" s="883">
        <v>0</v>
      </c>
      <c r="P195" s="883">
        <v>17.39</v>
      </c>
      <c r="Q195" s="883">
        <v>15</v>
      </c>
      <c r="R195" s="883">
        <f t="shared" si="48"/>
        <v>2.61</v>
      </c>
      <c r="S195" s="883">
        <v>0</v>
      </c>
      <c r="T195" s="883">
        <v>5</v>
      </c>
      <c r="U195" s="883">
        <f t="shared" si="49"/>
        <v>0</v>
      </c>
      <c r="V195" s="883">
        <v>0</v>
      </c>
      <c r="W195" s="883">
        <v>8</v>
      </c>
      <c r="X195" s="883">
        <f t="shared" si="50"/>
        <v>0</v>
      </c>
      <c r="Y195" s="883">
        <v>0</v>
      </c>
      <c r="Z195" s="883">
        <v>0</v>
      </c>
      <c r="AA195" s="883">
        <v>0</v>
      </c>
      <c r="AB195" s="883">
        <f t="shared" si="51"/>
        <v>20</v>
      </c>
      <c r="AC195" s="883">
        <v>0</v>
      </c>
      <c r="AD195" s="881"/>
      <c r="AE195" s="880"/>
      <c r="AF195" s="883"/>
      <c r="AG195" s="889"/>
      <c r="AH195" s="880"/>
      <c r="AI195" s="880" t="s">
        <v>1241</v>
      </c>
      <c r="AJ195" s="884">
        <v>411</v>
      </c>
      <c r="AK195" s="883">
        <f t="shared" si="52"/>
        <v>17.39</v>
      </c>
      <c r="AL195" s="884">
        <v>413</v>
      </c>
      <c r="AM195" s="883">
        <f t="shared" si="53"/>
        <v>0</v>
      </c>
      <c r="AN195" s="884">
        <v>441</v>
      </c>
      <c r="AO195" s="883">
        <f t="shared" si="54"/>
        <v>0</v>
      </c>
      <c r="AP195" s="881"/>
      <c r="AQ195" s="881"/>
      <c r="AR195" s="883">
        <v>0</v>
      </c>
      <c r="AS195" s="883">
        <v>0</v>
      </c>
      <c r="AT195" s="883">
        <v>0</v>
      </c>
      <c r="AU195" s="880"/>
      <c r="AV195" s="886"/>
      <c r="AW195" s="880"/>
      <c r="AX195" s="886"/>
      <c r="AY195" s="880"/>
      <c r="AZ195" s="880"/>
      <c r="BA195" s="881"/>
      <c r="BB195" s="881" t="s">
        <v>57</v>
      </c>
      <c r="BC195" s="881"/>
      <c r="BD195" s="881"/>
      <c r="BE195" s="884">
        <f t="shared" si="55"/>
        <v>4</v>
      </c>
      <c r="BF195" s="887" t="str">
        <f t="shared" si="56"/>
        <v>SI</v>
      </c>
      <c r="BG195" s="883">
        <f t="shared" si="57"/>
        <v>17.39</v>
      </c>
      <c r="BH195" s="883">
        <f t="shared" si="58"/>
        <v>0</v>
      </c>
      <c r="BI195" s="883">
        <f t="shared" si="59"/>
        <v>0</v>
      </c>
      <c r="BJ195" s="883">
        <f t="shared" si="60"/>
        <v>0</v>
      </c>
      <c r="BK195" s="883">
        <f t="shared" si="61"/>
        <v>0</v>
      </c>
      <c r="BL195" s="883">
        <f t="shared" si="62"/>
        <v>2.61</v>
      </c>
      <c r="BM195" s="881"/>
      <c r="BN195" s="880"/>
      <c r="BO195" s="882" t="s">
        <v>1579</v>
      </c>
      <c r="BP195" s="882" t="s">
        <v>2286</v>
      </c>
      <c r="BQ195" s="882" t="s">
        <v>2285</v>
      </c>
      <c r="BR195" s="880"/>
      <c r="BS195" s="880"/>
      <c r="BT195" s="880"/>
      <c r="BU195" s="880"/>
      <c r="BV195" s="880"/>
      <c r="BW195" s="883">
        <v>0</v>
      </c>
      <c r="BX195" s="883">
        <v>0</v>
      </c>
      <c r="BY195" s="883">
        <v>0</v>
      </c>
      <c r="BZ195" s="890"/>
      <c r="CA195" s="883">
        <f t="shared" si="63"/>
        <v>0</v>
      </c>
      <c r="CB195" s="880"/>
      <c r="CC195" s="881"/>
      <c r="CD195" s="883"/>
      <c r="CE195" s="883"/>
      <c r="CF195" s="883"/>
      <c r="CG195" s="883"/>
      <c r="CH195" s="883"/>
      <c r="CI195" s="883"/>
      <c r="CJ195" s="883"/>
      <c r="CK195" s="883"/>
      <c r="CL195" s="883"/>
      <c r="CM195" s="883"/>
      <c r="CN195" s="883"/>
      <c r="CO195" s="883"/>
      <c r="CP195" s="883"/>
      <c r="CQ195" s="883"/>
      <c r="CR195" s="883"/>
      <c r="CS195" s="883"/>
      <c r="CT195" s="883"/>
      <c r="CU195" s="883"/>
    </row>
    <row r="196" spans="1:99" x14ac:dyDescent="0.25">
      <c r="A196" s="880" t="s">
        <v>1787</v>
      </c>
      <c r="B196" s="881" t="s">
        <v>1788</v>
      </c>
      <c r="C196" s="880" t="s">
        <v>2828</v>
      </c>
      <c r="D196" s="880"/>
      <c r="E196" s="884" t="s">
        <v>744</v>
      </c>
      <c r="F196" s="888">
        <v>1</v>
      </c>
      <c r="G196" s="881" t="s">
        <v>1007</v>
      </c>
      <c r="H196" s="881" t="s">
        <v>19</v>
      </c>
      <c r="I196" s="865">
        <v>46142</v>
      </c>
      <c r="J196" s="882" t="s">
        <v>8</v>
      </c>
      <c r="K196" s="880"/>
      <c r="L196" s="880"/>
      <c r="M196" s="883">
        <v>0</v>
      </c>
      <c r="N196" s="883">
        <v>0</v>
      </c>
      <c r="O196" s="883">
        <v>0</v>
      </c>
      <c r="P196" s="883">
        <v>17.39</v>
      </c>
      <c r="Q196" s="883">
        <v>15</v>
      </c>
      <c r="R196" s="883">
        <f t="shared" si="48"/>
        <v>2.61</v>
      </c>
      <c r="S196" s="883">
        <v>0</v>
      </c>
      <c r="T196" s="883">
        <v>5</v>
      </c>
      <c r="U196" s="883">
        <f t="shared" si="49"/>
        <v>0</v>
      </c>
      <c r="V196" s="883">
        <v>0</v>
      </c>
      <c r="W196" s="883">
        <v>8</v>
      </c>
      <c r="X196" s="883">
        <f t="shared" si="50"/>
        <v>0</v>
      </c>
      <c r="Y196" s="883">
        <v>0</v>
      </c>
      <c r="Z196" s="883">
        <v>0</v>
      </c>
      <c r="AA196" s="883">
        <v>0</v>
      </c>
      <c r="AB196" s="883">
        <f t="shared" si="51"/>
        <v>20</v>
      </c>
      <c r="AC196" s="883">
        <v>0</v>
      </c>
      <c r="AD196" s="881"/>
      <c r="AE196" s="880"/>
      <c r="AF196" s="883"/>
      <c r="AG196" s="889"/>
      <c r="AH196" s="880"/>
      <c r="AI196" s="880" t="s">
        <v>1241</v>
      </c>
      <c r="AJ196" s="884">
        <v>411</v>
      </c>
      <c r="AK196" s="883">
        <f t="shared" si="52"/>
        <v>17.39</v>
      </c>
      <c r="AL196" s="884">
        <v>413</v>
      </c>
      <c r="AM196" s="883">
        <f t="shared" si="53"/>
        <v>0</v>
      </c>
      <c r="AN196" s="884">
        <v>441</v>
      </c>
      <c r="AO196" s="883">
        <f t="shared" si="54"/>
        <v>0</v>
      </c>
      <c r="AP196" s="881"/>
      <c r="AQ196" s="881"/>
      <c r="AR196" s="883">
        <v>0</v>
      </c>
      <c r="AS196" s="883">
        <v>0</v>
      </c>
      <c r="AT196" s="883">
        <v>0</v>
      </c>
      <c r="AU196" s="880"/>
      <c r="AV196" s="886"/>
      <c r="AW196" s="880"/>
      <c r="AX196" s="886"/>
      <c r="AY196" s="880"/>
      <c r="AZ196" s="880"/>
      <c r="BA196" s="881"/>
      <c r="BB196" s="881" t="s">
        <v>57</v>
      </c>
      <c r="BC196" s="881"/>
      <c r="BD196" s="881"/>
      <c r="BE196" s="884">
        <f t="shared" si="55"/>
        <v>4</v>
      </c>
      <c r="BF196" s="887" t="str">
        <f t="shared" si="56"/>
        <v>SI</v>
      </c>
      <c r="BG196" s="883">
        <f t="shared" si="57"/>
        <v>17.39</v>
      </c>
      <c r="BH196" s="883">
        <f t="shared" si="58"/>
        <v>0</v>
      </c>
      <c r="BI196" s="883">
        <f t="shared" si="59"/>
        <v>0</v>
      </c>
      <c r="BJ196" s="883">
        <f t="shared" si="60"/>
        <v>0</v>
      </c>
      <c r="BK196" s="883">
        <f t="shared" si="61"/>
        <v>0</v>
      </c>
      <c r="BL196" s="883">
        <f t="shared" si="62"/>
        <v>2.61</v>
      </c>
      <c r="BM196" s="881"/>
      <c r="BN196" s="880"/>
      <c r="BO196" s="882" t="s">
        <v>1579</v>
      </c>
      <c r="BP196" s="882" t="s">
        <v>2286</v>
      </c>
      <c r="BQ196" s="882" t="s">
        <v>2285</v>
      </c>
      <c r="BR196" s="880"/>
      <c r="BS196" s="880"/>
      <c r="BT196" s="880"/>
      <c r="BU196" s="880"/>
      <c r="BV196" s="880"/>
      <c r="BW196" s="883">
        <v>0</v>
      </c>
      <c r="BX196" s="883">
        <v>0</v>
      </c>
      <c r="BY196" s="883">
        <v>0</v>
      </c>
      <c r="BZ196" s="890"/>
      <c r="CA196" s="883">
        <f t="shared" si="63"/>
        <v>0</v>
      </c>
      <c r="CB196" s="880"/>
      <c r="CC196" s="881"/>
      <c r="CD196" s="883"/>
      <c r="CE196" s="883"/>
      <c r="CF196" s="883"/>
      <c r="CG196" s="883"/>
      <c r="CH196" s="883"/>
      <c r="CI196" s="883"/>
      <c r="CJ196" s="883"/>
      <c r="CK196" s="883"/>
      <c r="CL196" s="883"/>
      <c r="CM196" s="883"/>
      <c r="CN196" s="883"/>
      <c r="CO196" s="883"/>
      <c r="CP196" s="883"/>
      <c r="CQ196" s="883"/>
      <c r="CR196" s="883"/>
      <c r="CS196" s="883"/>
      <c r="CT196" s="883"/>
      <c r="CU196" s="883"/>
    </row>
    <row r="197" spans="1:99" x14ac:dyDescent="0.25">
      <c r="A197" s="880" t="s">
        <v>1787</v>
      </c>
      <c r="B197" s="881" t="s">
        <v>1788</v>
      </c>
      <c r="C197" s="880" t="s">
        <v>2829</v>
      </c>
      <c r="D197" s="880"/>
      <c r="E197" s="884" t="s">
        <v>744</v>
      </c>
      <c r="F197" s="888">
        <v>1</v>
      </c>
      <c r="G197" s="881" t="s">
        <v>1007</v>
      </c>
      <c r="H197" s="881" t="s">
        <v>19</v>
      </c>
      <c r="I197" s="865">
        <v>46142</v>
      </c>
      <c r="J197" s="882" t="s">
        <v>8</v>
      </c>
      <c r="K197" s="880"/>
      <c r="L197" s="880"/>
      <c r="M197" s="883">
        <v>0</v>
      </c>
      <c r="N197" s="883">
        <v>0</v>
      </c>
      <c r="O197" s="883">
        <v>0</v>
      </c>
      <c r="P197" s="883">
        <v>17.850000000000001</v>
      </c>
      <c r="Q197" s="883">
        <v>15</v>
      </c>
      <c r="R197" s="883">
        <f t="shared" si="48"/>
        <v>2.68</v>
      </c>
      <c r="S197" s="883">
        <v>0</v>
      </c>
      <c r="T197" s="883">
        <v>5</v>
      </c>
      <c r="U197" s="883">
        <f t="shared" si="49"/>
        <v>0</v>
      </c>
      <c r="V197" s="883">
        <v>0</v>
      </c>
      <c r="W197" s="883">
        <v>8</v>
      </c>
      <c r="X197" s="883">
        <f t="shared" si="50"/>
        <v>0</v>
      </c>
      <c r="Y197" s="883">
        <v>0</v>
      </c>
      <c r="Z197" s="883">
        <v>0</v>
      </c>
      <c r="AA197" s="883">
        <v>0</v>
      </c>
      <c r="AB197" s="883">
        <f t="shared" si="51"/>
        <v>20.53</v>
      </c>
      <c r="AC197" s="883">
        <v>0</v>
      </c>
      <c r="AD197" s="881"/>
      <c r="AE197" s="880"/>
      <c r="AF197" s="883"/>
      <c r="AG197" s="889"/>
      <c r="AH197" s="880"/>
      <c r="AI197" s="880" t="s">
        <v>1241</v>
      </c>
      <c r="AJ197" s="884">
        <v>411</v>
      </c>
      <c r="AK197" s="883">
        <f t="shared" si="52"/>
        <v>17.850000000000001</v>
      </c>
      <c r="AL197" s="884">
        <v>413</v>
      </c>
      <c r="AM197" s="883">
        <f t="shared" si="53"/>
        <v>0</v>
      </c>
      <c r="AN197" s="884">
        <v>441</v>
      </c>
      <c r="AO197" s="883">
        <f t="shared" si="54"/>
        <v>0</v>
      </c>
      <c r="AP197" s="881"/>
      <c r="AQ197" s="881"/>
      <c r="AR197" s="883">
        <v>0</v>
      </c>
      <c r="AS197" s="883">
        <v>0</v>
      </c>
      <c r="AT197" s="883">
        <v>0</v>
      </c>
      <c r="AU197" s="880"/>
      <c r="AV197" s="886"/>
      <c r="AW197" s="880"/>
      <c r="AX197" s="886"/>
      <c r="AY197" s="880"/>
      <c r="AZ197" s="880"/>
      <c r="BA197" s="881"/>
      <c r="BB197" s="881" t="s">
        <v>57</v>
      </c>
      <c r="BC197" s="881"/>
      <c r="BD197" s="881"/>
      <c r="BE197" s="884">
        <f t="shared" si="55"/>
        <v>4</v>
      </c>
      <c r="BF197" s="887" t="str">
        <f t="shared" si="56"/>
        <v>SI</v>
      </c>
      <c r="BG197" s="883">
        <f t="shared" si="57"/>
        <v>17.850000000000001</v>
      </c>
      <c r="BH197" s="883">
        <f t="shared" si="58"/>
        <v>0</v>
      </c>
      <c r="BI197" s="883">
        <f t="shared" si="59"/>
        <v>0</v>
      </c>
      <c r="BJ197" s="883">
        <f t="shared" si="60"/>
        <v>0</v>
      </c>
      <c r="BK197" s="883">
        <f t="shared" si="61"/>
        <v>0</v>
      </c>
      <c r="BL197" s="883">
        <f t="shared" si="62"/>
        <v>2.68</v>
      </c>
      <c r="BM197" s="881"/>
      <c r="BN197" s="880"/>
      <c r="BO197" s="882" t="s">
        <v>1579</v>
      </c>
      <c r="BP197" s="882" t="s">
        <v>2286</v>
      </c>
      <c r="BQ197" s="882" t="s">
        <v>2285</v>
      </c>
      <c r="BR197" s="880"/>
      <c r="BS197" s="880"/>
      <c r="BT197" s="880"/>
      <c r="BU197" s="880"/>
      <c r="BV197" s="880"/>
      <c r="BW197" s="883">
        <v>0</v>
      </c>
      <c r="BX197" s="883">
        <v>0</v>
      </c>
      <c r="BY197" s="883">
        <v>0</v>
      </c>
      <c r="BZ197" s="890"/>
      <c r="CA197" s="883">
        <f t="shared" si="63"/>
        <v>0</v>
      </c>
      <c r="CB197" s="880"/>
      <c r="CC197" s="881"/>
      <c r="CD197" s="883"/>
      <c r="CE197" s="883"/>
      <c r="CF197" s="883"/>
      <c r="CG197" s="883"/>
      <c r="CH197" s="883"/>
      <c r="CI197" s="883"/>
      <c r="CJ197" s="883"/>
      <c r="CK197" s="883"/>
      <c r="CL197" s="883"/>
      <c r="CM197" s="883"/>
      <c r="CN197" s="883"/>
      <c r="CO197" s="883"/>
      <c r="CP197" s="883"/>
      <c r="CQ197" s="883"/>
      <c r="CR197" s="883"/>
      <c r="CS197" s="883"/>
      <c r="CT197" s="883"/>
      <c r="CU197" s="883"/>
    </row>
    <row r="198" spans="1:99" x14ac:dyDescent="0.25">
      <c r="A198" s="880" t="s">
        <v>1787</v>
      </c>
      <c r="B198" s="881" t="s">
        <v>1788</v>
      </c>
      <c r="C198" s="880" t="s">
        <v>2830</v>
      </c>
      <c r="D198" s="880"/>
      <c r="E198" s="884" t="s">
        <v>744</v>
      </c>
      <c r="F198" s="888">
        <v>1</v>
      </c>
      <c r="G198" s="881" t="s">
        <v>1007</v>
      </c>
      <c r="H198" s="881" t="s">
        <v>19</v>
      </c>
      <c r="I198" s="865">
        <v>46142</v>
      </c>
      <c r="J198" s="882" t="s">
        <v>8</v>
      </c>
      <c r="K198" s="880"/>
      <c r="L198" s="880"/>
      <c r="M198" s="883">
        <v>0</v>
      </c>
      <c r="N198" s="883">
        <v>0</v>
      </c>
      <c r="O198" s="883">
        <v>0</v>
      </c>
      <c r="P198" s="883">
        <v>21.74</v>
      </c>
      <c r="Q198" s="883">
        <v>15</v>
      </c>
      <c r="R198" s="883">
        <f t="shared" si="48"/>
        <v>3.26</v>
      </c>
      <c r="S198" s="883">
        <v>0</v>
      </c>
      <c r="T198" s="883">
        <v>5</v>
      </c>
      <c r="U198" s="883">
        <f t="shared" si="49"/>
        <v>0</v>
      </c>
      <c r="V198" s="883">
        <v>0</v>
      </c>
      <c r="W198" s="883">
        <v>8</v>
      </c>
      <c r="X198" s="883">
        <f t="shared" si="50"/>
        <v>0</v>
      </c>
      <c r="Y198" s="883">
        <v>0</v>
      </c>
      <c r="Z198" s="883">
        <v>0</v>
      </c>
      <c r="AA198" s="883">
        <v>0</v>
      </c>
      <c r="AB198" s="883">
        <f t="shared" si="51"/>
        <v>25</v>
      </c>
      <c r="AC198" s="883">
        <v>0</v>
      </c>
      <c r="AD198" s="881"/>
      <c r="AE198" s="880"/>
      <c r="AF198" s="883"/>
      <c r="AG198" s="889"/>
      <c r="AH198" s="880"/>
      <c r="AI198" s="880" t="s">
        <v>1241</v>
      </c>
      <c r="AJ198" s="884">
        <v>411</v>
      </c>
      <c r="AK198" s="883">
        <f t="shared" si="52"/>
        <v>21.74</v>
      </c>
      <c r="AL198" s="884">
        <v>413</v>
      </c>
      <c r="AM198" s="883">
        <f t="shared" si="53"/>
        <v>0</v>
      </c>
      <c r="AN198" s="884">
        <v>441</v>
      </c>
      <c r="AO198" s="883">
        <f t="shared" si="54"/>
        <v>0</v>
      </c>
      <c r="AP198" s="881"/>
      <c r="AQ198" s="881"/>
      <c r="AR198" s="883">
        <v>0</v>
      </c>
      <c r="AS198" s="883">
        <v>0</v>
      </c>
      <c r="AT198" s="883">
        <v>0</v>
      </c>
      <c r="AU198" s="880"/>
      <c r="AV198" s="886"/>
      <c r="AW198" s="880"/>
      <c r="AX198" s="886"/>
      <c r="AY198" s="880"/>
      <c r="AZ198" s="880"/>
      <c r="BA198" s="881"/>
      <c r="BB198" s="881" t="s">
        <v>57</v>
      </c>
      <c r="BC198" s="881"/>
      <c r="BD198" s="881"/>
      <c r="BE198" s="884">
        <f t="shared" si="55"/>
        <v>4</v>
      </c>
      <c r="BF198" s="887" t="str">
        <f t="shared" si="56"/>
        <v>SI</v>
      </c>
      <c r="BG198" s="883">
        <f t="shared" si="57"/>
        <v>21.74</v>
      </c>
      <c r="BH198" s="883">
        <f t="shared" si="58"/>
        <v>0</v>
      </c>
      <c r="BI198" s="883">
        <f t="shared" si="59"/>
        <v>0</v>
      </c>
      <c r="BJ198" s="883">
        <f t="shared" si="60"/>
        <v>0</v>
      </c>
      <c r="BK198" s="883">
        <f t="shared" si="61"/>
        <v>0</v>
      </c>
      <c r="BL198" s="883">
        <f t="shared" si="62"/>
        <v>3.26</v>
      </c>
      <c r="BM198" s="881"/>
      <c r="BN198" s="880"/>
      <c r="BO198" s="882" t="s">
        <v>1579</v>
      </c>
      <c r="BP198" s="882" t="s">
        <v>2286</v>
      </c>
      <c r="BQ198" s="882" t="s">
        <v>2285</v>
      </c>
      <c r="BR198" s="880"/>
      <c r="BS198" s="880"/>
      <c r="BT198" s="880"/>
      <c r="BU198" s="880"/>
      <c r="BV198" s="880"/>
      <c r="BW198" s="883">
        <v>0</v>
      </c>
      <c r="BX198" s="883">
        <v>0</v>
      </c>
      <c r="BY198" s="883">
        <v>0</v>
      </c>
      <c r="BZ198" s="890"/>
      <c r="CA198" s="883">
        <f t="shared" si="63"/>
        <v>0</v>
      </c>
      <c r="CB198" s="880"/>
      <c r="CC198" s="881"/>
      <c r="CD198" s="883"/>
      <c r="CE198" s="883"/>
      <c r="CF198" s="883"/>
      <c r="CG198" s="883"/>
      <c r="CH198" s="883"/>
      <c r="CI198" s="883"/>
      <c r="CJ198" s="883"/>
      <c r="CK198" s="883"/>
      <c r="CL198" s="883"/>
      <c r="CM198" s="883"/>
      <c r="CN198" s="883"/>
      <c r="CO198" s="883"/>
      <c r="CP198" s="883"/>
      <c r="CQ198" s="883"/>
      <c r="CR198" s="883"/>
      <c r="CS198" s="883"/>
      <c r="CT198" s="883"/>
      <c r="CU198" s="883"/>
    </row>
    <row r="199" spans="1:99" x14ac:dyDescent="0.25">
      <c r="A199" s="880" t="s">
        <v>1787</v>
      </c>
      <c r="B199" s="881" t="s">
        <v>1788</v>
      </c>
      <c r="C199" s="880" t="s">
        <v>2831</v>
      </c>
      <c r="D199" s="880"/>
      <c r="E199" s="884" t="s">
        <v>744</v>
      </c>
      <c r="F199" s="888">
        <v>1</v>
      </c>
      <c r="G199" s="881" t="s">
        <v>1007</v>
      </c>
      <c r="H199" s="881" t="s">
        <v>19</v>
      </c>
      <c r="I199" s="865">
        <v>46142</v>
      </c>
      <c r="J199" s="882" t="s">
        <v>8</v>
      </c>
      <c r="K199" s="880"/>
      <c r="L199" s="880"/>
      <c r="M199" s="883">
        <v>0</v>
      </c>
      <c r="N199" s="883">
        <v>0</v>
      </c>
      <c r="O199" s="883">
        <v>0</v>
      </c>
      <c r="P199" s="883">
        <v>26.79</v>
      </c>
      <c r="Q199" s="883">
        <v>15</v>
      </c>
      <c r="R199" s="883">
        <f t="shared" si="48"/>
        <v>4.0199999999999996</v>
      </c>
      <c r="S199" s="883">
        <v>0</v>
      </c>
      <c r="T199" s="883">
        <v>5</v>
      </c>
      <c r="U199" s="883">
        <f t="shared" si="49"/>
        <v>0</v>
      </c>
      <c r="V199" s="883">
        <v>0</v>
      </c>
      <c r="W199" s="883">
        <v>8</v>
      </c>
      <c r="X199" s="883">
        <f t="shared" si="50"/>
        <v>0</v>
      </c>
      <c r="Y199" s="883">
        <v>0</v>
      </c>
      <c r="Z199" s="883">
        <v>0</v>
      </c>
      <c r="AA199" s="883">
        <v>0</v>
      </c>
      <c r="AB199" s="883">
        <f t="shared" si="51"/>
        <v>30.81</v>
      </c>
      <c r="AC199" s="883">
        <v>0</v>
      </c>
      <c r="AD199" s="881"/>
      <c r="AE199" s="880"/>
      <c r="AF199" s="883"/>
      <c r="AG199" s="889"/>
      <c r="AH199" s="880"/>
      <c r="AI199" s="880" t="s">
        <v>1241</v>
      </c>
      <c r="AJ199" s="884">
        <v>411</v>
      </c>
      <c r="AK199" s="883">
        <f t="shared" si="52"/>
        <v>26.79</v>
      </c>
      <c r="AL199" s="884">
        <v>413</v>
      </c>
      <c r="AM199" s="883">
        <f t="shared" si="53"/>
        <v>0</v>
      </c>
      <c r="AN199" s="884">
        <v>441</v>
      </c>
      <c r="AO199" s="883">
        <f t="shared" si="54"/>
        <v>0</v>
      </c>
      <c r="AP199" s="881"/>
      <c r="AQ199" s="881"/>
      <c r="AR199" s="883">
        <v>0</v>
      </c>
      <c r="AS199" s="883">
        <v>0</v>
      </c>
      <c r="AT199" s="883">
        <v>0</v>
      </c>
      <c r="AU199" s="880"/>
      <c r="AV199" s="886"/>
      <c r="AW199" s="880"/>
      <c r="AX199" s="886"/>
      <c r="AY199" s="880"/>
      <c r="AZ199" s="880"/>
      <c r="BA199" s="881"/>
      <c r="BB199" s="881" t="s">
        <v>57</v>
      </c>
      <c r="BC199" s="881"/>
      <c r="BD199" s="881"/>
      <c r="BE199" s="884">
        <f t="shared" si="55"/>
        <v>4</v>
      </c>
      <c r="BF199" s="887" t="str">
        <f t="shared" si="56"/>
        <v>SI</v>
      </c>
      <c r="BG199" s="883">
        <f t="shared" si="57"/>
        <v>26.79</v>
      </c>
      <c r="BH199" s="883">
        <f t="shared" si="58"/>
        <v>0</v>
      </c>
      <c r="BI199" s="883">
        <f t="shared" si="59"/>
        <v>0</v>
      </c>
      <c r="BJ199" s="883">
        <f t="shared" si="60"/>
        <v>0</v>
      </c>
      <c r="BK199" s="883">
        <f t="shared" si="61"/>
        <v>0</v>
      </c>
      <c r="BL199" s="883">
        <f t="shared" si="62"/>
        <v>4.0199999999999996</v>
      </c>
      <c r="BM199" s="881"/>
      <c r="BN199" s="880"/>
      <c r="BO199" s="882" t="s">
        <v>1579</v>
      </c>
      <c r="BP199" s="882" t="s">
        <v>2286</v>
      </c>
      <c r="BQ199" s="882" t="s">
        <v>2285</v>
      </c>
      <c r="BR199" s="880"/>
      <c r="BS199" s="880"/>
      <c r="BT199" s="880"/>
      <c r="BU199" s="880"/>
      <c r="BV199" s="880"/>
      <c r="BW199" s="883">
        <v>0</v>
      </c>
      <c r="BX199" s="883">
        <v>0</v>
      </c>
      <c r="BY199" s="883">
        <v>0</v>
      </c>
      <c r="BZ199" s="890"/>
      <c r="CA199" s="883">
        <f t="shared" si="63"/>
        <v>0</v>
      </c>
      <c r="CB199" s="880"/>
      <c r="CC199" s="881"/>
      <c r="CD199" s="883"/>
      <c r="CE199" s="883"/>
      <c r="CF199" s="883"/>
      <c r="CG199" s="883"/>
      <c r="CH199" s="883"/>
      <c r="CI199" s="883"/>
      <c r="CJ199" s="883"/>
      <c r="CK199" s="883"/>
      <c r="CL199" s="883"/>
      <c r="CM199" s="883"/>
      <c r="CN199" s="883"/>
      <c r="CO199" s="883"/>
      <c r="CP199" s="883"/>
      <c r="CQ199" s="883"/>
      <c r="CR199" s="883"/>
      <c r="CS199" s="883"/>
      <c r="CT199" s="883"/>
      <c r="CU199" s="883"/>
    </row>
    <row r="200" spans="1:99" x14ac:dyDescent="0.25">
      <c r="A200" s="880" t="s">
        <v>1787</v>
      </c>
      <c r="B200" s="881" t="s">
        <v>1788</v>
      </c>
      <c r="C200" s="880" t="s">
        <v>2832</v>
      </c>
      <c r="D200" s="880"/>
      <c r="E200" s="884" t="s">
        <v>744</v>
      </c>
      <c r="F200" s="888">
        <v>1</v>
      </c>
      <c r="G200" s="881" t="s">
        <v>1007</v>
      </c>
      <c r="H200" s="881" t="s">
        <v>19</v>
      </c>
      <c r="I200" s="865">
        <v>46142</v>
      </c>
      <c r="J200" s="882" t="s">
        <v>8</v>
      </c>
      <c r="K200" s="880"/>
      <c r="L200" s="880"/>
      <c r="M200" s="883">
        <v>0</v>
      </c>
      <c r="N200" s="883">
        <v>0</v>
      </c>
      <c r="O200" s="883">
        <v>0</v>
      </c>
      <c r="P200" s="883">
        <v>22.32</v>
      </c>
      <c r="Q200" s="883">
        <v>15</v>
      </c>
      <c r="R200" s="883">
        <f t="shared" si="48"/>
        <v>3.35</v>
      </c>
      <c r="S200" s="883">
        <v>0</v>
      </c>
      <c r="T200" s="883">
        <v>5</v>
      </c>
      <c r="U200" s="883">
        <f t="shared" si="49"/>
        <v>0</v>
      </c>
      <c r="V200" s="883">
        <v>0</v>
      </c>
      <c r="W200" s="883">
        <v>8</v>
      </c>
      <c r="X200" s="883">
        <f t="shared" si="50"/>
        <v>0</v>
      </c>
      <c r="Y200" s="883">
        <v>0</v>
      </c>
      <c r="Z200" s="883">
        <v>0</v>
      </c>
      <c r="AA200" s="883">
        <v>0</v>
      </c>
      <c r="AB200" s="883">
        <f t="shared" si="51"/>
        <v>25.67</v>
      </c>
      <c r="AC200" s="883">
        <v>0</v>
      </c>
      <c r="AD200" s="881"/>
      <c r="AE200" s="880"/>
      <c r="AF200" s="883"/>
      <c r="AG200" s="889"/>
      <c r="AH200" s="880"/>
      <c r="AI200" s="880" t="s">
        <v>1241</v>
      </c>
      <c r="AJ200" s="884">
        <v>411</v>
      </c>
      <c r="AK200" s="883">
        <f t="shared" si="52"/>
        <v>22.32</v>
      </c>
      <c r="AL200" s="884">
        <v>413</v>
      </c>
      <c r="AM200" s="883">
        <f t="shared" si="53"/>
        <v>0</v>
      </c>
      <c r="AN200" s="884">
        <v>441</v>
      </c>
      <c r="AO200" s="883">
        <f t="shared" si="54"/>
        <v>0</v>
      </c>
      <c r="AP200" s="881"/>
      <c r="AQ200" s="881"/>
      <c r="AR200" s="883">
        <v>0</v>
      </c>
      <c r="AS200" s="883">
        <v>0</v>
      </c>
      <c r="AT200" s="883">
        <v>0</v>
      </c>
      <c r="AU200" s="880"/>
      <c r="AV200" s="886"/>
      <c r="AW200" s="880"/>
      <c r="AX200" s="886"/>
      <c r="AY200" s="880"/>
      <c r="AZ200" s="880"/>
      <c r="BA200" s="881"/>
      <c r="BB200" s="881" t="s">
        <v>57</v>
      </c>
      <c r="BC200" s="881"/>
      <c r="BD200" s="881"/>
      <c r="BE200" s="884">
        <f t="shared" si="55"/>
        <v>4</v>
      </c>
      <c r="BF200" s="887" t="str">
        <f t="shared" si="56"/>
        <v>SI</v>
      </c>
      <c r="BG200" s="883">
        <f t="shared" si="57"/>
        <v>22.32</v>
      </c>
      <c r="BH200" s="883">
        <f t="shared" si="58"/>
        <v>0</v>
      </c>
      <c r="BI200" s="883">
        <f t="shared" si="59"/>
        <v>0</v>
      </c>
      <c r="BJ200" s="883">
        <f t="shared" si="60"/>
        <v>0</v>
      </c>
      <c r="BK200" s="883">
        <f t="shared" si="61"/>
        <v>0</v>
      </c>
      <c r="BL200" s="883">
        <f t="shared" si="62"/>
        <v>3.35</v>
      </c>
      <c r="BM200" s="881"/>
      <c r="BN200" s="880"/>
      <c r="BO200" s="882" t="s">
        <v>1579</v>
      </c>
      <c r="BP200" s="882" t="s">
        <v>2286</v>
      </c>
      <c r="BQ200" s="882" t="s">
        <v>2285</v>
      </c>
      <c r="BR200" s="880"/>
      <c r="BS200" s="880"/>
      <c r="BT200" s="880"/>
      <c r="BU200" s="880"/>
      <c r="BV200" s="880"/>
      <c r="BW200" s="883">
        <v>0</v>
      </c>
      <c r="BX200" s="883">
        <v>0</v>
      </c>
      <c r="BY200" s="883">
        <v>0</v>
      </c>
      <c r="BZ200" s="890"/>
      <c r="CA200" s="883">
        <f t="shared" si="63"/>
        <v>0</v>
      </c>
      <c r="CB200" s="880"/>
      <c r="CC200" s="881"/>
      <c r="CD200" s="883"/>
      <c r="CE200" s="883"/>
      <c r="CF200" s="883"/>
      <c r="CG200" s="883"/>
      <c r="CH200" s="883"/>
      <c r="CI200" s="883"/>
      <c r="CJ200" s="883"/>
      <c r="CK200" s="883"/>
      <c r="CL200" s="883"/>
      <c r="CM200" s="883"/>
      <c r="CN200" s="883"/>
      <c r="CO200" s="883"/>
      <c r="CP200" s="883"/>
      <c r="CQ200" s="883"/>
      <c r="CR200" s="883"/>
      <c r="CS200" s="883"/>
      <c r="CT200" s="883"/>
      <c r="CU200" s="883"/>
    </row>
    <row r="201" spans="1:99" x14ac:dyDescent="0.25">
      <c r="A201" s="880" t="s">
        <v>1787</v>
      </c>
      <c r="B201" s="881" t="s">
        <v>1788</v>
      </c>
      <c r="C201" s="880" t="s">
        <v>2833</v>
      </c>
      <c r="D201" s="880"/>
      <c r="E201" s="884" t="s">
        <v>744</v>
      </c>
      <c r="F201" s="888">
        <v>1</v>
      </c>
      <c r="G201" s="881" t="s">
        <v>1007</v>
      </c>
      <c r="H201" s="881" t="s">
        <v>19</v>
      </c>
      <c r="I201" s="865">
        <v>46142</v>
      </c>
      <c r="J201" s="882" t="s">
        <v>8</v>
      </c>
      <c r="K201" s="880"/>
      <c r="L201" s="880"/>
      <c r="M201" s="883">
        <v>0</v>
      </c>
      <c r="N201" s="883">
        <v>0</v>
      </c>
      <c r="O201" s="883">
        <v>0</v>
      </c>
      <c r="P201" s="883">
        <v>13.39</v>
      </c>
      <c r="Q201" s="883">
        <v>15</v>
      </c>
      <c r="R201" s="883">
        <f t="shared" si="48"/>
        <v>2.0099999999999998</v>
      </c>
      <c r="S201" s="883">
        <v>0</v>
      </c>
      <c r="T201" s="883">
        <v>5</v>
      </c>
      <c r="U201" s="883">
        <f t="shared" si="49"/>
        <v>0</v>
      </c>
      <c r="V201" s="883">
        <v>0</v>
      </c>
      <c r="W201" s="883">
        <v>8</v>
      </c>
      <c r="X201" s="883">
        <f t="shared" si="50"/>
        <v>0</v>
      </c>
      <c r="Y201" s="883">
        <v>0</v>
      </c>
      <c r="Z201" s="883">
        <v>0</v>
      </c>
      <c r="AA201" s="883">
        <v>0</v>
      </c>
      <c r="AB201" s="883">
        <f t="shared" si="51"/>
        <v>15.4</v>
      </c>
      <c r="AC201" s="883">
        <v>0</v>
      </c>
      <c r="AD201" s="881"/>
      <c r="AE201" s="880"/>
      <c r="AF201" s="883"/>
      <c r="AG201" s="889"/>
      <c r="AH201" s="880"/>
      <c r="AI201" s="880" t="s">
        <v>1241</v>
      </c>
      <c r="AJ201" s="884">
        <v>411</v>
      </c>
      <c r="AK201" s="883">
        <f t="shared" si="52"/>
        <v>13.39</v>
      </c>
      <c r="AL201" s="884">
        <v>413</v>
      </c>
      <c r="AM201" s="883">
        <f t="shared" si="53"/>
        <v>0</v>
      </c>
      <c r="AN201" s="884">
        <v>441</v>
      </c>
      <c r="AO201" s="883">
        <f t="shared" si="54"/>
        <v>0</v>
      </c>
      <c r="AP201" s="881"/>
      <c r="AQ201" s="881"/>
      <c r="AR201" s="883">
        <v>0</v>
      </c>
      <c r="AS201" s="883">
        <v>0</v>
      </c>
      <c r="AT201" s="883">
        <v>0</v>
      </c>
      <c r="AU201" s="880"/>
      <c r="AV201" s="886"/>
      <c r="AW201" s="880"/>
      <c r="AX201" s="886"/>
      <c r="AY201" s="880"/>
      <c r="AZ201" s="880"/>
      <c r="BA201" s="881"/>
      <c r="BB201" s="881" t="s">
        <v>57</v>
      </c>
      <c r="BC201" s="881"/>
      <c r="BD201" s="881"/>
      <c r="BE201" s="884">
        <f t="shared" si="55"/>
        <v>4</v>
      </c>
      <c r="BF201" s="887" t="str">
        <f t="shared" si="56"/>
        <v>SI</v>
      </c>
      <c r="BG201" s="883">
        <f t="shared" si="57"/>
        <v>13.39</v>
      </c>
      <c r="BH201" s="883">
        <f t="shared" si="58"/>
        <v>0</v>
      </c>
      <c r="BI201" s="883">
        <f t="shared" si="59"/>
        <v>0</v>
      </c>
      <c r="BJ201" s="883">
        <f t="shared" si="60"/>
        <v>0</v>
      </c>
      <c r="BK201" s="883">
        <f t="shared" si="61"/>
        <v>0</v>
      </c>
      <c r="BL201" s="883">
        <f t="shared" si="62"/>
        <v>2.0099999999999998</v>
      </c>
      <c r="BM201" s="881"/>
      <c r="BN201" s="880"/>
      <c r="BO201" s="882" t="s">
        <v>1579</v>
      </c>
      <c r="BP201" s="882" t="s">
        <v>2286</v>
      </c>
      <c r="BQ201" s="882" t="s">
        <v>2285</v>
      </c>
      <c r="BR201" s="880"/>
      <c r="BS201" s="880"/>
      <c r="BT201" s="880"/>
      <c r="BU201" s="880"/>
      <c r="BV201" s="880"/>
      <c r="BW201" s="883">
        <v>0</v>
      </c>
      <c r="BX201" s="883">
        <v>0</v>
      </c>
      <c r="BY201" s="883">
        <v>0</v>
      </c>
      <c r="BZ201" s="890"/>
      <c r="CA201" s="883">
        <f t="shared" si="63"/>
        <v>0</v>
      </c>
      <c r="CB201" s="880"/>
      <c r="CC201" s="881"/>
      <c r="CD201" s="883"/>
      <c r="CE201" s="883"/>
      <c r="CF201" s="883"/>
      <c r="CG201" s="883"/>
      <c r="CH201" s="883"/>
      <c r="CI201" s="883"/>
      <c r="CJ201" s="883"/>
      <c r="CK201" s="883"/>
      <c r="CL201" s="883"/>
      <c r="CM201" s="883"/>
      <c r="CN201" s="883"/>
      <c r="CO201" s="883"/>
      <c r="CP201" s="883"/>
      <c r="CQ201" s="883"/>
      <c r="CR201" s="883"/>
      <c r="CS201" s="883"/>
      <c r="CT201" s="883"/>
      <c r="CU201" s="883"/>
    </row>
    <row r="202" spans="1:99" x14ac:dyDescent="0.25">
      <c r="A202" s="880" t="s">
        <v>1787</v>
      </c>
      <c r="B202" s="881" t="s">
        <v>1788</v>
      </c>
      <c r="C202" s="880" t="s">
        <v>2834</v>
      </c>
      <c r="D202" s="880"/>
      <c r="E202" s="884" t="s">
        <v>744</v>
      </c>
      <c r="F202" s="888">
        <v>1</v>
      </c>
      <c r="G202" s="881" t="s">
        <v>1007</v>
      </c>
      <c r="H202" s="881" t="s">
        <v>19</v>
      </c>
      <c r="I202" s="865">
        <v>46142</v>
      </c>
      <c r="J202" s="882" t="s">
        <v>8</v>
      </c>
      <c r="K202" s="880"/>
      <c r="L202" s="880"/>
      <c r="M202" s="883">
        <v>0</v>
      </c>
      <c r="N202" s="883">
        <v>0</v>
      </c>
      <c r="O202" s="883">
        <v>0</v>
      </c>
      <c r="P202" s="883">
        <v>21.73</v>
      </c>
      <c r="Q202" s="883">
        <v>15</v>
      </c>
      <c r="R202" s="883">
        <f t="shared" si="48"/>
        <v>3.26</v>
      </c>
      <c r="S202" s="883">
        <v>0</v>
      </c>
      <c r="T202" s="883">
        <v>5</v>
      </c>
      <c r="U202" s="883">
        <f t="shared" si="49"/>
        <v>0</v>
      </c>
      <c r="V202" s="883">
        <v>0</v>
      </c>
      <c r="W202" s="883">
        <v>8</v>
      </c>
      <c r="X202" s="883">
        <f t="shared" si="50"/>
        <v>0</v>
      </c>
      <c r="Y202" s="883">
        <v>0</v>
      </c>
      <c r="Z202" s="883">
        <v>0</v>
      </c>
      <c r="AA202" s="883">
        <v>0</v>
      </c>
      <c r="AB202" s="883">
        <f t="shared" si="51"/>
        <v>24.99</v>
      </c>
      <c r="AC202" s="883">
        <v>0</v>
      </c>
      <c r="AD202" s="881"/>
      <c r="AE202" s="880"/>
      <c r="AF202" s="883"/>
      <c r="AG202" s="889"/>
      <c r="AH202" s="880"/>
      <c r="AI202" s="880" t="s">
        <v>1241</v>
      </c>
      <c r="AJ202" s="884">
        <v>411</v>
      </c>
      <c r="AK202" s="883">
        <f t="shared" si="52"/>
        <v>21.73</v>
      </c>
      <c r="AL202" s="884">
        <v>413</v>
      </c>
      <c r="AM202" s="883">
        <f t="shared" si="53"/>
        <v>0</v>
      </c>
      <c r="AN202" s="884">
        <v>441</v>
      </c>
      <c r="AO202" s="883">
        <f t="shared" si="54"/>
        <v>0</v>
      </c>
      <c r="AP202" s="881"/>
      <c r="AQ202" s="881"/>
      <c r="AR202" s="883">
        <v>0</v>
      </c>
      <c r="AS202" s="883">
        <v>0</v>
      </c>
      <c r="AT202" s="883">
        <v>0</v>
      </c>
      <c r="AU202" s="880"/>
      <c r="AV202" s="886"/>
      <c r="AW202" s="880"/>
      <c r="AX202" s="886"/>
      <c r="AY202" s="880"/>
      <c r="AZ202" s="880"/>
      <c r="BA202" s="881"/>
      <c r="BB202" s="881" t="s">
        <v>57</v>
      </c>
      <c r="BC202" s="881"/>
      <c r="BD202" s="881"/>
      <c r="BE202" s="884">
        <f t="shared" si="55"/>
        <v>4</v>
      </c>
      <c r="BF202" s="887" t="str">
        <f t="shared" si="56"/>
        <v>SI</v>
      </c>
      <c r="BG202" s="883">
        <f t="shared" si="57"/>
        <v>21.73</v>
      </c>
      <c r="BH202" s="883">
        <f t="shared" si="58"/>
        <v>0</v>
      </c>
      <c r="BI202" s="883">
        <f t="shared" si="59"/>
        <v>0</v>
      </c>
      <c r="BJ202" s="883">
        <f t="shared" si="60"/>
        <v>0</v>
      </c>
      <c r="BK202" s="883">
        <f t="shared" si="61"/>
        <v>0</v>
      </c>
      <c r="BL202" s="883">
        <f t="shared" si="62"/>
        <v>3.26</v>
      </c>
      <c r="BM202" s="881"/>
      <c r="BN202" s="880"/>
      <c r="BO202" s="882" t="s">
        <v>1579</v>
      </c>
      <c r="BP202" s="882" t="s">
        <v>2286</v>
      </c>
      <c r="BQ202" s="882" t="s">
        <v>2285</v>
      </c>
      <c r="BR202" s="880"/>
      <c r="BS202" s="880"/>
      <c r="BT202" s="880"/>
      <c r="BU202" s="880"/>
      <c r="BV202" s="880"/>
      <c r="BW202" s="883">
        <v>0</v>
      </c>
      <c r="BX202" s="883">
        <v>0</v>
      </c>
      <c r="BY202" s="883">
        <v>0</v>
      </c>
      <c r="BZ202" s="890"/>
      <c r="CA202" s="883">
        <f t="shared" si="63"/>
        <v>0</v>
      </c>
      <c r="CB202" s="880"/>
      <c r="CC202" s="881"/>
      <c r="CD202" s="883"/>
      <c r="CE202" s="883"/>
      <c r="CF202" s="883"/>
      <c r="CG202" s="883"/>
      <c r="CH202" s="883"/>
      <c r="CI202" s="883"/>
      <c r="CJ202" s="883"/>
      <c r="CK202" s="883"/>
      <c r="CL202" s="883"/>
      <c r="CM202" s="883"/>
      <c r="CN202" s="883"/>
      <c r="CO202" s="883"/>
      <c r="CP202" s="883"/>
      <c r="CQ202" s="883"/>
      <c r="CR202" s="883"/>
      <c r="CS202" s="883"/>
      <c r="CT202" s="883"/>
      <c r="CU202" s="883"/>
    </row>
    <row r="203" spans="1:99" x14ac:dyDescent="0.25">
      <c r="A203" s="880" t="s">
        <v>1787</v>
      </c>
      <c r="B203" s="881" t="s">
        <v>1788</v>
      </c>
      <c r="C203" s="880" t="s">
        <v>2835</v>
      </c>
      <c r="D203" s="880"/>
      <c r="E203" s="884" t="s">
        <v>744</v>
      </c>
      <c r="F203" s="888">
        <v>1</v>
      </c>
      <c r="G203" s="881" t="s">
        <v>1007</v>
      </c>
      <c r="H203" s="881" t="s">
        <v>19</v>
      </c>
      <c r="I203" s="865">
        <v>46142</v>
      </c>
      <c r="J203" s="882" t="s">
        <v>8</v>
      </c>
      <c r="K203" s="880"/>
      <c r="L203" s="880"/>
      <c r="M203" s="883">
        <v>0</v>
      </c>
      <c r="N203" s="883">
        <v>0</v>
      </c>
      <c r="O203" s="883">
        <v>0</v>
      </c>
      <c r="P203" s="883">
        <v>13.04</v>
      </c>
      <c r="Q203" s="883">
        <v>15</v>
      </c>
      <c r="R203" s="883">
        <f t="shared" ref="R203:R266" si="64">ROUND(P203*Q203%,2)</f>
        <v>1.96</v>
      </c>
      <c r="S203" s="883">
        <v>0</v>
      </c>
      <c r="T203" s="883">
        <v>5</v>
      </c>
      <c r="U203" s="883">
        <f t="shared" ref="U203:U266" si="65">ROUND(S203*T203%,2)</f>
        <v>0</v>
      </c>
      <c r="V203" s="883">
        <v>0</v>
      </c>
      <c r="W203" s="883">
        <v>8</v>
      </c>
      <c r="X203" s="883">
        <f t="shared" ref="X203:X266" si="66">ROUND(V203*W203%,2)</f>
        <v>0</v>
      </c>
      <c r="Y203" s="883">
        <v>0</v>
      </c>
      <c r="Z203" s="883">
        <v>0</v>
      </c>
      <c r="AA203" s="883">
        <v>0</v>
      </c>
      <c r="AB203" s="883">
        <f t="shared" ref="AB203:AB266" si="67">ROUND(SUM(M203:P203)+SUM(R203:S203)+SUM(U203:V203)+SUM(X203:AA203),2)</f>
        <v>15</v>
      </c>
      <c r="AC203" s="883">
        <v>0</v>
      </c>
      <c r="AD203" s="881"/>
      <c r="AE203" s="880"/>
      <c r="AF203" s="883"/>
      <c r="AG203" s="889"/>
      <c r="AH203" s="880"/>
      <c r="AI203" s="880" t="s">
        <v>1241</v>
      </c>
      <c r="AJ203" s="884">
        <v>411</v>
      </c>
      <c r="AK203" s="883">
        <f t="shared" ref="AK203:AK266" si="68">IF(OR(AJ203=441,AJ203=444,AJ203=417,AJ203=418),IF(AJ203=441,SUM($M203:$N203)+SUM($Y203:$AA203),SUM($M203:$P203)+$S203+$V203),IF(AND(AJ203&gt;412,AJ203&lt;417),$O203,IF(OR(AJ203=411,AJ203=412),$P203,IF(AJ203=420,$V203,IF(AJ203=435,$S203,0)))))</f>
        <v>13.04</v>
      </c>
      <c r="AL203" s="884">
        <v>413</v>
      </c>
      <c r="AM203" s="883">
        <f t="shared" ref="AM203:AM266" si="69">IF(OR(AL203=441,AL203=444,AL203=417,AL203=418),IF(AL203=441,SUM($M203:$N203)+SUM($Y203:$AA203),SUM($M203:$P203)+$S203+$V203),IF(AND(AL203&gt;412,AL203&lt;417),$O203,IF(OR(AL203=411,AL203=412),$P203,IF(AL203=420,$V203,IF(AL203=435,$S203,0)))))</f>
        <v>0</v>
      </c>
      <c r="AN203" s="884">
        <v>441</v>
      </c>
      <c r="AO203" s="883">
        <f t="shared" ref="AO203:AO266" si="70">IF(OR(AN203=441,AN203=444,AN203=417,AN203=418),IF(AN203=441,SUM($M203:$N203)+SUM($Y203:$AA203),SUM($M203:$P203)+$S203+$V203),IF(AND(AN203&gt;412,AN203&lt;417),$O203,IF(OR(AN203=411,AN203=412),$P203,IF(AN203=420,$V203,IF(AN203=435,$S203,0)))))</f>
        <v>0</v>
      </c>
      <c r="AP203" s="881"/>
      <c r="AQ203" s="881"/>
      <c r="AR203" s="883">
        <v>0</v>
      </c>
      <c r="AS203" s="883">
        <v>0</v>
      </c>
      <c r="AT203" s="883">
        <v>0</v>
      </c>
      <c r="AU203" s="880"/>
      <c r="AV203" s="886"/>
      <c r="AW203" s="880"/>
      <c r="AX203" s="886"/>
      <c r="AY203" s="880"/>
      <c r="AZ203" s="880"/>
      <c r="BA203" s="881"/>
      <c r="BB203" s="881" t="s">
        <v>57</v>
      </c>
      <c r="BC203" s="881"/>
      <c r="BD203" s="881"/>
      <c r="BE203" s="884">
        <f t="shared" ref="BE203:BE266" si="71">IF(ISNUMBER(I203),MONTH(I203),0)</f>
        <v>4</v>
      </c>
      <c r="BF203" s="887" t="str">
        <f t="shared" ref="BF203:BF266" si="72">IF(ISNUMBER(I203),IF(ISERROR(HLOOKUP(MONTH(I203),meses_104,1,0)),"NO","SI"),"NO")</f>
        <v>SI</v>
      </c>
      <c r="BG203" s="883">
        <f t="shared" ref="BG203:BG266" si="73">IF(ISBLANK(H203),0,IF(OR((VALUE(LEFT(H203,2))=4),((LEFT(H203,3))="372")),0,AK203))</f>
        <v>13.04</v>
      </c>
      <c r="BH203" s="883">
        <f t="shared" ref="BH203:BH266" si="74">IF(ISBLANK(H203),0,IF(OR((VALUE(LEFT(H203,2))=4),((LEFT(H203,3))="372")),0,AM203))</f>
        <v>0</v>
      </c>
      <c r="BI203" s="883">
        <f t="shared" ref="BI203:BI266" si="75">IF(ISBLANK(H203),0,IF(OR((VALUE(LEFT(H203,2))=4),((LEFT(H203,3))="372")),0,AO203))</f>
        <v>0</v>
      </c>
      <c r="BJ203" s="883">
        <f t="shared" ref="BJ203:BJ266" si="76">SUM(M203:O203)+SUM(Y203:AA203)</f>
        <v>0</v>
      </c>
      <c r="BK203" s="883">
        <f t="shared" ref="BK203:BK266" si="77">ROUND((IF(AJ203=444,(R203+U203+X203),0)+IF(AL203=444,(R203+U203+X203),0)+IF(AN203=444,(R203+U203+X203),0)),2)</f>
        <v>0</v>
      </c>
      <c r="BL203" s="883">
        <f t="shared" ref="BL203:BL266" si="78">R203+U203+X203-BK203</f>
        <v>1.96</v>
      </c>
      <c r="BM203" s="881"/>
      <c r="BN203" s="880"/>
      <c r="BO203" s="882" t="s">
        <v>1579</v>
      </c>
      <c r="BP203" s="882" t="s">
        <v>2286</v>
      </c>
      <c r="BQ203" s="882" t="s">
        <v>2285</v>
      </c>
      <c r="BR203" s="880"/>
      <c r="BS203" s="880"/>
      <c r="BT203" s="880"/>
      <c r="BU203" s="880"/>
      <c r="BV203" s="880"/>
      <c r="BW203" s="883">
        <v>0</v>
      </c>
      <c r="BX203" s="883">
        <v>0</v>
      </c>
      <c r="BY203" s="883">
        <v>0</v>
      </c>
      <c r="BZ203" s="890"/>
      <c r="CA203" s="883">
        <f t="shared" ref="CA203:CA266" si="79">ROUND((IF(OR(AJ203=413,AJ203=414),AK203,0)+IF(OR(AL203=413,AL203=414),AM203,0)+IF(OR(AN203=413,AN203=414),AO203,0)),2)</f>
        <v>0</v>
      </c>
      <c r="CB203" s="880"/>
      <c r="CC203" s="881"/>
      <c r="CD203" s="883"/>
      <c r="CE203" s="883"/>
      <c r="CF203" s="883"/>
      <c r="CG203" s="883"/>
      <c r="CH203" s="883"/>
      <c r="CI203" s="883"/>
      <c r="CJ203" s="883"/>
      <c r="CK203" s="883"/>
      <c r="CL203" s="883"/>
      <c r="CM203" s="883"/>
      <c r="CN203" s="883"/>
      <c r="CO203" s="883"/>
      <c r="CP203" s="883"/>
      <c r="CQ203" s="883"/>
      <c r="CR203" s="883"/>
      <c r="CS203" s="883"/>
      <c r="CT203" s="883"/>
      <c r="CU203" s="883"/>
    </row>
    <row r="204" spans="1:99" x14ac:dyDescent="0.25">
      <c r="A204" s="880" t="s">
        <v>1787</v>
      </c>
      <c r="B204" s="881" t="s">
        <v>1788</v>
      </c>
      <c r="C204" s="880" t="s">
        <v>2836</v>
      </c>
      <c r="D204" s="880"/>
      <c r="E204" s="884" t="s">
        <v>744</v>
      </c>
      <c r="F204" s="888">
        <v>1</v>
      </c>
      <c r="G204" s="881" t="s">
        <v>1007</v>
      </c>
      <c r="H204" s="881" t="s">
        <v>19</v>
      </c>
      <c r="I204" s="865">
        <v>46142</v>
      </c>
      <c r="J204" s="882" t="s">
        <v>8</v>
      </c>
      <c r="K204" s="880"/>
      <c r="L204" s="880"/>
      <c r="M204" s="883">
        <v>0</v>
      </c>
      <c r="N204" s="883">
        <v>0</v>
      </c>
      <c r="O204" s="883">
        <v>0</v>
      </c>
      <c r="P204" s="883">
        <v>43.48</v>
      </c>
      <c r="Q204" s="883">
        <v>15</v>
      </c>
      <c r="R204" s="883">
        <f t="shared" si="64"/>
        <v>6.52</v>
      </c>
      <c r="S204" s="883">
        <v>0</v>
      </c>
      <c r="T204" s="883">
        <v>5</v>
      </c>
      <c r="U204" s="883">
        <f t="shared" si="65"/>
        <v>0</v>
      </c>
      <c r="V204" s="883">
        <v>0</v>
      </c>
      <c r="W204" s="883">
        <v>8</v>
      </c>
      <c r="X204" s="883">
        <f t="shared" si="66"/>
        <v>0</v>
      </c>
      <c r="Y204" s="883">
        <v>0</v>
      </c>
      <c r="Z204" s="883">
        <v>0</v>
      </c>
      <c r="AA204" s="883">
        <v>0</v>
      </c>
      <c r="AB204" s="883">
        <f t="shared" si="67"/>
        <v>50</v>
      </c>
      <c r="AC204" s="883">
        <v>0</v>
      </c>
      <c r="AD204" s="881"/>
      <c r="AE204" s="880"/>
      <c r="AF204" s="883"/>
      <c r="AG204" s="889"/>
      <c r="AH204" s="880"/>
      <c r="AI204" s="880" t="s">
        <v>1241</v>
      </c>
      <c r="AJ204" s="884">
        <v>411</v>
      </c>
      <c r="AK204" s="883">
        <f t="shared" si="68"/>
        <v>43.48</v>
      </c>
      <c r="AL204" s="884">
        <v>413</v>
      </c>
      <c r="AM204" s="883">
        <f t="shared" si="69"/>
        <v>0</v>
      </c>
      <c r="AN204" s="884">
        <v>441</v>
      </c>
      <c r="AO204" s="883">
        <f t="shared" si="70"/>
        <v>0</v>
      </c>
      <c r="AP204" s="881"/>
      <c r="AQ204" s="881"/>
      <c r="AR204" s="883">
        <v>0</v>
      </c>
      <c r="AS204" s="883">
        <v>0</v>
      </c>
      <c r="AT204" s="883">
        <v>0</v>
      </c>
      <c r="AU204" s="880"/>
      <c r="AV204" s="886"/>
      <c r="AW204" s="880"/>
      <c r="AX204" s="886"/>
      <c r="AY204" s="880"/>
      <c r="AZ204" s="880"/>
      <c r="BA204" s="881"/>
      <c r="BB204" s="881" t="s">
        <v>57</v>
      </c>
      <c r="BC204" s="881"/>
      <c r="BD204" s="881"/>
      <c r="BE204" s="884">
        <f t="shared" si="71"/>
        <v>4</v>
      </c>
      <c r="BF204" s="887" t="str">
        <f t="shared" si="72"/>
        <v>SI</v>
      </c>
      <c r="BG204" s="883">
        <f t="shared" si="73"/>
        <v>43.48</v>
      </c>
      <c r="BH204" s="883">
        <f t="shared" si="74"/>
        <v>0</v>
      </c>
      <c r="BI204" s="883">
        <f t="shared" si="75"/>
        <v>0</v>
      </c>
      <c r="BJ204" s="883">
        <f t="shared" si="76"/>
        <v>0</v>
      </c>
      <c r="BK204" s="883">
        <f t="shared" si="77"/>
        <v>0</v>
      </c>
      <c r="BL204" s="883">
        <f t="shared" si="78"/>
        <v>6.52</v>
      </c>
      <c r="BM204" s="881"/>
      <c r="BN204" s="880"/>
      <c r="BO204" s="882" t="s">
        <v>1579</v>
      </c>
      <c r="BP204" s="882" t="s">
        <v>2286</v>
      </c>
      <c r="BQ204" s="882" t="s">
        <v>2285</v>
      </c>
      <c r="BR204" s="880"/>
      <c r="BS204" s="880"/>
      <c r="BT204" s="880"/>
      <c r="BU204" s="880"/>
      <c r="BV204" s="880"/>
      <c r="BW204" s="883">
        <v>0</v>
      </c>
      <c r="BX204" s="883">
        <v>0</v>
      </c>
      <c r="BY204" s="883">
        <v>0</v>
      </c>
      <c r="BZ204" s="890"/>
      <c r="CA204" s="883">
        <f t="shared" si="79"/>
        <v>0</v>
      </c>
      <c r="CB204" s="880"/>
      <c r="CC204" s="881"/>
      <c r="CD204" s="883"/>
      <c r="CE204" s="883"/>
      <c r="CF204" s="883"/>
      <c r="CG204" s="883"/>
      <c r="CH204" s="883"/>
      <c r="CI204" s="883"/>
      <c r="CJ204" s="883"/>
      <c r="CK204" s="883"/>
      <c r="CL204" s="883"/>
      <c r="CM204" s="883"/>
      <c r="CN204" s="883"/>
      <c r="CO204" s="883"/>
      <c r="CP204" s="883"/>
      <c r="CQ204" s="883"/>
      <c r="CR204" s="883"/>
      <c r="CS204" s="883"/>
      <c r="CT204" s="883"/>
      <c r="CU204" s="883"/>
    </row>
    <row r="205" spans="1:99" x14ac:dyDescent="0.25">
      <c r="A205" s="880" t="s">
        <v>1787</v>
      </c>
      <c r="B205" s="881" t="s">
        <v>1788</v>
      </c>
      <c r="C205" s="880" t="s">
        <v>2837</v>
      </c>
      <c r="D205" s="880"/>
      <c r="E205" s="884" t="s">
        <v>744</v>
      </c>
      <c r="F205" s="888">
        <v>1</v>
      </c>
      <c r="G205" s="881" t="s">
        <v>1007</v>
      </c>
      <c r="H205" s="881" t="s">
        <v>19</v>
      </c>
      <c r="I205" s="865">
        <v>46142</v>
      </c>
      <c r="J205" s="882" t="s">
        <v>8</v>
      </c>
      <c r="K205" s="880"/>
      <c r="L205" s="880"/>
      <c r="M205" s="883">
        <v>0</v>
      </c>
      <c r="N205" s="883">
        <v>0</v>
      </c>
      <c r="O205" s="883">
        <v>0</v>
      </c>
      <c r="P205" s="883">
        <v>13.39</v>
      </c>
      <c r="Q205" s="883">
        <v>15</v>
      </c>
      <c r="R205" s="883">
        <f t="shared" si="64"/>
        <v>2.0099999999999998</v>
      </c>
      <c r="S205" s="883">
        <v>0</v>
      </c>
      <c r="T205" s="883">
        <v>5</v>
      </c>
      <c r="U205" s="883">
        <f t="shared" si="65"/>
        <v>0</v>
      </c>
      <c r="V205" s="883">
        <v>0</v>
      </c>
      <c r="W205" s="883">
        <v>8</v>
      </c>
      <c r="X205" s="883">
        <f t="shared" si="66"/>
        <v>0</v>
      </c>
      <c r="Y205" s="883">
        <v>0</v>
      </c>
      <c r="Z205" s="883">
        <v>0</v>
      </c>
      <c r="AA205" s="883">
        <v>0</v>
      </c>
      <c r="AB205" s="883">
        <f t="shared" si="67"/>
        <v>15.4</v>
      </c>
      <c r="AC205" s="883">
        <v>0</v>
      </c>
      <c r="AD205" s="881"/>
      <c r="AE205" s="880"/>
      <c r="AF205" s="883"/>
      <c r="AG205" s="889"/>
      <c r="AH205" s="880"/>
      <c r="AI205" s="880" t="s">
        <v>1241</v>
      </c>
      <c r="AJ205" s="884">
        <v>411</v>
      </c>
      <c r="AK205" s="883">
        <f t="shared" si="68"/>
        <v>13.39</v>
      </c>
      <c r="AL205" s="884">
        <v>413</v>
      </c>
      <c r="AM205" s="883">
        <f t="shared" si="69"/>
        <v>0</v>
      </c>
      <c r="AN205" s="884">
        <v>441</v>
      </c>
      <c r="AO205" s="883">
        <f t="shared" si="70"/>
        <v>0</v>
      </c>
      <c r="AP205" s="881"/>
      <c r="AQ205" s="881"/>
      <c r="AR205" s="883">
        <v>0</v>
      </c>
      <c r="AS205" s="883">
        <v>0</v>
      </c>
      <c r="AT205" s="883">
        <v>0</v>
      </c>
      <c r="AU205" s="880"/>
      <c r="AV205" s="886"/>
      <c r="AW205" s="880"/>
      <c r="AX205" s="886"/>
      <c r="AY205" s="880"/>
      <c r="AZ205" s="880"/>
      <c r="BA205" s="881"/>
      <c r="BB205" s="881" t="s">
        <v>57</v>
      </c>
      <c r="BC205" s="881"/>
      <c r="BD205" s="881"/>
      <c r="BE205" s="884">
        <f t="shared" si="71"/>
        <v>4</v>
      </c>
      <c r="BF205" s="887" t="str">
        <f t="shared" si="72"/>
        <v>SI</v>
      </c>
      <c r="BG205" s="883">
        <f t="shared" si="73"/>
        <v>13.39</v>
      </c>
      <c r="BH205" s="883">
        <f t="shared" si="74"/>
        <v>0</v>
      </c>
      <c r="BI205" s="883">
        <f t="shared" si="75"/>
        <v>0</v>
      </c>
      <c r="BJ205" s="883">
        <f t="shared" si="76"/>
        <v>0</v>
      </c>
      <c r="BK205" s="883">
        <f t="shared" si="77"/>
        <v>0</v>
      </c>
      <c r="BL205" s="883">
        <f t="shared" si="78"/>
        <v>2.0099999999999998</v>
      </c>
      <c r="BM205" s="881"/>
      <c r="BN205" s="880"/>
      <c r="BO205" s="882" t="s">
        <v>1579</v>
      </c>
      <c r="BP205" s="882" t="s">
        <v>2286</v>
      </c>
      <c r="BQ205" s="882" t="s">
        <v>2285</v>
      </c>
      <c r="BR205" s="880"/>
      <c r="BS205" s="880"/>
      <c r="BT205" s="880"/>
      <c r="BU205" s="880"/>
      <c r="BV205" s="880"/>
      <c r="BW205" s="883">
        <v>0</v>
      </c>
      <c r="BX205" s="883">
        <v>0</v>
      </c>
      <c r="BY205" s="883">
        <v>0</v>
      </c>
      <c r="BZ205" s="890"/>
      <c r="CA205" s="883">
        <f t="shared" si="79"/>
        <v>0</v>
      </c>
      <c r="CB205" s="880"/>
      <c r="CC205" s="881"/>
      <c r="CD205" s="883"/>
      <c r="CE205" s="883"/>
      <c r="CF205" s="883"/>
      <c r="CG205" s="883"/>
      <c r="CH205" s="883"/>
      <c r="CI205" s="883"/>
      <c r="CJ205" s="883"/>
      <c r="CK205" s="883"/>
      <c r="CL205" s="883"/>
      <c r="CM205" s="883"/>
      <c r="CN205" s="883"/>
      <c r="CO205" s="883"/>
      <c r="CP205" s="883"/>
      <c r="CQ205" s="883"/>
      <c r="CR205" s="883"/>
      <c r="CS205" s="883"/>
      <c r="CT205" s="883"/>
      <c r="CU205" s="883"/>
    </row>
    <row r="206" spans="1:99" x14ac:dyDescent="0.25">
      <c r="A206" s="880" t="s">
        <v>1787</v>
      </c>
      <c r="B206" s="881" t="s">
        <v>1788</v>
      </c>
      <c r="C206" s="880" t="s">
        <v>2838</v>
      </c>
      <c r="D206" s="880"/>
      <c r="E206" s="884" t="s">
        <v>744</v>
      </c>
      <c r="F206" s="888">
        <v>1</v>
      </c>
      <c r="G206" s="881" t="s">
        <v>1007</v>
      </c>
      <c r="H206" s="881" t="s">
        <v>19</v>
      </c>
      <c r="I206" s="865">
        <v>46142</v>
      </c>
      <c r="J206" s="882" t="s">
        <v>8</v>
      </c>
      <c r="K206" s="880"/>
      <c r="L206" s="880"/>
      <c r="M206" s="883">
        <v>0</v>
      </c>
      <c r="N206" s="883">
        <v>0</v>
      </c>
      <c r="O206" s="883">
        <v>0</v>
      </c>
      <c r="P206" s="883">
        <v>34.78</v>
      </c>
      <c r="Q206" s="883">
        <v>15</v>
      </c>
      <c r="R206" s="883">
        <f t="shared" si="64"/>
        <v>5.22</v>
      </c>
      <c r="S206" s="883">
        <v>0</v>
      </c>
      <c r="T206" s="883">
        <v>5</v>
      </c>
      <c r="U206" s="883">
        <f t="shared" si="65"/>
        <v>0</v>
      </c>
      <c r="V206" s="883">
        <v>0</v>
      </c>
      <c r="W206" s="883">
        <v>8</v>
      </c>
      <c r="X206" s="883">
        <f t="shared" si="66"/>
        <v>0</v>
      </c>
      <c r="Y206" s="883">
        <v>0</v>
      </c>
      <c r="Z206" s="883">
        <v>0</v>
      </c>
      <c r="AA206" s="883">
        <v>0</v>
      </c>
      <c r="AB206" s="883">
        <f t="shared" si="67"/>
        <v>40</v>
      </c>
      <c r="AC206" s="883">
        <v>0</v>
      </c>
      <c r="AD206" s="881"/>
      <c r="AE206" s="880"/>
      <c r="AF206" s="883"/>
      <c r="AG206" s="889"/>
      <c r="AH206" s="880"/>
      <c r="AI206" s="880" t="s">
        <v>1241</v>
      </c>
      <c r="AJ206" s="884">
        <v>411</v>
      </c>
      <c r="AK206" s="883">
        <f t="shared" si="68"/>
        <v>34.78</v>
      </c>
      <c r="AL206" s="884">
        <v>413</v>
      </c>
      <c r="AM206" s="883">
        <f t="shared" si="69"/>
        <v>0</v>
      </c>
      <c r="AN206" s="884">
        <v>441</v>
      </c>
      <c r="AO206" s="883">
        <f t="shared" si="70"/>
        <v>0</v>
      </c>
      <c r="AP206" s="881"/>
      <c r="AQ206" s="881"/>
      <c r="AR206" s="883">
        <v>0</v>
      </c>
      <c r="AS206" s="883">
        <v>0</v>
      </c>
      <c r="AT206" s="883">
        <v>0</v>
      </c>
      <c r="AU206" s="880"/>
      <c r="AV206" s="886"/>
      <c r="AW206" s="880"/>
      <c r="AX206" s="886"/>
      <c r="AY206" s="880"/>
      <c r="AZ206" s="880"/>
      <c r="BA206" s="881"/>
      <c r="BB206" s="881" t="s">
        <v>57</v>
      </c>
      <c r="BC206" s="881"/>
      <c r="BD206" s="881"/>
      <c r="BE206" s="884">
        <f t="shared" si="71"/>
        <v>4</v>
      </c>
      <c r="BF206" s="887" t="str">
        <f t="shared" si="72"/>
        <v>SI</v>
      </c>
      <c r="BG206" s="883">
        <f t="shared" si="73"/>
        <v>34.78</v>
      </c>
      <c r="BH206" s="883">
        <f t="shared" si="74"/>
        <v>0</v>
      </c>
      <c r="BI206" s="883">
        <f t="shared" si="75"/>
        <v>0</v>
      </c>
      <c r="BJ206" s="883">
        <f t="shared" si="76"/>
        <v>0</v>
      </c>
      <c r="BK206" s="883">
        <f t="shared" si="77"/>
        <v>0</v>
      </c>
      <c r="BL206" s="883">
        <f t="shared" si="78"/>
        <v>5.22</v>
      </c>
      <c r="BM206" s="881"/>
      <c r="BN206" s="880"/>
      <c r="BO206" s="882" t="s">
        <v>1579</v>
      </c>
      <c r="BP206" s="882" t="s">
        <v>2286</v>
      </c>
      <c r="BQ206" s="882" t="s">
        <v>2285</v>
      </c>
      <c r="BR206" s="880"/>
      <c r="BS206" s="880"/>
      <c r="BT206" s="880"/>
      <c r="BU206" s="880"/>
      <c r="BV206" s="880"/>
      <c r="BW206" s="883">
        <v>0</v>
      </c>
      <c r="BX206" s="883">
        <v>0</v>
      </c>
      <c r="BY206" s="883">
        <v>0</v>
      </c>
      <c r="BZ206" s="890"/>
      <c r="CA206" s="883">
        <f t="shared" si="79"/>
        <v>0</v>
      </c>
      <c r="CB206" s="880"/>
      <c r="CC206" s="881"/>
      <c r="CD206" s="883"/>
      <c r="CE206" s="883"/>
      <c r="CF206" s="883"/>
      <c r="CG206" s="883"/>
      <c r="CH206" s="883"/>
      <c r="CI206" s="883"/>
      <c r="CJ206" s="883"/>
      <c r="CK206" s="883"/>
      <c r="CL206" s="883"/>
      <c r="CM206" s="883"/>
      <c r="CN206" s="883"/>
      <c r="CO206" s="883"/>
      <c r="CP206" s="883"/>
      <c r="CQ206" s="883"/>
      <c r="CR206" s="883"/>
      <c r="CS206" s="883"/>
      <c r="CT206" s="883"/>
      <c r="CU206" s="883"/>
    </row>
    <row r="207" spans="1:99" x14ac:dyDescent="0.25">
      <c r="A207" s="880" t="s">
        <v>1787</v>
      </c>
      <c r="B207" s="881" t="s">
        <v>1788</v>
      </c>
      <c r="C207" s="880" t="s">
        <v>2839</v>
      </c>
      <c r="D207" s="880"/>
      <c r="E207" s="884" t="s">
        <v>744</v>
      </c>
      <c r="F207" s="888">
        <v>1</v>
      </c>
      <c r="G207" s="881" t="s">
        <v>1007</v>
      </c>
      <c r="H207" s="881" t="s">
        <v>19</v>
      </c>
      <c r="I207" s="865">
        <v>46142</v>
      </c>
      <c r="J207" s="882" t="s">
        <v>8</v>
      </c>
      <c r="K207" s="880"/>
      <c r="L207" s="880"/>
      <c r="M207" s="883">
        <v>0</v>
      </c>
      <c r="N207" s="883">
        <v>0</v>
      </c>
      <c r="O207" s="883">
        <v>0</v>
      </c>
      <c r="P207" s="883">
        <v>26.08</v>
      </c>
      <c r="Q207" s="883">
        <v>15</v>
      </c>
      <c r="R207" s="883">
        <f t="shared" si="64"/>
        <v>3.91</v>
      </c>
      <c r="S207" s="883">
        <v>0</v>
      </c>
      <c r="T207" s="883">
        <v>5</v>
      </c>
      <c r="U207" s="883">
        <f t="shared" si="65"/>
        <v>0</v>
      </c>
      <c r="V207" s="883">
        <v>0</v>
      </c>
      <c r="W207" s="883">
        <v>8</v>
      </c>
      <c r="X207" s="883">
        <f t="shared" si="66"/>
        <v>0</v>
      </c>
      <c r="Y207" s="883">
        <v>0</v>
      </c>
      <c r="Z207" s="883">
        <v>0</v>
      </c>
      <c r="AA207" s="883">
        <v>0</v>
      </c>
      <c r="AB207" s="883">
        <f t="shared" si="67"/>
        <v>29.99</v>
      </c>
      <c r="AC207" s="883">
        <v>0</v>
      </c>
      <c r="AD207" s="881"/>
      <c r="AE207" s="880"/>
      <c r="AF207" s="883"/>
      <c r="AG207" s="889"/>
      <c r="AH207" s="880"/>
      <c r="AI207" s="880" t="s">
        <v>1241</v>
      </c>
      <c r="AJ207" s="884">
        <v>411</v>
      </c>
      <c r="AK207" s="883">
        <f t="shared" si="68"/>
        <v>26.08</v>
      </c>
      <c r="AL207" s="884">
        <v>413</v>
      </c>
      <c r="AM207" s="883">
        <f t="shared" si="69"/>
        <v>0</v>
      </c>
      <c r="AN207" s="884">
        <v>441</v>
      </c>
      <c r="AO207" s="883">
        <f t="shared" si="70"/>
        <v>0</v>
      </c>
      <c r="AP207" s="881"/>
      <c r="AQ207" s="881"/>
      <c r="AR207" s="883">
        <v>0</v>
      </c>
      <c r="AS207" s="883">
        <v>0</v>
      </c>
      <c r="AT207" s="883">
        <v>0</v>
      </c>
      <c r="AU207" s="880"/>
      <c r="AV207" s="886"/>
      <c r="AW207" s="880"/>
      <c r="AX207" s="886"/>
      <c r="AY207" s="880"/>
      <c r="AZ207" s="880"/>
      <c r="BA207" s="881"/>
      <c r="BB207" s="881" t="s">
        <v>57</v>
      </c>
      <c r="BC207" s="881"/>
      <c r="BD207" s="881"/>
      <c r="BE207" s="884">
        <f t="shared" si="71"/>
        <v>4</v>
      </c>
      <c r="BF207" s="887" t="str">
        <f t="shared" si="72"/>
        <v>SI</v>
      </c>
      <c r="BG207" s="883">
        <f t="shared" si="73"/>
        <v>26.08</v>
      </c>
      <c r="BH207" s="883">
        <f t="shared" si="74"/>
        <v>0</v>
      </c>
      <c r="BI207" s="883">
        <f t="shared" si="75"/>
        <v>0</v>
      </c>
      <c r="BJ207" s="883">
        <f t="shared" si="76"/>
        <v>0</v>
      </c>
      <c r="BK207" s="883">
        <f t="shared" si="77"/>
        <v>0</v>
      </c>
      <c r="BL207" s="883">
        <f t="shared" si="78"/>
        <v>3.91</v>
      </c>
      <c r="BM207" s="881"/>
      <c r="BN207" s="880"/>
      <c r="BO207" s="882" t="s">
        <v>1579</v>
      </c>
      <c r="BP207" s="882" t="s">
        <v>2286</v>
      </c>
      <c r="BQ207" s="882" t="s">
        <v>2285</v>
      </c>
      <c r="BR207" s="880"/>
      <c r="BS207" s="880"/>
      <c r="BT207" s="880"/>
      <c r="BU207" s="880"/>
      <c r="BV207" s="880"/>
      <c r="BW207" s="883">
        <v>0</v>
      </c>
      <c r="BX207" s="883">
        <v>0</v>
      </c>
      <c r="BY207" s="883">
        <v>0</v>
      </c>
      <c r="BZ207" s="890"/>
      <c r="CA207" s="883">
        <f t="shared" si="79"/>
        <v>0</v>
      </c>
      <c r="CB207" s="880"/>
      <c r="CC207" s="881"/>
      <c r="CD207" s="883"/>
      <c r="CE207" s="883"/>
      <c r="CF207" s="883"/>
      <c r="CG207" s="883"/>
      <c r="CH207" s="883"/>
      <c r="CI207" s="883"/>
      <c r="CJ207" s="883"/>
      <c r="CK207" s="883"/>
      <c r="CL207" s="883"/>
      <c r="CM207" s="883"/>
      <c r="CN207" s="883"/>
      <c r="CO207" s="883"/>
      <c r="CP207" s="883"/>
      <c r="CQ207" s="883"/>
      <c r="CR207" s="883"/>
      <c r="CS207" s="883"/>
      <c r="CT207" s="883"/>
      <c r="CU207" s="883"/>
    </row>
    <row r="208" spans="1:99" x14ac:dyDescent="0.25">
      <c r="A208" s="880" t="s">
        <v>1787</v>
      </c>
      <c r="B208" s="881" t="s">
        <v>1788</v>
      </c>
      <c r="C208" s="880" t="s">
        <v>2840</v>
      </c>
      <c r="D208" s="880"/>
      <c r="E208" s="884" t="s">
        <v>744</v>
      </c>
      <c r="F208" s="888">
        <v>1</v>
      </c>
      <c r="G208" s="881" t="s">
        <v>1007</v>
      </c>
      <c r="H208" s="881" t="s">
        <v>19</v>
      </c>
      <c r="I208" s="865">
        <v>46142</v>
      </c>
      <c r="J208" s="882" t="s">
        <v>8</v>
      </c>
      <c r="K208" s="880"/>
      <c r="L208" s="880"/>
      <c r="M208" s="883">
        <v>0</v>
      </c>
      <c r="N208" s="883">
        <v>0</v>
      </c>
      <c r="O208" s="883">
        <v>0</v>
      </c>
      <c r="P208" s="883">
        <v>26.08</v>
      </c>
      <c r="Q208" s="883">
        <v>15</v>
      </c>
      <c r="R208" s="883">
        <f t="shared" si="64"/>
        <v>3.91</v>
      </c>
      <c r="S208" s="883">
        <v>0</v>
      </c>
      <c r="T208" s="883">
        <v>5</v>
      </c>
      <c r="U208" s="883">
        <f t="shared" si="65"/>
        <v>0</v>
      </c>
      <c r="V208" s="883">
        <v>0</v>
      </c>
      <c r="W208" s="883">
        <v>8</v>
      </c>
      <c r="X208" s="883">
        <f t="shared" si="66"/>
        <v>0</v>
      </c>
      <c r="Y208" s="883">
        <v>0</v>
      </c>
      <c r="Z208" s="883">
        <v>0</v>
      </c>
      <c r="AA208" s="883">
        <v>0</v>
      </c>
      <c r="AB208" s="883">
        <f t="shared" si="67"/>
        <v>29.99</v>
      </c>
      <c r="AC208" s="883">
        <v>0</v>
      </c>
      <c r="AD208" s="881"/>
      <c r="AE208" s="880"/>
      <c r="AF208" s="883"/>
      <c r="AG208" s="889"/>
      <c r="AH208" s="880"/>
      <c r="AI208" s="880" t="s">
        <v>1241</v>
      </c>
      <c r="AJ208" s="884">
        <v>411</v>
      </c>
      <c r="AK208" s="883">
        <f t="shared" si="68"/>
        <v>26.08</v>
      </c>
      <c r="AL208" s="884">
        <v>413</v>
      </c>
      <c r="AM208" s="883">
        <f t="shared" si="69"/>
        <v>0</v>
      </c>
      <c r="AN208" s="884">
        <v>441</v>
      </c>
      <c r="AO208" s="883">
        <f t="shared" si="70"/>
        <v>0</v>
      </c>
      <c r="AP208" s="881"/>
      <c r="AQ208" s="881"/>
      <c r="AR208" s="883">
        <v>0</v>
      </c>
      <c r="AS208" s="883">
        <v>0</v>
      </c>
      <c r="AT208" s="883">
        <v>0</v>
      </c>
      <c r="AU208" s="880"/>
      <c r="AV208" s="886"/>
      <c r="AW208" s="880"/>
      <c r="AX208" s="886"/>
      <c r="AY208" s="880"/>
      <c r="AZ208" s="880"/>
      <c r="BA208" s="881"/>
      <c r="BB208" s="881" t="s">
        <v>57</v>
      </c>
      <c r="BC208" s="881"/>
      <c r="BD208" s="881"/>
      <c r="BE208" s="884">
        <f t="shared" si="71"/>
        <v>4</v>
      </c>
      <c r="BF208" s="887" t="str">
        <f t="shared" si="72"/>
        <v>SI</v>
      </c>
      <c r="BG208" s="883">
        <f t="shared" si="73"/>
        <v>26.08</v>
      </c>
      <c r="BH208" s="883">
        <f t="shared" si="74"/>
        <v>0</v>
      </c>
      <c r="BI208" s="883">
        <f t="shared" si="75"/>
        <v>0</v>
      </c>
      <c r="BJ208" s="883">
        <f t="shared" si="76"/>
        <v>0</v>
      </c>
      <c r="BK208" s="883">
        <f t="shared" si="77"/>
        <v>0</v>
      </c>
      <c r="BL208" s="883">
        <f t="shared" si="78"/>
        <v>3.91</v>
      </c>
      <c r="BM208" s="881"/>
      <c r="BN208" s="880"/>
      <c r="BO208" s="882" t="s">
        <v>1579</v>
      </c>
      <c r="BP208" s="882" t="s">
        <v>2286</v>
      </c>
      <c r="BQ208" s="882" t="s">
        <v>2285</v>
      </c>
      <c r="BR208" s="880"/>
      <c r="BS208" s="880"/>
      <c r="BT208" s="880"/>
      <c r="BU208" s="880"/>
      <c r="BV208" s="880"/>
      <c r="BW208" s="883">
        <v>0</v>
      </c>
      <c r="BX208" s="883">
        <v>0</v>
      </c>
      <c r="BY208" s="883">
        <v>0</v>
      </c>
      <c r="BZ208" s="890"/>
      <c r="CA208" s="883">
        <f t="shared" si="79"/>
        <v>0</v>
      </c>
      <c r="CB208" s="880"/>
      <c r="CC208" s="881"/>
      <c r="CD208" s="883"/>
      <c r="CE208" s="883"/>
      <c r="CF208" s="883"/>
      <c r="CG208" s="883"/>
      <c r="CH208" s="883"/>
      <c r="CI208" s="883"/>
      <c r="CJ208" s="883"/>
      <c r="CK208" s="883"/>
      <c r="CL208" s="883"/>
      <c r="CM208" s="883"/>
      <c r="CN208" s="883"/>
      <c r="CO208" s="883"/>
      <c r="CP208" s="883"/>
      <c r="CQ208" s="883"/>
      <c r="CR208" s="883"/>
      <c r="CS208" s="883"/>
      <c r="CT208" s="883"/>
      <c r="CU208" s="883"/>
    </row>
    <row r="209" spans="1:99" x14ac:dyDescent="0.25">
      <c r="A209" s="880" t="s">
        <v>1787</v>
      </c>
      <c r="B209" s="881" t="s">
        <v>1788</v>
      </c>
      <c r="C209" s="880" t="s">
        <v>2841</v>
      </c>
      <c r="D209" s="880"/>
      <c r="E209" s="884" t="s">
        <v>744</v>
      </c>
      <c r="F209" s="888">
        <v>1</v>
      </c>
      <c r="G209" s="881" t="s">
        <v>1007</v>
      </c>
      <c r="H209" s="881" t="s">
        <v>19</v>
      </c>
      <c r="I209" s="865">
        <v>46142</v>
      </c>
      <c r="J209" s="882" t="s">
        <v>8</v>
      </c>
      <c r="K209" s="880"/>
      <c r="L209" s="880"/>
      <c r="M209" s="883">
        <v>0</v>
      </c>
      <c r="N209" s="883">
        <v>0</v>
      </c>
      <c r="O209" s="883">
        <v>0</v>
      </c>
      <c r="P209" s="883">
        <v>17.39</v>
      </c>
      <c r="Q209" s="883">
        <v>15</v>
      </c>
      <c r="R209" s="883">
        <f t="shared" si="64"/>
        <v>2.61</v>
      </c>
      <c r="S209" s="883">
        <v>0</v>
      </c>
      <c r="T209" s="883">
        <v>5</v>
      </c>
      <c r="U209" s="883">
        <f t="shared" si="65"/>
        <v>0</v>
      </c>
      <c r="V209" s="883">
        <v>0</v>
      </c>
      <c r="W209" s="883">
        <v>8</v>
      </c>
      <c r="X209" s="883">
        <f t="shared" si="66"/>
        <v>0</v>
      </c>
      <c r="Y209" s="883">
        <v>0</v>
      </c>
      <c r="Z209" s="883">
        <v>0</v>
      </c>
      <c r="AA209" s="883">
        <v>0</v>
      </c>
      <c r="AB209" s="883">
        <f t="shared" si="67"/>
        <v>20</v>
      </c>
      <c r="AC209" s="883">
        <v>0</v>
      </c>
      <c r="AD209" s="881"/>
      <c r="AE209" s="880"/>
      <c r="AF209" s="883"/>
      <c r="AG209" s="889"/>
      <c r="AH209" s="880"/>
      <c r="AI209" s="880" t="s">
        <v>1241</v>
      </c>
      <c r="AJ209" s="884">
        <v>411</v>
      </c>
      <c r="AK209" s="883">
        <f t="shared" si="68"/>
        <v>17.39</v>
      </c>
      <c r="AL209" s="884">
        <v>413</v>
      </c>
      <c r="AM209" s="883">
        <f t="shared" si="69"/>
        <v>0</v>
      </c>
      <c r="AN209" s="884">
        <v>441</v>
      </c>
      <c r="AO209" s="883">
        <f t="shared" si="70"/>
        <v>0</v>
      </c>
      <c r="AP209" s="881"/>
      <c r="AQ209" s="881"/>
      <c r="AR209" s="883">
        <v>0</v>
      </c>
      <c r="AS209" s="883">
        <v>0</v>
      </c>
      <c r="AT209" s="883">
        <v>0</v>
      </c>
      <c r="AU209" s="880"/>
      <c r="AV209" s="886"/>
      <c r="AW209" s="880"/>
      <c r="AX209" s="886"/>
      <c r="AY209" s="880"/>
      <c r="AZ209" s="880"/>
      <c r="BA209" s="881"/>
      <c r="BB209" s="881" t="s">
        <v>57</v>
      </c>
      <c r="BC209" s="881"/>
      <c r="BD209" s="881"/>
      <c r="BE209" s="884">
        <f t="shared" si="71"/>
        <v>4</v>
      </c>
      <c r="BF209" s="887" t="str">
        <f t="shared" si="72"/>
        <v>SI</v>
      </c>
      <c r="BG209" s="883">
        <f t="shared" si="73"/>
        <v>17.39</v>
      </c>
      <c r="BH209" s="883">
        <f t="shared" si="74"/>
        <v>0</v>
      </c>
      <c r="BI209" s="883">
        <f t="shared" si="75"/>
        <v>0</v>
      </c>
      <c r="BJ209" s="883">
        <f t="shared" si="76"/>
        <v>0</v>
      </c>
      <c r="BK209" s="883">
        <f t="shared" si="77"/>
        <v>0</v>
      </c>
      <c r="BL209" s="883">
        <f t="shared" si="78"/>
        <v>2.61</v>
      </c>
      <c r="BM209" s="881"/>
      <c r="BN209" s="880"/>
      <c r="BO209" s="882" t="s">
        <v>1579</v>
      </c>
      <c r="BP209" s="882" t="s">
        <v>2286</v>
      </c>
      <c r="BQ209" s="882" t="s">
        <v>2285</v>
      </c>
      <c r="BR209" s="880"/>
      <c r="BS209" s="880"/>
      <c r="BT209" s="880"/>
      <c r="BU209" s="880"/>
      <c r="BV209" s="880"/>
      <c r="BW209" s="883">
        <v>0</v>
      </c>
      <c r="BX209" s="883">
        <v>0</v>
      </c>
      <c r="BY209" s="883">
        <v>0</v>
      </c>
      <c r="BZ209" s="890"/>
      <c r="CA209" s="883">
        <f t="shared" si="79"/>
        <v>0</v>
      </c>
      <c r="CB209" s="880"/>
      <c r="CC209" s="881"/>
      <c r="CD209" s="883"/>
      <c r="CE209" s="883"/>
      <c r="CF209" s="883"/>
      <c r="CG209" s="883"/>
      <c r="CH209" s="883"/>
      <c r="CI209" s="883"/>
      <c r="CJ209" s="883"/>
      <c r="CK209" s="883"/>
      <c r="CL209" s="883"/>
      <c r="CM209" s="883"/>
      <c r="CN209" s="883"/>
      <c r="CO209" s="883"/>
      <c r="CP209" s="883"/>
      <c r="CQ209" s="883"/>
      <c r="CR209" s="883"/>
      <c r="CS209" s="883"/>
      <c r="CT209" s="883"/>
      <c r="CU209" s="883"/>
    </row>
    <row r="210" spans="1:99" x14ac:dyDescent="0.25">
      <c r="A210" s="880" t="s">
        <v>1787</v>
      </c>
      <c r="B210" s="881" t="s">
        <v>1788</v>
      </c>
      <c r="C210" s="880" t="s">
        <v>2842</v>
      </c>
      <c r="D210" s="880"/>
      <c r="E210" s="884" t="s">
        <v>744</v>
      </c>
      <c r="F210" s="888">
        <v>1</v>
      </c>
      <c r="G210" s="881" t="s">
        <v>1007</v>
      </c>
      <c r="H210" s="881" t="s">
        <v>19</v>
      </c>
      <c r="I210" s="865">
        <v>46142</v>
      </c>
      <c r="J210" s="882" t="s">
        <v>8</v>
      </c>
      <c r="K210" s="880"/>
      <c r="L210" s="880"/>
      <c r="M210" s="883">
        <v>0</v>
      </c>
      <c r="N210" s="883">
        <v>0</v>
      </c>
      <c r="O210" s="883">
        <v>0</v>
      </c>
      <c r="P210" s="883">
        <v>22.32</v>
      </c>
      <c r="Q210" s="883">
        <v>15</v>
      </c>
      <c r="R210" s="883">
        <f t="shared" si="64"/>
        <v>3.35</v>
      </c>
      <c r="S210" s="883">
        <v>0</v>
      </c>
      <c r="T210" s="883">
        <v>5</v>
      </c>
      <c r="U210" s="883">
        <f t="shared" si="65"/>
        <v>0</v>
      </c>
      <c r="V210" s="883">
        <v>0</v>
      </c>
      <c r="W210" s="883">
        <v>8</v>
      </c>
      <c r="X210" s="883">
        <f t="shared" si="66"/>
        <v>0</v>
      </c>
      <c r="Y210" s="883">
        <v>0</v>
      </c>
      <c r="Z210" s="883">
        <v>0</v>
      </c>
      <c r="AA210" s="883">
        <v>0</v>
      </c>
      <c r="AB210" s="883">
        <f t="shared" si="67"/>
        <v>25.67</v>
      </c>
      <c r="AC210" s="883">
        <v>0</v>
      </c>
      <c r="AD210" s="881"/>
      <c r="AE210" s="880"/>
      <c r="AF210" s="883"/>
      <c r="AG210" s="889"/>
      <c r="AH210" s="880"/>
      <c r="AI210" s="880" t="s">
        <v>1241</v>
      </c>
      <c r="AJ210" s="884">
        <v>411</v>
      </c>
      <c r="AK210" s="883">
        <f t="shared" si="68"/>
        <v>22.32</v>
      </c>
      <c r="AL210" s="884">
        <v>413</v>
      </c>
      <c r="AM210" s="883">
        <f t="shared" si="69"/>
        <v>0</v>
      </c>
      <c r="AN210" s="884">
        <v>441</v>
      </c>
      <c r="AO210" s="883">
        <f t="shared" si="70"/>
        <v>0</v>
      </c>
      <c r="AP210" s="881"/>
      <c r="AQ210" s="881"/>
      <c r="AR210" s="883">
        <v>0</v>
      </c>
      <c r="AS210" s="883">
        <v>0</v>
      </c>
      <c r="AT210" s="883">
        <v>0</v>
      </c>
      <c r="AU210" s="880"/>
      <c r="AV210" s="886"/>
      <c r="AW210" s="880"/>
      <c r="AX210" s="886"/>
      <c r="AY210" s="880"/>
      <c r="AZ210" s="880"/>
      <c r="BA210" s="881"/>
      <c r="BB210" s="881" t="s">
        <v>57</v>
      </c>
      <c r="BC210" s="881"/>
      <c r="BD210" s="881"/>
      <c r="BE210" s="884">
        <f t="shared" si="71"/>
        <v>4</v>
      </c>
      <c r="BF210" s="887" t="str">
        <f t="shared" si="72"/>
        <v>SI</v>
      </c>
      <c r="BG210" s="883">
        <f t="shared" si="73"/>
        <v>22.32</v>
      </c>
      <c r="BH210" s="883">
        <f t="shared" si="74"/>
        <v>0</v>
      </c>
      <c r="BI210" s="883">
        <f t="shared" si="75"/>
        <v>0</v>
      </c>
      <c r="BJ210" s="883">
        <f t="shared" si="76"/>
        <v>0</v>
      </c>
      <c r="BK210" s="883">
        <f t="shared" si="77"/>
        <v>0</v>
      </c>
      <c r="BL210" s="883">
        <f t="shared" si="78"/>
        <v>3.35</v>
      </c>
      <c r="BM210" s="881"/>
      <c r="BN210" s="880"/>
      <c r="BO210" s="882" t="s">
        <v>1579</v>
      </c>
      <c r="BP210" s="882" t="s">
        <v>2286</v>
      </c>
      <c r="BQ210" s="882" t="s">
        <v>2285</v>
      </c>
      <c r="BR210" s="880"/>
      <c r="BS210" s="880"/>
      <c r="BT210" s="880"/>
      <c r="BU210" s="880"/>
      <c r="BV210" s="880"/>
      <c r="BW210" s="883">
        <v>0</v>
      </c>
      <c r="BX210" s="883">
        <v>0</v>
      </c>
      <c r="BY210" s="883">
        <v>0</v>
      </c>
      <c r="BZ210" s="890"/>
      <c r="CA210" s="883">
        <f t="shared" si="79"/>
        <v>0</v>
      </c>
      <c r="CB210" s="880"/>
      <c r="CC210" s="881"/>
      <c r="CD210" s="883"/>
      <c r="CE210" s="883"/>
      <c r="CF210" s="883"/>
      <c r="CG210" s="883"/>
      <c r="CH210" s="883"/>
      <c r="CI210" s="883"/>
      <c r="CJ210" s="883"/>
      <c r="CK210" s="883"/>
      <c r="CL210" s="883"/>
      <c r="CM210" s="883"/>
      <c r="CN210" s="883"/>
      <c r="CO210" s="883"/>
      <c r="CP210" s="883"/>
      <c r="CQ210" s="883"/>
      <c r="CR210" s="883"/>
      <c r="CS210" s="883"/>
      <c r="CT210" s="883"/>
      <c r="CU210" s="883"/>
    </row>
    <row r="211" spans="1:99" x14ac:dyDescent="0.25">
      <c r="A211" s="880" t="s">
        <v>1787</v>
      </c>
      <c r="B211" s="881" t="s">
        <v>1788</v>
      </c>
      <c r="C211" s="880" t="s">
        <v>2843</v>
      </c>
      <c r="D211" s="880"/>
      <c r="E211" s="884" t="s">
        <v>744</v>
      </c>
      <c r="F211" s="888">
        <v>1</v>
      </c>
      <c r="G211" s="881" t="s">
        <v>1007</v>
      </c>
      <c r="H211" s="881" t="s">
        <v>19</v>
      </c>
      <c r="I211" s="865">
        <v>46142</v>
      </c>
      <c r="J211" s="882" t="s">
        <v>8</v>
      </c>
      <c r="K211" s="880"/>
      <c r="L211" s="880"/>
      <c r="M211" s="883">
        <v>0</v>
      </c>
      <c r="N211" s="883">
        <v>0</v>
      </c>
      <c r="O211" s="883">
        <v>0</v>
      </c>
      <c r="P211" s="883">
        <v>21.74</v>
      </c>
      <c r="Q211" s="883">
        <v>15</v>
      </c>
      <c r="R211" s="883">
        <f t="shared" si="64"/>
        <v>3.26</v>
      </c>
      <c r="S211" s="883">
        <v>0</v>
      </c>
      <c r="T211" s="883">
        <v>5</v>
      </c>
      <c r="U211" s="883">
        <f t="shared" si="65"/>
        <v>0</v>
      </c>
      <c r="V211" s="883">
        <v>0</v>
      </c>
      <c r="W211" s="883">
        <v>8</v>
      </c>
      <c r="X211" s="883">
        <f t="shared" si="66"/>
        <v>0</v>
      </c>
      <c r="Y211" s="883">
        <v>0</v>
      </c>
      <c r="Z211" s="883">
        <v>0</v>
      </c>
      <c r="AA211" s="883">
        <v>0</v>
      </c>
      <c r="AB211" s="883">
        <f t="shared" si="67"/>
        <v>25</v>
      </c>
      <c r="AC211" s="883">
        <v>0</v>
      </c>
      <c r="AD211" s="881"/>
      <c r="AE211" s="880"/>
      <c r="AF211" s="883"/>
      <c r="AG211" s="889"/>
      <c r="AH211" s="880"/>
      <c r="AI211" s="880" t="s">
        <v>1241</v>
      </c>
      <c r="AJ211" s="884">
        <v>411</v>
      </c>
      <c r="AK211" s="883">
        <f t="shared" si="68"/>
        <v>21.74</v>
      </c>
      <c r="AL211" s="884">
        <v>413</v>
      </c>
      <c r="AM211" s="883">
        <f t="shared" si="69"/>
        <v>0</v>
      </c>
      <c r="AN211" s="884">
        <v>441</v>
      </c>
      <c r="AO211" s="883">
        <f t="shared" si="70"/>
        <v>0</v>
      </c>
      <c r="AP211" s="881"/>
      <c r="AQ211" s="881"/>
      <c r="AR211" s="883">
        <v>0</v>
      </c>
      <c r="AS211" s="883">
        <v>0</v>
      </c>
      <c r="AT211" s="883">
        <v>0</v>
      </c>
      <c r="AU211" s="880"/>
      <c r="AV211" s="886"/>
      <c r="AW211" s="880"/>
      <c r="AX211" s="886"/>
      <c r="AY211" s="880"/>
      <c r="AZ211" s="880"/>
      <c r="BA211" s="881"/>
      <c r="BB211" s="881" t="s">
        <v>57</v>
      </c>
      <c r="BC211" s="881"/>
      <c r="BD211" s="881"/>
      <c r="BE211" s="884">
        <f t="shared" si="71"/>
        <v>4</v>
      </c>
      <c r="BF211" s="887" t="str">
        <f t="shared" si="72"/>
        <v>SI</v>
      </c>
      <c r="BG211" s="883">
        <f t="shared" si="73"/>
        <v>21.74</v>
      </c>
      <c r="BH211" s="883">
        <f t="shared" si="74"/>
        <v>0</v>
      </c>
      <c r="BI211" s="883">
        <f t="shared" si="75"/>
        <v>0</v>
      </c>
      <c r="BJ211" s="883">
        <f t="shared" si="76"/>
        <v>0</v>
      </c>
      <c r="BK211" s="883">
        <f t="shared" si="77"/>
        <v>0</v>
      </c>
      <c r="BL211" s="883">
        <f t="shared" si="78"/>
        <v>3.26</v>
      </c>
      <c r="BM211" s="881"/>
      <c r="BN211" s="880"/>
      <c r="BO211" s="882" t="s">
        <v>1579</v>
      </c>
      <c r="BP211" s="882" t="s">
        <v>2286</v>
      </c>
      <c r="BQ211" s="882" t="s">
        <v>2285</v>
      </c>
      <c r="BR211" s="880"/>
      <c r="BS211" s="880"/>
      <c r="BT211" s="880"/>
      <c r="BU211" s="880"/>
      <c r="BV211" s="880"/>
      <c r="BW211" s="883">
        <v>0</v>
      </c>
      <c r="BX211" s="883">
        <v>0</v>
      </c>
      <c r="BY211" s="883">
        <v>0</v>
      </c>
      <c r="BZ211" s="890"/>
      <c r="CA211" s="883">
        <f t="shared" si="79"/>
        <v>0</v>
      </c>
      <c r="CB211" s="880"/>
      <c r="CC211" s="881"/>
      <c r="CD211" s="883"/>
      <c r="CE211" s="883"/>
      <c r="CF211" s="883"/>
      <c r="CG211" s="883"/>
      <c r="CH211" s="883"/>
      <c r="CI211" s="883"/>
      <c r="CJ211" s="883"/>
      <c r="CK211" s="883"/>
      <c r="CL211" s="883"/>
      <c r="CM211" s="883"/>
      <c r="CN211" s="883"/>
      <c r="CO211" s="883"/>
      <c r="CP211" s="883"/>
      <c r="CQ211" s="883"/>
      <c r="CR211" s="883"/>
      <c r="CS211" s="883"/>
      <c r="CT211" s="883"/>
      <c r="CU211" s="883"/>
    </row>
    <row r="212" spans="1:99" x14ac:dyDescent="0.25">
      <c r="A212" s="880" t="s">
        <v>1787</v>
      </c>
      <c r="B212" s="881" t="s">
        <v>1788</v>
      </c>
      <c r="C212" s="880"/>
      <c r="D212" s="880"/>
      <c r="E212" s="884" t="s">
        <v>744</v>
      </c>
      <c r="F212" s="888">
        <v>1</v>
      </c>
      <c r="G212" s="881" t="s">
        <v>1007</v>
      </c>
      <c r="H212" s="881" t="s">
        <v>19</v>
      </c>
      <c r="I212" s="865">
        <v>46142</v>
      </c>
      <c r="J212" s="882" t="s">
        <v>8</v>
      </c>
      <c r="K212" s="880"/>
      <c r="L212" s="880"/>
      <c r="M212" s="883">
        <v>0</v>
      </c>
      <c r="N212" s="883">
        <v>0</v>
      </c>
      <c r="O212" s="883">
        <v>0</v>
      </c>
      <c r="P212" s="883">
        <v>13.39</v>
      </c>
      <c r="Q212" s="883">
        <v>15</v>
      </c>
      <c r="R212" s="883">
        <f t="shared" si="64"/>
        <v>2.0099999999999998</v>
      </c>
      <c r="S212" s="883">
        <v>0</v>
      </c>
      <c r="T212" s="883">
        <v>5</v>
      </c>
      <c r="U212" s="883">
        <f t="shared" si="65"/>
        <v>0</v>
      </c>
      <c r="V212" s="883">
        <v>0</v>
      </c>
      <c r="W212" s="883">
        <v>8</v>
      </c>
      <c r="X212" s="883">
        <f t="shared" si="66"/>
        <v>0</v>
      </c>
      <c r="Y212" s="883">
        <v>0</v>
      </c>
      <c r="Z212" s="883">
        <v>0</v>
      </c>
      <c r="AA212" s="883">
        <v>0</v>
      </c>
      <c r="AB212" s="883">
        <f t="shared" si="67"/>
        <v>15.4</v>
      </c>
      <c r="AC212" s="883">
        <v>0</v>
      </c>
      <c r="AD212" s="881"/>
      <c r="AE212" s="880"/>
      <c r="AF212" s="883"/>
      <c r="AG212" s="889"/>
      <c r="AH212" s="880"/>
      <c r="AI212" s="880" t="s">
        <v>1241</v>
      </c>
      <c r="AJ212" s="884">
        <v>411</v>
      </c>
      <c r="AK212" s="883">
        <f t="shared" si="68"/>
        <v>13.39</v>
      </c>
      <c r="AL212" s="884">
        <v>413</v>
      </c>
      <c r="AM212" s="883">
        <f t="shared" si="69"/>
        <v>0</v>
      </c>
      <c r="AN212" s="884">
        <v>441</v>
      </c>
      <c r="AO212" s="883">
        <f t="shared" si="70"/>
        <v>0</v>
      </c>
      <c r="AP212" s="881"/>
      <c r="AQ212" s="881"/>
      <c r="AR212" s="883">
        <v>0</v>
      </c>
      <c r="AS212" s="883">
        <v>0</v>
      </c>
      <c r="AT212" s="883">
        <v>0</v>
      </c>
      <c r="AU212" s="880"/>
      <c r="AV212" s="886"/>
      <c r="AW212" s="880"/>
      <c r="AX212" s="886"/>
      <c r="AY212" s="880"/>
      <c r="AZ212" s="880"/>
      <c r="BA212" s="881"/>
      <c r="BB212" s="881" t="s">
        <v>57</v>
      </c>
      <c r="BC212" s="881"/>
      <c r="BD212" s="881"/>
      <c r="BE212" s="884">
        <f t="shared" si="71"/>
        <v>4</v>
      </c>
      <c r="BF212" s="887" t="str">
        <f t="shared" si="72"/>
        <v>SI</v>
      </c>
      <c r="BG212" s="883">
        <f t="shared" si="73"/>
        <v>13.39</v>
      </c>
      <c r="BH212" s="883">
        <f t="shared" si="74"/>
        <v>0</v>
      </c>
      <c r="BI212" s="883">
        <f t="shared" si="75"/>
        <v>0</v>
      </c>
      <c r="BJ212" s="883">
        <f t="shared" si="76"/>
        <v>0</v>
      </c>
      <c r="BK212" s="883">
        <f t="shared" si="77"/>
        <v>0</v>
      </c>
      <c r="BL212" s="883">
        <f t="shared" si="78"/>
        <v>2.0099999999999998</v>
      </c>
      <c r="BM212" s="881"/>
      <c r="BN212" s="880"/>
      <c r="BO212" s="882" t="s">
        <v>1579</v>
      </c>
      <c r="BP212" s="882" t="s">
        <v>2286</v>
      </c>
      <c r="BQ212" s="882" t="s">
        <v>2285</v>
      </c>
      <c r="BR212" s="880"/>
      <c r="BS212" s="880"/>
      <c r="BT212" s="880"/>
      <c r="BU212" s="880"/>
      <c r="BV212" s="880"/>
      <c r="BW212" s="883">
        <v>0</v>
      </c>
      <c r="BX212" s="883">
        <v>0</v>
      </c>
      <c r="BY212" s="883">
        <v>0</v>
      </c>
      <c r="BZ212" s="890"/>
      <c r="CA212" s="883">
        <f t="shared" si="79"/>
        <v>0</v>
      </c>
      <c r="CB212" s="880"/>
      <c r="CC212" s="881"/>
      <c r="CD212" s="883"/>
      <c r="CE212" s="883"/>
      <c r="CF212" s="883"/>
      <c r="CG212" s="883"/>
      <c r="CH212" s="883"/>
      <c r="CI212" s="883"/>
      <c r="CJ212" s="883"/>
      <c r="CK212" s="883"/>
      <c r="CL212" s="883"/>
      <c r="CM212" s="883"/>
      <c r="CN212" s="883"/>
      <c r="CO212" s="883"/>
      <c r="CP212" s="883"/>
      <c r="CQ212" s="883"/>
      <c r="CR212" s="883"/>
      <c r="CS212" s="883"/>
      <c r="CT212" s="883"/>
      <c r="CU212" s="883"/>
    </row>
    <row r="213" spans="1:99" x14ac:dyDescent="0.25">
      <c r="A213" s="880" t="s">
        <v>1787</v>
      </c>
      <c r="B213" s="881" t="s">
        <v>1788</v>
      </c>
      <c r="C213" s="880"/>
      <c r="D213" s="880"/>
      <c r="E213" s="884" t="s">
        <v>744</v>
      </c>
      <c r="F213" s="888">
        <v>1</v>
      </c>
      <c r="G213" s="881" t="s">
        <v>1007</v>
      </c>
      <c r="H213" s="881" t="s">
        <v>19</v>
      </c>
      <c r="I213" s="865">
        <v>46142</v>
      </c>
      <c r="J213" s="882" t="s">
        <v>8</v>
      </c>
      <c r="K213" s="880"/>
      <c r="L213" s="880"/>
      <c r="M213" s="883">
        <v>0</v>
      </c>
      <c r="N213" s="883">
        <v>0</v>
      </c>
      <c r="O213" s="883">
        <v>0</v>
      </c>
      <c r="P213" s="883">
        <v>13.39</v>
      </c>
      <c r="Q213" s="883">
        <v>15</v>
      </c>
      <c r="R213" s="883">
        <f t="shared" si="64"/>
        <v>2.0099999999999998</v>
      </c>
      <c r="S213" s="883">
        <v>0</v>
      </c>
      <c r="T213" s="883">
        <v>5</v>
      </c>
      <c r="U213" s="883">
        <f t="shared" si="65"/>
        <v>0</v>
      </c>
      <c r="V213" s="883">
        <v>0</v>
      </c>
      <c r="W213" s="883">
        <v>8</v>
      </c>
      <c r="X213" s="883">
        <f t="shared" si="66"/>
        <v>0</v>
      </c>
      <c r="Y213" s="883">
        <v>0</v>
      </c>
      <c r="Z213" s="883">
        <v>0</v>
      </c>
      <c r="AA213" s="883">
        <v>0</v>
      </c>
      <c r="AB213" s="883">
        <f t="shared" si="67"/>
        <v>15.4</v>
      </c>
      <c r="AC213" s="883">
        <v>0</v>
      </c>
      <c r="AD213" s="881"/>
      <c r="AE213" s="880"/>
      <c r="AF213" s="883"/>
      <c r="AG213" s="889"/>
      <c r="AH213" s="880"/>
      <c r="AI213" s="880" t="s">
        <v>1241</v>
      </c>
      <c r="AJ213" s="884">
        <v>411</v>
      </c>
      <c r="AK213" s="883">
        <f t="shared" si="68"/>
        <v>13.39</v>
      </c>
      <c r="AL213" s="884">
        <v>413</v>
      </c>
      <c r="AM213" s="883">
        <f t="shared" si="69"/>
        <v>0</v>
      </c>
      <c r="AN213" s="884">
        <v>441</v>
      </c>
      <c r="AO213" s="883">
        <f t="shared" si="70"/>
        <v>0</v>
      </c>
      <c r="AP213" s="881"/>
      <c r="AQ213" s="881"/>
      <c r="AR213" s="883">
        <v>0</v>
      </c>
      <c r="AS213" s="883">
        <v>0</v>
      </c>
      <c r="AT213" s="883">
        <v>0</v>
      </c>
      <c r="AU213" s="880"/>
      <c r="AV213" s="886"/>
      <c r="AW213" s="880"/>
      <c r="AX213" s="886"/>
      <c r="AY213" s="880"/>
      <c r="AZ213" s="880"/>
      <c r="BA213" s="881"/>
      <c r="BB213" s="881" t="s">
        <v>57</v>
      </c>
      <c r="BC213" s="881"/>
      <c r="BD213" s="881"/>
      <c r="BE213" s="884">
        <f t="shared" si="71"/>
        <v>4</v>
      </c>
      <c r="BF213" s="887" t="str">
        <f t="shared" si="72"/>
        <v>SI</v>
      </c>
      <c r="BG213" s="883">
        <f t="shared" si="73"/>
        <v>13.39</v>
      </c>
      <c r="BH213" s="883">
        <f t="shared" si="74"/>
        <v>0</v>
      </c>
      <c r="BI213" s="883">
        <f t="shared" si="75"/>
        <v>0</v>
      </c>
      <c r="BJ213" s="883">
        <f t="shared" si="76"/>
        <v>0</v>
      </c>
      <c r="BK213" s="883">
        <f t="shared" si="77"/>
        <v>0</v>
      </c>
      <c r="BL213" s="883">
        <f t="shared" si="78"/>
        <v>2.0099999999999998</v>
      </c>
      <c r="BM213" s="881"/>
      <c r="BN213" s="880"/>
      <c r="BO213" s="882" t="s">
        <v>1579</v>
      </c>
      <c r="BP213" s="882" t="s">
        <v>2286</v>
      </c>
      <c r="BQ213" s="882" t="s">
        <v>2285</v>
      </c>
      <c r="BR213" s="880"/>
      <c r="BS213" s="880"/>
      <c r="BT213" s="880"/>
      <c r="BU213" s="880"/>
      <c r="BV213" s="880"/>
      <c r="BW213" s="883">
        <v>0</v>
      </c>
      <c r="BX213" s="883">
        <v>0</v>
      </c>
      <c r="BY213" s="883">
        <v>0</v>
      </c>
      <c r="BZ213" s="890"/>
      <c r="CA213" s="883">
        <f t="shared" si="79"/>
        <v>0</v>
      </c>
      <c r="CB213" s="880"/>
      <c r="CC213" s="881"/>
      <c r="CD213" s="883"/>
      <c r="CE213" s="883"/>
      <c r="CF213" s="883"/>
      <c r="CG213" s="883"/>
      <c r="CH213" s="883"/>
      <c r="CI213" s="883"/>
      <c r="CJ213" s="883"/>
      <c r="CK213" s="883"/>
      <c r="CL213" s="883"/>
      <c r="CM213" s="883"/>
      <c r="CN213" s="883"/>
      <c r="CO213" s="883"/>
      <c r="CP213" s="883"/>
      <c r="CQ213" s="883"/>
      <c r="CR213" s="883"/>
      <c r="CS213" s="883"/>
      <c r="CT213" s="883"/>
      <c r="CU213" s="883"/>
    </row>
    <row r="214" spans="1:99" x14ac:dyDescent="0.25">
      <c r="A214" s="880" t="s">
        <v>1787</v>
      </c>
      <c r="B214" s="881" t="s">
        <v>1788</v>
      </c>
      <c r="C214" s="880"/>
      <c r="D214" s="880"/>
      <c r="E214" s="884" t="s">
        <v>744</v>
      </c>
      <c r="F214" s="888">
        <v>1</v>
      </c>
      <c r="G214" s="881" t="s">
        <v>1007</v>
      </c>
      <c r="H214" s="881" t="s">
        <v>19</v>
      </c>
      <c r="I214" s="865">
        <v>46142</v>
      </c>
      <c r="J214" s="882" t="s">
        <v>8</v>
      </c>
      <c r="K214" s="880"/>
      <c r="L214" s="880"/>
      <c r="M214" s="883">
        <v>0</v>
      </c>
      <c r="N214" s="883">
        <v>0</v>
      </c>
      <c r="O214" s="883">
        <v>0</v>
      </c>
      <c r="P214" s="883">
        <v>31.25</v>
      </c>
      <c r="Q214" s="883">
        <v>15</v>
      </c>
      <c r="R214" s="883">
        <f t="shared" si="64"/>
        <v>4.6900000000000004</v>
      </c>
      <c r="S214" s="883">
        <v>0</v>
      </c>
      <c r="T214" s="883">
        <v>5</v>
      </c>
      <c r="U214" s="883">
        <f t="shared" si="65"/>
        <v>0</v>
      </c>
      <c r="V214" s="883">
        <v>0</v>
      </c>
      <c r="W214" s="883">
        <v>8</v>
      </c>
      <c r="X214" s="883">
        <f t="shared" si="66"/>
        <v>0</v>
      </c>
      <c r="Y214" s="883">
        <v>0</v>
      </c>
      <c r="Z214" s="883">
        <v>0</v>
      </c>
      <c r="AA214" s="883">
        <v>0</v>
      </c>
      <c r="AB214" s="883">
        <f t="shared" si="67"/>
        <v>35.94</v>
      </c>
      <c r="AC214" s="883">
        <v>0</v>
      </c>
      <c r="AD214" s="881"/>
      <c r="AE214" s="880"/>
      <c r="AF214" s="883"/>
      <c r="AG214" s="889"/>
      <c r="AH214" s="880"/>
      <c r="AI214" s="880" t="s">
        <v>1241</v>
      </c>
      <c r="AJ214" s="884">
        <v>411</v>
      </c>
      <c r="AK214" s="883">
        <f t="shared" si="68"/>
        <v>31.25</v>
      </c>
      <c r="AL214" s="884">
        <v>413</v>
      </c>
      <c r="AM214" s="883">
        <f t="shared" si="69"/>
        <v>0</v>
      </c>
      <c r="AN214" s="884">
        <v>441</v>
      </c>
      <c r="AO214" s="883">
        <f t="shared" si="70"/>
        <v>0</v>
      </c>
      <c r="AP214" s="881"/>
      <c r="AQ214" s="881"/>
      <c r="AR214" s="883">
        <v>0</v>
      </c>
      <c r="AS214" s="883">
        <v>0</v>
      </c>
      <c r="AT214" s="883">
        <v>0</v>
      </c>
      <c r="AU214" s="880"/>
      <c r="AV214" s="886"/>
      <c r="AW214" s="880"/>
      <c r="AX214" s="886"/>
      <c r="AY214" s="880"/>
      <c r="AZ214" s="880"/>
      <c r="BA214" s="881"/>
      <c r="BB214" s="881" t="s">
        <v>57</v>
      </c>
      <c r="BC214" s="881"/>
      <c r="BD214" s="881"/>
      <c r="BE214" s="884">
        <f t="shared" si="71"/>
        <v>4</v>
      </c>
      <c r="BF214" s="887" t="str">
        <f t="shared" si="72"/>
        <v>SI</v>
      </c>
      <c r="BG214" s="883">
        <f t="shared" si="73"/>
        <v>31.25</v>
      </c>
      <c r="BH214" s="883">
        <f t="shared" si="74"/>
        <v>0</v>
      </c>
      <c r="BI214" s="883">
        <f t="shared" si="75"/>
        <v>0</v>
      </c>
      <c r="BJ214" s="883">
        <f t="shared" si="76"/>
        <v>0</v>
      </c>
      <c r="BK214" s="883">
        <f t="shared" si="77"/>
        <v>0</v>
      </c>
      <c r="BL214" s="883">
        <f t="shared" si="78"/>
        <v>4.6900000000000004</v>
      </c>
      <c r="BM214" s="881"/>
      <c r="BN214" s="880"/>
      <c r="BO214" s="882" t="s">
        <v>1579</v>
      </c>
      <c r="BP214" s="882" t="s">
        <v>2286</v>
      </c>
      <c r="BQ214" s="882" t="s">
        <v>2285</v>
      </c>
      <c r="BR214" s="880"/>
      <c r="BS214" s="880"/>
      <c r="BT214" s="880"/>
      <c r="BU214" s="880"/>
      <c r="BV214" s="880"/>
      <c r="BW214" s="883">
        <v>0</v>
      </c>
      <c r="BX214" s="883">
        <v>0</v>
      </c>
      <c r="BY214" s="883">
        <v>0</v>
      </c>
      <c r="BZ214" s="890"/>
      <c r="CA214" s="883">
        <f t="shared" si="79"/>
        <v>0</v>
      </c>
      <c r="CB214" s="880"/>
      <c r="CC214" s="881"/>
      <c r="CD214" s="883"/>
      <c r="CE214" s="883"/>
      <c r="CF214" s="883"/>
      <c r="CG214" s="883"/>
      <c r="CH214" s="883"/>
      <c r="CI214" s="883"/>
      <c r="CJ214" s="883"/>
      <c r="CK214" s="883"/>
      <c r="CL214" s="883"/>
      <c r="CM214" s="883"/>
      <c r="CN214" s="883"/>
      <c r="CO214" s="883"/>
      <c r="CP214" s="883"/>
      <c r="CQ214" s="883"/>
      <c r="CR214" s="883"/>
      <c r="CS214" s="883"/>
      <c r="CT214" s="883"/>
      <c r="CU214" s="883"/>
    </row>
    <row r="215" spans="1:99" x14ac:dyDescent="0.25">
      <c r="A215" s="880" t="s">
        <v>1787</v>
      </c>
      <c r="B215" s="881" t="s">
        <v>1788</v>
      </c>
      <c r="C215" s="880"/>
      <c r="D215" s="880"/>
      <c r="E215" s="884" t="s">
        <v>744</v>
      </c>
      <c r="F215" s="888">
        <v>1</v>
      </c>
      <c r="G215" s="881" t="s">
        <v>1007</v>
      </c>
      <c r="H215" s="881" t="s">
        <v>19</v>
      </c>
      <c r="I215" s="865">
        <v>46142</v>
      </c>
      <c r="J215" s="882" t="s">
        <v>8</v>
      </c>
      <c r="K215" s="880"/>
      <c r="L215" s="880"/>
      <c r="M215" s="883">
        <v>0</v>
      </c>
      <c r="N215" s="883">
        <v>0</v>
      </c>
      <c r="O215" s="883">
        <v>0</v>
      </c>
      <c r="P215" s="883">
        <v>8.93</v>
      </c>
      <c r="Q215" s="883">
        <v>15</v>
      </c>
      <c r="R215" s="883">
        <f t="shared" si="64"/>
        <v>1.34</v>
      </c>
      <c r="S215" s="883">
        <v>0</v>
      </c>
      <c r="T215" s="883">
        <v>5</v>
      </c>
      <c r="U215" s="883">
        <f t="shared" si="65"/>
        <v>0</v>
      </c>
      <c r="V215" s="883">
        <v>0</v>
      </c>
      <c r="W215" s="883">
        <v>8</v>
      </c>
      <c r="X215" s="883">
        <f t="shared" si="66"/>
        <v>0</v>
      </c>
      <c r="Y215" s="883">
        <v>0</v>
      </c>
      <c r="Z215" s="883">
        <v>0</v>
      </c>
      <c r="AA215" s="883">
        <v>0</v>
      </c>
      <c r="AB215" s="883">
        <f t="shared" si="67"/>
        <v>10.27</v>
      </c>
      <c r="AC215" s="883">
        <v>0</v>
      </c>
      <c r="AD215" s="881"/>
      <c r="AE215" s="880"/>
      <c r="AF215" s="883"/>
      <c r="AG215" s="889"/>
      <c r="AH215" s="880"/>
      <c r="AI215" s="880" t="s">
        <v>1241</v>
      </c>
      <c r="AJ215" s="884">
        <v>411</v>
      </c>
      <c r="AK215" s="883">
        <f t="shared" si="68"/>
        <v>8.93</v>
      </c>
      <c r="AL215" s="884">
        <v>413</v>
      </c>
      <c r="AM215" s="883">
        <f t="shared" si="69"/>
        <v>0</v>
      </c>
      <c r="AN215" s="884">
        <v>441</v>
      </c>
      <c r="AO215" s="883">
        <f t="shared" si="70"/>
        <v>0</v>
      </c>
      <c r="AP215" s="881"/>
      <c r="AQ215" s="881"/>
      <c r="AR215" s="883">
        <v>0</v>
      </c>
      <c r="AS215" s="883">
        <v>0</v>
      </c>
      <c r="AT215" s="883">
        <v>0</v>
      </c>
      <c r="AU215" s="880"/>
      <c r="AV215" s="886"/>
      <c r="AW215" s="880"/>
      <c r="AX215" s="886"/>
      <c r="AY215" s="880"/>
      <c r="AZ215" s="880"/>
      <c r="BA215" s="881"/>
      <c r="BB215" s="881" t="s">
        <v>57</v>
      </c>
      <c r="BC215" s="881"/>
      <c r="BD215" s="881"/>
      <c r="BE215" s="884">
        <f t="shared" si="71"/>
        <v>4</v>
      </c>
      <c r="BF215" s="887" t="str">
        <f t="shared" si="72"/>
        <v>SI</v>
      </c>
      <c r="BG215" s="883">
        <f t="shared" si="73"/>
        <v>8.93</v>
      </c>
      <c r="BH215" s="883">
        <f t="shared" si="74"/>
        <v>0</v>
      </c>
      <c r="BI215" s="883">
        <f t="shared" si="75"/>
        <v>0</v>
      </c>
      <c r="BJ215" s="883">
        <f t="shared" si="76"/>
        <v>0</v>
      </c>
      <c r="BK215" s="883">
        <f t="shared" si="77"/>
        <v>0</v>
      </c>
      <c r="BL215" s="883">
        <f t="shared" si="78"/>
        <v>1.34</v>
      </c>
      <c r="BM215" s="881"/>
      <c r="BN215" s="880"/>
      <c r="BO215" s="882" t="s">
        <v>1579</v>
      </c>
      <c r="BP215" s="882" t="s">
        <v>2286</v>
      </c>
      <c r="BQ215" s="882" t="s">
        <v>2285</v>
      </c>
      <c r="BR215" s="880"/>
      <c r="BS215" s="880"/>
      <c r="BT215" s="880"/>
      <c r="BU215" s="880"/>
      <c r="BV215" s="880"/>
      <c r="BW215" s="883">
        <v>0</v>
      </c>
      <c r="BX215" s="883">
        <v>0</v>
      </c>
      <c r="BY215" s="883">
        <v>0</v>
      </c>
      <c r="BZ215" s="890"/>
      <c r="CA215" s="883">
        <f t="shared" si="79"/>
        <v>0</v>
      </c>
      <c r="CB215" s="880"/>
      <c r="CC215" s="881"/>
      <c r="CD215" s="883"/>
      <c r="CE215" s="883"/>
      <c r="CF215" s="883"/>
      <c r="CG215" s="883"/>
      <c r="CH215" s="883"/>
      <c r="CI215" s="883"/>
      <c r="CJ215" s="883"/>
      <c r="CK215" s="883"/>
      <c r="CL215" s="883"/>
      <c r="CM215" s="883"/>
      <c r="CN215" s="883"/>
      <c r="CO215" s="883"/>
      <c r="CP215" s="883"/>
      <c r="CQ215" s="883"/>
      <c r="CR215" s="883"/>
      <c r="CS215" s="883"/>
      <c r="CT215" s="883"/>
      <c r="CU215" s="883"/>
    </row>
    <row r="216" spans="1:99" x14ac:dyDescent="0.25">
      <c r="A216" s="880" t="s">
        <v>1787</v>
      </c>
      <c r="B216" s="881" t="s">
        <v>1788</v>
      </c>
      <c r="C216" s="880"/>
      <c r="D216" s="880"/>
      <c r="E216" s="884" t="s">
        <v>744</v>
      </c>
      <c r="F216" s="888">
        <v>1</v>
      </c>
      <c r="G216" s="881" t="s">
        <v>1007</v>
      </c>
      <c r="H216" s="881" t="s">
        <v>19</v>
      </c>
      <c r="I216" s="865">
        <v>46142</v>
      </c>
      <c r="J216" s="882" t="s">
        <v>8</v>
      </c>
      <c r="K216" s="880"/>
      <c r="L216" s="880"/>
      <c r="M216" s="883">
        <v>0</v>
      </c>
      <c r="N216" s="883">
        <v>0</v>
      </c>
      <c r="O216" s="883">
        <v>0</v>
      </c>
      <c r="P216" s="883">
        <v>17.39</v>
      </c>
      <c r="Q216" s="883">
        <v>15</v>
      </c>
      <c r="R216" s="883">
        <f t="shared" si="64"/>
        <v>2.61</v>
      </c>
      <c r="S216" s="883">
        <v>0</v>
      </c>
      <c r="T216" s="883">
        <v>5</v>
      </c>
      <c r="U216" s="883">
        <f t="shared" si="65"/>
        <v>0</v>
      </c>
      <c r="V216" s="883">
        <v>0</v>
      </c>
      <c r="W216" s="883">
        <v>8</v>
      </c>
      <c r="X216" s="883">
        <f t="shared" si="66"/>
        <v>0</v>
      </c>
      <c r="Y216" s="883">
        <v>0</v>
      </c>
      <c r="Z216" s="883">
        <v>0</v>
      </c>
      <c r="AA216" s="883">
        <v>0</v>
      </c>
      <c r="AB216" s="883">
        <f t="shared" si="67"/>
        <v>20</v>
      </c>
      <c r="AC216" s="883">
        <v>0</v>
      </c>
      <c r="AD216" s="881"/>
      <c r="AE216" s="880"/>
      <c r="AF216" s="883"/>
      <c r="AG216" s="889"/>
      <c r="AH216" s="880"/>
      <c r="AI216" s="880" t="s">
        <v>1241</v>
      </c>
      <c r="AJ216" s="884">
        <v>411</v>
      </c>
      <c r="AK216" s="883">
        <f t="shared" si="68"/>
        <v>17.39</v>
      </c>
      <c r="AL216" s="884">
        <v>413</v>
      </c>
      <c r="AM216" s="883">
        <f t="shared" si="69"/>
        <v>0</v>
      </c>
      <c r="AN216" s="884">
        <v>441</v>
      </c>
      <c r="AO216" s="883">
        <f t="shared" si="70"/>
        <v>0</v>
      </c>
      <c r="AP216" s="881"/>
      <c r="AQ216" s="881"/>
      <c r="AR216" s="883">
        <v>0</v>
      </c>
      <c r="AS216" s="883">
        <v>0</v>
      </c>
      <c r="AT216" s="883">
        <v>0</v>
      </c>
      <c r="AU216" s="880"/>
      <c r="AV216" s="886"/>
      <c r="AW216" s="880"/>
      <c r="AX216" s="886"/>
      <c r="AY216" s="880"/>
      <c r="AZ216" s="880"/>
      <c r="BA216" s="881"/>
      <c r="BB216" s="881" t="s">
        <v>57</v>
      </c>
      <c r="BC216" s="881"/>
      <c r="BD216" s="881"/>
      <c r="BE216" s="884">
        <f t="shared" si="71"/>
        <v>4</v>
      </c>
      <c r="BF216" s="887" t="str">
        <f t="shared" si="72"/>
        <v>SI</v>
      </c>
      <c r="BG216" s="883">
        <f t="shared" si="73"/>
        <v>17.39</v>
      </c>
      <c r="BH216" s="883">
        <f t="shared" si="74"/>
        <v>0</v>
      </c>
      <c r="BI216" s="883">
        <f t="shared" si="75"/>
        <v>0</v>
      </c>
      <c r="BJ216" s="883">
        <f t="shared" si="76"/>
        <v>0</v>
      </c>
      <c r="BK216" s="883">
        <f t="shared" si="77"/>
        <v>0</v>
      </c>
      <c r="BL216" s="883">
        <f t="shared" si="78"/>
        <v>2.61</v>
      </c>
      <c r="BM216" s="881"/>
      <c r="BN216" s="880"/>
      <c r="BO216" s="882" t="s">
        <v>1579</v>
      </c>
      <c r="BP216" s="882" t="s">
        <v>2286</v>
      </c>
      <c r="BQ216" s="882" t="s">
        <v>2285</v>
      </c>
      <c r="BR216" s="880"/>
      <c r="BS216" s="880"/>
      <c r="BT216" s="880"/>
      <c r="BU216" s="880"/>
      <c r="BV216" s="880"/>
      <c r="BW216" s="883">
        <v>0</v>
      </c>
      <c r="BX216" s="883">
        <v>0</v>
      </c>
      <c r="BY216" s="883">
        <v>0</v>
      </c>
      <c r="BZ216" s="890"/>
      <c r="CA216" s="883">
        <f t="shared" si="79"/>
        <v>0</v>
      </c>
      <c r="CB216" s="880"/>
      <c r="CC216" s="881"/>
      <c r="CD216" s="883"/>
      <c r="CE216" s="883"/>
      <c r="CF216" s="883"/>
      <c r="CG216" s="883"/>
      <c r="CH216" s="883"/>
      <c r="CI216" s="883"/>
      <c r="CJ216" s="883"/>
      <c r="CK216" s="883"/>
      <c r="CL216" s="883"/>
      <c r="CM216" s="883"/>
      <c r="CN216" s="883"/>
      <c r="CO216" s="883"/>
      <c r="CP216" s="883"/>
      <c r="CQ216" s="883"/>
      <c r="CR216" s="883"/>
      <c r="CS216" s="883"/>
      <c r="CT216" s="883"/>
      <c r="CU216" s="883"/>
    </row>
    <row r="217" spans="1:99" x14ac:dyDescent="0.25">
      <c r="A217" s="880" t="s">
        <v>1787</v>
      </c>
      <c r="B217" s="881" t="s">
        <v>1788</v>
      </c>
      <c r="C217" s="880"/>
      <c r="D217" s="880"/>
      <c r="E217" s="884" t="s">
        <v>744</v>
      </c>
      <c r="F217" s="888">
        <v>1</v>
      </c>
      <c r="G217" s="881" t="s">
        <v>1007</v>
      </c>
      <c r="H217" s="881" t="s">
        <v>19</v>
      </c>
      <c r="I217" s="865">
        <v>46142</v>
      </c>
      <c r="J217" s="882" t="s">
        <v>8</v>
      </c>
      <c r="K217" s="880"/>
      <c r="L217" s="880"/>
      <c r="M217" s="883">
        <v>0</v>
      </c>
      <c r="N217" s="883">
        <v>0</v>
      </c>
      <c r="O217" s="883">
        <v>0</v>
      </c>
      <c r="P217" s="883">
        <v>43.47</v>
      </c>
      <c r="Q217" s="883">
        <v>15</v>
      </c>
      <c r="R217" s="883">
        <f t="shared" si="64"/>
        <v>6.52</v>
      </c>
      <c r="S217" s="883">
        <v>0</v>
      </c>
      <c r="T217" s="883">
        <v>5</v>
      </c>
      <c r="U217" s="883">
        <f t="shared" si="65"/>
        <v>0</v>
      </c>
      <c r="V217" s="883">
        <v>0</v>
      </c>
      <c r="W217" s="883">
        <v>8</v>
      </c>
      <c r="X217" s="883">
        <f t="shared" si="66"/>
        <v>0</v>
      </c>
      <c r="Y217" s="883">
        <v>0</v>
      </c>
      <c r="Z217" s="883">
        <v>0</v>
      </c>
      <c r="AA217" s="883">
        <v>0</v>
      </c>
      <c r="AB217" s="883">
        <f t="shared" si="67"/>
        <v>49.99</v>
      </c>
      <c r="AC217" s="883">
        <v>0</v>
      </c>
      <c r="AD217" s="881"/>
      <c r="AE217" s="880"/>
      <c r="AF217" s="883"/>
      <c r="AG217" s="889"/>
      <c r="AH217" s="880"/>
      <c r="AI217" s="880" t="s">
        <v>1241</v>
      </c>
      <c r="AJ217" s="884">
        <v>411</v>
      </c>
      <c r="AK217" s="883">
        <f t="shared" si="68"/>
        <v>43.47</v>
      </c>
      <c r="AL217" s="884">
        <v>413</v>
      </c>
      <c r="AM217" s="883">
        <f t="shared" si="69"/>
        <v>0</v>
      </c>
      <c r="AN217" s="884">
        <v>441</v>
      </c>
      <c r="AO217" s="883">
        <f t="shared" si="70"/>
        <v>0</v>
      </c>
      <c r="AP217" s="881"/>
      <c r="AQ217" s="881" t="s">
        <v>1222</v>
      </c>
      <c r="AR217" s="883">
        <v>4.5599999999999996</v>
      </c>
      <c r="AS217" s="883">
        <v>1.3</v>
      </c>
      <c r="AT217" s="883">
        <v>0</v>
      </c>
      <c r="AU217" s="880"/>
      <c r="AV217" s="886"/>
      <c r="AW217" s="880"/>
      <c r="AX217" s="886"/>
      <c r="AY217" s="880"/>
      <c r="AZ217" s="880"/>
      <c r="BA217" s="881"/>
      <c r="BB217" s="881" t="s">
        <v>57</v>
      </c>
      <c r="BC217" s="881"/>
      <c r="BD217" s="881"/>
      <c r="BE217" s="884">
        <f t="shared" si="71"/>
        <v>4</v>
      </c>
      <c r="BF217" s="887" t="str">
        <f t="shared" si="72"/>
        <v>SI</v>
      </c>
      <c r="BG217" s="883">
        <f t="shared" si="73"/>
        <v>43.47</v>
      </c>
      <c r="BH217" s="883">
        <f t="shared" si="74"/>
        <v>0</v>
      </c>
      <c r="BI217" s="883">
        <f t="shared" si="75"/>
        <v>0</v>
      </c>
      <c r="BJ217" s="883">
        <f t="shared" si="76"/>
        <v>0</v>
      </c>
      <c r="BK217" s="883">
        <f t="shared" si="77"/>
        <v>0</v>
      </c>
      <c r="BL217" s="883">
        <f t="shared" si="78"/>
        <v>6.52</v>
      </c>
      <c r="BM217" s="881"/>
      <c r="BN217" s="880"/>
      <c r="BO217" s="882" t="s">
        <v>1579</v>
      </c>
      <c r="BP217" s="882" t="s">
        <v>2286</v>
      </c>
      <c r="BQ217" s="882" t="s">
        <v>2285</v>
      </c>
      <c r="BR217" s="880"/>
      <c r="BS217" s="880"/>
      <c r="BT217" s="880"/>
      <c r="BU217" s="880"/>
      <c r="BV217" s="880"/>
      <c r="BW217" s="883">
        <v>0</v>
      </c>
      <c r="BX217" s="883">
        <v>0</v>
      </c>
      <c r="BY217" s="883">
        <v>0</v>
      </c>
      <c r="BZ217" s="890"/>
      <c r="CA217" s="883">
        <f t="shared" si="79"/>
        <v>0</v>
      </c>
      <c r="CB217" s="880"/>
      <c r="CC217" s="881"/>
      <c r="CD217" s="883"/>
      <c r="CE217" s="883"/>
      <c r="CF217" s="883"/>
      <c r="CG217" s="883"/>
      <c r="CH217" s="883"/>
      <c r="CI217" s="883"/>
      <c r="CJ217" s="883"/>
      <c r="CK217" s="883"/>
      <c r="CL217" s="883"/>
      <c r="CM217" s="883"/>
      <c r="CN217" s="883"/>
      <c r="CO217" s="883"/>
      <c r="CP217" s="883"/>
      <c r="CQ217" s="883"/>
      <c r="CR217" s="883"/>
      <c r="CS217" s="883"/>
      <c r="CT217" s="883"/>
      <c r="CU217" s="883"/>
    </row>
    <row r="218" spans="1:99" x14ac:dyDescent="0.25">
      <c r="A218" s="880" t="s">
        <v>1787</v>
      </c>
      <c r="B218" s="881" t="s">
        <v>1788</v>
      </c>
      <c r="C218" s="880"/>
      <c r="D218" s="880"/>
      <c r="E218" s="884" t="s">
        <v>744</v>
      </c>
      <c r="F218" s="888">
        <v>1</v>
      </c>
      <c r="G218" s="881" t="s">
        <v>1007</v>
      </c>
      <c r="H218" s="881" t="s">
        <v>19</v>
      </c>
      <c r="I218" s="865">
        <v>46142</v>
      </c>
      <c r="J218" s="882" t="s">
        <v>8</v>
      </c>
      <c r="K218" s="880"/>
      <c r="L218" s="880"/>
      <c r="M218" s="883">
        <v>0</v>
      </c>
      <c r="N218" s="883">
        <v>0</v>
      </c>
      <c r="O218" s="883">
        <v>0</v>
      </c>
      <c r="P218" s="883">
        <v>22.32</v>
      </c>
      <c r="Q218" s="883">
        <v>15</v>
      </c>
      <c r="R218" s="883">
        <f t="shared" si="64"/>
        <v>3.35</v>
      </c>
      <c r="S218" s="883">
        <v>0</v>
      </c>
      <c r="T218" s="883">
        <v>5</v>
      </c>
      <c r="U218" s="883">
        <f t="shared" si="65"/>
        <v>0</v>
      </c>
      <c r="V218" s="883">
        <v>0</v>
      </c>
      <c r="W218" s="883">
        <v>8</v>
      </c>
      <c r="X218" s="883">
        <f t="shared" si="66"/>
        <v>0</v>
      </c>
      <c r="Y218" s="883">
        <v>0</v>
      </c>
      <c r="Z218" s="883">
        <v>0</v>
      </c>
      <c r="AA218" s="883">
        <v>0</v>
      </c>
      <c r="AB218" s="883">
        <f t="shared" si="67"/>
        <v>25.67</v>
      </c>
      <c r="AC218" s="883">
        <v>0</v>
      </c>
      <c r="AD218" s="881"/>
      <c r="AE218" s="880"/>
      <c r="AF218" s="883"/>
      <c r="AG218" s="889"/>
      <c r="AH218" s="880"/>
      <c r="AI218" s="880" t="s">
        <v>1241</v>
      </c>
      <c r="AJ218" s="884">
        <v>411</v>
      </c>
      <c r="AK218" s="883">
        <f t="shared" si="68"/>
        <v>22.32</v>
      </c>
      <c r="AL218" s="884">
        <v>413</v>
      </c>
      <c r="AM218" s="883">
        <f t="shared" si="69"/>
        <v>0</v>
      </c>
      <c r="AN218" s="884">
        <v>441</v>
      </c>
      <c r="AO218" s="883">
        <f t="shared" si="70"/>
        <v>0</v>
      </c>
      <c r="AP218" s="881"/>
      <c r="AQ218" s="881"/>
      <c r="AR218" s="883">
        <v>0</v>
      </c>
      <c r="AS218" s="883">
        <v>0</v>
      </c>
      <c r="AT218" s="883">
        <v>0</v>
      </c>
      <c r="AU218" s="880"/>
      <c r="AV218" s="886"/>
      <c r="AW218" s="880"/>
      <c r="AX218" s="886"/>
      <c r="AY218" s="880"/>
      <c r="AZ218" s="880"/>
      <c r="BA218" s="881"/>
      <c r="BB218" s="881" t="s">
        <v>57</v>
      </c>
      <c r="BC218" s="881"/>
      <c r="BD218" s="881"/>
      <c r="BE218" s="884">
        <f t="shared" si="71"/>
        <v>4</v>
      </c>
      <c r="BF218" s="887" t="str">
        <f t="shared" si="72"/>
        <v>SI</v>
      </c>
      <c r="BG218" s="883">
        <f t="shared" si="73"/>
        <v>22.32</v>
      </c>
      <c r="BH218" s="883">
        <f t="shared" si="74"/>
        <v>0</v>
      </c>
      <c r="BI218" s="883">
        <f t="shared" si="75"/>
        <v>0</v>
      </c>
      <c r="BJ218" s="883">
        <f t="shared" si="76"/>
        <v>0</v>
      </c>
      <c r="BK218" s="883">
        <f t="shared" si="77"/>
        <v>0</v>
      </c>
      <c r="BL218" s="883">
        <f t="shared" si="78"/>
        <v>3.35</v>
      </c>
      <c r="BM218" s="881"/>
      <c r="BN218" s="880"/>
      <c r="BO218" s="882" t="s">
        <v>1579</v>
      </c>
      <c r="BP218" s="882" t="s">
        <v>2286</v>
      </c>
      <c r="BQ218" s="882" t="s">
        <v>2285</v>
      </c>
      <c r="BR218" s="880"/>
      <c r="BS218" s="880"/>
      <c r="BT218" s="880"/>
      <c r="BU218" s="880"/>
      <c r="BV218" s="880"/>
      <c r="BW218" s="883">
        <v>0</v>
      </c>
      <c r="BX218" s="883">
        <v>0</v>
      </c>
      <c r="BY218" s="883">
        <v>0</v>
      </c>
      <c r="BZ218" s="890"/>
      <c r="CA218" s="883">
        <f t="shared" si="79"/>
        <v>0</v>
      </c>
      <c r="CB218" s="880"/>
      <c r="CC218" s="881"/>
      <c r="CD218" s="883"/>
      <c r="CE218" s="883"/>
      <c r="CF218" s="883"/>
      <c r="CG218" s="883"/>
      <c r="CH218" s="883"/>
      <c r="CI218" s="883"/>
      <c r="CJ218" s="883"/>
      <c r="CK218" s="883"/>
      <c r="CL218" s="883"/>
      <c r="CM218" s="883"/>
      <c r="CN218" s="883"/>
      <c r="CO218" s="883"/>
      <c r="CP218" s="883"/>
      <c r="CQ218" s="883"/>
      <c r="CR218" s="883"/>
      <c r="CS218" s="883"/>
      <c r="CT218" s="883"/>
      <c r="CU218" s="883"/>
    </row>
    <row r="219" spans="1:99" x14ac:dyDescent="0.25">
      <c r="A219" s="880" t="s">
        <v>1787</v>
      </c>
      <c r="B219" s="881" t="s">
        <v>1788</v>
      </c>
      <c r="C219" s="880"/>
      <c r="D219" s="880"/>
      <c r="E219" s="884" t="s">
        <v>744</v>
      </c>
      <c r="F219" s="888">
        <v>1</v>
      </c>
      <c r="G219" s="881" t="s">
        <v>1007</v>
      </c>
      <c r="H219" s="881" t="s">
        <v>19</v>
      </c>
      <c r="I219" s="865">
        <v>46142</v>
      </c>
      <c r="J219" s="882" t="s">
        <v>8</v>
      </c>
      <c r="K219" s="880"/>
      <c r="L219" s="880"/>
      <c r="M219" s="883">
        <v>0</v>
      </c>
      <c r="N219" s="883">
        <v>0</v>
      </c>
      <c r="O219" s="883">
        <v>0</v>
      </c>
      <c r="P219" s="883">
        <v>34.78</v>
      </c>
      <c r="Q219" s="883">
        <v>15</v>
      </c>
      <c r="R219" s="883">
        <f t="shared" si="64"/>
        <v>5.22</v>
      </c>
      <c r="S219" s="883">
        <v>0</v>
      </c>
      <c r="T219" s="883">
        <v>5</v>
      </c>
      <c r="U219" s="883">
        <f t="shared" si="65"/>
        <v>0</v>
      </c>
      <c r="V219" s="883">
        <v>0</v>
      </c>
      <c r="W219" s="883">
        <v>8</v>
      </c>
      <c r="X219" s="883">
        <f t="shared" si="66"/>
        <v>0</v>
      </c>
      <c r="Y219" s="883">
        <v>0</v>
      </c>
      <c r="Z219" s="883">
        <v>0</v>
      </c>
      <c r="AA219" s="883">
        <v>0</v>
      </c>
      <c r="AB219" s="883">
        <f t="shared" si="67"/>
        <v>40</v>
      </c>
      <c r="AC219" s="883">
        <v>0</v>
      </c>
      <c r="AD219" s="881"/>
      <c r="AE219" s="880"/>
      <c r="AF219" s="883"/>
      <c r="AG219" s="889"/>
      <c r="AH219" s="880"/>
      <c r="AI219" s="880" t="s">
        <v>1241</v>
      </c>
      <c r="AJ219" s="884">
        <v>411</v>
      </c>
      <c r="AK219" s="883">
        <f t="shared" si="68"/>
        <v>34.78</v>
      </c>
      <c r="AL219" s="884">
        <v>413</v>
      </c>
      <c r="AM219" s="883">
        <f t="shared" si="69"/>
        <v>0</v>
      </c>
      <c r="AN219" s="884">
        <v>441</v>
      </c>
      <c r="AO219" s="883">
        <f t="shared" si="70"/>
        <v>0</v>
      </c>
      <c r="AP219" s="881"/>
      <c r="AQ219" s="881"/>
      <c r="AR219" s="883">
        <v>0</v>
      </c>
      <c r="AS219" s="883">
        <v>0</v>
      </c>
      <c r="AT219" s="883">
        <v>0</v>
      </c>
      <c r="AU219" s="880"/>
      <c r="AV219" s="886"/>
      <c r="AW219" s="880"/>
      <c r="AX219" s="886"/>
      <c r="AY219" s="880"/>
      <c r="AZ219" s="880"/>
      <c r="BA219" s="881"/>
      <c r="BB219" s="881" t="s">
        <v>57</v>
      </c>
      <c r="BC219" s="881"/>
      <c r="BD219" s="881"/>
      <c r="BE219" s="884">
        <f t="shared" si="71"/>
        <v>4</v>
      </c>
      <c r="BF219" s="887" t="str">
        <f t="shared" si="72"/>
        <v>SI</v>
      </c>
      <c r="BG219" s="883">
        <f t="shared" si="73"/>
        <v>34.78</v>
      </c>
      <c r="BH219" s="883">
        <f t="shared" si="74"/>
        <v>0</v>
      </c>
      <c r="BI219" s="883">
        <f t="shared" si="75"/>
        <v>0</v>
      </c>
      <c r="BJ219" s="883">
        <f t="shared" si="76"/>
        <v>0</v>
      </c>
      <c r="BK219" s="883">
        <f t="shared" si="77"/>
        <v>0</v>
      </c>
      <c r="BL219" s="883">
        <f t="shared" si="78"/>
        <v>5.22</v>
      </c>
      <c r="BM219" s="881"/>
      <c r="BN219" s="880"/>
      <c r="BO219" s="882" t="s">
        <v>1579</v>
      </c>
      <c r="BP219" s="882" t="s">
        <v>2286</v>
      </c>
      <c r="BQ219" s="882" t="s">
        <v>2285</v>
      </c>
      <c r="BR219" s="880"/>
      <c r="BS219" s="880"/>
      <c r="BT219" s="880"/>
      <c r="BU219" s="880"/>
      <c r="BV219" s="880"/>
      <c r="BW219" s="883">
        <v>0</v>
      </c>
      <c r="BX219" s="883">
        <v>0</v>
      </c>
      <c r="BY219" s="883">
        <v>0</v>
      </c>
      <c r="BZ219" s="890"/>
      <c r="CA219" s="883">
        <f t="shared" si="79"/>
        <v>0</v>
      </c>
      <c r="CB219" s="880"/>
      <c r="CC219" s="881"/>
      <c r="CD219" s="883"/>
      <c r="CE219" s="883"/>
      <c r="CF219" s="883"/>
      <c r="CG219" s="883"/>
      <c r="CH219" s="883"/>
      <c r="CI219" s="883"/>
      <c r="CJ219" s="883"/>
      <c r="CK219" s="883"/>
      <c r="CL219" s="883"/>
      <c r="CM219" s="883"/>
      <c r="CN219" s="883"/>
      <c r="CO219" s="883"/>
      <c r="CP219" s="883"/>
      <c r="CQ219" s="883"/>
      <c r="CR219" s="883"/>
      <c r="CS219" s="883"/>
      <c r="CT219" s="883"/>
      <c r="CU219" s="883"/>
    </row>
    <row r="220" spans="1:99" x14ac:dyDescent="0.25">
      <c r="A220" s="880" t="s">
        <v>1787</v>
      </c>
      <c r="B220" s="881" t="s">
        <v>1788</v>
      </c>
      <c r="C220" s="880"/>
      <c r="D220" s="880"/>
      <c r="E220" s="884" t="s">
        <v>744</v>
      </c>
      <c r="F220" s="888">
        <v>1</v>
      </c>
      <c r="G220" s="881" t="s">
        <v>1007</v>
      </c>
      <c r="H220" s="881" t="s">
        <v>19</v>
      </c>
      <c r="I220" s="865">
        <v>46142</v>
      </c>
      <c r="J220" s="882" t="s">
        <v>8</v>
      </c>
      <c r="K220" s="880"/>
      <c r="L220" s="880"/>
      <c r="M220" s="883">
        <v>0</v>
      </c>
      <c r="N220" s="883">
        <v>0</v>
      </c>
      <c r="O220" s="883">
        <v>0</v>
      </c>
      <c r="P220" s="883">
        <v>26.09</v>
      </c>
      <c r="Q220" s="883">
        <v>15</v>
      </c>
      <c r="R220" s="883">
        <f t="shared" si="64"/>
        <v>3.91</v>
      </c>
      <c r="S220" s="883">
        <v>0</v>
      </c>
      <c r="T220" s="883">
        <v>5</v>
      </c>
      <c r="U220" s="883">
        <f t="shared" si="65"/>
        <v>0</v>
      </c>
      <c r="V220" s="883">
        <v>0</v>
      </c>
      <c r="W220" s="883">
        <v>8</v>
      </c>
      <c r="X220" s="883">
        <f t="shared" si="66"/>
        <v>0</v>
      </c>
      <c r="Y220" s="883">
        <v>0</v>
      </c>
      <c r="Z220" s="883">
        <v>0</v>
      </c>
      <c r="AA220" s="883">
        <v>0</v>
      </c>
      <c r="AB220" s="883">
        <f t="shared" si="67"/>
        <v>30</v>
      </c>
      <c r="AC220" s="883">
        <v>0</v>
      </c>
      <c r="AD220" s="881"/>
      <c r="AE220" s="880"/>
      <c r="AF220" s="883"/>
      <c r="AG220" s="889"/>
      <c r="AH220" s="880"/>
      <c r="AI220" s="880" t="s">
        <v>1241</v>
      </c>
      <c r="AJ220" s="884">
        <v>411</v>
      </c>
      <c r="AK220" s="883">
        <f t="shared" si="68"/>
        <v>26.09</v>
      </c>
      <c r="AL220" s="884">
        <v>413</v>
      </c>
      <c r="AM220" s="883">
        <f t="shared" si="69"/>
        <v>0</v>
      </c>
      <c r="AN220" s="884">
        <v>441</v>
      </c>
      <c r="AO220" s="883">
        <f t="shared" si="70"/>
        <v>0</v>
      </c>
      <c r="AP220" s="881"/>
      <c r="AQ220" s="881"/>
      <c r="AR220" s="883">
        <v>0</v>
      </c>
      <c r="AS220" s="883">
        <v>0</v>
      </c>
      <c r="AT220" s="883">
        <v>0</v>
      </c>
      <c r="AU220" s="880"/>
      <c r="AV220" s="886"/>
      <c r="AW220" s="880"/>
      <c r="AX220" s="886"/>
      <c r="AY220" s="880"/>
      <c r="AZ220" s="880"/>
      <c r="BA220" s="881"/>
      <c r="BB220" s="881" t="s">
        <v>57</v>
      </c>
      <c r="BC220" s="881"/>
      <c r="BD220" s="881"/>
      <c r="BE220" s="884">
        <f t="shared" si="71"/>
        <v>4</v>
      </c>
      <c r="BF220" s="887" t="str">
        <f t="shared" si="72"/>
        <v>SI</v>
      </c>
      <c r="BG220" s="883">
        <f t="shared" si="73"/>
        <v>26.09</v>
      </c>
      <c r="BH220" s="883">
        <f t="shared" si="74"/>
        <v>0</v>
      </c>
      <c r="BI220" s="883">
        <f t="shared" si="75"/>
        <v>0</v>
      </c>
      <c r="BJ220" s="883">
        <f t="shared" si="76"/>
        <v>0</v>
      </c>
      <c r="BK220" s="883">
        <f t="shared" si="77"/>
        <v>0</v>
      </c>
      <c r="BL220" s="883">
        <f t="shared" si="78"/>
        <v>3.91</v>
      </c>
      <c r="BM220" s="881"/>
      <c r="BN220" s="880"/>
      <c r="BO220" s="882" t="s">
        <v>1579</v>
      </c>
      <c r="BP220" s="882" t="s">
        <v>2286</v>
      </c>
      <c r="BQ220" s="882" t="s">
        <v>2285</v>
      </c>
      <c r="BR220" s="880"/>
      <c r="BS220" s="880"/>
      <c r="BT220" s="880"/>
      <c r="BU220" s="880"/>
      <c r="BV220" s="880"/>
      <c r="BW220" s="883">
        <v>0</v>
      </c>
      <c r="BX220" s="883">
        <v>0</v>
      </c>
      <c r="BY220" s="883">
        <v>0</v>
      </c>
      <c r="BZ220" s="890"/>
      <c r="CA220" s="883">
        <f t="shared" si="79"/>
        <v>0</v>
      </c>
      <c r="CB220" s="880"/>
      <c r="CC220" s="881"/>
      <c r="CD220" s="883"/>
      <c r="CE220" s="883"/>
      <c r="CF220" s="883"/>
      <c r="CG220" s="883"/>
      <c r="CH220" s="883"/>
      <c r="CI220" s="883"/>
      <c r="CJ220" s="883"/>
      <c r="CK220" s="883"/>
      <c r="CL220" s="883"/>
      <c r="CM220" s="883"/>
      <c r="CN220" s="883"/>
      <c r="CO220" s="883"/>
      <c r="CP220" s="883"/>
      <c r="CQ220" s="883"/>
      <c r="CR220" s="883"/>
      <c r="CS220" s="883"/>
      <c r="CT220" s="883"/>
      <c r="CU220" s="883"/>
    </row>
    <row r="221" spans="1:99" x14ac:dyDescent="0.25">
      <c r="A221" s="880" t="s">
        <v>1787</v>
      </c>
      <c r="B221" s="881" t="s">
        <v>1788</v>
      </c>
      <c r="C221" s="880"/>
      <c r="D221" s="880"/>
      <c r="E221" s="884" t="s">
        <v>744</v>
      </c>
      <c r="F221" s="888">
        <v>1</v>
      </c>
      <c r="G221" s="881" t="s">
        <v>1007</v>
      </c>
      <c r="H221" s="881" t="s">
        <v>19</v>
      </c>
      <c r="I221" s="865">
        <v>46142</v>
      </c>
      <c r="J221" s="882" t="s">
        <v>8</v>
      </c>
      <c r="K221" s="880"/>
      <c r="L221" s="880"/>
      <c r="M221" s="883">
        <v>0</v>
      </c>
      <c r="N221" s="883">
        <v>0</v>
      </c>
      <c r="O221" s="883">
        <v>0</v>
      </c>
      <c r="P221" s="883">
        <v>17.86</v>
      </c>
      <c r="Q221" s="883">
        <v>15</v>
      </c>
      <c r="R221" s="883">
        <f t="shared" si="64"/>
        <v>2.68</v>
      </c>
      <c r="S221" s="883">
        <v>0</v>
      </c>
      <c r="T221" s="883">
        <v>5</v>
      </c>
      <c r="U221" s="883">
        <f t="shared" si="65"/>
        <v>0</v>
      </c>
      <c r="V221" s="883">
        <v>0</v>
      </c>
      <c r="W221" s="883">
        <v>8</v>
      </c>
      <c r="X221" s="883">
        <f t="shared" si="66"/>
        <v>0</v>
      </c>
      <c r="Y221" s="883">
        <v>0</v>
      </c>
      <c r="Z221" s="883">
        <v>0</v>
      </c>
      <c r="AA221" s="883">
        <v>0</v>
      </c>
      <c r="AB221" s="883">
        <f t="shared" si="67"/>
        <v>20.54</v>
      </c>
      <c r="AC221" s="883">
        <v>0</v>
      </c>
      <c r="AD221" s="881"/>
      <c r="AE221" s="880"/>
      <c r="AF221" s="883"/>
      <c r="AG221" s="889"/>
      <c r="AH221" s="880"/>
      <c r="AI221" s="880" t="s">
        <v>1241</v>
      </c>
      <c r="AJ221" s="884">
        <v>411</v>
      </c>
      <c r="AK221" s="883">
        <f t="shared" si="68"/>
        <v>17.86</v>
      </c>
      <c r="AL221" s="884">
        <v>413</v>
      </c>
      <c r="AM221" s="883">
        <f t="shared" si="69"/>
        <v>0</v>
      </c>
      <c r="AN221" s="884">
        <v>441</v>
      </c>
      <c r="AO221" s="883">
        <f t="shared" si="70"/>
        <v>0</v>
      </c>
      <c r="AP221" s="881"/>
      <c r="AQ221" s="881"/>
      <c r="AR221" s="883">
        <v>0</v>
      </c>
      <c r="AS221" s="883">
        <v>0</v>
      </c>
      <c r="AT221" s="883">
        <v>0</v>
      </c>
      <c r="AU221" s="880"/>
      <c r="AV221" s="886"/>
      <c r="AW221" s="880"/>
      <c r="AX221" s="886"/>
      <c r="AY221" s="880"/>
      <c r="AZ221" s="880"/>
      <c r="BA221" s="881"/>
      <c r="BB221" s="881" t="s">
        <v>57</v>
      </c>
      <c r="BC221" s="881"/>
      <c r="BD221" s="881"/>
      <c r="BE221" s="884">
        <f t="shared" si="71"/>
        <v>4</v>
      </c>
      <c r="BF221" s="887" t="str">
        <f t="shared" si="72"/>
        <v>SI</v>
      </c>
      <c r="BG221" s="883">
        <f t="shared" si="73"/>
        <v>17.86</v>
      </c>
      <c r="BH221" s="883">
        <f t="shared" si="74"/>
        <v>0</v>
      </c>
      <c r="BI221" s="883">
        <f t="shared" si="75"/>
        <v>0</v>
      </c>
      <c r="BJ221" s="883">
        <f t="shared" si="76"/>
        <v>0</v>
      </c>
      <c r="BK221" s="883">
        <f t="shared" si="77"/>
        <v>0</v>
      </c>
      <c r="BL221" s="883">
        <f t="shared" si="78"/>
        <v>2.68</v>
      </c>
      <c r="BM221" s="881"/>
      <c r="BN221" s="880"/>
      <c r="BO221" s="882" t="s">
        <v>1579</v>
      </c>
      <c r="BP221" s="882" t="s">
        <v>2286</v>
      </c>
      <c r="BQ221" s="882" t="s">
        <v>2285</v>
      </c>
      <c r="BR221" s="880"/>
      <c r="BS221" s="880"/>
      <c r="BT221" s="880"/>
      <c r="BU221" s="880"/>
      <c r="BV221" s="880"/>
      <c r="BW221" s="883">
        <v>0</v>
      </c>
      <c r="BX221" s="883">
        <v>0</v>
      </c>
      <c r="BY221" s="883">
        <v>0</v>
      </c>
      <c r="BZ221" s="890"/>
      <c r="CA221" s="883">
        <f t="shared" si="79"/>
        <v>0</v>
      </c>
      <c r="CB221" s="880"/>
      <c r="CC221" s="881"/>
      <c r="CD221" s="883"/>
      <c r="CE221" s="883"/>
      <c r="CF221" s="883"/>
      <c r="CG221" s="883"/>
      <c r="CH221" s="883"/>
      <c r="CI221" s="883"/>
      <c r="CJ221" s="883"/>
      <c r="CK221" s="883"/>
      <c r="CL221" s="883"/>
      <c r="CM221" s="883"/>
      <c r="CN221" s="883"/>
      <c r="CO221" s="883"/>
      <c r="CP221" s="883"/>
      <c r="CQ221" s="883"/>
      <c r="CR221" s="883"/>
      <c r="CS221" s="883"/>
      <c r="CT221" s="883"/>
      <c r="CU221" s="883"/>
    </row>
    <row r="222" spans="1:99" x14ac:dyDescent="0.25">
      <c r="A222" s="880" t="s">
        <v>1787</v>
      </c>
      <c r="B222" s="881" t="s">
        <v>1788</v>
      </c>
      <c r="C222" s="880"/>
      <c r="D222" s="880"/>
      <c r="E222" s="884" t="s">
        <v>744</v>
      </c>
      <c r="F222" s="888">
        <v>1</v>
      </c>
      <c r="G222" s="881" t="s">
        <v>1007</v>
      </c>
      <c r="H222" s="881" t="s">
        <v>19</v>
      </c>
      <c r="I222" s="865">
        <v>46142</v>
      </c>
      <c r="J222" s="882" t="s">
        <v>8</v>
      </c>
      <c r="K222" s="880"/>
      <c r="L222" s="880"/>
      <c r="M222" s="883">
        <v>0</v>
      </c>
      <c r="N222" s="883">
        <v>0</v>
      </c>
      <c r="O222" s="883">
        <v>0</v>
      </c>
      <c r="P222" s="883">
        <v>34.78</v>
      </c>
      <c r="Q222" s="883">
        <v>15</v>
      </c>
      <c r="R222" s="883">
        <f t="shared" si="64"/>
        <v>5.22</v>
      </c>
      <c r="S222" s="883">
        <v>0</v>
      </c>
      <c r="T222" s="883">
        <v>5</v>
      </c>
      <c r="U222" s="883">
        <f t="shared" si="65"/>
        <v>0</v>
      </c>
      <c r="V222" s="883">
        <v>0</v>
      </c>
      <c r="W222" s="883">
        <v>8</v>
      </c>
      <c r="X222" s="883">
        <f t="shared" si="66"/>
        <v>0</v>
      </c>
      <c r="Y222" s="883">
        <v>0</v>
      </c>
      <c r="Z222" s="883">
        <v>0</v>
      </c>
      <c r="AA222" s="883">
        <v>0</v>
      </c>
      <c r="AB222" s="883">
        <f t="shared" si="67"/>
        <v>40</v>
      </c>
      <c r="AC222" s="883">
        <v>0</v>
      </c>
      <c r="AD222" s="881"/>
      <c r="AE222" s="880"/>
      <c r="AF222" s="883"/>
      <c r="AG222" s="889"/>
      <c r="AH222" s="880"/>
      <c r="AI222" s="880" t="s">
        <v>1241</v>
      </c>
      <c r="AJ222" s="884">
        <v>411</v>
      </c>
      <c r="AK222" s="883">
        <f t="shared" si="68"/>
        <v>34.78</v>
      </c>
      <c r="AL222" s="884">
        <v>413</v>
      </c>
      <c r="AM222" s="883">
        <f t="shared" si="69"/>
        <v>0</v>
      </c>
      <c r="AN222" s="884">
        <v>441</v>
      </c>
      <c r="AO222" s="883">
        <f t="shared" si="70"/>
        <v>0</v>
      </c>
      <c r="AP222" s="881"/>
      <c r="AQ222" s="881"/>
      <c r="AR222" s="883">
        <v>0</v>
      </c>
      <c r="AS222" s="883">
        <v>0</v>
      </c>
      <c r="AT222" s="883">
        <v>0</v>
      </c>
      <c r="AU222" s="880"/>
      <c r="AV222" s="886"/>
      <c r="AW222" s="880"/>
      <c r="AX222" s="886"/>
      <c r="AY222" s="880"/>
      <c r="AZ222" s="880"/>
      <c r="BA222" s="881"/>
      <c r="BB222" s="881" t="s">
        <v>57</v>
      </c>
      <c r="BC222" s="881"/>
      <c r="BD222" s="881"/>
      <c r="BE222" s="884">
        <f t="shared" si="71"/>
        <v>4</v>
      </c>
      <c r="BF222" s="887" t="str">
        <f t="shared" si="72"/>
        <v>SI</v>
      </c>
      <c r="BG222" s="883">
        <f t="shared" si="73"/>
        <v>34.78</v>
      </c>
      <c r="BH222" s="883">
        <f t="shared" si="74"/>
        <v>0</v>
      </c>
      <c r="BI222" s="883">
        <f t="shared" si="75"/>
        <v>0</v>
      </c>
      <c r="BJ222" s="883">
        <f t="shared" si="76"/>
        <v>0</v>
      </c>
      <c r="BK222" s="883">
        <f t="shared" si="77"/>
        <v>0</v>
      </c>
      <c r="BL222" s="883">
        <f t="shared" si="78"/>
        <v>5.22</v>
      </c>
      <c r="BM222" s="881"/>
      <c r="BN222" s="880"/>
      <c r="BO222" s="882" t="s">
        <v>1579</v>
      </c>
      <c r="BP222" s="882" t="s">
        <v>2286</v>
      </c>
      <c r="BQ222" s="882" t="s">
        <v>2285</v>
      </c>
      <c r="BR222" s="880"/>
      <c r="BS222" s="880"/>
      <c r="BT222" s="880"/>
      <c r="BU222" s="880"/>
      <c r="BV222" s="880"/>
      <c r="BW222" s="883">
        <v>0</v>
      </c>
      <c r="BX222" s="883">
        <v>0</v>
      </c>
      <c r="BY222" s="883">
        <v>0</v>
      </c>
      <c r="BZ222" s="890"/>
      <c r="CA222" s="883">
        <f t="shared" si="79"/>
        <v>0</v>
      </c>
      <c r="CB222" s="880"/>
      <c r="CC222" s="881"/>
      <c r="CD222" s="883"/>
      <c r="CE222" s="883"/>
      <c r="CF222" s="883"/>
      <c r="CG222" s="883"/>
      <c r="CH222" s="883"/>
      <c r="CI222" s="883"/>
      <c r="CJ222" s="883"/>
      <c r="CK222" s="883"/>
      <c r="CL222" s="883"/>
      <c r="CM222" s="883"/>
      <c r="CN222" s="883"/>
      <c r="CO222" s="883"/>
      <c r="CP222" s="883"/>
      <c r="CQ222" s="883"/>
      <c r="CR222" s="883"/>
      <c r="CS222" s="883"/>
      <c r="CT222" s="883"/>
      <c r="CU222" s="883"/>
    </row>
    <row r="223" spans="1:99" x14ac:dyDescent="0.25">
      <c r="A223" s="880" t="s">
        <v>1787</v>
      </c>
      <c r="B223" s="881" t="s">
        <v>1788</v>
      </c>
      <c r="C223" s="880"/>
      <c r="D223" s="880"/>
      <c r="E223" s="884" t="s">
        <v>744</v>
      </c>
      <c r="F223" s="888">
        <v>1</v>
      </c>
      <c r="G223" s="881" t="s">
        <v>1007</v>
      </c>
      <c r="H223" s="881" t="s">
        <v>19</v>
      </c>
      <c r="I223" s="865">
        <v>46142</v>
      </c>
      <c r="J223" s="882" t="s">
        <v>8</v>
      </c>
      <c r="K223" s="880"/>
      <c r="L223" s="880"/>
      <c r="M223" s="883">
        <v>0</v>
      </c>
      <c r="N223" s="883">
        <v>0</v>
      </c>
      <c r="O223" s="883">
        <v>0</v>
      </c>
      <c r="P223" s="883">
        <v>31.25</v>
      </c>
      <c r="Q223" s="883">
        <v>15</v>
      </c>
      <c r="R223" s="883">
        <f t="shared" si="64"/>
        <v>4.6900000000000004</v>
      </c>
      <c r="S223" s="883">
        <v>0</v>
      </c>
      <c r="T223" s="883">
        <v>5</v>
      </c>
      <c r="U223" s="883">
        <f t="shared" si="65"/>
        <v>0</v>
      </c>
      <c r="V223" s="883">
        <v>0</v>
      </c>
      <c r="W223" s="883">
        <v>8</v>
      </c>
      <c r="X223" s="883">
        <f t="shared" si="66"/>
        <v>0</v>
      </c>
      <c r="Y223" s="883">
        <v>0</v>
      </c>
      <c r="Z223" s="883">
        <v>0</v>
      </c>
      <c r="AA223" s="883">
        <v>0</v>
      </c>
      <c r="AB223" s="883">
        <f t="shared" si="67"/>
        <v>35.94</v>
      </c>
      <c r="AC223" s="883">
        <v>0</v>
      </c>
      <c r="AD223" s="881"/>
      <c r="AE223" s="880"/>
      <c r="AF223" s="883"/>
      <c r="AG223" s="889"/>
      <c r="AH223" s="880"/>
      <c r="AI223" s="880" t="s">
        <v>1241</v>
      </c>
      <c r="AJ223" s="884">
        <v>411</v>
      </c>
      <c r="AK223" s="883">
        <f t="shared" si="68"/>
        <v>31.25</v>
      </c>
      <c r="AL223" s="884">
        <v>413</v>
      </c>
      <c r="AM223" s="883">
        <f t="shared" si="69"/>
        <v>0</v>
      </c>
      <c r="AN223" s="884">
        <v>441</v>
      </c>
      <c r="AO223" s="883">
        <f t="shared" si="70"/>
        <v>0</v>
      </c>
      <c r="AP223" s="881"/>
      <c r="AQ223" s="881"/>
      <c r="AR223" s="883">
        <v>0</v>
      </c>
      <c r="AS223" s="883">
        <v>0</v>
      </c>
      <c r="AT223" s="883">
        <v>0</v>
      </c>
      <c r="AU223" s="880"/>
      <c r="AV223" s="886"/>
      <c r="AW223" s="880"/>
      <c r="AX223" s="886"/>
      <c r="AY223" s="880"/>
      <c r="AZ223" s="880"/>
      <c r="BA223" s="881"/>
      <c r="BB223" s="881" t="s">
        <v>57</v>
      </c>
      <c r="BC223" s="881"/>
      <c r="BD223" s="881"/>
      <c r="BE223" s="884">
        <f t="shared" si="71"/>
        <v>4</v>
      </c>
      <c r="BF223" s="887" t="str">
        <f t="shared" si="72"/>
        <v>SI</v>
      </c>
      <c r="BG223" s="883">
        <f t="shared" si="73"/>
        <v>31.25</v>
      </c>
      <c r="BH223" s="883">
        <f t="shared" si="74"/>
        <v>0</v>
      </c>
      <c r="BI223" s="883">
        <f t="shared" si="75"/>
        <v>0</v>
      </c>
      <c r="BJ223" s="883">
        <f t="shared" si="76"/>
        <v>0</v>
      </c>
      <c r="BK223" s="883">
        <f t="shared" si="77"/>
        <v>0</v>
      </c>
      <c r="BL223" s="883">
        <f t="shared" si="78"/>
        <v>4.6900000000000004</v>
      </c>
      <c r="BM223" s="881"/>
      <c r="BN223" s="880"/>
      <c r="BO223" s="882" t="s">
        <v>1579</v>
      </c>
      <c r="BP223" s="882" t="s">
        <v>2286</v>
      </c>
      <c r="BQ223" s="882" t="s">
        <v>2285</v>
      </c>
      <c r="BR223" s="880"/>
      <c r="BS223" s="880"/>
      <c r="BT223" s="880"/>
      <c r="BU223" s="880"/>
      <c r="BV223" s="880"/>
      <c r="BW223" s="883">
        <v>0</v>
      </c>
      <c r="BX223" s="883">
        <v>0</v>
      </c>
      <c r="BY223" s="883">
        <v>0</v>
      </c>
      <c r="BZ223" s="890"/>
      <c r="CA223" s="883">
        <f t="shared" si="79"/>
        <v>0</v>
      </c>
      <c r="CB223" s="880"/>
      <c r="CC223" s="881"/>
      <c r="CD223" s="883"/>
      <c r="CE223" s="883"/>
      <c r="CF223" s="883"/>
      <c r="CG223" s="883"/>
      <c r="CH223" s="883"/>
      <c r="CI223" s="883"/>
      <c r="CJ223" s="883"/>
      <c r="CK223" s="883"/>
      <c r="CL223" s="883"/>
      <c r="CM223" s="883"/>
      <c r="CN223" s="883"/>
      <c r="CO223" s="883"/>
      <c r="CP223" s="883"/>
      <c r="CQ223" s="883"/>
      <c r="CR223" s="883"/>
      <c r="CS223" s="883"/>
      <c r="CT223" s="883"/>
      <c r="CU223" s="883"/>
    </row>
    <row r="224" spans="1:99" x14ac:dyDescent="0.25">
      <c r="A224" s="880" t="s">
        <v>1787</v>
      </c>
      <c r="B224" s="881" t="s">
        <v>1788</v>
      </c>
      <c r="C224" s="880"/>
      <c r="D224" s="880"/>
      <c r="E224" s="884" t="s">
        <v>744</v>
      </c>
      <c r="F224" s="888">
        <v>1</v>
      </c>
      <c r="G224" s="881" t="s">
        <v>1007</v>
      </c>
      <c r="H224" s="881" t="s">
        <v>19</v>
      </c>
      <c r="I224" s="865">
        <v>46142</v>
      </c>
      <c r="J224" s="882" t="s">
        <v>8</v>
      </c>
      <c r="K224" s="880"/>
      <c r="L224" s="880"/>
      <c r="M224" s="883">
        <v>0</v>
      </c>
      <c r="N224" s="883">
        <v>0</v>
      </c>
      <c r="O224" s="883">
        <v>0</v>
      </c>
      <c r="P224" s="883">
        <v>26.08</v>
      </c>
      <c r="Q224" s="883">
        <v>15</v>
      </c>
      <c r="R224" s="883">
        <f t="shared" si="64"/>
        <v>3.91</v>
      </c>
      <c r="S224" s="883">
        <v>0</v>
      </c>
      <c r="T224" s="883">
        <v>5</v>
      </c>
      <c r="U224" s="883">
        <f t="shared" si="65"/>
        <v>0</v>
      </c>
      <c r="V224" s="883">
        <v>0</v>
      </c>
      <c r="W224" s="883">
        <v>8</v>
      </c>
      <c r="X224" s="883">
        <f t="shared" si="66"/>
        <v>0</v>
      </c>
      <c r="Y224" s="883">
        <v>0</v>
      </c>
      <c r="Z224" s="883">
        <v>0</v>
      </c>
      <c r="AA224" s="883">
        <v>0</v>
      </c>
      <c r="AB224" s="883">
        <f t="shared" si="67"/>
        <v>29.99</v>
      </c>
      <c r="AC224" s="883">
        <v>0</v>
      </c>
      <c r="AD224" s="881"/>
      <c r="AE224" s="880"/>
      <c r="AF224" s="883"/>
      <c r="AG224" s="889"/>
      <c r="AH224" s="880"/>
      <c r="AI224" s="880" t="s">
        <v>1241</v>
      </c>
      <c r="AJ224" s="884">
        <v>411</v>
      </c>
      <c r="AK224" s="883">
        <f t="shared" si="68"/>
        <v>26.08</v>
      </c>
      <c r="AL224" s="884">
        <v>413</v>
      </c>
      <c r="AM224" s="883">
        <f t="shared" si="69"/>
        <v>0</v>
      </c>
      <c r="AN224" s="884">
        <v>441</v>
      </c>
      <c r="AO224" s="883">
        <f t="shared" si="70"/>
        <v>0</v>
      </c>
      <c r="AP224" s="881"/>
      <c r="AQ224" s="881"/>
      <c r="AR224" s="883">
        <v>0</v>
      </c>
      <c r="AS224" s="883">
        <v>0</v>
      </c>
      <c r="AT224" s="883">
        <v>0</v>
      </c>
      <c r="AU224" s="880"/>
      <c r="AV224" s="886"/>
      <c r="AW224" s="880"/>
      <c r="AX224" s="886"/>
      <c r="AY224" s="880"/>
      <c r="AZ224" s="880"/>
      <c r="BA224" s="881"/>
      <c r="BB224" s="881" t="s">
        <v>57</v>
      </c>
      <c r="BC224" s="881"/>
      <c r="BD224" s="881"/>
      <c r="BE224" s="884">
        <f t="shared" si="71"/>
        <v>4</v>
      </c>
      <c r="BF224" s="887" t="str">
        <f t="shared" si="72"/>
        <v>SI</v>
      </c>
      <c r="BG224" s="883">
        <f t="shared" si="73"/>
        <v>26.08</v>
      </c>
      <c r="BH224" s="883">
        <f t="shared" si="74"/>
        <v>0</v>
      </c>
      <c r="BI224" s="883">
        <f t="shared" si="75"/>
        <v>0</v>
      </c>
      <c r="BJ224" s="883">
        <f t="shared" si="76"/>
        <v>0</v>
      </c>
      <c r="BK224" s="883">
        <f t="shared" si="77"/>
        <v>0</v>
      </c>
      <c r="BL224" s="883">
        <f t="shared" si="78"/>
        <v>3.91</v>
      </c>
      <c r="BM224" s="881"/>
      <c r="BN224" s="880"/>
      <c r="BO224" s="882" t="s">
        <v>1579</v>
      </c>
      <c r="BP224" s="882" t="s">
        <v>2286</v>
      </c>
      <c r="BQ224" s="882" t="s">
        <v>2285</v>
      </c>
      <c r="BR224" s="880"/>
      <c r="BS224" s="880"/>
      <c r="BT224" s="880"/>
      <c r="BU224" s="880"/>
      <c r="BV224" s="880"/>
      <c r="BW224" s="883">
        <v>0</v>
      </c>
      <c r="BX224" s="883">
        <v>0</v>
      </c>
      <c r="BY224" s="883">
        <v>0</v>
      </c>
      <c r="BZ224" s="890"/>
      <c r="CA224" s="883">
        <f t="shared" si="79"/>
        <v>0</v>
      </c>
      <c r="CB224" s="880"/>
      <c r="CC224" s="881"/>
      <c r="CD224" s="883"/>
      <c r="CE224" s="883"/>
      <c r="CF224" s="883"/>
      <c r="CG224" s="883"/>
      <c r="CH224" s="883"/>
      <c r="CI224" s="883"/>
      <c r="CJ224" s="883"/>
      <c r="CK224" s="883"/>
      <c r="CL224" s="883"/>
      <c r="CM224" s="883"/>
      <c r="CN224" s="883"/>
      <c r="CO224" s="883"/>
      <c r="CP224" s="883"/>
      <c r="CQ224" s="883"/>
      <c r="CR224" s="883"/>
      <c r="CS224" s="883"/>
      <c r="CT224" s="883"/>
      <c r="CU224" s="883"/>
    </row>
    <row r="225" spans="1:99" x14ac:dyDescent="0.25">
      <c r="A225" s="880" t="s">
        <v>1787</v>
      </c>
      <c r="B225" s="881" t="s">
        <v>1788</v>
      </c>
      <c r="C225" s="880"/>
      <c r="D225" s="880"/>
      <c r="E225" s="884" t="s">
        <v>744</v>
      </c>
      <c r="F225" s="888">
        <v>1</v>
      </c>
      <c r="G225" s="881" t="s">
        <v>1007</v>
      </c>
      <c r="H225" s="881" t="s">
        <v>19</v>
      </c>
      <c r="I225" s="865">
        <v>46142</v>
      </c>
      <c r="J225" s="882" t="s">
        <v>8</v>
      </c>
      <c r="K225" s="880"/>
      <c r="L225" s="880"/>
      <c r="M225" s="883">
        <v>0</v>
      </c>
      <c r="N225" s="883">
        <v>0</v>
      </c>
      <c r="O225" s="883">
        <v>0</v>
      </c>
      <c r="P225" s="883">
        <v>21.74</v>
      </c>
      <c r="Q225" s="883">
        <v>15</v>
      </c>
      <c r="R225" s="883">
        <f t="shared" si="64"/>
        <v>3.26</v>
      </c>
      <c r="S225" s="883">
        <v>0</v>
      </c>
      <c r="T225" s="883">
        <v>5</v>
      </c>
      <c r="U225" s="883">
        <f t="shared" si="65"/>
        <v>0</v>
      </c>
      <c r="V225" s="883">
        <v>0</v>
      </c>
      <c r="W225" s="883">
        <v>8</v>
      </c>
      <c r="X225" s="883">
        <f t="shared" si="66"/>
        <v>0</v>
      </c>
      <c r="Y225" s="883">
        <v>0</v>
      </c>
      <c r="Z225" s="883">
        <v>0</v>
      </c>
      <c r="AA225" s="883">
        <v>0</v>
      </c>
      <c r="AB225" s="883">
        <f t="shared" si="67"/>
        <v>25</v>
      </c>
      <c r="AC225" s="883">
        <v>0</v>
      </c>
      <c r="AD225" s="881"/>
      <c r="AE225" s="880"/>
      <c r="AF225" s="883"/>
      <c r="AG225" s="889"/>
      <c r="AH225" s="880"/>
      <c r="AI225" s="880" t="s">
        <v>1241</v>
      </c>
      <c r="AJ225" s="884">
        <v>411</v>
      </c>
      <c r="AK225" s="883">
        <f t="shared" si="68"/>
        <v>21.74</v>
      </c>
      <c r="AL225" s="884">
        <v>413</v>
      </c>
      <c r="AM225" s="883">
        <f t="shared" si="69"/>
        <v>0</v>
      </c>
      <c r="AN225" s="884">
        <v>441</v>
      </c>
      <c r="AO225" s="883">
        <f t="shared" si="70"/>
        <v>0</v>
      </c>
      <c r="AP225" s="881"/>
      <c r="AQ225" s="881"/>
      <c r="AR225" s="883">
        <v>0</v>
      </c>
      <c r="AS225" s="883">
        <v>0</v>
      </c>
      <c r="AT225" s="883">
        <v>0</v>
      </c>
      <c r="AU225" s="880"/>
      <c r="AV225" s="886"/>
      <c r="AW225" s="880"/>
      <c r="AX225" s="886"/>
      <c r="AY225" s="880"/>
      <c r="AZ225" s="880"/>
      <c r="BA225" s="881"/>
      <c r="BB225" s="881" t="s">
        <v>57</v>
      </c>
      <c r="BC225" s="881"/>
      <c r="BD225" s="881"/>
      <c r="BE225" s="884">
        <f t="shared" si="71"/>
        <v>4</v>
      </c>
      <c r="BF225" s="887" t="str">
        <f t="shared" si="72"/>
        <v>SI</v>
      </c>
      <c r="BG225" s="883">
        <f t="shared" si="73"/>
        <v>21.74</v>
      </c>
      <c r="BH225" s="883">
        <f t="shared" si="74"/>
        <v>0</v>
      </c>
      <c r="BI225" s="883">
        <f t="shared" si="75"/>
        <v>0</v>
      </c>
      <c r="BJ225" s="883">
        <f t="shared" si="76"/>
        <v>0</v>
      </c>
      <c r="BK225" s="883">
        <f t="shared" si="77"/>
        <v>0</v>
      </c>
      <c r="BL225" s="883">
        <f t="shared" si="78"/>
        <v>3.26</v>
      </c>
      <c r="BM225" s="881"/>
      <c r="BN225" s="880"/>
      <c r="BO225" s="882" t="s">
        <v>1579</v>
      </c>
      <c r="BP225" s="882" t="s">
        <v>2286</v>
      </c>
      <c r="BQ225" s="882" t="s">
        <v>2285</v>
      </c>
      <c r="BR225" s="880"/>
      <c r="BS225" s="880"/>
      <c r="BT225" s="880"/>
      <c r="BU225" s="880"/>
      <c r="BV225" s="880"/>
      <c r="BW225" s="883">
        <v>0</v>
      </c>
      <c r="BX225" s="883">
        <v>0</v>
      </c>
      <c r="BY225" s="883">
        <v>0</v>
      </c>
      <c r="BZ225" s="890"/>
      <c r="CA225" s="883">
        <f t="shared" si="79"/>
        <v>0</v>
      </c>
      <c r="CB225" s="880"/>
      <c r="CC225" s="881"/>
      <c r="CD225" s="883"/>
      <c r="CE225" s="883"/>
      <c r="CF225" s="883"/>
      <c r="CG225" s="883"/>
      <c r="CH225" s="883"/>
      <c r="CI225" s="883"/>
      <c r="CJ225" s="883"/>
      <c r="CK225" s="883"/>
      <c r="CL225" s="883"/>
      <c r="CM225" s="883"/>
      <c r="CN225" s="883"/>
      <c r="CO225" s="883"/>
      <c r="CP225" s="883"/>
      <c r="CQ225" s="883"/>
      <c r="CR225" s="883"/>
      <c r="CS225" s="883"/>
      <c r="CT225" s="883"/>
      <c r="CU225" s="883"/>
    </row>
    <row r="226" spans="1:99" x14ac:dyDescent="0.25">
      <c r="A226" s="880" t="s">
        <v>1787</v>
      </c>
      <c r="B226" s="881" t="s">
        <v>1788</v>
      </c>
      <c r="C226" s="880"/>
      <c r="D226" s="880"/>
      <c r="E226" s="884" t="s">
        <v>744</v>
      </c>
      <c r="F226" s="888">
        <v>1</v>
      </c>
      <c r="G226" s="881" t="s">
        <v>1007</v>
      </c>
      <c r="H226" s="881" t="s">
        <v>19</v>
      </c>
      <c r="I226" s="865">
        <v>46142</v>
      </c>
      <c r="J226" s="882" t="s">
        <v>8</v>
      </c>
      <c r="K226" s="880"/>
      <c r="L226" s="880"/>
      <c r="M226" s="883">
        <v>0</v>
      </c>
      <c r="N226" s="883">
        <v>0</v>
      </c>
      <c r="O226" s="883">
        <v>0</v>
      </c>
      <c r="P226" s="883">
        <v>34.78</v>
      </c>
      <c r="Q226" s="883">
        <v>15</v>
      </c>
      <c r="R226" s="883">
        <f t="shared" si="64"/>
        <v>5.22</v>
      </c>
      <c r="S226" s="883">
        <v>0</v>
      </c>
      <c r="T226" s="883">
        <v>5</v>
      </c>
      <c r="U226" s="883">
        <f t="shared" si="65"/>
        <v>0</v>
      </c>
      <c r="V226" s="883">
        <v>0</v>
      </c>
      <c r="W226" s="883">
        <v>8</v>
      </c>
      <c r="X226" s="883">
        <f t="shared" si="66"/>
        <v>0</v>
      </c>
      <c r="Y226" s="883">
        <v>0</v>
      </c>
      <c r="Z226" s="883">
        <v>0</v>
      </c>
      <c r="AA226" s="883">
        <v>0</v>
      </c>
      <c r="AB226" s="883">
        <f t="shared" si="67"/>
        <v>40</v>
      </c>
      <c r="AC226" s="883">
        <v>0</v>
      </c>
      <c r="AD226" s="881"/>
      <c r="AE226" s="880"/>
      <c r="AF226" s="883"/>
      <c r="AG226" s="889"/>
      <c r="AH226" s="880"/>
      <c r="AI226" s="880" t="s">
        <v>1241</v>
      </c>
      <c r="AJ226" s="884">
        <v>411</v>
      </c>
      <c r="AK226" s="883">
        <f t="shared" si="68"/>
        <v>34.78</v>
      </c>
      <c r="AL226" s="884">
        <v>413</v>
      </c>
      <c r="AM226" s="883">
        <f t="shared" si="69"/>
        <v>0</v>
      </c>
      <c r="AN226" s="884">
        <v>441</v>
      </c>
      <c r="AO226" s="883">
        <f t="shared" si="70"/>
        <v>0</v>
      </c>
      <c r="AP226" s="881"/>
      <c r="AQ226" s="881"/>
      <c r="AR226" s="883">
        <v>0</v>
      </c>
      <c r="AS226" s="883">
        <v>0</v>
      </c>
      <c r="AT226" s="883">
        <v>0</v>
      </c>
      <c r="AU226" s="880"/>
      <c r="AV226" s="886"/>
      <c r="AW226" s="880"/>
      <c r="AX226" s="886"/>
      <c r="AY226" s="880"/>
      <c r="AZ226" s="880"/>
      <c r="BA226" s="881"/>
      <c r="BB226" s="881" t="s">
        <v>57</v>
      </c>
      <c r="BC226" s="881"/>
      <c r="BD226" s="881"/>
      <c r="BE226" s="884">
        <f t="shared" si="71"/>
        <v>4</v>
      </c>
      <c r="BF226" s="887" t="str">
        <f t="shared" si="72"/>
        <v>SI</v>
      </c>
      <c r="BG226" s="883">
        <f t="shared" si="73"/>
        <v>34.78</v>
      </c>
      <c r="BH226" s="883">
        <f t="shared" si="74"/>
        <v>0</v>
      </c>
      <c r="BI226" s="883">
        <f t="shared" si="75"/>
        <v>0</v>
      </c>
      <c r="BJ226" s="883">
        <f t="shared" si="76"/>
        <v>0</v>
      </c>
      <c r="BK226" s="883">
        <f t="shared" si="77"/>
        <v>0</v>
      </c>
      <c r="BL226" s="883">
        <f t="shared" si="78"/>
        <v>5.22</v>
      </c>
      <c r="BM226" s="881"/>
      <c r="BN226" s="880"/>
      <c r="BO226" s="882" t="s">
        <v>1579</v>
      </c>
      <c r="BP226" s="882" t="s">
        <v>2286</v>
      </c>
      <c r="BQ226" s="882" t="s">
        <v>2285</v>
      </c>
      <c r="BR226" s="880"/>
      <c r="BS226" s="880"/>
      <c r="BT226" s="880"/>
      <c r="BU226" s="880"/>
      <c r="BV226" s="880"/>
      <c r="BW226" s="883">
        <v>0</v>
      </c>
      <c r="BX226" s="883">
        <v>0</v>
      </c>
      <c r="BY226" s="883">
        <v>0</v>
      </c>
      <c r="BZ226" s="890"/>
      <c r="CA226" s="883">
        <f t="shared" si="79"/>
        <v>0</v>
      </c>
      <c r="CB226" s="880"/>
      <c r="CC226" s="881"/>
      <c r="CD226" s="883"/>
      <c r="CE226" s="883"/>
      <c r="CF226" s="883"/>
      <c r="CG226" s="883"/>
      <c r="CH226" s="883"/>
      <c r="CI226" s="883"/>
      <c r="CJ226" s="883"/>
      <c r="CK226" s="883"/>
      <c r="CL226" s="883"/>
      <c r="CM226" s="883"/>
      <c r="CN226" s="883"/>
      <c r="CO226" s="883"/>
      <c r="CP226" s="883"/>
      <c r="CQ226" s="883"/>
      <c r="CR226" s="883"/>
      <c r="CS226" s="883"/>
      <c r="CT226" s="883"/>
      <c r="CU226" s="883"/>
    </row>
    <row r="227" spans="1:99" x14ac:dyDescent="0.25">
      <c r="A227" s="880" t="s">
        <v>1787</v>
      </c>
      <c r="B227" s="881" t="s">
        <v>1788</v>
      </c>
      <c r="C227" s="880"/>
      <c r="D227" s="880"/>
      <c r="E227" s="884" t="s">
        <v>744</v>
      </c>
      <c r="F227" s="888">
        <v>1</v>
      </c>
      <c r="G227" s="881" t="s">
        <v>1007</v>
      </c>
      <c r="H227" s="881" t="s">
        <v>19</v>
      </c>
      <c r="I227" s="865">
        <v>46142</v>
      </c>
      <c r="J227" s="882" t="s">
        <v>8</v>
      </c>
      <c r="K227" s="880"/>
      <c r="L227" s="880"/>
      <c r="M227" s="883">
        <v>0</v>
      </c>
      <c r="N227" s="883">
        <v>0</v>
      </c>
      <c r="O227" s="883">
        <v>0</v>
      </c>
      <c r="P227" s="883">
        <v>21.74</v>
      </c>
      <c r="Q227" s="883">
        <v>15</v>
      </c>
      <c r="R227" s="883">
        <f t="shared" si="64"/>
        <v>3.26</v>
      </c>
      <c r="S227" s="883">
        <v>0</v>
      </c>
      <c r="T227" s="883">
        <v>5</v>
      </c>
      <c r="U227" s="883">
        <f t="shared" si="65"/>
        <v>0</v>
      </c>
      <c r="V227" s="883">
        <v>0</v>
      </c>
      <c r="W227" s="883">
        <v>8</v>
      </c>
      <c r="X227" s="883">
        <f t="shared" si="66"/>
        <v>0</v>
      </c>
      <c r="Y227" s="883">
        <v>0</v>
      </c>
      <c r="Z227" s="883">
        <v>0</v>
      </c>
      <c r="AA227" s="883">
        <v>0</v>
      </c>
      <c r="AB227" s="883">
        <f t="shared" si="67"/>
        <v>25</v>
      </c>
      <c r="AC227" s="883">
        <v>0</v>
      </c>
      <c r="AD227" s="881"/>
      <c r="AE227" s="880"/>
      <c r="AF227" s="883"/>
      <c r="AG227" s="889"/>
      <c r="AH227" s="880"/>
      <c r="AI227" s="880" t="s">
        <v>1241</v>
      </c>
      <c r="AJ227" s="884">
        <v>411</v>
      </c>
      <c r="AK227" s="883">
        <f t="shared" si="68"/>
        <v>21.74</v>
      </c>
      <c r="AL227" s="884">
        <v>413</v>
      </c>
      <c r="AM227" s="883">
        <f t="shared" si="69"/>
        <v>0</v>
      </c>
      <c r="AN227" s="884">
        <v>441</v>
      </c>
      <c r="AO227" s="883">
        <f t="shared" si="70"/>
        <v>0</v>
      </c>
      <c r="AP227" s="881"/>
      <c r="AQ227" s="881"/>
      <c r="AR227" s="883">
        <v>0</v>
      </c>
      <c r="AS227" s="883">
        <v>0</v>
      </c>
      <c r="AT227" s="883">
        <v>0</v>
      </c>
      <c r="AU227" s="880"/>
      <c r="AV227" s="886"/>
      <c r="AW227" s="880"/>
      <c r="AX227" s="886"/>
      <c r="AY227" s="880"/>
      <c r="AZ227" s="880"/>
      <c r="BA227" s="881"/>
      <c r="BB227" s="881" t="s">
        <v>57</v>
      </c>
      <c r="BC227" s="881"/>
      <c r="BD227" s="881"/>
      <c r="BE227" s="884">
        <f t="shared" si="71"/>
        <v>4</v>
      </c>
      <c r="BF227" s="887" t="str">
        <f t="shared" si="72"/>
        <v>SI</v>
      </c>
      <c r="BG227" s="883">
        <f t="shared" si="73"/>
        <v>21.74</v>
      </c>
      <c r="BH227" s="883">
        <f t="shared" si="74"/>
        <v>0</v>
      </c>
      <c r="BI227" s="883">
        <f t="shared" si="75"/>
        <v>0</v>
      </c>
      <c r="BJ227" s="883">
        <f t="shared" si="76"/>
        <v>0</v>
      </c>
      <c r="BK227" s="883">
        <f t="shared" si="77"/>
        <v>0</v>
      </c>
      <c r="BL227" s="883">
        <f t="shared" si="78"/>
        <v>3.26</v>
      </c>
      <c r="BM227" s="881"/>
      <c r="BN227" s="880"/>
      <c r="BO227" s="882" t="s">
        <v>1579</v>
      </c>
      <c r="BP227" s="882" t="s">
        <v>2286</v>
      </c>
      <c r="BQ227" s="882" t="s">
        <v>2285</v>
      </c>
      <c r="BR227" s="880"/>
      <c r="BS227" s="880"/>
      <c r="BT227" s="880"/>
      <c r="BU227" s="880"/>
      <c r="BV227" s="880"/>
      <c r="BW227" s="883">
        <v>0</v>
      </c>
      <c r="BX227" s="883">
        <v>0</v>
      </c>
      <c r="BY227" s="883">
        <v>0</v>
      </c>
      <c r="BZ227" s="890"/>
      <c r="CA227" s="883">
        <f t="shared" si="79"/>
        <v>0</v>
      </c>
      <c r="CB227" s="880"/>
      <c r="CC227" s="881"/>
      <c r="CD227" s="883"/>
      <c r="CE227" s="883"/>
      <c r="CF227" s="883"/>
      <c r="CG227" s="883"/>
      <c r="CH227" s="883"/>
      <c r="CI227" s="883"/>
      <c r="CJ227" s="883"/>
      <c r="CK227" s="883"/>
      <c r="CL227" s="883"/>
      <c r="CM227" s="883"/>
      <c r="CN227" s="883"/>
      <c r="CO227" s="883"/>
      <c r="CP227" s="883"/>
      <c r="CQ227" s="883"/>
      <c r="CR227" s="883"/>
      <c r="CS227" s="883"/>
      <c r="CT227" s="883"/>
      <c r="CU227" s="883"/>
    </row>
    <row r="228" spans="1:99" x14ac:dyDescent="0.25">
      <c r="A228" s="880" t="s">
        <v>1787</v>
      </c>
      <c r="B228" s="881" t="s">
        <v>1788</v>
      </c>
      <c r="C228" s="880"/>
      <c r="D228" s="880"/>
      <c r="E228" s="884" t="s">
        <v>744</v>
      </c>
      <c r="F228" s="888">
        <v>1</v>
      </c>
      <c r="G228" s="881" t="s">
        <v>1007</v>
      </c>
      <c r="H228" s="881" t="s">
        <v>19</v>
      </c>
      <c r="I228" s="865">
        <v>46142</v>
      </c>
      <c r="J228" s="882" t="s">
        <v>8</v>
      </c>
      <c r="K228" s="880"/>
      <c r="L228" s="880"/>
      <c r="M228" s="883">
        <v>0</v>
      </c>
      <c r="N228" s="883">
        <v>0</v>
      </c>
      <c r="O228" s="883">
        <v>0</v>
      </c>
      <c r="P228" s="883">
        <v>26.08</v>
      </c>
      <c r="Q228" s="883">
        <v>15</v>
      </c>
      <c r="R228" s="883">
        <f t="shared" si="64"/>
        <v>3.91</v>
      </c>
      <c r="S228" s="883">
        <v>0</v>
      </c>
      <c r="T228" s="883">
        <v>5</v>
      </c>
      <c r="U228" s="883">
        <f t="shared" si="65"/>
        <v>0</v>
      </c>
      <c r="V228" s="883">
        <v>0</v>
      </c>
      <c r="W228" s="883">
        <v>8</v>
      </c>
      <c r="X228" s="883">
        <f t="shared" si="66"/>
        <v>0</v>
      </c>
      <c r="Y228" s="883">
        <v>0</v>
      </c>
      <c r="Z228" s="883">
        <v>0</v>
      </c>
      <c r="AA228" s="883">
        <v>0</v>
      </c>
      <c r="AB228" s="883">
        <f t="shared" si="67"/>
        <v>29.99</v>
      </c>
      <c r="AC228" s="883">
        <v>0</v>
      </c>
      <c r="AD228" s="881"/>
      <c r="AE228" s="880"/>
      <c r="AF228" s="883"/>
      <c r="AG228" s="889"/>
      <c r="AH228" s="880"/>
      <c r="AI228" s="880" t="s">
        <v>1241</v>
      </c>
      <c r="AJ228" s="884">
        <v>411</v>
      </c>
      <c r="AK228" s="883">
        <f t="shared" si="68"/>
        <v>26.08</v>
      </c>
      <c r="AL228" s="884">
        <v>413</v>
      </c>
      <c r="AM228" s="883">
        <f t="shared" si="69"/>
        <v>0</v>
      </c>
      <c r="AN228" s="884">
        <v>441</v>
      </c>
      <c r="AO228" s="883">
        <f t="shared" si="70"/>
        <v>0</v>
      </c>
      <c r="AP228" s="881"/>
      <c r="AQ228" s="881"/>
      <c r="AR228" s="883">
        <v>0</v>
      </c>
      <c r="AS228" s="883">
        <v>0</v>
      </c>
      <c r="AT228" s="883">
        <v>0</v>
      </c>
      <c r="AU228" s="880"/>
      <c r="AV228" s="886"/>
      <c r="AW228" s="880"/>
      <c r="AX228" s="886"/>
      <c r="AY228" s="880"/>
      <c r="AZ228" s="880"/>
      <c r="BA228" s="881"/>
      <c r="BB228" s="881" t="s">
        <v>57</v>
      </c>
      <c r="BC228" s="881"/>
      <c r="BD228" s="881"/>
      <c r="BE228" s="884">
        <f t="shared" si="71"/>
        <v>4</v>
      </c>
      <c r="BF228" s="887" t="str">
        <f t="shared" si="72"/>
        <v>SI</v>
      </c>
      <c r="BG228" s="883">
        <f t="shared" si="73"/>
        <v>26.08</v>
      </c>
      <c r="BH228" s="883">
        <f t="shared" si="74"/>
        <v>0</v>
      </c>
      <c r="BI228" s="883">
        <f t="shared" si="75"/>
        <v>0</v>
      </c>
      <c r="BJ228" s="883">
        <f t="shared" si="76"/>
        <v>0</v>
      </c>
      <c r="BK228" s="883">
        <f t="shared" si="77"/>
        <v>0</v>
      </c>
      <c r="BL228" s="883">
        <f t="shared" si="78"/>
        <v>3.91</v>
      </c>
      <c r="BM228" s="881"/>
      <c r="BN228" s="880"/>
      <c r="BO228" s="882" t="s">
        <v>1579</v>
      </c>
      <c r="BP228" s="882" t="s">
        <v>2286</v>
      </c>
      <c r="BQ228" s="882" t="s">
        <v>2285</v>
      </c>
      <c r="BR228" s="880"/>
      <c r="BS228" s="880"/>
      <c r="BT228" s="880"/>
      <c r="BU228" s="880"/>
      <c r="BV228" s="880"/>
      <c r="BW228" s="883">
        <v>0</v>
      </c>
      <c r="BX228" s="883">
        <v>0</v>
      </c>
      <c r="BY228" s="883">
        <v>0</v>
      </c>
      <c r="BZ228" s="890"/>
      <c r="CA228" s="883">
        <f t="shared" si="79"/>
        <v>0</v>
      </c>
      <c r="CB228" s="880"/>
      <c r="CC228" s="881"/>
      <c r="CD228" s="883"/>
      <c r="CE228" s="883"/>
      <c r="CF228" s="883"/>
      <c r="CG228" s="883"/>
      <c r="CH228" s="883"/>
      <c r="CI228" s="883"/>
      <c r="CJ228" s="883"/>
      <c r="CK228" s="883"/>
      <c r="CL228" s="883"/>
      <c r="CM228" s="883"/>
      <c r="CN228" s="883"/>
      <c r="CO228" s="883"/>
      <c r="CP228" s="883"/>
      <c r="CQ228" s="883"/>
      <c r="CR228" s="883"/>
      <c r="CS228" s="883"/>
      <c r="CT228" s="883"/>
      <c r="CU228" s="883"/>
    </row>
    <row r="229" spans="1:99" x14ac:dyDescent="0.25">
      <c r="A229" s="880" t="s">
        <v>1787</v>
      </c>
      <c r="B229" s="881" t="s">
        <v>1788</v>
      </c>
      <c r="C229" s="880"/>
      <c r="D229" s="880"/>
      <c r="E229" s="884" t="s">
        <v>744</v>
      </c>
      <c r="F229" s="888">
        <v>1</v>
      </c>
      <c r="G229" s="881" t="s">
        <v>1007</v>
      </c>
      <c r="H229" s="881" t="s">
        <v>19</v>
      </c>
      <c r="I229" s="865">
        <v>46142</v>
      </c>
      <c r="J229" s="882" t="s">
        <v>8</v>
      </c>
      <c r="K229" s="880"/>
      <c r="L229" s="880"/>
      <c r="M229" s="883">
        <v>0</v>
      </c>
      <c r="N229" s="883">
        <v>0</v>
      </c>
      <c r="O229" s="883">
        <v>0</v>
      </c>
      <c r="P229" s="883">
        <v>22.32</v>
      </c>
      <c r="Q229" s="883">
        <v>15</v>
      </c>
      <c r="R229" s="883">
        <f t="shared" si="64"/>
        <v>3.35</v>
      </c>
      <c r="S229" s="883">
        <v>0</v>
      </c>
      <c r="T229" s="883">
        <v>5</v>
      </c>
      <c r="U229" s="883">
        <f t="shared" si="65"/>
        <v>0</v>
      </c>
      <c r="V229" s="883">
        <v>0</v>
      </c>
      <c r="W229" s="883">
        <v>8</v>
      </c>
      <c r="X229" s="883">
        <f t="shared" si="66"/>
        <v>0</v>
      </c>
      <c r="Y229" s="883">
        <v>0</v>
      </c>
      <c r="Z229" s="883">
        <v>0</v>
      </c>
      <c r="AA229" s="883">
        <v>0</v>
      </c>
      <c r="AB229" s="883">
        <f t="shared" si="67"/>
        <v>25.67</v>
      </c>
      <c r="AC229" s="883">
        <v>0</v>
      </c>
      <c r="AD229" s="881"/>
      <c r="AE229" s="880"/>
      <c r="AF229" s="883"/>
      <c r="AG229" s="889"/>
      <c r="AH229" s="880"/>
      <c r="AI229" s="880" t="s">
        <v>1241</v>
      </c>
      <c r="AJ229" s="884">
        <v>411</v>
      </c>
      <c r="AK229" s="883">
        <f t="shared" si="68"/>
        <v>22.32</v>
      </c>
      <c r="AL229" s="884">
        <v>413</v>
      </c>
      <c r="AM229" s="883">
        <f t="shared" si="69"/>
        <v>0</v>
      </c>
      <c r="AN229" s="884">
        <v>441</v>
      </c>
      <c r="AO229" s="883">
        <f t="shared" si="70"/>
        <v>0</v>
      </c>
      <c r="AP229" s="881"/>
      <c r="AQ229" s="881"/>
      <c r="AR229" s="883">
        <v>0</v>
      </c>
      <c r="AS229" s="883">
        <v>0</v>
      </c>
      <c r="AT229" s="883">
        <v>0</v>
      </c>
      <c r="AU229" s="880"/>
      <c r="AV229" s="886"/>
      <c r="AW229" s="880"/>
      <c r="AX229" s="886"/>
      <c r="AY229" s="880"/>
      <c r="AZ229" s="880"/>
      <c r="BA229" s="881"/>
      <c r="BB229" s="881" t="s">
        <v>57</v>
      </c>
      <c r="BC229" s="881"/>
      <c r="BD229" s="881"/>
      <c r="BE229" s="884">
        <f t="shared" si="71"/>
        <v>4</v>
      </c>
      <c r="BF229" s="887" t="str">
        <f t="shared" si="72"/>
        <v>SI</v>
      </c>
      <c r="BG229" s="883">
        <f t="shared" si="73"/>
        <v>22.32</v>
      </c>
      <c r="BH229" s="883">
        <f t="shared" si="74"/>
        <v>0</v>
      </c>
      <c r="BI229" s="883">
        <f t="shared" si="75"/>
        <v>0</v>
      </c>
      <c r="BJ229" s="883">
        <f t="shared" si="76"/>
        <v>0</v>
      </c>
      <c r="BK229" s="883">
        <f t="shared" si="77"/>
        <v>0</v>
      </c>
      <c r="BL229" s="883">
        <f t="shared" si="78"/>
        <v>3.35</v>
      </c>
      <c r="BM229" s="881"/>
      <c r="BN229" s="880"/>
      <c r="BO229" s="882" t="s">
        <v>1579</v>
      </c>
      <c r="BP229" s="882" t="s">
        <v>2286</v>
      </c>
      <c r="BQ229" s="882" t="s">
        <v>2285</v>
      </c>
      <c r="BR229" s="880"/>
      <c r="BS229" s="880"/>
      <c r="BT229" s="880"/>
      <c r="BU229" s="880"/>
      <c r="BV229" s="880"/>
      <c r="BW229" s="883">
        <v>0</v>
      </c>
      <c r="BX229" s="883">
        <v>0</v>
      </c>
      <c r="BY229" s="883">
        <v>0</v>
      </c>
      <c r="BZ229" s="890"/>
      <c r="CA229" s="883">
        <f t="shared" si="79"/>
        <v>0</v>
      </c>
      <c r="CB229" s="880"/>
      <c r="CC229" s="881"/>
      <c r="CD229" s="883"/>
      <c r="CE229" s="883"/>
      <c r="CF229" s="883"/>
      <c r="CG229" s="883"/>
      <c r="CH229" s="883"/>
      <c r="CI229" s="883"/>
      <c r="CJ229" s="883"/>
      <c r="CK229" s="883"/>
      <c r="CL229" s="883"/>
      <c r="CM229" s="883"/>
      <c r="CN229" s="883"/>
      <c r="CO229" s="883"/>
      <c r="CP229" s="883"/>
      <c r="CQ229" s="883"/>
      <c r="CR229" s="883"/>
      <c r="CS229" s="883"/>
      <c r="CT229" s="883"/>
      <c r="CU229" s="883"/>
    </row>
    <row r="230" spans="1:99" x14ac:dyDescent="0.25">
      <c r="A230" s="880" t="s">
        <v>1787</v>
      </c>
      <c r="B230" s="881" t="s">
        <v>1788</v>
      </c>
      <c r="C230" s="880"/>
      <c r="D230" s="880"/>
      <c r="E230" s="884" t="s">
        <v>744</v>
      </c>
      <c r="F230" s="888">
        <v>1</v>
      </c>
      <c r="G230" s="881" t="s">
        <v>1007</v>
      </c>
      <c r="H230" s="881" t="s">
        <v>19</v>
      </c>
      <c r="I230" s="865">
        <v>46142</v>
      </c>
      <c r="J230" s="882" t="s">
        <v>8</v>
      </c>
      <c r="K230" s="880"/>
      <c r="L230" s="880"/>
      <c r="M230" s="883">
        <v>0</v>
      </c>
      <c r="N230" s="883">
        <v>0</v>
      </c>
      <c r="O230" s="883">
        <v>0</v>
      </c>
      <c r="P230" s="883">
        <v>17.39</v>
      </c>
      <c r="Q230" s="883">
        <v>15</v>
      </c>
      <c r="R230" s="883">
        <f t="shared" si="64"/>
        <v>2.61</v>
      </c>
      <c r="S230" s="883">
        <v>0</v>
      </c>
      <c r="T230" s="883">
        <v>5</v>
      </c>
      <c r="U230" s="883">
        <f t="shared" si="65"/>
        <v>0</v>
      </c>
      <c r="V230" s="883">
        <v>0</v>
      </c>
      <c r="W230" s="883">
        <v>8</v>
      </c>
      <c r="X230" s="883">
        <f t="shared" si="66"/>
        <v>0</v>
      </c>
      <c r="Y230" s="883">
        <v>0</v>
      </c>
      <c r="Z230" s="883">
        <v>0</v>
      </c>
      <c r="AA230" s="883">
        <v>0</v>
      </c>
      <c r="AB230" s="883">
        <f t="shared" si="67"/>
        <v>20</v>
      </c>
      <c r="AC230" s="883">
        <v>0</v>
      </c>
      <c r="AD230" s="881"/>
      <c r="AE230" s="880"/>
      <c r="AF230" s="883"/>
      <c r="AG230" s="889"/>
      <c r="AH230" s="880"/>
      <c r="AI230" s="880" t="s">
        <v>1241</v>
      </c>
      <c r="AJ230" s="884">
        <v>411</v>
      </c>
      <c r="AK230" s="883">
        <f t="shared" si="68"/>
        <v>17.39</v>
      </c>
      <c r="AL230" s="884">
        <v>413</v>
      </c>
      <c r="AM230" s="883">
        <f t="shared" si="69"/>
        <v>0</v>
      </c>
      <c r="AN230" s="884">
        <v>441</v>
      </c>
      <c r="AO230" s="883">
        <f t="shared" si="70"/>
        <v>0</v>
      </c>
      <c r="AP230" s="881"/>
      <c r="AQ230" s="881"/>
      <c r="AR230" s="883">
        <v>0</v>
      </c>
      <c r="AS230" s="883">
        <v>0</v>
      </c>
      <c r="AT230" s="883">
        <v>0</v>
      </c>
      <c r="AU230" s="880"/>
      <c r="AV230" s="886"/>
      <c r="AW230" s="880"/>
      <c r="AX230" s="886"/>
      <c r="AY230" s="880"/>
      <c r="AZ230" s="880"/>
      <c r="BA230" s="881"/>
      <c r="BB230" s="881" t="s">
        <v>57</v>
      </c>
      <c r="BC230" s="881"/>
      <c r="BD230" s="881"/>
      <c r="BE230" s="884">
        <f t="shared" si="71"/>
        <v>4</v>
      </c>
      <c r="BF230" s="887" t="str">
        <f t="shared" si="72"/>
        <v>SI</v>
      </c>
      <c r="BG230" s="883">
        <f t="shared" si="73"/>
        <v>17.39</v>
      </c>
      <c r="BH230" s="883">
        <f t="shared" si="74"/>
        <v>0</v>
      </c>
      <c r="BI230" s="883">
        <f t="shared" si="75"/>
        <v>0</v>
      </c>
      <c r="BJ230" s="883">
        <f t="shared" si="76"/>
        <v>0</v>
      </c>
      <c r="BK230" s="883">
        <f t="shared" si="77"/>
        <v>0</v>
      </c>
      <c r="BL230" s="883">
        <f t="shared" si="78"/>
        <v>2.61</v>
      </c>
      <c r="BM230" s="881"/>
      <c r="BN230" s="880"/>
      <c r="BO230" s="882" t="s">
        <v>1579</v>
      </c>
      <c r="BP230" s="882" t="s">
        <v>2286</v>
      </c>
      <c r="BQ230" s="882" t="s">
        <v>2285</v>
      </c>
      <c r="BR230" s="880"/>
      <c r="BS230" s="880"/>
      <c r="BT230" s="880"/>
      <c r="BU230" s="880"/>
      <c r="BV230" s="880"/>
      <c r="BW230" s="883">
        <v>0</v>
      </c>
      <c r="BX230" s="883">
        <v>0</v>
      </c>
      <c r="BY230" s="883">
        <v>0</v>
      </c>
      <c r="BZ230" s="890"/>
      <c r="CA230" s="883">
        <f t="shared" si="79"/>
        <v>0</v>
      </c>
      <c r="CB230" s="880"/>
      <c r="CC230" s="881"/>
      <c r="CD230" s="883"/>
      <c r="CE230" s="883"/>
      <c r="CF230" s="883"/>
      <c r="CG230" s="883"/>
      <c r="CH230" s="883"/>
      <c r="CI230" s="883"/>
      <c r="CJ230" s="883"/>
      <c r="CK230" s="883"/>
      <c r="CL230" s="883"/>
      <c r="CM230" s="883"/>
      <c r="CN230" s="883"/>
      <c r="CO230" s="883"/>
      <c r="CP230" s="883"/>
      <c r="CQ230" s="883"/>
      <c r="CR230" s="883"/>
      <c r="CS230" s="883"/>
      <c r="CT230" s="883"/>
      <c r="CU230" s="883"/>
    </row>
    <row r="231" spans="1:99" x14ac:dyDescent="0.25">
      <c r="A231" s="880" t="s">
        <v>1787</v>
      </c>
      <c r="B231" s="881" t="s">
        <v>1788</v>
      </c>
      <c r="C231" s="880"/>
      <c r="D231" s="880"/>
      <c r="E231" s="884" t="s">
        <v>744</v>
      </c>
      <c r="F231" s="888">
        <v>1</v>
      </c>
      <c r="G231" s="881" t="s">
        <v>1007</v>
      </c>
      <c r="H231" s="881" t="s">
        <v>19</v>
      </c>
      <c r="I231" s="865">
        <v>46142</v>
      </c>
      <c r="J231" s="882" t="s">
        <v>8</v>
      </c>
      <c r="K231" s="880"/>
      <c r="L231" s="880"/>
      <c r="M231" s="883">
        <v>0</v>
      </c>
      <c r="N231" s="883">
        <v>0</v>
      </c>
      <c r="O231" s="883">
        <v>0</v>
      </c>
      <c r="P231" s="883">
        <v>13.04</v>
      </c>
      <c r="Q231" s="883">
        <v>15</v>
      </c>
      <c r="R231" s="883">
        <f t="shared" si="64"/>
        <v>1.96</v>
      </c>
      <c r="S231" s="883">
        <v>0</v>
      </c>
      <c r="T231" s="883">
        <v>5</v>
      </c>
      <c r="U231" s="883">
        <f t="shared" si="65"/>
        <v>0</v>
      </c>
      <c r="V231" s="883">
        <v>0</v>
      </c>
      <c r="W231" s="883">
        <v>8</v>
      </c>
      <c r="X231" s="883">
        <f t="shared" si="66"/>
        <v>0</v>
      </c>
      <c r="Y231" s="883">
        <v>0</v>
      </c>
      <c r="Z231" s="883">
        <v>0</v>
      </c>
      <c r="AA231" s="883">
        <v>0</v>
      </c>
      <c r="AB231" s="883">
        <f t="shared" si="67"/>
        <v>15</v>
      </c>
      <c r="AC231" s="883">
        <v>0</v>
      </c>
      <c r="AD231" s="881"/>
      <c r="AE231" s="880"/>
      <c r="AF231" s="883"/>
      <c r="AG231" s="889"/>
      <c r="AH231" s="880"/>
      <c r="AI231" s="880" t="s">
        <v>1241</v>
      </c>
      <c r="AJ231" s="884">
        <v>411</v>
      </c>
      <c r="AK231" s="883">
        <f t="shared" si="68"/>
        <v>13.04</v>
      </c>
      <c r="AL231" s="884">
        <v>413</v>
      </c>
      <c r="AM231" s="883">
        <f t="shared" si="69"/>
        <v>0</v>
      </c>
      <c r="AN231" s="884">
        <v>441</v>
      </c>
      <c r="AO231" s="883">
        <f t="shared" si="70"/>
        <v>0</v>
      </c>
      <c r="AP231" s="881"/>
      <c r="AQ231" s="881"/>
      <c r="AR231" s="883">
        <v>0</v>
      </c>
      <c r="AS231" s="883">
        <v>0</v>
      </c>
      <c r="AT231" s="883">
        <v>0</v>
      </c>
      <c r="AU231" s="880"/>
      <c r="AV231" s="886"/>
      <c r="AW231" s="880"/>
      <c r="AX231" s="886"/>
      <c r="AY231" s="880"/>
      <c r="AZ231" s="880"/>
      <c r="BA231" s="881"/>
      <c r="BB231" s="881" t="s">
        <v>57</v>
      </c>
      <c r="BC231" s="881"/>
      <c r="BD231" s="881"/>
      <c r="BE231" s="884">
        <f t="shared" si="71"/>
        <v>4</v>
      </c>
      <c r="BF231" s="887" t="str">
        <f t="shared" si="72"/>
        <v>SI</v>
      </c>
      <c r="BG231" s="883">
        <f t="shared" si="73"/>
        <v>13.04</v>
      </c>
      <c r="BH231" s="883">
        <f t="shared" si="74"/>
        <v>0</v>
      </c>
      <c r="BI231" s="883">
        <f t="shared" si="75"/>
        <v>0</v>
      </c>
      <c r="BJ231" s="883">
        <f t="shared" si="76"/>
        <v>0</v>
      </c>
      <c r="BK231" s="883">
        <f t="shared" si="77"/>
        <v>0</v>
      </c>
      <c r="BL231" s="883">
        <f t="shared" si="78"/>
        <v>1.96</v>
      </c>
      <c r="BM231" s="881"/>
      <c r="BN231" s="880"/>
      <c r="BO231" s="882" t="s">
        <v>1579</v>
      </c>
      <c r="BP231" s="882" t="s">
        <v>2286</v>
      </c>
      <c r="BQ231" s="882" t="s">
        <v>2285</v>
      </c>
      <c r="BR231" s="880"/>
      <c r="BS231" s="880"/>
      <c r="BT231" s="880"/>
      <c r="BU231" s="880"/>
      <c r="BV231" s="880"/>
      <c r="BW231" s="883">
        <v>0</v>
      </c>
      <c r="BX231" s="883">
        <v>0</v>
      </c>
      <c r="BY231" s="883">
        <v>0</v>
      </c>
      <c r="BZ231" s="890"/>
      <c r="CA231" s="883">
        <f t="shared" si="79"/>
        <v>0</v>
      </c>
      <c r="CB231" s="880"/>
      <c r="CC231" s="881"/>
      <c r="CD231" s="883"/>
      <c r="CE231" s="883"/>
      <c r="CF231" s="883"/>
      <c r="CG231" s="883"/>
      <c r="CH231" s="883"/>
      <c r="CI231" s="883"/>
      <c r="CJ231" s="883"/>
      <c r="CK231" s="883"/>
      <c r="CL231" s="883"/>
      <c r="CM231" s="883"/>
      <c r="CN231" s="883"/>
      <c r="CO231" s="883"/>
      <c r="CP231" s="883"/>
      <c r="CQ231" s="883"/>
      <c r="CR231" s="883"/>
      <c r="CS231" s="883"/>
      <c r="CT231" s="883"/>
      <c r="CU231" s="883"/>
    </row>
    <row r="232" spans="1:99" x14ac:dyDescent="0.25">
      <c r="A232" s="880" t="s">
        <v>1787</v>
      </c>
      <c r="B232" s="881" t="s">
        <v>1788</v>
      </c>
      <c r="C232" s="880"/>
      <c r="D232" s="880"/>
      <c r="E232" s="884" t="s">
        <v>744</v>
      </c>
      <c r="F232" s="888">
        <v>1</v>
      </c>
      <c r="G232" s="881" t="s">
        <v>1007</v>
      </c>
      <c r="H232" s="881" t="s">
        <v>19</v>
      </c>
      <c r="I232" s="865">
        <v>46142</v>
      </c>
      <c r="J232" s="882" t="s">
        <v>8</v>
      </c>
      <c r="K232" s="880"/>
      <c r="L232" s="880"/>
      <c r="M232" s="883">
        <v>0</v>
      </c>
      <c r="N232" s="883">
        <v>0</v>
      </c>
      <c r="O232" s="883">
        <v>0</v>
      </c>
      <c r="P232" s="883">
        <v>21.74</v>
      </c>
      <c r="Q232" s="883">
        <v>15</v>
      </c>
      <c r="R232" s="883">
        <f t="shared" si="64"/>
        <v>3.26</v>
      </c>
      <c r="S232" s="883">
        <v>0</v>
      </c>
      <c r="T232" s="883">
        <v>5</v>
      </c>
      <c r="U232" s="883">
        <f t="shared" si="65"/>
        <v>0</v>
      </c>
      <c r="V232" s="883">
        <v>0</v>
      </c>
      <c r="W232" s="883">
        <v>8</v>
      </c>
      <c r="X232" s="883">
        <f t="shared" si="66"/>
        <v>0</v>
      </c>
      <c r="Y232" s="883">
        <v>0</v>
      </c>
      <c r="Z232" s="883">
        <v>0</v>
      </c>
      <c r="AA232" s="883">
        <v>0</v>
      </c>
      <c r="AB232" s="883">
        <f t="shared" si="67"/>
        <v>25</v>
      </c>
      <c r="AC232" s="883">
        <v>0</v>
      </c>
      <c r="AD232" s="881"/>
      <c r="AE232" s="880"/>
      <c r="AF232" s="883"/>
      <c r="AG232" s="889"/>
      <c r="AH232" s="880"/>
      <c r="AI232" s="880" t="s">
        <v>1241</v>
      </c>
      <c r="AJ232" s="884">
        <v>411</v>
      </c>
      <c r="AK232" s="883">
        <f t="shared" si="68"/>
        <v>21.74</v>
      </c>
      <c r="AL232" s="884">
        <v>413</v>
      </c>
      <c r="AM232" s="883">
        <f t="shared" si="69"/>
        <v>0</v>
      </c>
      <c r="AN232" s="884">
        <v>441</v>
      </c>
      <c r="AO232" s="883">
        <f t="shared" si="70"/>
        <v>0</v>
      </c>
      <c r="AP232" s="881"/>
      <c r="AQ232" s="881"/>
      <c r="AR232" s="883">
        <v>0</v>
      </c>
      <c r="AS232" s="883">
        <v>0</v>
      </c>
      <c r="AT232" s="883">
        <v>0</v>
      </c>
      <c r="AU232" s="880"/>
      <c r="AV232" s="886"/>
      <c r="AW232" s="880"/>
      <c r="AX232" s="886"/>
      <c r="AY232" s="880"/>
      <c r="AZ232" s="880"/>
      <c r="BA232" s="881"/>
      <c r="BB232" s="881" t="s">
        <v>57</v>
      </c>
      <c r="BC232" s="881"/>
      <c r="BD232" s="881"/>
      <c r="BE232" s="884">
        <f t="shared" si="71"/>
        <v>4</v>
      </c>
      <c r="BF232" s="887" t="str">
        <f t="shared" si="72"/>
        <v>SI</v>
      </c>
      <c r="BG232" s="883">
        <f t="shared" si="73"/>
        <v>21.74</v>
      </c>
      <c r="BH232" s="883">
        <f t="shared" si="74"/>
        <v>0</v>
      </c>
      <c r="BI232" s="883">
        <f t="shared" si="75"/>
        <v>0</v>
      </c>
      <c r="BJ232" s="883">
        <f t="shared" si="76"/>
        <v>0</v>
      </c>
      <c r="BK232" s="883">
        <f t="shared" si="77"/>
        <v>0</v>
      </c>
      <c r="BL232" s="883">
        <f t="shared" si="78"/>
        <v>3.26</v>
      </c>
      <c r="BM232" s="881"/>
      <c r="BN232" s="880"/>
      <c r="BO232" s="882" t="s">
        <v>1579</v>
      </c>
      <c r="BP232" s="882" t="s">
        <v>2286</v>
      </c>
      <c r="BQ232" s="882" t="s">
        <v>2285</v>
      </c>
      <c r="BR232" s="880"/>
      <c r="BS232" s="880"/>
      <c r="BT232" s="880"/>
      <c r="BU232" s="880"/>
      <c r="BV232" s="880"/>
      <c r="BW232" s="883">
        <v>0</v>
      </c>
      <c r="BX232" s="883">
        <v>0</v>
      </c>
      <c r="BY232" s="883">
        <v>0</v>
      </c>
      <c r="BZ232" s="890"/>
      <c r="CA232" s="883">
        <f t="shared" si="79"/>
        <v>0</v>
      </c>
      <c r="CB232" s="880"/>
      <c r="CC232" s="881"/>
      <c r="CD232" s="883"/>
      <c r="CE232" s="883"/>
      <c r="CF232" s="883"/>
      <c r="CG232" s="883"/>
      <c r="CH232" s="883"/>
      <c r="CI232" s="883"/>
      <c r="CJ232" s="883"/>
      <c r="CK232" s="883"/>
      <c r="CL232" s="883"/>
      <c r="CM232" s="883"/>
      <c r="CN232" s="883"/>
      <c r="CO232" s="883"/>
      <c r="CP232" s="883"/>
      <c r="CQ232" s="883"/>
      <c r="CR232" s="883"/>
      <c r="CS232" s="883"/>
      <c r="CT232" s="883"/>
      <c r="CU232" s="883"/>
    </row>
    <row r="233" spans="1:99" x14ac:dyDescent="0.25">
      <c r="A233" s="880" t="s">
        <v>1787</v>
      </c>
      <c r="B233" s="881" t="s">
        <v>1788</v>
      </c>
      <c r="C233" s="880"/>
      <c r="D233" s="880"/>
      <c r="E233" s="884" t="s">
        <v>744</v>
      </c>
      <c r="F233" s="888">
        <v>1</v>
      </c>
      <c r="G233" s="881" t="s">
        <v>1007</v>
      </c>
      <c r="H233" s="881" t="s">
        <v>19</v>
      </c>
      <c r="I233" s="865">
        <v>46142</v>
      </c>
      <c r="J233" s="882" t="s">
        <v>8</v>
      </c>
      <c r="K233" s="880"/>
      <c r="L233" s="880"/>
      <c r="M233" s="883">
        <v>0</v>
      </c>
      <c r="N233" s="883">
        <v>0</v>
      </c>
      <c r="O233" s="883">
        <v>0</v>
      </c>
      <c r="P233" s="883">
        <v>21.74</v>
      </c>
      <c r="Q233" s="883">
        <v>15</v>
      </c>
      <c r="R233" s="883">
        <f t="shared" si="64"/>
        <v>3.26</v>
      </c>
      <c r="S233" s="883">
        <v>0</v>
      </c>
      <c r="T233" s="883">
        <v>5</v>
      </c>
      <c r="U233" s="883">
        <f t="shared" si="65"/>
        <v>0</v>
      </c>
      <c r="V233" s="883">
        <v>0</v>
      </c>
      <c r="W233" s="883">
        <v>8</v>
      </c>
      <c r="X233" s="883">
        <f t="shared" si="66"/>
        <v>0</v>
      </c>
      <c r="Y233" s="883">
        <v>0</v>
      </c>
      <c r="Z233" s="883">
        <v>0</v>
      </c>
      <c r="AA233" s="883">
        <v>0</v>
      </c>
      <c r="AB233" s="883">
        <f t="shared" si="67"/>
        <v>25</v>
      </c>
      <c r="AC233" s="883">
        <v>0</v>
      </c>
      <c r="AD233" s="881"/>
      <c r="AE233" s="880"/>
      <c r="AF233" s="883"/>
      <c r="AG233" s="889"/>
      <c r="AH233" s="880"/>
      <c r="AI233" s="880" t="s">
        <v>1241</v>
      </c>
      <c r="AJ233" s="884">
        <v>411</v>
      </c>
      <c r="AK233" s="883">
        <f t="shared" si="68"/>
        <v>21.74</v>
      </c>
      <c r="AL233" s="884">
        <v>413</v>
      </c>
      <c r="AM233" s="883">
        <f t="shared" si="69"/>
        <v>0</v>
      </c>
      <c r="AN233" s="884">
        <v>441</v>
      </c>
      <c r="AO233" s="883">
        <f t="shared" si="70"/>
        <v>0</v>
      </c>
      <c r="AP233" s="881"/>
      <c r="AQ233" s="881"/>
      <c r="AR233" s="883">
        <v>0</v>
      </c>
      <c r="AS233" s="883">
        <v>0</v>
      </c>
      <c r="AT233" s="883">
        <v>0</v>
      </c>
      <c r="AU233" s="880"/>
      <c r="AV233" s="886"/>
      <c r="AW233" s="880"/>
      <c r="AX233" s="886"/>
      <c r="AY233" s="880"/>
      <c r="AZ233" s="880"/>
      <c r="BA233" s="881"/>
      <c r="BB233" s="881" t="s">
        <v>57</v>
      </c>
      <c r="BC233" s="881"/>
      <c r="BD233" s="881"/>
      <c r="BE233" s="884">
        <f t="shared" si="71"/>
        <v>4</v>
      </c>
      <c r="BF233" s="887" t="str">
        <f t="shared" si="72"/>
        <v>SI</v>
      </c>
      <c r="BG233" s="883">
        <f t="shared" si="73"/>
        <v>21.74</v>
      </c>
      <c r="BH233" s="883">
        <f t="shared" si="74"/>
        <v>0</v>
      </c>
      <c r="BI233" s="883">
        <f t="shared" si="75"/>
        <v>0</v>
      </c>
      <c r="BJ233" s="883">
        <f t="shared" si="76"/>
        <v>0</v>
      </c>
      <c r="BK233" s="883">
        <f t="shared" si="77"/>
        <v>0</v>
      </c>
      <c r="BL233" s="883">
        <f t="shared" si="78"/>
        <v>3.26</v>
      </c>
      <c r="BM233" s="881"/>
      <c r="BN233" s="880"/>
      <c r="BO233" s="882" t="s">
        <v>1579</v>
      </c>
      <c r="BP233" s="882" t="s">
        <v>2286</v>
      </c>
      <c r="BQ233" s="882" t="s">
        <v>2285</v>
      </c>
      <c r="BR233" s="880"/>
      <c r="BS233" s="880"/>
      <c r="BT233" s="880"/>
      <c r="BU233" s="880"/>
      <c r="BV233" s="880"/>
      <c r="BW233" s="883">
        <v>0</v>
      </c>
      <c r="BX233" s="883">
        <v>0</v>
      </c>
      <c r="BY233" s="883">
        <v>0</v>
      </c>
      <c r="BZ233" s="890"/>
      <c r="CA233" s="883">
        <f t="shared" si="79"/>
        <v>0</v>
      </c>
      <c r="CB233" s="880"/>
      <c r="CC233" s="881"/>
      <c r="CD233" s="883"/>
      <c r="CE233" s="883"/>
      <c r="CF233" s="883"/>
      <c r="CG233" s="883"/>
      <c r="CH233" s="883"/>
      <c r="CI233" s="883"/>
      <c r="CJ233" s="883"/>
      <c r="CK233" s="883"/>
      <c r="CL233" s="883"/>
      <c r="CM233" s="883"/>
      <c r="CN233" s="883"/>
      <c r="CO233" s="883"/>
      <c r="CP233" s="883"/>
      <c r="CQ233" s="883"/>
      <c r="CR233" s="883"/>
      <c r="CS233" s="883"/>
      <c r="CT233" s="883"/>
      <c r="CU233" s="883"/>
    </row>
    <row r="234" spans="1:99" x14ac:dyDescent="0.25">
      <c r="A234" s="880" t="s">
        <v>1787</v>
      </c>
      <c r="B234" s="881" t="s">
        <v>1788</v>
      </c>
      <c r="C234" s="880"/>
      <c r="D234" s="880"/>
      <c r="E234" s="884" t="s">
        <v>744</v>
      </c>
      <c r="F234" s="888">
        <v>1</v>
      </c>
      <c r="G234" s="881" t="s">
        <v>1007</v>
      </c>
      <c r="H234" s="881" t="s">
        <v>19</v>
      </c>
      <c r="I234" s="865">
        <v>46142</v>
      </c>
      <c r="J234" s="882" t="s">
        <v>8</v>
      </c>
      <c r="K234" s="880"/>
      <c r="L234" s="880"/>
      <c r="M234" s="883">
        <v>0</v>
      </c>
      <c r="N234" s="883">
        <v>0</v>
      </c>
      <c r="O234" s="883">
        <v>0</v>
      </c>
      <c r="P234" s="883">
        <v>21.74</v>
      </c>
      <c r="Q234" s="883">
        <v>15</v>
      </c>
      <c r="R234" s="883">
        <f t="shared" si="64"/>
        <v>3.26</v>
      </c>
      <c r="S234" s="883">
        <v>0</v>
      </c>
      <c r="T234" s="883">
        <v>5</v>
      </c>
      <c r="U234" s="883">
        <f t="shared" si="65"/>
        <v>0</v>
      </c>
      <c r="V234" s="883">
        <v>0</v>
      </c>
      <c r="W234" s="883">
        <v>8</v>
      </c>
      <c r="X234" s="883">
        <f t="shared" si="66"/>
        <v>0</v>
      </c>
      <c r="Y234" s="883">
        <v>0</v>
      </c>
      <c r="Z234" s="883">
        <v>0</v>
      </c>
      <c r="AA234" s="883">
        <v>0</v>
      </c>
      <c r="AB234" s="883">
        <f t="shared" si="67"/>
        <v>25</v>
      </c>
      <c r="AC234" s="883">
        <v>0</v>
      </c>
      <c r="AD234" s="881"/>
      <c r="AE234" s="880"/>
      <c r="AF234" s="883"/>
      <c r="AG234" s="889"/>
      <c r="AH234" s="880"/>
      <c r="AI234" s="880" t="s">
        <v>1241</v>
      </c>
      <c r="AJ234" s="884">
        <v>411</v>
      </c>
      <c r="AK234" s="883">
        <f t="shared" si="68"/>
        <v>21.74</v>
      </c>
      <c r="AL234" s="884">
        <v>413</v>
      </c>
      <c r="AM234" s="883">
        <f t="shared" si="69"/>
        <v>0</v>
      </c>
      <c r="AN234" s="884">
        <v>441</v>
      </c>
      <c r="AO234" s="883">
        <f t="shared" si="70"/>
        <v>0</v>
      </c>
      <c r="AP234" s="881"/>
      <c r="AQ234" s="881"/>
      <c r="AR234" s="883">
        <v>0</v>
      </c>
      <c r="AS234" s="883">
        <v>0</v>
      </c>
      <c r="AT234" s="883">
        <v>0</v>
      </c>
      <c r="AU234" s="880"/>
      <c r="AV234" s="886"/>
      <c r="AW234" s="880"/>
      <c r="AX234" s="886"/>
      <c r="AY234" s="880"/>
      <c r="AZ234" s="880"/>
      <c r="BA234" s="881"/>
      <c r="BB234" s="881" t="s">
        <v>57</v>
      </c>
      <c r="BC234" s="881"/>
      <c r="BD234" s="881"/>
      <c r="BE234" s="884">
        <f t="shared" si="71"/>
        <v>4</v>
      </c>
      <c r="BF234" s="887" t="str">
        <f t="shared" si="72"/>
        <v>SI</v>
      </c>
      <c r="BG234" s="883">
        <f t="shared" si="73"/>
        <v>21.74</v>
      </c>
      <c r="BH234" s="883">
        <f t="shared" si="74"/>
        <v>0</v>
      </c>
      <c r="BI234" s="883">
        <f t="shared" si="75"/>
        <v>0</v>
      </c>
      <c r="BJ234" s="883">
        <f t="shared" si="76"/>
        <v>0</v>
      </c>
      <c r="BK234" s="883">
        <f t="shared" si="77"/>
        <v>0</v>
      </c>
      <c r="BL234" s="883">
        <f t="shared" si="78"/>
        <v>3.26</v>
      </c>
      <c r="BM234" s="881"/>
      <c r="BN234" s="880"/>
      <c r="BO234" s="882" t="s">
        <v>1579</v>
      </c>
      <c r="BP234" s="882" t="s">
        <v>2286</v>
      </c>
      <c r="BQ234" s="882" t="s">
        <v>2285</v>
      </c>
      <c r="BR234" s="880"/>
      <c r="BS234" s="880"/>
      <c r="BT234" s="880"/>
      <c r="BU234" s="880"/>
      <c r="BV234" s="880"/>
      <c r="BW234" s="883">
        <v>0</v>
      </c>
      <c r="BX234" s="883">
        <v>0</v>
      </c>
      <c r="BY234" s="883">
        <v>0</v>
      </c>
      <c r="BZ234" s="890"/>
      <c r="CA234" s="883">
        <f t="shared" si="79"/>
        <v>0</v>
      </c>
      <c r="CB234" s="880"/>
      <c r="CC234" s="881"/>
      <c r="CD234" s="883"/>
      <c r="CE234" s="883"/>
      <c r="CF234" s="883"/>
      <c r="CG234" s="883"/>
      <c r="CH234" s="883"/>
      <c r="CI234" s="883"/>
      <c r="CJ234" s="883"/>
      <c r="CK234" s="883"/>
      <c r="CL234" s="883"/>
      <c r="CM234" s="883"/>
      <c r="CN234" s="883"/>
      <c r="CO234" s="883"/>
      <c r="CP234" s="883"/>
      <c r="CQ234" s="883"/>
      <c r="CR234" s="883"/>
      <c r="CS234" s="883"/>
      <c r="CT234" s="883"/>
      <c r="CU234" s="883"/>
    </row>
    <row r="235" spans="1:99" x14ac:dyDescent="0.25">
      <c r="A235" s="880" t="s">
        <v>1787</v>
      </c>
      <c r="B235" s="881" t="s">
        <v>1788</v>
      </c>
      <c r="C235" s="880"/>
      <c r="D235" s="880"/>
      <c r="E235" s="884" t="s">
        <v>744</v>
      </c>
      <c r="F235" s="888">
        <v>1</v>
      </c>
      <c r="G235" s="881" t="s">
        <v>1007</v>
      </c>
      <c r="H235" s="881" t="s">
        <v>19</v>
      </c>
      <c r="I235" s="865">
        <v>46142</v>
      </c>
      <c r="J235" s="882" t="s">
        <v>8</v>
      </c>
      <c r="K235" s="880"/>
      <c r="L235" s="880"/>
      <c r="M235" s="883">
        <v>0</v>
      </c>
      <c r="N235" s="883">
        <v>0</v>
      </c>
      <c r="O235" s="883">
        <v>0</v>
      </c>
      <c r="P235" s="883">
        <v>21.73</v>
      </c>
      <c r="Q235" s="883">
        <v>15</v>
      </c>
      <c r="R235" s="883">
        <f t="shared" si="64"/>
        <v>3.26</v>
      </c>
      <c r="S235" s="883">
        <v>0</v>
      </c>
      <c r="T235" s="883">
        <v>5</v>
      </c>
      <c r="U235" s="883">
        <f t="shared" si="65"/>
        <v>0</v>
      </c>
      <c r="V235" s="883">
        <v>0</v>
      </c>
      <c r="W235" s="883">
        <v>8</v>
      </c>
      <c r="X235" s="883">
        <f t="shared" si="66"/>
        <v>0</v>
      </c>
      <c r="Y235" s="883">
        <v>0</v>
      </c>
      <c r="Z235" s="883">
        <v>0</v>
      </c>
      <c r="AA235" s="883">
        <v>0</v>
      </c>
      <c r="AB235" s="883">
        <f t="shared" si="67"/>
        <v>24.99</v>
      </c>
      <c r="AC235" s="883">
        <v>0</v>
      </c>
      <c r="AD235" s="881"/>
      <c r="AE235" s="880"/>
      <c r="AF235" s="883"/>
      <c r="AG235" s="889"/>
      <c r="AH235" s="880"/>
      <c r="AI235" s="880" t="s">
        <v>1241</v>
      </c>
      <c r="AJ235" s="884">
        <v>411</v>
      </c>
      <c r="AK235" s="883">
        <f t="shared" si="68"/>
        <v>21.73</v>
      </c>
      <c r="AL235" s="884">
        <v>413</v>
      </c>
      <c r="AM235" s="883">
        <f t="shared" si="69"/>
        <v>0</v>
      </c>
      <c r="AN235" s="884">
        <v>441</v>
      </c>
      <c r="AO235" s="883">
        <f t="shared" si="70"/>
        <v>0</v>
      </c>
      <c r="AP235" s="881"/>
      <c r="AQ235" s="881"/>
      <c r="AR235" s="883">
        <v>0</v>
      </c>
      <c r="AS235" s="883">
        <v>0</v>
      </c>
      <c r="AT235" s="883">
        <v>0</v>
      </c>
      <c r="AU235" s="880"/>
      <c r="AV235" s="886"/>
      <c r="AW235" s="880"/>
      <c r="AX235" s="886"/>
      <c r="AY235" s="880"/>
      <c r="AZ235" s="880"/>
      <c r="BA235" s="881"/>
      <c r="BB235" s="881" t="s">
        <v>57</v>
      </c>
      <c r="BC235" s="881"/>
      <c r="BD235" s="881"/>
      <c r="BE235" s="884">
        <f t="shared" si="71"/>
        <v>4</v>
      </c>
      <c r="BF235" s="887" t="str">
        <f t="shared" si="72"/>
        <v>SI</v>
      </c>
      <c r="BG235" s="883">
        <f t="shared" si="73"/>
        <v>21.73</v>
      </c>
      <c r="BH235" s="883">
        <f t="shared" si="74"/>
        <v>0</v>
      </c>
      <c r="BI235" s="883">
        <f t="shared" si="75"/>
        <v>0</v>
      </c>
      <c r="BJ235" s="883">
        <f t="shared" si="76"/>
        <v>0</v>
      </c>
      <c r="BK235" s="883">
        <f t="shared" si="77"/>
        <v>0</v>
      </c>
      <c r="BL235" s="883">
        <f t="shared" si="78"/>
        <v>3.26</v>
      </c>
      <c r="BM235" s="881"/>
      <c r="BN235" s="880"/>
      <c r="BO235" s="882" t="s">
        <v>1579</v>
      </c>
      <c r="BP235" s="882" t="s">
        <v>2286</v>
      </c>
      <c r="BQ235" s="882" t="s">
        <v>2285</v>
      </c>
      <c r="BR235" s="880"/>
      <c r="BS235" s="880"/>
      <c r="BT235" s="880"/>
      <c r="BU235" s="880"/>
      <c r="BV235" s="880"/>
      <c r="BW235" s="883">
        <v>0</v>
      </c>
      <c r="BX235" s="883">
        <v>0</v>
      </c>
      <c r="BY235" s="883">
        <v>0</v>
      </c>
      <c r="BZ235" s="890"/>
      <c r="CA235" s="883">
        <f t="shared" si="79"/>
        <v>0</v>
      </c>
      <c r="CB235" s="880"/>
      <c r="CC235" s="881"/>
      <c r="CD235" s="883"/>
      <c r="CE235" s="883"/>
      <c r="CF235" s="883"/>
      <c r="CG235" s="883"/>
      <c r="CH235" s="883"/>
      <c r="CI235" s="883"/>
      <c r="CJ235" s="883"/>
      <c r="CK235" s="883"/>
      <c r="CL235" s="883"/>
      <c r="CM235" s="883"/>
      <c r="CN235" s="883"/>
      <c r="CO235" s="883"/>
      <c r="CP235" s="883"/>
      <c r="CQ235" s="883"/>
      <c r="CR235" s="883"/>
      <c r="CS235" s="883"/>
      <c r="CT235" s="883"/>
      <c r="CU235" s="883"/>
    </row>
    <row r="236" spans="1:99" x14ac:dyDescent="0.25">
      <c r="A236" s="880" t="s">
        <v>1787</v>
      </c>
      <c r="B236" s="881" t="s">
        <v>1788</v>
      </c>
      <c r="C236" s="880"/>
      <c r="D236" s="880"/>
      <c r="E236" s="884" t="s">
        <v>744</v>
      </c>
      <c r="F236" s="888">
        <v>1</v>
      </c>
      <c r="G236" s="881" t="s">
        <v>1007</v>
      </c>
      <c r="H236" s="881" t="s">
        <v>19</v>
      </c>
      <c r="I236" s="865">
        <v>46142</v>
      </c>
      <c r="J236" s="882" t="s">
        <v>8</v>
      </c>
      <c r="K236" s="880"/>
      <c r="L236" s="880"/>
      <c r="M236" s="883">
        <v>0</v>
      </c>
      <c r="N236" s="883">
        <v>0</v>
      </c>
      <c r="O236" s="883">
        <v>0</v>
      </c>
      <c r="P236" s="883">
        <v>34.78</v>
      </c>
      <c r="Q236" s="883">
        <v>15</v>
      </c>
      <c r="R236" s="883">
        <f t="shared" si="64"/>
        <v>5.22</v>
      </c>
      <c r="S236" s="883">
        <v>0</v>
      </c>
      <c r="T236" s="883">
        <v>5</v>
      </c>
      <c r="U236" s="883">
        <f t="shared" si="65"/>
        <v>0</v>
      </c>
      <c r="V236" s="883">
        <v>0</v>
      </c>
      <c r="W236" s="883">
        <v>8</v>
      </c>
      <c r="X236" s="883">
        <f t="shared" si="66"/>
        <v>0</v>
      </c>
      <c r="Y236" s="883">
        <v>0</v>
      </c>
      <c r="Z236" s="883">
        <v>0</v>
      </c>
      <c r="AA236" s="883">
        <v>0</v>
      </c>
      <c r="AB236" s="883">
        <f t="shared" si="67"/>
        <v>40</v>
      </c>
      <c r="AC236" s="883">
        <v>0</v>
      </c>
      <c r="AD236" s="881"/>
      <c r="AE236" s="880"/>
      <c r="AF236" s="883"/>
      <c r="AG236" s="889"/>
      <c r="AH236" s="880"/>
      <c r="AI236" s="880" t="s">
        <v>1241</v>
      </c>
      <c r="AJ236" s="884">
        <v>411</v>
      </c>
      <c r="AK236" s="883">
        <f t="shared" si="68"/>
        <v>34.78</v>
      </c>
      <c r="AL236" s="884">
        <v>413</v>
      </c>
      <c r="AM236" s="883">
        <f t="shared" si="69"/>
        <v>0</v>
      </c>
      <c r="AN236" s="884">
        <v>441</v>
      </c>
      <c r="AO236" s="883">
        <f t="shared" si="70"/>
        <v>0</v>
      </c>
      <c r="AP236" s="881"/>
      <c r="AQ236" s="881"/>
      <c r="AR236" s="883">
        <v>0</v>
      </c>
      <c r="AS236" s="883">
        <v>0</v>
      </c>
      <c r="AT236" s="883">
        <v>0</v>
      </c>
      <c r="AU236" s="880"/>
      <c r="AV236" s="886"/>
      <c r="AW236" s="880"/>
      <c r="AX236" s="886"/>
      <c r="AY236" s="880"/>
      <c r="AZ236" s="880"/>
      <c r="BA236" s="881"/>
      <c r="BB236" s="881" t="s">
        <v>57</v>
      </c>
      <c r="BC236" s="881"/>
      <c r="BD236" s="881"/>
      <c r="BE236" s="884">
        <f t="shared" si="71"/>
        <v>4</v>
      </c>
      <c r="BF236" s="887" t="str">
        <f t="shared" si="72"/>
        <v>SI</v>
      </c>
      <c r="BG236" s="883">
        <f t="shared" si="73"/>
        <v>34.78</v>
      </c>
      <c r="BH236" s="883">
        <f t="shared" si="74"/>
        <v>0</v>
      </c>
      <c r="BI236" s="883">
        <f t="shared" si="75"/>
        <v>0</v>
      </c>
      <c r="BJ236" s="883">
        <f t="shared" si="76"/>
        <v>0</v>
      </c>
      <c r="BK236" s="883">
        <f t="shared" si="77"/>
        <v>0</v>
      </c>
      <c r="BL236" s="883">
        <f t="shared" si="78"/>
        <v>5.22</v>
      </c>
      <c r="BM236" s="881"/>
      <c r="BN236" s="880"/>
      <c r="BO236" s="882" t="s">
        <v>1579</v>
      </c>
      <c r="BP236" s="882" t="s">
        <v>2286</v>
      </c>
      <c r="BQ236" s="882" t="s">
        <v>2285</v>
      </c>
      <c r="BR236" s="880"/>
      <c r="BS236" s="880"/>
      <c r="BT236" s="880"/>
      <c r="BU236" s="880"/>
      <c r="BV236" s="880"/>
      <c r="BW236" s="883">
        <v>0</v>
      </c>
      <c r="BX236" s="883">
        <v>0</v>
      </c>
      <c r="BY236" s="883">
        <v>0</v>
      </c>
      <c r="BZ236" s="890"/>
      <c r="CA236" s="883">
        <f t="shared" si="79"/>
        <v>0</v>
      </c>
      <c r="CB236" s="880"/>
      <c r="CC236" s="881"/>
      <c r="CD236" s="883"/>
      <c r="CE236" s="883"/>
      <c r="CF236" s="883"/>
      <c r="CG236" s="883"/>
      <c r="CH236" s="883"/>
      <c r="CI236" s="883"/>
      <c r="CJ236" s="883"/>
      <c r="CK236" s="883"/>
      <c r="CL236" s="883"/>
      <c r="CM236" s="883"/>
      <c r="CN236" s="883"/>
      <c r="CO236" s="883"/>
      <c r="CP236" s="883"/>
      <c r="CQ236" s="883"/>
      <c r="CR236" s="883"/>
      <c r="CS236" s="883"/>
      <c r="CT236" s="883"/>
      <c r="CU236" s="883"/>
    </row>
    <row r="237" spans="1:99" x14ac:dyDescent="0.25">
      <c r="A237" s="880" t="s">
        <v>2877</v>
      </c>
      <c r="B237" s="881" t="s">
        <v>2287</v>
      </c>
      <c r="C237" s="880" t="s">
        <v>2844</v>
      </c>
      <c r="D237" s="880"/>
      <c r="E237" s="884" t="s">
        <v>744</v>
      </c>
      <c r="F237" s="888">
        <v>1</v>
      </c>
      <c r="G237" s="881" t="s">
        <v>1007</v>
      </c>
      <c r="H237" s="881" t="s">
        <v>19</v>
      </c>
      <c r="I237" s="865">
        <v>46142</v>
      </c>
      <c r="J237" s="882" t="s">
        <v>8</v>
      </c>
      <c r="K237" s="880"/>
      <c r="L237" s="880"/>
      <c r="M237" s="883">
        <v>0</v>
      </c>
      <c r="N237" s="883">
        <v>0</v>
      </c>
      <c r="O237" s="883">
        <v>0</v>
      </c>
      <c r="P237" s="883">
        <v>26.08</v>
      </c>
      <c r="Q237" s="883">
        <v>15</v>
      </c>
      <c r="R237" s="883">
        <f t="shared" si="64"/>
        <v>3.91</v>
      </c>
      <c r="S237" s="883">
        <v>0</v>
      </c>
      <c r="T237" s="883">
        <v>5</v>
      </c>
      <c r="U237" s="883">
        <f t="shared" si="65"/>
        <v>0</v>
      </c>
      <c r="V237" s="883">
        <v>0</v>
      </c>
      <c r="W237" s="883">
        <v>8</v>
      </c>
      <c r="X237" s="883">
        <f t="shared" si="66"/>
        <v>0</v>
      </c>
      <c r="Y237" s="883">
        <v>0</v>
      </c>
      <c r="Z237" s="883">
        <v>0</v>
      </c>
      <c r="AA237" s="883">
        <v>0</v>
      </c>
      <c r="AB237" s="883">
        <f t="shared" si="67"/>
        <v>29.99</v>
      </c>
      <c r="AC237" s="883">
        <v>0</v>
      </c>
      <c r="AD237" s="881"/>
      <c r="AE237" s="880"/>
      <c r="AF237" s="883"/>
      <c r="AG237" s="889"/>
      <c r="AH237" s="880"/>
      <c r="AI237" s="880" t="s">
        <v>1241</v>
      </c>
      <c r="AJ237" s="884">
        <v>411</v>
      </c>
      <c r="AK237" s="883">
        <f t="shared" si="68"/>
        <v>26.08</v>
      </c>
      <c r="AL237" s="884">
        <v>413</v>
      </c>
      <c r="AM237" s="883">
        <f t="shared" si="69"/>
        <v>0</v>
      </c>
      <c r="AN237" s="884">
        <v>441</v>
      </c>
      <c r="AO237" s="883">
        <f t="shared" si="70"/>
        <v>0</v>
      </c>
      <c r="AP237" s="881"/>
      <c r="AQ237" s="881"/>
      <c r="AR237" s="883">
        <v>0</v>
      </c>
      <c r="AS237" s="883">
        <v>0</v>
      </c>
      <c r="AT237" s="883">
        <v>0</v>
      </c>
      <c r="AU237" s="880"/>
      <c r="AV237" s="886"/>
      <c r="AW237" s="880"/>
      <c r="AX237" s="886"/>
      <c r="AY237" s="880"/>
      <c r="AZ237" s="880"/>
      <c r="BA237" s="881"/>
      <c r="BB237" s="881" t="s">
        <v>57</v>
      </c>
      <c r="BC237" s="881"/>
      <c r="BD237" s="881"/>
      <c r="BE237" s="884">
        <f t="shared" si="71"/>
        <v>4</v>
      </c>
      <c r="BF237" s="887" t="str">
        <f t="shared" si="72"/>
        <v>SI</v>
      </c>
      <c r="BG237" s="883">
        <f t="shared" si="73"/>
        <v>26.08</v>
      </c>
      <c r="BH237" s="883">
        <f t="shared" si="74"/>
        <v>0</v>
      </c>
      <c r="BI237" s="883">
        <f t="shared" si="75"/>
        <v>0</v>
      </c>
      <c r="BJ237" s="883">
        <f t="shared" si="76"/>
        <v>0</v>
      </c>
      <c r="BK237" s="883">
        <f t="shared" si="77"/>
        <v>0</v>
      </c>
      <c r="BL237" s="883">
        <f t="shared" si="78"/>
        <v>3.91</v>
      </c>
      <c r="BM237" s="881"/>
      <c r="BN237" s="880"/>
      <c r="BO237" s="882" t="s">
        <v>1579</v>
      </c>
      <c r="BP237" s="882" t="s">
        <v>2286</v>
      </c>
      <c r="BQ237" s="882" t="s">
        <v>2285</v>
      </c>
      <c r="BR237" s="880"/>
      <c r="BS237" s="880"/>
      <c r="BT237" s="880"/>
      <c r="BU237" s="880"/>
      <c r="BV237" s="880"/>
      <c r="BW237" s="883">
        <v>0</v>
      </c>
      <c r="BX237" s="883">
        <v>0</v>
      </c>
      <c r="BY237" s="883">
        <v>0</v>
      </c>
      <c r="BZ237" s="890"/>
      <c r="CA237" s="883">
        <f t="shared" si="79"/>
        <v>0</v>
      </c>
      <c r="CB237" s="880"/>
      <c r="CC237" s="881"/>
      <c r="CD237" s="883"/>
      <c r="CE237" s="883"/>
      <c r="CF237" s="883"/>
      <c r="CG237" s="883"/>
      <c r="CH237" s="883"/>
      <c r="CI237" s="883"/>
      <c r="CJ237" s="883"/>
      <c r="CK237" s="883"/>
      <c r="CL237" s="883"/>
      <c r="CM237" s="883"/>
      <c r="CN237" s="883"/>
      <c r="CO237" s="883"/>
      <c r="CP237" s="883"/>
      <c r="CQ237" s="883"/>
      <c r="CR237" s="883"/>
      <c r="CS237" s="883"/>
      <c r="CT237" s="883"/>
      <c r="CU237" s="883"/>
    </row>
    <row r="238" spans="1:99" x14ac:dyDescent="0.25">
      <c r="A238" s="880" t="s">
        <v>2874</v>
      </c>
      <c r="B238" s="881" t="s">
        <v>2287</v>
      </c>
      <c r="C238" s="880" t="s">
        <v>2845</v>
      </c>
      <c r="D238" s="880"/>
      <c r="E238" s="884" t="s">
        <v>744</v>
      </c>
      <c r="F238" s="888">
        <v>1</v>
      </c>
      <c r="G238" s="881" t="s">
        <v>1007</v>
      </c>
      <c r="H238" s="881" t="s">
        <v>19</v>
      </c>
      <c r="I238" s="865">
        <v>46142</v>
      </c>
      <c r="J238" s="882" t="s">
        <v>8</v>
      </c>
      <c r="K238" s="880"/>
      <c r="L238" s="880"/>
      <c r="M238" s="883">
        <v>0</v>
      </c>
      <c r="N238" s="883">
        <v>0</v>
      </c>
      <c r="O238" s="883">
        <v>0</v>
      </c>
      <c r="P238" s="883">
        <v>8.92</v>
      </c>
      <c r="Q238" s="883">
        <v>15</v>
      </c>
      <c r="R238" s="883">
        <f t="shared" si="64"/>
        <v>1.34</v>
      </c>
      <c r="S238" s="883">
        <v>0</v>
      </c>
      <c r="T238" s="883">
        <v>5</v>
      </c>
      <c r="U238" s="883">
        <f t="shared" si="65"/>
        <v>0</v>
      </c>
      <c r="V238" s="883">
        <v>0</v>
      </c>
      <c r="W238" s="883">
        <v>8</v>
      </c>
      <c r="X238" s="883">
        <f t="shared" si="66"/>
        <v>0</v>
      </c>
      <c r="Y238" s="883">
        <v>0</v>
      </c>
      <c r="Z238" s="883">
        <v>0</v>
      </c>
      <c r="AA238" s="883">
        <v>0</v>
      </c>
      <c r="AB238" s="883">
        <f t="shared" si="67"/>
        <v>10.26</v>
      </c>
      <c r="AC238" s="883">
        <v>0</v>
      </c>
      <c r="AD238" s="881"/>
      <c r="AE238" s="880"/>
      <c r="AF238" s="883"/>
      <c r="AG238" s="889"/>
      <c r="AH238" s="880"/>
      <c r="AI238" s="880" t="s">
        <v>1241</v>
      </c>
      <c r="AJ238" s="884">
        <v>411</v>
      </c>
      <c r="AK238" s="883">
        <f t="shared" si="68"/>
        <v>8.92</v>
      </c>
      <c r="AL238" s="884">
        <v>413</v>
      </c>
      <c r="AM238" s="883">
        <f t="shared" si="69"/>
        <v>0</v>
      </c>
      <c r="AN238" s="884">
        <v>441</v>
      </c>
      <c r="AO238" s="883">
        <f t="shared" si="70"/>
        <v>0</v>
      </c>
      <c r="AP238" s="881"/>
      <c r="AQ238" s="881"/>
      <c r="AR238" s="883">
        <v>0</v>
      </c>
      <c r="AS238" s="883">
        <v>0</v>
      </c>
      <c r="AT238" s="883">
        <v>0</v>
      </c>
      <c r="AU238" s="880"/>
      <c r="AV238" s="886"/>
      <c r="AW238" s="880"/>
      <c r="AX238" s="886"/>
      <c r="AY238" s="880"/>
      <c r="AZ238" s="880"/>
      <c r="BA238" s="881"/>
      <c r="BB238" s="881" t="s">
        <v>57</v>
      </c>
      <c r="BC238" s="881"/>
      <c r="BD238" s="881"/>
      <c r="BE238" s="884">
        <f t="shared" si="71"/>
        <v>4</v>
      </c>
      <c r="BF238" s="887" t="str">
        <f t="shared" si="72"/>
        <v>SI</v>
      </c>
      <c r="BG238" s="883">
        <f t="shared" si="73"/>
        <v>8.92</v>
      </c>
      <c r="BH238" s="883">
        <f t="shared" si="74"/>
        <v>0</v>
      </c>
      <c r="BI238" s="883">
        <f t="shared" si="75"/>
        <v>0</v>
      </c>
      <c r="BJ238" s="883">
        <f t="shared" si="76"/>
        <v>0</v>
      </c>
      <c r="BK238" s="883">
        <f t="shared" si="77"/>
        <v>0</v>
      </c>
      <c r="BL238" s="883">
        <f t="shared" si="78"/>
        <v>1.34</v>
      </c>
      <c r="BM238" s="881"/>
      <c r="BN238" s="880"/>
      <c r="BO238" s="882" t="s">
        <v>1579</v>
      </c>
      <c r="BP238" s="882" t="s">
        <v>2286</v>
      </c>
      <c r="BQ238" s="882" t="s">
        <v>2285</v>
      </c>
      <c r="BR238" s="880"/>
      <c r="BS238" s="880"/>
      <c r="BT238" s="880"/>
      <c r="BU238" s="880"/>
      <c r="BV238" s="880"/>
      <c r="BW238" s="883">
        <v>0</v>
      </c>
      <c r="BX238" s="883">
        <v>0</v>
      </c>
      <c r="BY238" s="883">
        <v>0</v>
      </c>
      <c r="BZ238" s="890"/>
      <c r="CA238" s="883">
        <f t="shared" si="79"/>
        <v>0</v>
      </c>
      <c r="CB238" s="880"/>
      <c r="CC238" s="881"/>
      <c r="CD238" s="883"/>
      <c r="CE238" s="883"/>
      <c r="CF238" s="883"/>
      <c r="CG238" s="883"/>
      <c r="CH238" s="883"/>
      <c r="CI238" s="883"/>
      <c r="CJ238" s="883"/>
      <c r="CK238" s="883"/>
      <c r="CL238" s="883"/>
      <c r="CM238" s="883"/>
      <c r="CN238" s="883"/>
      <c r="CO238" s="883"/>
      <c r="CP238" s="883"/>
      <c r="CQ238" s="883"/>
      <c r="CR238" s="883"/>
      <c r="CS238" s="883"/>
      <c r="CT238" s="883"/>
      <c r="CU238" s="883"/>
    </row>
    <row r="239" spans="1:99" x14ac:dyDescent="0.25">
      <c r="A239" s="880" t="s">
        <v>1787</v>
      </c>
      <c r="B239" s="881" t="s">
        <v>1788</v>
      </c>
      <c r="C239" s="880"/>
      <c r="D239" s="880"/>
      <c r="E239" s="884" t="s">
        <v>744</v>
      </c>
      <c r="F239" s="888">
        <v>1</v>
      </c>
      <c r="G239" s="881" t="s">
        <v>1007</v>
      </c>
      <c r="H239" s="881" t="s">
        <v>19</v>
      </c>
      <c r="I239" s="865">
        <v>46142</v>
      </c>
      <c r="J239" s="882" t="s">
        <v>8</v>
      </c>
      <c r="K239" s="880"/>
      <c r="L239" s="880"/>
      <c r="M239" s="883">
        <v>0</v>
      </c>
      <c r="N239" s="883">
        <v>0</v>
      </c>
      <c r="O239" s="883">
        <v>0</v>
      </c>
      <c r="P239" s="883">
        <v>13.04</v>
      </c>
      <c r="Q239" s="883">
        <v>15</v>
      </c>
      <c r="R239" s="883">
        <f t="shared" si="64"/>
        <v>1.96</v>
      </c>
      <c r="S239" s="883">
        <v>0</v>
      </c>
      <c r="T239" s="883">
        <v>5</v>
      </c>
      <c r="U239" s="883">
        <f t="shared" si="65"/>
        <v>0</v>
      </c>
      <c r="V239" s="883">
        <v>0</v>
      </c>
      <c r="W239" s="883">
        <v>8</v>
      </c>
      <c r="X239" s="883">
        <f t="shared" si="66"/>
        <v>0</v>
      </c>
      <c r="Y239" s="883">
        <v>0</v>
      </c>
      <c r="Z239" s="883">
        <v>0</v>
      </c>
      <c r="AA239" s="883">
        <v>0</v>
      </c>
      <c r="AB239" s="883">
        <f t="shared" si="67"/>
        <v>15</v>
      </c>
      <c r="AC239" s="883">
        <v>0</v>
      </c>
      <c r="AD239" s="881"/>
      <c r="AE239" s="880"/>
      <c r="AF239" s="883"/>
      <c r="AG239" s="889"/>
      <c r="AH239" s="880"/>
      <c r="AI239" s="880" t="s">
        <v>1241</v>
      </c>
      <c r="AJ239" s="884">
        <v>411</v>
      </c>
      <c r="AK239" s="883">
        <f t="shared" si="68"/>
        <v>13.04</v>
      </c>
      <c r="AL239" s="884">
        <v>413</v>
      </c>
      <c r="AM239" s="883">
        <f t="shared" si="69"/>
        <v>0</v>
      </c>
      <c r="AN239" s="884">
        <v>441</v>
      </c>
      <c r="AO239" s="883">
        <f t="shared" si="70"/>
        <v>0</v>
      </c>
      <c r="AP239" s="881"/>
      <c r="AQ239" s="881"/>
      <c r="AR239" s="883">
        <v>0</v>
      </c>
      <c r="AS239" s="883">
        <v>0</v>
      </c>
      <c r="AT239" s="883">
        <v>0</v>
      </c>
      <c r="AU239" s="880"/>
      <c r="AV239" s="886"/>
      <c r="AW239" s="880"/>
      <c r="AX239" s="886"/>
      <c r="AY239" s="880"/>
      <c r="AZ239" s="880"/>
      <c r="BA239" s="881"/>
      <c r="BB239" s="881" t="s">
        <v>57</v>
      </c>
      <c r="BC239" s="881"/>
      <c r="BD239" s="881"/>
      <c r="BE239" s="884">
        <f t="shared" si="71"/>
        <v>4</v>
      </c>
      <c r="BF239" s="887" t="str">
        <f t="shared" si="72"/>
        <v>SI</v>
      </c>
      <c r="BG239" s="883">
        <f t="shared" si="73"/>
        <v>13.04</v>
      </c>
      <c r="BH239" s="883">
        <f t="shared" si="74"/>
        <v>0</v>
      </c>
      <c r="BI239" s="883">
        <f t="shared" si="75"/>
        <v>0</v>
      </c>
      <c r="BJ239" s="883">
        <f t="shared" si="76"/>
        <v>0</v>
      </c>
      <c r="BK239" s="883">
        <f t="shared" si="77"/>
        <v>0</v>
      </c>
      <c r="BL239" s="883">
        <f t="shared" si="78"/>
        <v>1.96</v>
      </c>
      <c r="BM239" s="881"/>
      <c r="BN239" s="880"/>
      <c r="BO239" s="882" t="s">
        <v>1579</v>
      </c>
      <c r="BP239" s="882" t="s">
        <v>2286</v>
      </c>
      <c r="BQ239" s="882" t="s">
        <v>2285</v>
      </c>
      <c r="BR239" s="880"/>
      <c r="BS239" s="880"/>
      <c r="BT239" s="880"/>
      <c r="BU239" s="880"/>
      <c r="BV239" s="880"/>
      <c r="BW239" s="883">
        <v>0</v>
      </c>
      <c r="BX239" s="883">
        <v>0</v>
      </c>
      <c r="BY239" s="883">
        <v>0</v>
      </c>
      <c r="BZ239" s="890"/>
      <c r="CA239" s="883">
        <f t="shared" si="79"/>
        <v>0</v>
      </c>
      <c r="CB239" s="880"/>
      <c r="CC239" s="881"/>
      <c r="CD239" s="883"/>
      <c r="CE239" s="883"/>
      <c r="CF239" s="883"/>
      <c r="CG239" s="883"/>
      <c r="CH239" s="883"/>
      <c r="CI239" s="883"/>
      <c r="CJ239" s="883"/>
      <c r="CK239" s="883"/>
      <c r="CL239" s="883"/>
      <c r="CM239" s="883"/>
      <c r="CN239" s="883"/>
      <c r="CO239" s="883"/>
      <c r="CP239" s="883"/>
      <c r="CQ239" s="883"/>
      <c r="CR239" s="883"/>
      <c r="CS239" s="883"/>
      <c r="CT239" s="883"/>
      <c r="CU239" s="883"/>
    </row>
    <row r="240" spans="1:99" x14ac:dyDescent="0.25">
      <c r="A240" s="880" t="s">
        <v>1787</v>
      </c>
      <c r="B240" s="881" t="s">
        <v>1788</v>
      </c>
      <c r="C240" s="880"/>
      <c r="D240" s="880"/>
      <c r="E240" s="884" t="s">
        <v>744</v>
      </c>
      <c r="F240" s="888">
        <v>1</v>
      </c>
      <c r="G240" s="881" t="s">
        <v>1007</v>
      </c>
      <c r="H240" s="881" t="s">
        <v>19</v>
      </c>
      <c r="I240" s="865">
        <v>46142</v>
      </c>
      <c r="J240" s="882" t="s">
        <v>8</v>
      </c>
      <c r="K240" s="880"/>
      <c r="L240" s="880"/>
      <c r="M240" s="883">
        <v>0</v>
      </c>
      <c r="N240" s="883">
        <v>0</v>
      </c>
      <c r="O240" s="883">
        <v>0</v>
      </c>
      <c r="P240" s="883">
        <v>26.09</v>
      </c>
      <c r="Q240" s="883">
        <v>15</v>
      </c>
      <c r="R240" s="883">
        <f t="shared" si="64"/>
        <v>3.91</v>
      </c>
      <c r="S240" s="883">
        <v>0</v>
      </c>
      <c r="T240" s="883">
        <v>5</v>
      </c>
      <c r="U240" s="883">
        <f t="shared" si="65"/>
        <v>0</v>
      </c>
      <c r="V240" s="883">
        <v>0</v>
      </c>
      <c r="W240" s="883">
        <v>8</v>
      </c>
      <c r="X240" s="883">
        <f t="shared" si="66"/>
        <v>0</v>
      </c>
      <c r="Y240" s="883">
        <v>0</v>
      </c>
      <c r="Z240" s="883">
        <v>0</v>
      </c>
      <c r="AA240" s="883">
        <v>0</v>
      </c>
      <c r="AB240" s="883">
        <f t="shared" si="67"/>
        <v>30</v>
      </c>
      <c r="AC240" s="883">
        <v>0</v>
      </c>
      <c r="AD240" s="881"/>
      <c r="AE240" s="880"/>
      <c r="AF240" s="883"/>
      <c r="AG240" s="889"/>
      <c r="AH240" s="880"/>
      <c r="AI240" s="880" t="s">
        <v>1241</v>
      </c>
      <c r="AJ240" s="884">
        <v>411</v>
      </c>
      <c r="AK240" s="883">
        <f t="shared" si="68"/>
        <v>26.09</v>
      </c>
      <c r="AL240" s="884">
        <v>413</v>
      </c>
      <c r="AM240" s="883">
        <f t="shared" si="69"/>
        <v>0</v>
      </c>
      <c r="AN240" s="884">
        <v>441</v>
      </c>
      <c r="AO240" s="883">
        <f t="shared" si="70"/>
        <v>0</v>
      </c>
      <c r="AP240" s="881"/>
      <c r="AQ240" s="881"/>
      <c r="AR240" s="883">
        <v>0</v>
      </c>
      <c r="AS240" s="883">
        <v>0</v>
      </c>
      <c r="AT240" s="883">
        <v>0</v>
      </c>
      <c r="AU240" s="880"/>
      <c r="AV240" s="886"/>
      <c r="AW240" s="880"/>
      <c r="AX240" s="886"/>
      <c r="AY240" s="880"/>
      <c r="AZ240" s="880"/>
      <c r="BA240" s="881"/>
      <c r="BB240" s="881" t="s">
        <v>57</v>
      </c>
      <c r="BC240" s="881"/>
      <c r="BD240" s="881"/>
      <c r="BE240" s="884">
        <f t="shared" si="71"/>
        <v>4</v>
      </c>
      <c r="BF240" s="887" t="str">
        <f t="shared" si="72"/>
        <v>SI</v>
      </c>
      <c r="BG240" s="883">
        <f t="shared" si="73"/>
        <v>26.09</v>
      </c>
      <c r="BH240" s="883">
        <f t="shared" si="74"/>
        <v>0</v>
      </c>
      <c r="BI240" s="883">
        <f t="shared" si="75"/>
        <v>0</v>
      </c>
      <c r="BJ240" s="883">
        <f t="shared" si="76"/>
        <v>0</v>
      </c>
      <c r="BK240" s="883">
        <f t="shared" si="77"/>
        <v>0</v>
      </c>
      <c r="BL240" s="883">
        <f t="shared" si="78"/>
        <v>3.91</v>
      </c>
      <c r="BM240" s="881"/>
      <c r="BN240" s="880"/>
      <c r="BO240" s="882" t="s">
        <v>1579</v>
      </c>
      <c r="BP240" s="882" t="s">
        <v>2286</v>
      </c>
      <c r="BQ240" s="882" t="s">
        <v>2285</v>
      </c>
      <c r="BR240" s="880"/>
      <c r="BS240" s="880"/>
      <c r="BT240" s="880"/>
      <c r="BU240" s="880"/>
      <c r="BV240" s="880"/>
      <c r="BW240" s="883">
        <v>0</v>
      </c>
      <c r="BX240" s="883">
        <v>0</v>
      </c>
      <c r="BY240" s="883">
        <v>0</v>
      </c>
      <c r="BZ240" s="890"/>
      <c r="CA240" s="883">
        <f t="shared" si="79"/>
        <v>0</v>
      </c>
      <c r="CB240" s="880"/>
      <c r="CC240" s="881"/>
      <c r="CD240" s="883"/>
      <c r="CE240" s="883"/>
      <c r="CF240" s="883"/>
      <c r="CG240" s="883"/>
      <c r="CH240" s="883"/>
      <c r="CI240" s="883"/>
      <c r="CJ240" s="883"/>
      <c r="CK240" s="883"/>
      <c r="CL240" s="883"/>
      <c r="CM240" s="883"/>
      <c r="CN240" s="883"/>
      <c r="CO240" s="883"/>
      <c r="CP240" s="883"/>
      <c r="CQ240" s="883"/>
      <c r="CR240" s="883"/>
      <c r="CS240" s="883"/>
      <c r="CT240" s="883"/>
      <c r="CU240" s="883"/>
    </row>
    <row r="241" spans="1:99" x14ac:dyDescent="0.25">
      <c r="A241" s="880" t="s">
        <v>1787</v>
      </c>
      <c r="B241" s="881" t="s">
        <v>1788</v>
      </c>
      <c r="C241" s="880"/>
      <c r="D241" s="880"/>
      <c r="E241" s="884" t="s">
        <v>744</v>
      </c>
      <c r="F241" s="888">
        <v>1</v>
      </c>
      <c r="G241" s="881" t="s">
        <v>1007</v>
      </c>
      <c r="H241" s="881" t="s">
        <v>19</v>
      </c>
      <c r="I241" s="865">
        <v>46142</v>
      </c>
      <c r="J241" s="882" t="s">
        <v>8</v>
      </c>
      <c r="K241" s="880"/>
      <c r="L241" s="880"/>
      <c r="M241" s="883">
        <v>0</v>
      </c>
      <c r="N241" s="883">
        <v>0</v>
      </c>
      <c r="O241" s="883">
        <v>0</v>
      </c>
      <c r="P241" s="883">
        <v>17.39</v>
      </c>
      <c r="Q241" s="883">
        <v>15</v>
      </c>
      <c r="R241" s="883">
        <f t="shared" si="64"/>
        <v>2.61</v>
      </c>
      <c r="S241" s="883">
        <v>0</v>
      </c>
      <c r="T241" s="883">
        <v>5</v>
      </c>
      <c r="U241" s="883">
        <f t="shared" si="65"/>
        <v>0</v>
      </c>
      <c r="V241" s="883">
        <v>0</v>
      </c>
      <c r="W241" s="883">
        <v>8</v>
      </c>
      <c r="X241" s="883">
        <f t="shared" si="66"/>
        <v>0</v>
      </c>
      <c r="Y241" s="883">
        <v>0</v>
      </c>
      <c r="Z241" s="883">
        <v>0</v>
      </c>
      <c r="AA241" s="883">
        <v>0</v>
      </c>
      <c r="AB241" s="883">
        <f t="shared" si="67"/>
        <v>20</v>
      </c>
      <c r="AC241" s="883">
        <v>0</v>
      </c>
      <c r="AD241" s="881"/>
      <c r="AE241" s="880"/>
      <c r="AF241" s="883"/>
      <c r="AG241" s="889"/>
      <c r="AH241" s="880"/>
      <c r="AI241" s="880" t="s">
        <v>1241</v>
      </c>
      <c r="AJ241" s="884">
        <v>411</v>
      </c>
      <c r="AK241" s="883">
        <f t="shared" si="68"/>
        <v>17.39</v>
      </c>
      <c r="AL241" s="884">
        <v>413</v>
      </c>
      <c r="AM241" s="883">
        <f t="shared" si="69"/>
        <v>0</v>
      </c>
      <c r="AN241" s="884">
        <v>441</v>
      </c>
      <c r="AO241" s="883">
        <f t="shared" si="70"/>
        <v>0</v>
      </c>
      <c r="AP241" s="881"/>
      <c r="AQ241" s="881"/>
      <c r="AR241" s="883">
        <v>0</v>
      </c>
      <c r="AS241" s="883">
        <v>0</v>
      </c>
      <c r="AT241" s="883">
        <v>0</v>
      </c>
      <c r="AU241" s="880"/>
      <c r="AV241" s="886"/>
      <c r="AW241" s="880"/>
      <c r="AX241" s="886"/>
      <c r="AY241" s="880"/>
      <c r="AZ241" s="880"/>
      <c r="BA241" s="881"/>
      <c r="BB241" s="881" t="s">
        <v>57</v>
      </c>
      <c r="BC241" s="881"/>
      <c r="BD241" s="881"/>
      <c r="BE241" s="884">
        <f t="shared" si="71"/>
        <v>4</v>
      </c>
      <c r="BF241" s="887" t="str">
        <f t="shared" si="72"/>
        <v>SI</v>
      </c>
      <c r="BG241" s="883">
        <f t="shared" si="73"/>
        <v>17.39</v>
      </c>
      <c r="BH241" s="883">
        <f t="shared" si="74"/>
        <v>0</v>
      </c>
      <c r="BI241" s="883">
        <f t="shared" si="75"/>
        <v>0</v>
      </c>
      <c r="BJ241" s="883">
        <f t="shared" si="76"/>
        <v>0</v>
      </c>
      <c r="BK241" s="883">
        <f t="shared" si="77"/>
        <v>0</v>
      </c>
      <c r="BL241" s="883">
        <f t="shared" si="78"/>
        <v>2.61</v>
      </c>
      <c r="BM241" s="881"/>
      <c r="BN241" s="880"/>
      <c r="BO241" s="882" t="s">
        <v>1579</v>
      </c>
      <c r="BP241" s="882" t="s">
        <v>2286</v>
      </c>
      <c r="BQ241" s="882" t="s">
        <v>2285</v>
      </c>
      <c r="BR241" s="880"/>
      <c r="BS241" s="880"/>
      <c r="BT241" s="880"/>
      <c r="BU241" s="880"/>
      <c r="BV241" s="880"/>
      <c r="BW241" s="883">
        <v>0</v>
      </c>
      <c r="BX241" s="883">
        <v>0</v>
      </c>
      <c r="BY241" s="883">
        <v>0</v>
      </c>
      <c r="BZ241" s="890"/>
      <c r="CA241" s="883">
        <f t="shared" si="79"/>
        <v>0</v>
      </c>
      <c r="CB241" s="880"/>
      <c r="CC241" s="881"/>
      <c r="CD241" s="883"/>
      <c r="CE241" s="883"/>
      <c r="CF241" s="883"/>
      <c r="CG241" s="883"/>
      <c r="CH241" s="883"/>
      <c r="CI241" s="883"/>
      <c r="CJ241" s="883"/>
      <c r="CK241" s="883"/>
      <c r="CL241" s="883"/>
      <c r="CM241" s="883"/>
      <c r="CN241" s="883"/>
      <c r="CO241" s="883"/>
      <c r="CP241" s="883"/>
      <c r="CQ241" s="883"/>
      <c r="CR241" s="883"/>
      <c r="CS241" s="883"/>
      <c r="CT241" s="883"/>
      <c r="CU241" s="883"/>
    </row>
    <row r="242" spans="1:99" x14ac:dyDescent="0.25">
      <c r="A242" s="880" t="s">
        <v>1787</v>
      </c>
      <c r="B242" s="881" t="s">
        <v>1788</v>
      </c>
      <c r="C242" s="880"/>
      <c r="D242" s="880"/>
      <c r="E242" s="884" t="s">
        <v>744</v>
      </c>
      <c r="F242" s="888">
        <v>1</v>
      </c>
      <c r="G242" s="881" t="s">
        <v>1007</v>
      </c>
      <c r="H242" s="881" t="s">
        <v>19</v>
      </c>
      <c r="I242" s="865">
        <v>46142</v>
      </c>
      <c r="J242" s="882" t="s">
        <v>8</v>
      </c>
      <c r="K242" s="880"/>
      <c r="L242" s="880"/>
      <c r="M242" s="883">
        <v>0</v>
      </c>
      <c r="N242" s="883">
        <v>0</v>
      </c>
      <c r="O242" s="883">
        <v>0</v>
      </c>
      <c r="P242" s="883">
        <v>17.39</v>
      </c>
      <c r="Q242" s="883">
        <v>15</v>
      </c>
      <c r="R242" s="883">
        <f t="shared" si="64"/>
        <v>2.61</v>
      </c>
      <c r="S242" s="883">
        <v>0</v>
      </c>
      <c r="T242" s="883">
        <v>5</v>
      </c>
      <c r="U242" s="883">
        <f t="shared" si="65"/>
        <v>0</v>
      </c>
      <c r="V242" s="883">
        <v>0</v>
      </c>
      <c r="W242" s="883">
        <v>8</v>
      </c>
      <c r="X242" s="883">
        <f t="shared" si="66"/>
        <v>0</v>
      </c>
      <c r="Y242" s="883">
        <v>0</v>
      </c>
      <c r="Z242" s="883">
        <v>0</v>
      </c>
      <c r="AA242" s="883">
        <v>0</v>
      </c>
      <c r="AB242" s="883">
        <f t="shared" si="67"/>
        <v>20</v>
      </c>
      <c r="AC242" s="883">
        <v>0</v>
      </c>
      <c r="AD242" s="881"/>
      <c r="AE242" s="880"/>
      <c r="AF242" s="883"/>
      <c r="AG242" s="889"/>
      <c r="AH242" s="880"/>
      <c r="AI242" s="880" t="s">
        <v>1241</v>
      </c>
      <c r="AJ242" s="884">
        <v>411</v>
      </c>
      <c r="AK242" s="883">
        <f t="shared" si="68"/>
        <v>17.39</v>
      </c>
      <c r="AL242" s="884">
        <v>413</v>
      </c>
      <c r="AM242" s="883">
        <f t="shared" si="69"/>
        <v>0</v>
      </c>
      <c r="AN242" s="884">
        <v>441</v>
      </c>
      <c r="AO242" s="883">
        <f t="shared" si="70"/>
        <v>0</v>
      </c>
      <c r="AP242" s="881"/>
      <c r="AQ242" s="881"/>
      <c r="AR242" s="883">
        <v>0</v>
      </c>
      <c r="AS242" s="883">
        <v>0</v>
      </c>
      <c r="AT242" s="883">
        <v>0</v>
      </c>
      <c r="AU242" s="880"/>
      <c r="AV242" s="886"/>
      <c r="AW242" s="880"/>
      <c r="AX242" s="886"/>
      <c r="AY242" s="880"/>
      <c r="AZ242" s="880"/>
      <c r="BA242" s="881"/>
      <c r="BB242" s="881" t="s">
        <v>57</v>
      </c>
      <c r="BC242" s="881"/>
      <c r="BD242" s="881"/>
      <c r="BE242" s="884">
        <f t="shared" si="71"/>
        <v>4</v>
      </c>
      <c r="BF242" s="887" t="str">
        <f t="shared" si="72"/>
        <v>SI</v>
      </c>
      <c r="BG242" s="883">
        <f t="shared" si="73"/>
        <v>17.39</v>
      </c>
      <c r="BH242" s="883">
        <f t="shared" si="74"/>
        <v>0</v>
      </c>
      <c r="BI242" s="883">
        <f t="shared" si="75"/>
        <v>0</v>
      </c>
      <c r="BJ242" s="883">
        <f t="shared" si="76"/>
        <v>0</v>
      </c>
      <c r="BK242" s="883">
        <f t="shared" si="77"/>
        <v>0</v>
      </c>
      <c r="BL242" s="883">
        <f t="shared" si="78"/>
        <v>2.61</v>
      </c>
      <c r="BM242" s="881"/>
      <c r="BN242" s="880"/>
      <c r="BO242" s="882" t="s">
        <v>1579</v>
      </c>
      <c r="BP242" s="882" t="s">
        <v>2286</v>
      </c>
      <c r="BQ242" s="882" t="s">
        <v>2285</v>
      </c>
      <c r="BR242" s="880"/>
      <c r="BS242" s="880"/>
      <c r="BT242" s="880"/>
      <c r="BU242" s="880"/>
      <c r="BV242" s="880"/>
      <c r="BW242" s="883">
        <v>0</v>
      </c>
      <c r="BX242" s="883">
        <v>0</v>
      </c>
      <c r="BY242" s="883">
        <v>0</v>
      </c>
      <c r="BZ242" s="890"/>
      <c r="CA242" s="883">
        <f t="shared" si="79"/>
        <v>0</v>
      </c>
      <c r="CB242" s="880"/>
      <c r="CC242" s="881"/>
      <c r="CD242" s="883"/>
      <c r="CE242" s="883"/>
      <c r="CF242" s="883"/>
      <c r="CG242" s="883"/>
      <c r="CH242" s="883"/>
      <c r="CI242" s="883"/>
      <c r="CJ242" s="883"/>
      <c r="CK242" s="883"/>
      <c r="CL242" s="883"/>
      <c r="CM242" s="883"/>
      <c r="CN242" s="883"/>
      <c r="CO242" s="883"/>
      <c r="CP242" s="883"/>
      <c r="CQ242" s="883"/>
      <c r="CR242" s="883"/>
      <c r="CS242" s="883"/>
      <c r="CT242" s="883"/>
      <c r="CU242" s="883"/>
    </row>
    <row r="243" spans="1:99" x14ac:dyDescent="0.25">
      <c r="A243" s="880" t="s">
        <v>1787</v>
      </c>
      <c r="B243" s="881" t="s">
        <v>1788</v>
      </c>
      <c r="C243" s="880"/>
      <c r="D243" s="880"/>
      <c r="E243" s="884" t="s">
        <v>744</v>
      </c>
      <c r="F243" s="888">
        <v>1</v>
      </c>
      <c r="G243" s="881" t="s">
        <v>1007</v>
      </c>
      <c r="H243" s="881" t="s">
        <v>19</v>
      </c>
      <c r="I243" s="865">
        <v>46142</v>
      </c>
      <c r="J243" s="882" t="s">
        <v>8</v>
      </c>
      <c r="K243" s="880"/>
      <c r="L243" s="880"/>
      <c r="M243" s="883">
        <v>0</v>
      </c>
      <c r="N243" s="883">
        <v>0</v>
      </c>
      <c r="O243" s="883">
        <v>0</v>
      </c>
      <c r="P243" s="883">
        <v>34.78</v>
      </c>
      <c r="Q243" s="883">
        <v>15</v>
      </c>
      <c r="R243" s="883">
        <f t="shared" si="64"/>
        <v>5.22</v>
      </c>
      <c r="S243" s="883">
        <v>0</v>
      </c>
      <c r="T243" s="883">
        <v>5</v>
      </c>
      <c r="U243" s="883">
        <f t="shared" si="65"/>
        <v>0</v>
      </c>
      <c r="V243" s="883">
        <v>0</v>
      </c>
      <c r="W243" s="883">
        <v>8</v>
      </c>
      <c r="X243" s="883">
        <f t="shared" si="66"/>
        <v>0</v>
      </c>
      <c r="Y243" s="883">
        <v>0</v>
      </c>
      <c r="Z243" s="883">
        <v>0</v>
      </c>
      <c r="AA243" s="883">
        <v>0</v>
      </c>
      <c r="AB243" s="883">
        <f t="shared" si="67"/>
        <v>40</v>
      </c>
      <c r="AC243" s="883">
        <v>0</v>
      </c>
      <c r="AD243" s="881"/>
      <c r="AE243" s="880"/>
      <c r="AF243" s="883"/>
      <c r="AG243" s="889"/>
      <c r="AH243" s="880"/>
      <c r="AI243" s="880" t="s">
        <v>1241</v>
      </c>
      <c r="AJ243" s="884">
        <v>411</v>
      </c>
      <c r="AK243" s="883">
        <f t="shared" si="68"/>
        <v>34.78</v>
      </c>
      <c r="AL243" s="884">
        <v>413</v>
      </c>
      <c r="AM243" s="883">
        <f t="shared" si="69"/>
        <v>0</v>
      </c>
      <c r="AN243" s="884">
        <v>441</v>
      </c>
      <c r="AO243" s="883">
        <f t="shared" si="70"/>
        <v>0</v>
      </c>
      <c r="AP243" s="881"/>
      <c r="AQ243" s="881"/>
      <c r="AR243" s="883">
        <v>0</v>
      </c>
      <c r="AS243" s="883">
        <v>0</v>
      </c>
      <c r="AT243" s="883">
        <v>0</v>
      </c>
      <c r="AU243" s="880"/>
      <c r="AV243" s="886"/>
      <c r="AW243" s="880"/>
      <c r="AX243" s="886"/>
      <c r="AY243" s="880"/>
      <c r="AZ243" s="880"/>
      <c r="BA243" s="881"/>
      <c r="BB243" s="881" t="s">
        <v>57</v>
      </c>
      <c r="BC243" s="881"/>
      <c r="BD243" s="881"/>
      <c r="BE243" s="884">
        <f t="shared" si="71"/>
        <v>4</v>
      </c>
      <c r="BF243" s="887" t="str">
        <f t="shared" si="72"/>
        <v>SI</v>
      </c>
      <c r="BG243" s="883">
        <f t="shared" si="73"/>
        <v>34.78</v>
      </c>
      <c r="BH243" s="883">
        <f t="shared" si="74"/>
        <v>0</v>
      </c>
      <c r="BI243" s="883">
        <f t="shared" si="75"/>
        <v>0</v>
      </c>
      <c r="BJ243" s="883">
        <f t="shared" si="76"/>
        <v>0</v>
      </c>
      <c r="BK243" s="883">
        <f t="shared" si="77"/>
        <v>0</v>
      </c>
      <c r="BL243" s="883">
        <f t="shared" si="78"/>
        <v>5.22</v>
      </c>
      <c r="BM243" s="881"/>
      <c r="BN243" s="880"/>
      <c r="BO243" s="882" t="s">
        <v>1579</v>
      </c>
      <c r="BP243" s="882" t="s">
        <v>2286</v>
      </c>
      <c r="BQ243" s="882" t="s">
        <v>2285</v>
      </c>
      <c r="BR243" s="880"/>
      <c r="BS243" s="880"/>
      <c r="BT243" s="880"/>
      <c r="BU243" s="880"/>
      <c r="BV243" s="880"/>
      <c r="BW243" s="883">
        <v>0</v>
      </c>
      <c r="BX243" s="883">
        <v>0</v>
      </c>
      <c r="BY243" s="883">
        <v>0</v>
      </c>
      <c r="BZ243" s="890"/>
      <c r="CA243" s="883">
        <f t="shared" si="79"/>
        <v>0</v>
      </c>
      <c r="CB243" s="880"/>
      <c r="CC243" s="881"/>
      <c r="CD243" s="883"/>
      <c r="CE243" s="883"/>
      <c r="CF243" s="883"/>
      <c r="CG243" s="883"/>
      <c r="CH243" s="883"/>
      <c r="CI243" s="883"/>
      <c r="CJ243" s="883"/>
      <c r="CK243" s="883"/>
      <c r="CL243" s="883"/>
      <c r="CM243" s="883"/>
      <c r="CN243" s="883"/>
      <c r="CO243" s="883"/>
      <c r="CP243" s="883"/>
      <c r="CQ243" s="883"/>
      <c r="CR243" s="883"/>
      <c r="CS243" s="883"/>
      <c r="CT243" s="883"/>
      <c r="CU243" s="883"/>
    </row>
    <row r="244" spans="1:99" x14ac:dyDescent="0.25">
      <c r="A244" s="880" t="s">
        <v>1787</v>
      </c>
      <c r="B244" s="881" t="s">
        <v>1788</v>
      </c>
      <c r="C244" s="880"/>
      <c r="D244" s="880"/>
      <c r="E244" s="884" t="s">
        <v>744</v>
      </c>
      <c r="F244" s="888">
        <v>1</v>
      </c>
      <c r="G244" s="881" t="s">
        <v>1007</v>
      </c>
      <c r="H244" s="881" t="s">
        <v>19</v>
      </c>
      <c r="I244" s="865">
        <v>46142</v>
      </c>
      <c r="J244" s="882" t="s">
        <v>8</v>
      </c>
      <c r="K244" s="880"/>
      <c r="L244" s="880"/>
      <c r="M244" s="883">
        <v>0</v>
      </c>
      <c r="N244" s="883">
        <v>0</v>
      </c>
      <c r="O244" s="883">
        <v>0</v>
      </c>
      <c r="P244" s="883">
        <v>21.73</v>
      </c>
      <c r="Q244" s="883">
        <v>15</v>
      </c>
      <c r="R244" s="883">
        <f t="shared" si="64"/>
        <v>3.26</v>
      </c>
      <c r="S244" s="883">
        <v>0</v>
      </c>
      <c r="T244" s="883">
        <v>5</v>
      </c>
      <c r="U244" s="883">
        <f t="shared" si="65"/>
        <v>0</v>
      </c>
      <c r="V244" s="883">
        <v>0</v>
      </c>
      <c r="W244" s="883">
        <v>8</v>
      </c>
      <c r="X244" s="883">
        <f t="shared" si="66"/>
        <v>0</v>
      </c>
      <c r="Y244" s="883">
        <v>0</v>
      </c>
      <c r="Z244" s="883">
        <v>0</v>
      </c>
      <c r="AA244" s="883">
        <v>0</v>
      </c>
      <c r="AB244" s="883">
        <f t="shared" si="67"/>
        <v>24.99</v>
      </c>
      <c r="AC244" s="883">
        <v>0</v>
      </c>
      <c r="AD244" s="881"/>
      <c r="AE244" s="880"/>
      <c r="AF244" s="883"/>
      <c r="AG244" s="889"/>
      <c r="AH244" s="880"/>
      <c r="AI244" s="880" t="s">
        <v>1241</v>
      </c>
      <c r="AJ244" s="884">
        <v>411</v>
      </c>
      <c r="AK244" s="883">
        <f t="shared" si="68"/>
        <v>21.73</v>
      </c>
      <c r="AL244" s="884">
        <v>413</v>
      </c>
      <c r="AM244" s="883">
        <f t="shared" si="69"/>
        <v>0</v>
      </c>
      <c r="AN244" s="884">
        <v>441</v>
      </c>
      <c r="AO244" s="883">
        <f t="shared" si="70"/>
        <v>0</v>
      </c>
      <c r="AP244" s="881"/>
      <c r="AQ244" s="881"/>
      <c r="AR244" s="883">
        <v>0</v>
      </c>
      <c r="AS244" s="883">
        <v>0</v>
      </c>
      <c r="AT244" s="883">
        <v>0</v>
      </c>
      <c r="AU244" s="880"/>
      <c r="AV244" s="886"/>
      <c r="AW244" s="880"/>
      <c r="AX244" s="886"/>
      <c r="AY244" s="880"/>
      <c r="AZ244" s="880"/>
      <c r="BA244" s="881"/>
      <c r="BB244" s="881" t="s">
        <v>57</v>
      </c>
      <c r="BC244" s="881"/>
      <c r="BD244" s="881"/>
      <c r="BE244" s="884">
        <f t="shared" si="71"/>
        <v>4</v>
      </c>
      <c r="BF244" s="887" t="str">
        <f t="shared" si="72"/>
        <v>SI</v>
      </c>
      <c r="BG244" s="883">
        <f t="shared" si="73"/>
        <v>21.73</v>
      </c>
      <c r="BH244" s="883">
        <f t="shared" si="74"/>
        <v>0</v>
      </c>
      <c r="BI244" s="883">
        <f t="shared" si="75"/>
        <v>0</v>
      </c>
      <c r="BJ244" s="883">
        <f t="shared" si="76"/>
        <v>0</v>
      </c>
      <c r="BK244" s="883">
        <f t="shared" si="77"/>
        <v>0</v>
      </c>
      <c r="BL244" s="883">
        <f t="shared" si="78"/>
        <v>3.26</v>
      </c>
      <c r="BM244" s="881"/>
      <c r="BN244" s="880"/>
      <c r="BO244" s="882" t="s">
        <v>1579</v>
      </c>
      <c r="BP244" s="882" t="s">
        <v>2286</v>
      </c>
      <c r="BQ244" s="882" t="s">
        <v>2285</v>
      </c>
      <c r="BR244" s="880"/>
      <c r="BS244" s="880"/>
      <c r="BT244" s="880"/>
      <c r="BU244" s="880"/>
      <c r="BV244" s="880"/>
      <c r="BW244" s="883">
        <v>0</v>
      </c>
      <c r="BX244" s="883">
        <v>0</v>
      </c>
      <c r="BY244" s="883">
        <v>0</v>
      </c>
      <c r="BZ244" s="890"/>
      <c r="CA244" s="883">
        <f t="shared" si="79"/>
        <v>0</v>
      </c>
      <c r="CB244" s="880"/>
      <c r="CC244" s="881"/>
      <c r="CD244" s="883"/>
      <c r="CE244" s="883"/>
      <c r="CF244" s="883"/>
      <c r="CG244" s="883"/>
      <c r="CH244" s="883"/>
      <c r="CI244" s="883"/>
      <c r="CJ244" s="883"/>
      <c r="CK244" s="883"/>
      <c r="CL244" s="883"/>
      <c r="CM244" s="883"/>
      <c r="CN244" s="883"/>
      <c r="CO244" s="883"/>
      <c r="CP244" s="883"/>
      <c r="CQ244" s="883"/>
      <c r="CR244" s="883"/>
      <c r="CS244" s="883"/>
      <c r="CT244" s="883"/>
      <c r="CU244" s="883"/>
    </row>
    <row r="245" spans="1:99" x14ac:dyDescent="0.25">
      <c r="A245" s="880" t="s">
        <v>1787</v>
      </c>
      <c r="B245" s="881" t="s">
        <v>1788</v>
      </c>
      <c r="C245" s="880"/>
      <c r="D245" s="880"/>
      <c r="E245" s="884" t="s">
        <v>744</v>
      </c>
      <c r="F245" s="888">
        <v>1</v>
      </c>
      <c r="G245" s="881" t="s">
        <v>1007</v>
      </c>
      <c r="H245" s="881" t="s">
        <v>19</v>
      </c>
      <c r="I245" s="865">
        <v>46142</v>
      </c>
      <c r="J245" s="882" t="s">
        <v>8</v>
      </c>
      <c r="K245" s="880"/>
      <c r="L245" s="880"/>
      <c r="M245" s="883">
        <v>0</v>
      </c>
      <c r="N245" s="883">
        <v>0</v>
      </c>
      <c r="O245" s="883">
        <v>0</v>
      </c>
      <c r="P245" s="883">
        <v>17.850000000000001</v>
      </c>
      <c r="Q245" s="883">
        <v>15</v>
      </c>
      <c r="R245" s="883">
        <f t="shared" si="64"/>
        <v>2.68</v>
      </c>
      <c r="S245" s="883">
        <v>0</v>
      </c>
      <c r="T245" s="883">
        <v>5</v>
      </c>
      <c r="U245" s="883">
        <f t="shared" si="65"/>
        <v>0</v>
      </c>
      <c r="V245" s="883">
        <v>0</v>
      </c>
      <c r="W245" s="883">
        <v>8</v>
      </c>
      <c r="X245" s="883">
        <f t="shared" si="66"/>
        <v>0</v>
      </c>
      <c r="Y245" s="883">
        <v>0</v>
      </c>
      <c r="Z245" s="883">
        <v>0</v>
      </c>
      <c r="AA245" s="883">
        <v>0</v>
      </c>
      <c r="AB245" s="883">
        <f t="shared" si="67"/>
        <v>20.53</v>
      </c>
      <c r="AC245" s="883">
        <v>0</v>
      </c>
      <c r="AD245" s="881"/>
      <c r="AE245" s="880"/>
      <c r="AF245" s="883"/>
      <c r="AG245" s="889"/>
      <c r="AH245" s="880"/>
      <c r="AI245" s="880" t="s">
        <v>1241</v>
      </c>
      <c r="AJ245" s="884">
        <v>411</v>
      </c>
      <c r="AK245" s="883">
        <f t="shared" si="68"/>
        <v>17.850000000000001</v>
      </c>
      <c r="AL245" s="884">
        <v>413</v>
      </c>
      <c r="AM245" s="883">
        <f t="shared" si="69"/>
        <v>0</v>
      </c>
      <c r="AN245" s="884">
        <v>441</v>
      </c>
      <c r="AO245" s="883">
        <f t="shared" si="70"/>
        <v>0</v>
      </c>
      <c r="AP245" s="881"/>
      <c r="AQ245" s="881"/>
      <c r="AR245" s="883">
        <v>0</v>
      </c>
      <c r="AS245" s="883">
        <v>0</v>
      </c>
      <c r="AT245" s="883">
        <v>0</v>
      </c>
      <c r="AU245" s="880"/>
      <c r="AV245" s="886"/>
      <c r="AW245" s="880"/>
      <c r="AX245" s="886"/>
      <c r="AY245" s="880"/>
      <c r="AZ245" s="880"/>
      <c r="BA245" s="881"/>
      <c r="BB245" s="881" t="s">
        <v>57</v>
      </c>
      <c r="BC245" s="881"/>
      <c r="BD245" s="881"/>
      <c r="BE245" s="884">
        <f t="shared" si="71"/>
        <v>4</v>
      </c>
      <c r="BF245" s="887" t="str">
        <f t="shared" si="72"/>
        <v>SI</v>
      </c>
      <c r="BG245" s="883">
        <f t="shared" si="73"/>
        <v>17.850000000000001</v>
      </c>
      <c r="BH245" s="883">
        <f t="shared" si="74"/>
        <v>0</v>
      </c>
      <c r="BI245" s="883">
        <f t="shared" si="75"/>
        <v>0</v>
      </c>
      <c r="BJ245" s="883">
        <f t="shared" si="76"/>
        <v>0</v>
      </c>
      <c r="BK245" s="883">
        <f t="shared" si="77"/>
        <v>0</v>
      </c>
      <c r="BL245" s="883">
        <f t="shared" si="78"/>
        <v>2.68</v>
      </c>
      <c r="BM245" s="881"/>
      <c r="BN245" s="880"/>
      <c r="BO245" s="882" t="s">
        <v>1579</v>
      </c>
      <c r="BP245" s="882" t="s">
        <v>2286</v>
      </c>
      <c r="BQ245" s="882" t="s">
        <v>2285</v>
      </c>
      <c r="BR245" s="880"/>
      <c r="BS245" s="880"/>
      <c r="BT245" s="880"/>
      <c r="BU245" s="880"/>
      <c r="BV245" s="880"/>
      <c r="BW245" s="883">
        <v>0</v>
      </c>
      <c r="BX245" s="883">
        <v>0</v>
      </c>
      <c r="BY245" s="883">
        <v>0</v>
      </c>
      <c r="BZ245" s="890"/>
      <c r="CA245" s="883">
        <f t="shared" si="79"/>
        <v>0</v>
      </c>
      <c r="CB245" s="880"/>
      <c r="CC245" s="881"/>
      <c r="CD245" s="883"/>
      <c r="CE245" s="883"/>
      <c r="CF245" s="883"/>
      <c r="CG245" s="883"/>
      <c r="CH245" s="883"/>
      <c r="CI245" s="883"/>
      <c r="CJ245" s="883"/>
      <c r="CK245" s="883"/>
      <c r="CL245" s="883"/>
      <c r="CM245" s="883"/>
      <c r="CN245" s="883"/>
      <c r="CO245" s="883"/>
      <c r="CP245" s="883"/>
      <c r="CQ245" s="883"/>
      <c r="CR245" s="883"/>
      <c r="CS245" s="883"/>
      <c r="CT245" s="883"/>
      <c r="CU245" s="883"/>
    </row>
    <row r="246" spans="1:99" x14ac:dyDescent="0.25">
      <c r="A246" s="880" t="s">
        <v>1787</v>
      </c>
      <c r="B246" s="881" t="s">
        <v>1788</v>
      </c>
      <c r="C246" s="880"/>
      <c r="D246" s="880"/>
      <c r="E246" s="884" t="s">
        <v>744</v>
      </c>
      <c r="F246" s="888">
        <v>1</v>
      </c>
      <c r="G246" s="881" t="s">
        <v>1007</v>
      </c>
      <c r="H246" s="881" t="s">
        <v>19</v>
      </c>
      <c r="I246" s="865">
        <v>46142</v>
      </c>
      <c r="J246" s="882" t="s">
        <v>8</v>
      </c>
      <c r="K246" s="880"/>
      <c r="L246" s="880"/>
      <c r="M246" s="883">
        <v>0</v>
      </c>
      <c r="N246" s="883">
        <v>0</v>
      </c>
      <c r="O246" s="883">
        <v>0</v>
      </c>
      <c r="P246" s="883">
        <v>21.73</v>
      </c>
      <c r="Q246" s="883">
        <v>15</v>
      </c>
      <c r="R246" s="883">
        <f t="shared" si="64"/>
        <v>3.26</v>
      </c>
      <c r="S246" s="883">
        <v>0</v>
      </c>
      <c r="T246" s="883">
        <v>5</v>
      </c>
      <c r="U246" s="883">
        <f t="shared" si="65"/>
        <v>0</v>
      </c>
      <c r="V246" s="883">
        <v>0</v>
      </c>
      <c r="W246" s="883">
        <v>8</v>
      </c>
      <c r="X246" s="883">
        <f t="shared" si="66"/>
        <v>0</v>
      </c>
      <c r="Y246" s="883">
        <v>0</v>
      </c>
      <c r="Z246" s="883">
        <v>0</v>
      </c>
      <c r="AA246" s="883">
        <v>0</v>
      </c>
      <c r="AB246" s="883">
        <f t="shared" si="67"/>
        <v>24.99</v>
      </c>
      <c r="AC246" s="883">
        <v>0</v>
      </c>
      <c r="AD246" s="881"/>
      <c r="AE246" s="880"/>
      <c r="AF246" s="883"/>
      <c r="AG246" s="889"/>
      <c r="AH246" s="880"/>
      <c r="AI246" s="880" t="s">
        <v>1241</v>
      </c>
      <c r="AJ246" s="884">
        <v>411</v>
      </c>
      <c r="AK246" s="883">
        <f t="shared" si="68"/>
        <v>21.73</v>
      </c>
      <c r="AL246" s="884">
        <v>413</v>
      </c>
      <c r="AM246" s="883">
        <f t="shared" si="69"/>
        <v>0</v>
      </c>
      <c r="AN246" s="884">
        <v>441</v>
      </c>
      <c r="AO246" s="883">
        <f t="shared" si="70"/>
        <v>0</v>
      </c>
      <c r="AP246" s="881"/>
      <c r="AQ246" s="881"/>
      <c r="AR246" s="883">
        <v>0</v>
      </c>
      <c r="AS246" s="883">
        <v>0</v>
      </c>
      <c r="AT246" s="883">
        <v>0</v>
      </c>
      <c r="AU246" s="880"/>
      <c r="AV246" s="886"/>
      <c r="AW246" s="880"/>
      <c r="AX246" s="886"/>
      <c r="AY246" s="880"/>
      <c r="AZ246" s="880"/>
      <c r="BA246" s="881"/>
      <c r="BB246" s="881" t="s">
        <v>57</v>
      </c>
      <c r="BC246" s="881"/>
      <c r="BD246" s="881"/>
      <c r="BE246" s="884">
        <f t="shared" si="71"/>
        <v>4</v>
      </c>
      <c r="BF246" s="887" t="str">
        <f t="shared" si="72"/>
        <v>SI</v>
      </c>
      <c r="BG246" s="883">
        <f t="shared" si="73"/>
        <v>21.73</v>
      </c>
      <c r="BH246" s="883">
        <f t="shared" si="74"/>
        <v>0</v>
      </c>
      <c r="BI246" s="883">
        <f t="shared" si="75"/>
        <v>0</v>
      </c>
      <c r="BJ246" s="883">
        <f t="shared" si="76"/>
        <v>0</v>
      </c>
      <c r="BK246" s="883">
        <f t="shared" si="77"/>
        <v>0</v>
      </c>
      <c r="BL246" s="883">
        <f t="shared" si="78"/>
        <v>3.26</v>
      </c>
      <c r="BM246" s="881"/>
      <c r="BN246" s="880"/>
      <c r="BO246" s="882" t="s">
        <v>1579</v>
      </c>
      <c r="BP246" s="882" t="s">
        <v>2286</v>
      </c>
      <c r="BQ246" s="882" t="s">
        <v>2285</v>
      </c>
      <c r="BR246" s="880"/>
      <c r="BS246" s="880"/>
      <c r="BT246" s="880"/>
      <c r="BU246" s="880"/>
      <c r="BV246" s="880"/>
      <c r="BW246" s="883">
        <v>0</v>
      </c>
      <c r="BX246" s="883">
        <v>0</v>
      </c>
      <c r="BY246" s="883">
        <v>0</v>
      </c>
      <c r="BZ246" s="890"/>
      <c r="CA246" s="883">
        <f t="shared" si="79"/>
        <v>0</v>
      </c>
      <c r="CB246" s="880"/>
      <c r="CC246" s="881"/>
      <c r="CD246" s="883"/>
      <c r="CE246" s="883"/>
      <c r="CF246" s="883"/>
      <c r="CG246" s="883"/>
      <c r="CH246" s="883"/>
      <c r="CI246" s="883"/>
      <c r="CJ246" s="883"/>
      <c r="CK246" s="883"/>
      <c r="CL246" s="883"/>
      <c r="CM246" s="883"/>
      <c r="CN246" s="883"/>
      <c r="CO246" s="883"/>
      <c r="CP246" s="883"/>
      <c r="CQ246" s="883"/>
      <c r="CR246" s="883"/>
      <c r="CS246" s="883"/>
      <c r="CT246" s="883"/>
      <c r="CU246" s="883"/>
    </row>
    <row r="247" spans="1:99" x14ac:dyDescent="0.25">
      <c r="A247" s="880" t="s">
        <v>1787</v>
      </c>
      <c r="B247" s="881" t="s">
        <v>1788</v>
      </c>
      <c r="C247" s="880"/>
      <c r="D247" s="880"/>
      <c r="E247" s="884" t="s">
        <v>744</v>
      </c>
      <c r="F247" s="888">
        <v>1</v>
      </c>
      <c r="G247" s="881" t="s">
        <v>1007</v>
      </c>
      <c r="H247" s="881" t="s">
        <v>19</v>
      </c>
      <c r="I247" s="865">
        <v>46142</v>
      </c>
      <c r="J247" s="882" t="s">
        <v>8</v>
      </c>
      <c r="K247" s="880"/>
      <c r="L247" s="880"/>
      <c r="M247" s="883">
        <v>0</v>
      </c>
      <c r="N247" s="883">
        <v>0</v>
      </c>
      <c r="O247" s="883">
        <v>0</v>
      </c>
      <c r="P247" s="883">
        <v>8.69</v>
      </c>
      <c r="Q247" s="883">
        <v>15</v>
      </c>
      <c r="R247" s="883">
        <f t="shared" si="64"/>
        <v>1.3</v>
      </c>
      <c r="S247" s="883">
        <v>0</v>
      </c>
      <c r="T247" s="883">
        <v>5</v>
      </c>
      <c r="U247" s="883">
        <f t="shared" si="65"/>
        <v>0</v>
      </c>
      <c r="V247" s="883">
        <v>0</v>
      </c>
      <c r="W247" s="883">
        <v>8</v>
      </c>
      <c r="X247" s="883">
        <f t="shared" si="66"/>
        <v>0</v>
      </c>
      <c r="Y247" s="883">
        <v>0</v>
      </c>
      <c r="Z247" s="883">
        <v>0</v>
      </c>
      <c r="AA247" s="883">
        <v>0</v>
      </c>
      <c r="AB247" s="883">
        <f t="shared" si="67"/>
        <v>9.99</v>
      </c>
      <c r="AC247" s="883">
        <v>0</v>
      </c>
      <c r="AD247" s="881"/>
      <c r="AE247" s="880"/>
      <c r="AF247" s="883"/>
      <c r="AG247" s="889"/>
      <c r="AH247" s="880"/>
      <c r="AI247" s="880" t="s">
        <v>1241</v>
      </c>
      <c r="AJ247" s="884">
        <v>411</v>
      </c>
      <c r="AK247" s="883">
        <f t="shared" si="68"/>
        <v>8.69</v>
      </c>
      <c r="AL247" s="884">
        <v>413</v>
      </c>
      <c r="AM247" s="883">
        <f t="shared" si="69"/>
        <v>0</v>
      </c>
      <c r="AN247" s="884">
        <v>441</v>
      </c>
      <c r="AO247" s="883">
        <f t="shared" si="70"/>
        <v>0</v>
      </c>
      <c r="AP247" s="881"/>
      <c r="AQ247" s="881"/>
      <c r="AR247" s="883">
        <v>0</v>
      </c>
      <c r="AS247" s="883">
        <v>0</v>
      </c>
      <c r="AT247" s="883">
        <v>0</v>
      </c>
      <c r="AU247" s="880"/>
      <c r="AV247" s="886"/>
      <c r="AW247" s="880"/>
      <c r="AX247" s="886"/>
      <c r="AY247" s="880"/>
      <c r="AZ247" s="880"/>
      <c r="BA247" s="881"/>
      <c r="BB247" s="881" t="s">
        <v>57</v>
      </c>
      <c r="BC247" s="881"/>
      <c r="BD247" s="881"/>
      <c r="BE247" s="884">
        <f t="shared" si="71"/>
        <v>4</v>
      </c>
      <c r="BF247" s="887" t="str">
        <f t="shared" si="72"/>
        <v>SI</v>
      </c>
      <c r="BG247" s="883">
        <f t="shared" si="73"/>
        <v>8.69</v>
      </c>
      <c r="BH247" s="883">
        <f t="shared" si="74"/>
        <v>0</v>
      </c>
      <c r="BI247" s="883">
        <f t="shared" si="75"/>
        <v>0</v>
      </c>
      <c r="BJ247" s="883">
        <f t="shared" si="76"/>
        <v>0</v>
      </c>
      <c r="BK247" s="883">
        <f t="shared" si="77"/>
        <v>0</v>
      </c>
      <c r="BL247" s="883">
        <f t="shared" si="78"/>
        <v>1.3</v>
      </c>
      <c r="BM247" s="881"/>
      <c r="BN247" s="880"/>
      <c r="BO247" s="882" t="s">
        <v>1579</v>
      </c>
      <c r="BP247" s="882" t="s">
        <v>2286</v>
      </c>
      <c r="BQ247" s="882" t="s">
        <v>2285</v>
      </c>
      <c r="BR247" s="880"/>
      <c r="BS247" s="880"/>
      <c r="BT247" s="880"/>
      <c r="BU247" s="880"/>
      <c r="BV247" s="880"/>
      <c r="BW247" s="883">
        <v>0</v>
      </c>
      <c r="BX247" s="883">
        <v>0</v>
      </c>
      <c r="BY247" s="883">
        <v>0</v>
      </c>
      <c r="BZ247" s="890"/>
      <c r="CA247" s="883">
        <f t="shared" si="79"/>
        <v>0</v>
      </c>
      <c r="CB247" s="880"/>
      <c r="CC247" s="881"/>
      <c r="CD247" s="883"/>
      <c r="CE247" s="883"/>
      <c r="CF247" s="883"/>
      <c r="CG247" s="883"/>
      <c r="CH247" s="883"/>
      <c r="CI247" s="883"/>
      <c r="CJ247" s="883"/>
      <c r="CK247" s="883"/>
      <c r="CL247" s="883"/>
      <c r="CM247" s="883"/>
      <c r="CN247" s="883"/>
      <c r="CO247" s="883"/>
      <c r="CP247" s="883"/>
      <c r="CQ247" s="883"/>
      <c r="CR247" s="883"/>
      <c r="CS247" s="883"/>
      <c r="CT247" s="883"/>
      <c r="CU247" s="883"/>
    </row>
    <row r="248" spans="1:99" x14ac:dyDescent="0.25">
      <c r="A248" s="880" t="s">
        <v>1787</v>
      </c>
      <c r="B248" s="881" t="s">
        <v>1788</v>
      </c>
      <c r="C248" s="880"/>
      <c r="D248" s="880"/>
      <c r="E248" s="884" t="s">
        <v>744</v>
      </c>
      <c r="F248" s="888">
        <v>1</v>
      </c>
      <c r="G248" s="881" t="s">
        <v>1007</v>
      </c>
      <c r="H248" s="881" t="s">
        <v>19</v>
      </c>
      <c r="I248" s="865">
        <v>46142</v>
      </c>
      <c r="J248" s="882" t="s">
        <v>8</v>
      </c>
      <c r="K248" s="880"/>
      <c r="L248" s="880"/>
      <c r="M248" s="883">
        <v>0</v>
      </c>
      <c r="N248" s="883">
        <v>0</v>
      </c>
      <c r="O248" s="883">
        <v>0</v>
      </c>
      <c r="P248" s="883">
        <v>21.73</v>
      </c>
      <c r="Q248" s="883">
        <v>15</v>
      </c>
      <c r="R248" s="883">
        <f t="shared" si="64"/>
        <v>3.26</v>
      </c>
      <c r="S248" s="883">
        <v>0</v>
      </c>
      <c r="T248" s="883">
        <v>5</v>
      </c>
      <c r="U248" s="883">
        <f t="shared" si="65"/>
        <v>0</v>
      </c>
      <c r="V248" s="883">
        <v>0</v>
      </c>
      <c r="W248" s="883">
        <v>8</v>
      </c>
      <c r="X248" s="883">
        <f t="shared" si="66"/>
        <v>0</v>
      </c>
      <c r="Y248" s="883">
        <v>0</v>
      </c>
      <c r="Z248" s="883">
        <v>0</v>
      </c>
      <c r="AA248" s="883">
        <v>0</v>
      </c>
      <c r="AB248" s="883">
        <f t="shared" si="67"/>
        <v>24.99</v>
      </c>
      <c r="AC248" s="883">
        <v>0</v>
      </c>
      <c r="AD248" s="881"/>
      <c r="AE248" s="880"/>
      <c r="AF248" s="883"/>
      <c r="AG248" s="889"/>
      <c r="AH248" s="880"/>
      <c r="AI248" s="880" t="s">
        <v>1241</v>
      </c>
      <c r="AJ248" s="884">
        <v>411</v>
      </c>
      <c r="AK248" s="883">
        <f t="shared" si="68"/>
        <v>21.73</v>
      </c>
      <c r="AL248" s="884">
        <v>413</v>
      </c>
      <c r="AM248" s="883">
        <f t="shared" si="69"/>
        <v>0</v>
      </c>
      <c r="AN248" s="884">
        <v>441</v>
      </c>
      <c r="AO248" s="883">
        <f t="shared" si="70"/>
        <v>0</v>
      </c>
      <c r="AP248" s="881"/>
      <c r="AQ248" s="881"/>
      <c r="AR248" s="883">
        <v>0</v>
      </c>
      <c r="AS248" s="883">
        <v>0</v>
      </c>
      <c r="AT248" s="883">
        <v>0</v>
      </c>
      <c r="AU248" s="880"/>
      <c r="AV248" s="886"/>
      <c r="AW248" s="880"/>
      <c r="AX248" s="886"/>
      <c r="AY248" s="880"/>
      <c r="AZ248" s="880"/>
      <c r="BA248" s="881"/>
      <c r="BB248" s="881" t="s">
        <v>57</v>
      </c>
      <c r="BC248" s="881"/>
      <c r="BD248" s="881"/>
      <c r="BE248" s="884">
        <f t="shared" si="71"/>
        <v>4</v>
      </c>
      <c r="BF248" s="887" t="str">
        <f t="shared" si="72"/>
        <v>SI</v>
      </c>
      <c r="BG248" s="883">
        <f t="shared" si="73"/>
        <v>21.73</v>
      </c>
      <c r="BH248" s="883">
        <f t="shared" si="74"/>
        <v>0</v>
      </c>
      <c r="BI248" s="883">
        <f t="shared" si="75"/>
        <v>0</v>
      </c>
      <c r="BJ248" s="883">
        <f t="shared" si="76"/>
        <v>0</v>
      </c>
      <c r="BK248" s="883">
        <f t="shared" si="77"/>
        <v>0</v>
      </c>
      <c r="BL248" s="883">
        <f t="shared" si="78"/>
        <v>3.26</v>
      </c>
      <c r="BM248" s="881"/>
      <c r="BN248" s="880"/>
      <c r="BO248" s="882" t="s">
        <v>1579</v>
      </c>
      <c r="BP248" s="882" t="s">
        <v>2286</v>
      </c>
      <c r="BQ248" s="882" t="s">
        <v>2285</v>
      </c>
      <c r="BR248" s="880"/>
      <c r="BS248" s="880"/>
      <c r="BT248" s="880"/>
      <c r="BU248" s="880"/>
      <c r="BV248" s="880"/>
      <c r="BW248" s="883">
        <v>0</v>
      </c>
      <c r="BX248" s="883">
        <v>0</v>
      </c>
      <c r="BY248" s="883">
        <v>0</v>
      </c>
      <c r="BZ248" s="890"/>
      <c r="CA248" s="883">
        <f t="shared" si="79"/>
        <v>0</v>
      </c>
      <c r="CB248" s="880"/>
      <c r="CC248" s="881"/>
      <c r="CD248" s="883"/>
      <c r="CE248" s="883"/>
      <c r="CF248" s="883"/>
      <c r="CG248" s="883"/>
      <c r="CH248" s="883"/>
      <c r="CI248" s="883"/>
      <c r="CJ248" s="883"/>
      <c r="CK248" s="883"/>
      <c r="CL248" s="883"/>
      <c r="CM248" s="883"/>
      <c r="CN248" s="883"/>
      <c r="CO248" s="883"/>
      <c r="CP248" s="883"/>
      <c r="CQ248" s="883"/>
      <c r="CR248" s="883"/>
      <c r="CS248" s="883"/>
      <c r="CT248" s="883"/>
      <c r="CU248" s="883"/>
    </row>
    <row r="249" spans="1:99" x14ac:dyDescent="0.25">
      <c r="A249" s="880" t="s">
        <v>1787</v>
      </c>
      <c r="B249" s="881" t="s">
        <v>1788</v>
      </c>
      <c r="C249" s="880"/>
      <c r="D249" s="880"/>
      <c r="E249" s="884" t="s">
        <v>744</v>
      </c>
      <c r="F249" s="888">
        <v>1</v>
      </c>
      <c r="G249" s="881" t="s">
        <v>1007</v>
      </c>
      <c r="H249" s="881" t="s">
        <v>19</v>
      </c>
      <c r="I249" s="865">
        <v>46142</v>
      </c>
      <c r="J249" s="882" t="s">
        <v>8</v>
      </c>
      <c r="K249" s="880"/>
      <c r="L249" s="880"/>
      <c r="M249" s="883">
        <v>0</v>
      </c>
      <c r="N249" s="883">
        <v>0</v>
      </c>
      <c r="O249" s="883">
        <v>0</v>
      </c>
      <c r="P249" s="883">
        <v>13.39</v>
      </c>
      <c r="Q249" s="883">
        <v>15</v>
      </c>
      <c r="R249" s="883">
        <f t="shared" si="64"/>
        <v>2.0099999999999998</v>
      </c>
      <c r="S249" s="883">
        <v>0</v>
      </c>
      <c r="T249" s="883">
        <v>5</v>
      </c>
      <c r="U249" s="883">
        <f t="shared" si="65"/>
        <v>0</v>
      </c>
      <c r="V249" s="883">
        <v>0</v>
      </c>
      <c r="W249" s="883">
        <v>8</v>
      </c>
      <c r="X249" s="883">
        <f t="shared" si="66"/>
        <v>0</v>
      </c>
      <c r="Y249" s="883">
        <v>0</v>
      </c>
      <c r="Z249" s="883">
        <v>0</v>
      </c>
      <c r="AA249" s="883">
        <v>0</v>
      </c>
      <c r="AB249" s="883">
        <f t="shared" si="67"/>
        <v>15.4</v>
      </c>
      <c r="AC249" s="883">
        <v>0</v>
      </c>
      <c r="AD249" s="881"/>
      <c r="AE249" s="880"/>
      <c r="AF249" s="883"/>
      <c r="AG249" s="889"/>
      <c r="AH249" s="880"/>
      <c r="AI249" s="880" t="s">
        <v>1241</v>
      </c>
      <c r="AJ249" s="884">
        <v>411</v>
      </c>
      <c r="AK249" s="883">
        <f t="shared" si="68"/>
        <v>13.39</v>
      </c>
      <c r="AL249" s="884">
        <v>413</v>
      </c>
      <c r="AM249" s="883">
        <f t="shared" si="69"/>
        <v>0</v>
      </c>
      <c r="AN249" s="884">
        <v>441</v>
      </c>
      <c r="AO249" s="883">
        <f t="shared" si="70"/>
        <v>0</v>
      </c>
      <c r="AP249" s="881"/>
      <c r="AQ249" s="881"/>
      <c r="AR249" s="883">
        <v>0</v>
      </c>
      <c r="AS249" s="883">
        <v>0</v>
      </c>
      <c r="AT249" s="883">
        <v>0</v>
      </c>
      <c r="AU249" s="880"/>
      <c r="AV249" s="886"/>
      <c r="AW249" s="880"/>
      <c r="AX249" s="886"/>
      <c r="AY249" s="880"/>
      <c r="AZ249" s="880"/>
      <c r="BA249" s="881"/>
      <c r="BB249" s="881" t="s">
        <v>57</v>
      </c>
      <c r="BC249" s="881"/>
      <c r="BD249" s="881"/>
      <c r="BE249" s="884">
        <f t="shared" si="71"/>
        <v>4</v>
      </c>
      <c r="BF249" s="887" t="str">
        <f t="shared" si="72"/>
        <v>SI</v>
      </c>
      <c r="BG249" s="883">
        <f t="shared" si="73"/>
        <v>13.39</v>
      </c>
      <c r="BH249" s="883">
        <f t="shared" si="74"/>
        <v>0</v>
      </c>
      <c r="BI249" s="883">
        <f t="shared" si="75"/>
        <v>0</v>
      </c>
      <c r="BJ249" s="883">
        <f t="shared" si="76"/>
        <v>0</v>
      </c>
      <c r="BK249" s="883">
        <f t="shared" si="77"/>
        <v>0</v>
      </c>
      <c r="BL249" s="883">
        <f t="shared" si="78"/>
        <v>2.0099999999999998</v>
      </c>
      <c r="BM249" s="881"/>
      <c r="BN249" s="880"/>
      <c r="BO249" s="882" t="s">
        <v>1579</v>
      </c>
      <c r="BP249" s="882" t="s">
        <v>2286</v>
      </c>
      <c r="BQ249" s="882" t="s">
        <v>2285</v>
      </c>
      <c r="BR249" s="880"/>
      <c r="BS249" s="880"/>
      <c r="BT249" s="880"/>
      <c r="BU249" s="880"/>
      <c r="BV249" s="880"/>
      <c r="BW249" s="883">
        <v>0</v>
      </c>
      <c r="BX249" s="883">
        <v>0</v>
      </c>
      <c r="BY249" s="883">
        <v>0</v>
      </c>
      <c r="BZ249" s="890"/>
      <c r="CA249" s="883">
        <f t="shared" si="79"/>
        <v>0</v>
      </c>
      <c r="CB249" s="880"/>
      <c r="CC249" s="881"/>
      <c r="CD249" s="883"/>
      <c r="CE249" s="883"/>
      <c r="CF249" s="883"/>
      <c r="CG249" s="883"/>
      <c r="CH249" s="883"/>
      <c r="CI249" s="883"/>
      <c r="CJ249" s="883"/>
      <c r="CK249" s="883"/>
      <c r="CL249" s="883"/>
      <c r="CM249" s="883"/>
      <c r="CN249" s="883"/>
      <c r="CO249" s="883"/>
      <c r="CP249" s="883"/>
      <c r="CQ249" s="883"/>
      <c r="CR249" s="883"/>
      <c r="CS249" s="883"/>
      <c r="CT249" s="883"/>
      <c r="CU249" s="883"/>
    </row>
    <row r="250" spans="1:99" x14ac:dyDescent="0.25">
      <c r="A250" s="880" t="s">
        <v>1787</v>
      </c>
      <c r="B250" s="881" t="s">
        <v>1788</v>
      </c>
      <c r="C250" s="880"/>
      <c r="D250" s="880"/>
      <c r="E250" s="884" t="s">
        <v>744</v>
      </c>
      <c r="F250" s="888">
        <v>1</v>
      </c>
      <c r="G250" s="881" t="s">
        <v>1007</v>
      </c>
      <c r="H250" s="881" t="s">
        <v>19</v>
      </c>
      <c r="I250" s="865">
        <v>46142</v>
      </c>
      <c r="J250" s="882" t="s">
        <v>8</v>
      </c>
      <c r="K250" s="880"/>
      <c r="L250" s="880"/>
      <c r="M250" s="883">
        <v>0</v>
      </c>
      <c r="N250" s="883">
        <v>0</v>
      </c>
      <c r="O250" s="883">
        <v>0</v>
      </c>
      <c r="P250" s="883">
        <v>17.86</v>
      </c>
      <c r="Q250" s="883">
        <v>15</v>
      </c>
      <c r="R250" s="883">
        <f t="shared" si="64"/>
        <v>2.68</v>
      </c>
      <c r="S250" s="883">
        <v>0</v>
      </c>
      <c r="T250" s="883">
        <v>5</v>
      </c>
      <c r="U250" s="883">
        <f t="shared" si="65"/>
        <v>0</v>
      </c>
      <c r="V250" s="883">
        <v>0</v>
      </c>
      <c r="W250" s="883">
        <v>8</v>
      </c>
      <c r="X250" s="883">
        <f t="shared" si="66"/>
        <v>0</v>
      </c>
      <c r="Y250" s="883">
        <v>0</v>
      </c>
      <c r="Z250" s="883">
        <v>0</v>
      </c>
      <c r="AA250" s="883">
        <v>0</v>
      </c>
      <c r="AB250" s="883">
        <f t="shared" si="67"/>
        <v>20.54</v>
      </c>
      <c r="AC250" s="883">
        <v>0</v>
      </c>
      <c r="AD250" s="881"/>
      <c r="AE250" s="880"/>
      <c r="AF250" s="883"/>
      <c r="AG250" s="889"/>
      <c r="AH250" s="880"/>
      <c r="AI250" s="880" t="s">
        <v>1241</v>
      </c>
      <c r="AJ250" s="884">
        <v>411</v>
      </c>
      <c r="AK250" s="883">
        <f t="shared" si="68"/>
        <v>17.86</v>
      </c>
      <c r="AL250" s="884">
        <v>413</v>
      </c>
      <c r="AM250" s="883">
        <f t="shared" si="69"/>
        <v>0</v>
      </c>
      <c r="AN250" s="884">
        <v>441</v>
      </c>
      <c r="AO250" s="883">
        <f t="shared" si="70"/>
        <v>0</v>
      </c>
      <c r="AP250" s="881"/>
      <c r="AQ250" s="881"/>
      <c r="AR250" s="883">
        <v>0</v>
      </c>
      <c r="AS250" s="883">
        <v>0</v>
      </c>
      <c r="AT250" s="883">
        <v>0</v>
      </c>
      <c r="AU250" s="880"/>
      <c r="AV250" s="886"/>
      <c r="AW250" s="880"/>
      <c r="AX250" s="886"/>
      <c r="AY250" s="880"/>
      <c r="AZ250" s="880"/>
      <c r="BA250" s="881"/>
      <c r="BB250" s="881" t="s">
        <v>57</v>
      </c>
      <c r="BC250" s="881"/>
      <c r="BD250" s="881"/>
      <c r="BE250" s="884">
        <f t="shared" si="71"/>
        <v>4</v>
      </c>
      <c r="BF250" s="887" t="str">
        <f t="shared" si="72"/>
        <v>SI</v>
      </c>
      <c r="BG250" s="883">
        <f t="shared" si="73"/>
        <v>17.86</v>
      </c>
      <c r="BH250" s="883">
        <f t="shared" si="74"/>
        <v>0</v>
      </c>
      <c r="BI250" s="883">
        <f t="shared" si="75"/>
        <v>0</v>
      </c>
      <c r="BJ250" s="883">
        <f t="shared" si="76"/>
        <v>0</v>
      </c>
      <c r="BK250" s="883">
        <f t="shared" si="77"/>
        <v>0</v>
      </c>
      <c r="BL250" s="883">
        <f t="shared" si="78"/>
        <v>2.68</v>
      </c>
      <c r="BM250" s="881"/>
      <c r="BN250" s="880"/>
      <c r="BO250" s="882" t="s">
        <v>1579</v>
      </c>
      <c r="BP250" s="882" t="s">
        <v>2286</v>
      </c>
      <c r="BQ250" s="882" t="s">
        <v>2285</v>
      </c>
      <c r="BR250" s="880"/>
      <c r="BS250" s="880"/>
      <c r="BT250" s="880"/>
      <c r="BU250" s="880"/>
      <c r="BV250" s="880"/>
      <c r="BW250" s="883">
        <v>0</v>
      </c>
      <c r="BX250" s="883">
        <v>0</v>
      </c>
      <c r="BY250" s="883">
        <v>0</v>
      </c>
      <c r="BZ250" s="890"/>
      <c r="CA250" s="883">
        <f t="shared" si="79"/>
        <v>0</v>
      </c>
      <c r="CB250" s="880"/>
      <c r="CC250" s="881"/>
      <c r="CD250" s="883"/>
      <c r="CE250" s="883"/>
      <c r="CF250" s="883"/>
      <c r="CG250" s="883"/>
      <c r="CH250" s="883"/>
      <c r="CI250" s="883"/>
      <c r="CJ250" s="883"/>
      <c r="CK250" s="883"/>
      <c r="CL250" s="883"/>
      <c r="CM250" s="883"/>
      <c r="CN250" s="883"/>
      <c r="CO250" s="883"/>
      <c r="CP250" s="883"/>
      <c r="CQ250" s="883"/>
      <c r="CR250" s="883"/>
      <c r="CS250" s="883"/>
      <c r="CT250" s="883"/>
      <c r="CU250" s="883"/>
    </row>
    <row r="251" spans="1:99" x14ac:dyDescent="0.25">
      <c r="A251" s="880" t="s">
        <v>1787</v>
      </c>
      <c r="B251" s="881" t="s">
        <v>1788</v>
      </c>
      <c r="C251" s="880"/>
      <c r="D251" s="880"/>
      <c r="E251" s="884" t="s">
        <v>744</v>
      </c>
      <c r="F251" s="888">
        <v>1</v>
      </c>
      <c r="G251" s="881" t="s">
        <v>1007</v>
      </c>
      <c r="H251" s="881" t="s">
        <v>19</v>
      </c>
      <c r="I251" s="865">
        <v>46142</v>
      </c>
      <c r="J251" s="882" t="s">
        <v>8</v>
      </c>
      <c r="K251" s="880"/>
      <c r="L251" s="880"/>
      <c r="M251" s="883">
        <v>0</v>
      </c>
      <c r="N251" s="883">
        <v>0</v>
      </c>
      <c r="O251" s="883">
        <v>0</v>
      </c>
      <c r="P251" s="883">
        <v>21.73</v>
      </c>
      <c r="Q251" s="883">
        <v>15</v>
      </c>
      <c r="R251" s="883">
        <f t="shared" si="64"/>
        <v>3.26</v>
      </c>
      <c r="S251" s="883">
        <v>0</v>
      </c>
      <c r="T251" s="883">
        <v>5</v>
      </c>
      <c r="U251" s="883">
        <f t="shared" si="65"/>
        <v>0</v>
      </c>
      <c r="V251" s="883">
        <v>0</v>
      </c>
      <c r="W251" s="883">
        <v>8</v>
      </c>
      <c r="X251" s="883">
        <f t="shared" si="66"/>
        <v>0</v>
      </c>
      <c r="Y251" s="883">
        <v>0</v>
      </c>
      <c r="Z251" s="883">
        <v>0</v>
      </c>
      <c r="AA251" s="883">
        <v>0</v>
      </c>
      <c r="AB251" s="883">
        <f t="shared" si="67"/>
        <v>24.99</v>
      </c>
      <c r="AC251" s="883">
        <v>0</v>
      </c>
      <c r="AD251" s="881"/>
      <c r="AE251" s="880"/>
      <c r="AF251" s="883"/>
      <c r="AG251" s="889"/>
      <c r="AH251" s="880"/>
      <c r="AI251" s="880" t="s">
        <v>1241</v>
      </c>
      <c r="AJ251" s="884">
        <v>411</v>
      </c>
      <c r="AK251" s="883">
        <f t="shared" si="68"/>
        <v>21.73</v>
      </c>
      <c r="AL251" s="884">
        <v>413</v>
      </c>
      <c r="AM251" s="883">
        <f t="shared" si="69"/>
        <v>0</v>
      </c>
      <c r="AN251" s="884">
        <v>441</v>
      </c>
      <c r="AO251" s="883">
        <f t="shared" si="70"/>
        <v>0</v>
      </c>
      <c r="AP251" s="881"/>
      <c r="AQ251" s="881"/>
      <c r="AR251" s="883">
        <v>0</v>
      </c>
      <c r="AS251" s="883">
        <v>0</v>
      </c>
      <c r="AT251" s="883">
        <v>0</v>
      </c>
      <c r="AU251" s="880"/>
      <c r="AV251" s="886"/>
      <c r="AW251" s="880"/>
      <c r="AX251" s="886"/>
      <c r="AY251" s="880"/>
      <c r="AZ251" s="880"/>
      <c r="BA251" s="881"/>
      <c r="BB251" s="881" t="s">
        <v>57</v>
      </c>
      <c r="BC251" s="881"/>
      <c r="BD251" s="881"/>
      <c r="BE251" s="884">
        <f t="shared" si="71"/>
        <v>4</v>
      </c>
      <c r="BF251" s="887" t="str">
        <f t="shared" si="72"/>
        <v>SI</v>
      </c>
      <c r="BG251" s="883">
        <f t="shared" si="73"/>
        <v>21.73</v>
      </c>
      <c r="BH251" s="883">
        <f t="shared" si="74"/>
        <v>0</v>
      </c>
      <c r="BI251" s="883">
        <f t="shared" si="75"/>
        <v>0</v>
      </c>
      <c r="BJ251" s="883">
        <f t="shared" si="76"/>
        <v>0</v>
      </c>
      <c r="BK251" s="883">
        <f t="shared" si="77"/>
        <v>0</v>
      </c>
      <c r="BL251" s="883">
        <f t="shared" si="78"/>
        <v>3.26</v>
      </c>
      <c r="BM251" s="881"/>
      <c r="BN251" s="880"/>
      <c r="BO251" s="882" t="s">
        <v>1579</v>
      </c>
      <c r="BP251" s="882" t="s">
        <v>2286</v>
      </c>
      <c r="BQ251" s="882" t="s">
        <v>2285</v>
      </c>
      <c r="BR251" s="880"/>
      <c r="BS251" s="880"/>
      <c r="BT251" s="880"/>
      <c r="BU251" s="880"/>
      <c r="BV251" s="880"/>
      <c r="BW251" s="883">
        <v>0</v>
      </c>
      <c r="BX251" s="883">
        <v>0</v>
      </c>
      <c r="BY251" s="883">
        <v>0</v>
      </c>
      <c r="BZ251" s="890"/>
      <c r="CA251" s="883">
        <f t="shared" si="79"/>
        <v>0</v>
      </c>
      <c r="CB251" s="880"/>
      <c r="CC251" s="881"/>
      <c r="CD251" s="883"/>
      <c r="CE251" s="883"/>
      <c r="CF251" s="883"/>
      <c r="CG251" s="883"/>
      <c r="CH251" s="883"/>
      <c r="CI251" s="883"/>
      <c r="CJ251" s="883"/>
      <c r="CK251" s="883"/>
      <c r="CL251" s="883"/>
      <c r="CM251" s="883"/>
      <c r="CN251" s="883"/>
      <c r="CO251" s="883"/>
      <c r="CP251" s="883"/>
      <c r="CQ251" s="883"/>
      <c r="CR251" s="883"/>
      <c r="CS251" s="883"/>
      <c r="CT251" s="883"/>
      <c r="CU251" s="883"/>
    </row>
    <row r="252" spans="1:99" x14ac:dyDescent="0.25">
      <c r="A252" s="880" t="s">
        <v>1787</v>
      </c>
      <c r="B252" s="881" t="s">
        <v>1788</v>
      </c>
      <c r="C252" s="880"/>
      <c r="D252" s="880"/>
      <c r="E252" s="884" t="s">
        <v>744</v>
      </c>
      <c r="F252" s="888">
        <v>1</v>
      </c>
      <c r="G252" s="881" t="s">
        <v>1007</v>
      </c>
      <c r="H252" s="881" t="s">
        <v>19</v>
      </c>
      <c r="I252" s="865">
        <v>46142</v>
      </c>
      <c r="J252" s="882" t="s">
        <v>8</v>
      </c>
      <c r="K252" s="880"/>
      <c r="L252" s="880"/>
      <c r="M252" s="883">
        <v>0</v>
      </c>
      <c r="N252" s="883">
        <v>0</v>
      </c>
      <c r="O252" s="883">
        <v>0</v>
      </c>
      <c r="P252" s="883">
        <v>21.73</v>
      </c>
      <c r="Q252" s="883">
        <v>15</v>
      </c>
      <c r="R252" s="883">
        <f t="shared" si="64"/>
        <v>3.26</v>
      </c>
      <c r="S252" s="883">
        <v>0</v>
      </c>
      <c r="T252" s="883">
        <v>5</v>
      </c>
      <c r="U252" s="883">
        <f t="shared" si="65"/>
        <v>0</v>
      </c>
      <c r="V252" s="883">
        <v>0</v>
      </c>
      <c r="W252" s="883">
        <v>8</v>
      </c>
      <c r="X252" s="883">
        <f t="shared" si="66"/>
        <v>0</v>
      </c>
      <c r="Y252" s="883">
        <v>0</v>
      </c>
      <c r="Z252" s="883">
        <v>0</v>
      </c>
      <c r="AA252" s="883">
        <v>0</v>
      </c>
      <c r="AB252" s="883">
        <f t="shared" si="67"/>
        <v>24.99</v>
      </c>
      <c r="AC252" s="883">
        <v>0</v>
      </c>
      <c r="AD252" s="881"/>
      <c r="AE252" s="880"/>
      <c r="AF252" s="883"/>
      <c r="AG252" s="889"/>
      <c r="AH252" s="880"/>
      <c r="AI252" s="880" t="s">
        <v>1241</v>
      </c>
      <c r="AJ252" s="884">
        <v>411</v>
      </c>
      <c r="AK252" s="883">
        <f t="shared" si="68"/>
        <v>21.73</v>
      </c>
      <c r="AL252" s="884">
        <v>413</v>
      </c>
      <c r="AM252" s="883">
        <f t="shared" si="69"/>
        <v>0</v>
      </c>
      <c r="AN252" s="884">
        <v>441</v>
      </c>
      <c r="AO252" s="883">
        <f t="shared" si="70"/>
        <v>0</v>
      </c>
      <c r="AP252" s="881"/>
      <c r="AQ252" s="881"/>
      <c r="AR252" s="883">
        <v>0</v>
      </c>
      <c r="AS252" s="883">
        <v>0</v>
      </c>
      <c r="AT252" s="883">
        <v>0</v>
      </c>
      <c r="AU252" s="880"/>
      <c r="AV252" s="886"/>
      <c r="AW252" s="880"/>
      <c r="AX252" s="886"/>
      <c r="AY252" s="880"/>
      <c r="AZ252" s="880"/>
      <c r="BA252" s="881"/>
      <c r="BB252" s="881" t="s">
        <v>57</v>
      </c>
      <c r="BC252" s="881"/>
      <c r="BD252" s="881"/>
      <c r="BE252" s="884">
        <f t="shared" si="71"/>
        <v>4</v>
      </c>
      <c r="BF252" s="887" t="str">
        <f t="shared" si="72"/>
        <v>SI</v>
      </c>
      <c r="BG252" s="883">
        <f t="shared" si="73"/>
        <v>21.73</v>
      </c>
      <c r="BH252" s="883">
        <f t="shared" si="74"/>
        <v>0</v>
      </c>
      <c r="BI252" s="883">
        <f t="shared" si="75"/>
        <v>0</v>
      </c>
      <c r="BJ252" s="883">
        <f t="shared" si="76"/>
        <v>0</v>
      </c>
      <c r="BK252" s="883">
        <f t="shared" si="77"/>
        <v>0</v>
      </c>
      <c r="BL252" s="883">
        <f t="shared" si="78"/>
        <v>3.26</v>
      </c>
      <c r="BM252" s="881"/>
      <c r="BN252" s="880"/>
      <c r="BO252" s="882" t="s">
        <v>1579</v>
      </c>
      <c r="BP252" s="882" t="s">
        <v>2286</v>
      </c>
      <c r="BQ252" s="882" t="s">
        <v>2285</v>
      </c>
      <c r="BR252" s="880"/>
      <c r="BS252" s="880"/>
      <c r="BT252" s="880"/>
      <c r="BU252" s="880"/>
      <c r="BV252" s="880"/>
      <c r="BW252" s="883">
        <v>0</v>
      </c>
      <c r="BX252" s="883">
        <v>0</v>
      </c>
      <c r="BY252" s="883">
        <v>0</v>
      </c>
      <c r="BZ252" s="890"/>
      <c r="CA252" s="883">
        <f t="shared" si="79"/>
        <v>0</v>
      </c>
      <c r="CB252" s="880"/>
      <c r="CC252" s="881"/>
      <c r="CD252" s="883"/>
      <c r="CE252" s="883"/>
      <c r="CF252" s="883"/>
      <c r="CG252" s="883"/>
      <c r="CH252" s="883"/>
      <c r="CI252" s="883"/>
      <c r="CJ252" s="883"/>
      <c r="CK252" s="883"/>
      <c r="CL252" s="883"/>
      <c r="CM252" s="883"/>
      <c r="CN252" s="883"/>
      <c r="CO252" s="883"/>
      <c r="CP252" s="883"/>
      <c r="CQ252" s="883"/>
      <c r="CR252" s="883"/>
      <c r="CS252" s="883"/>
      <c r="CT252" s="883"/>
      <c r="CU252" s="883"/>
    </row>
    <row r="253" spans="1:99" x14ac:dyDescent="0.25">
      <c r="A253" s="880" t="s">
        <v>1787</v>
      </c>
      <c r="B253" s="881" t="s">
        <v>1788</v>
      </c>
      <c r="C253" s="880"/>
      <c r="D253" s="880"/>
      <c r="E253" s="884" t="s">
        <v>744</v>
      </c>
      <c r="F253" s="888">
        <v>1</v>
      </c>
      <c r="G253" s="881" t="s">
        <v>1007</v>
      </c>
      <c r="H253" s="881" t="s">
        <v>19</v>
      </c>
      <c r="I253" s="865">
        <v>46142</v>
      </c>
      <c r="J253" s="882" t="s">
        <v>8</v>
      </c>
      <c r="K253" s="880"/>
      <c r="L253" s="880"/>
      <c r="M253" s="883">
        <v>0</v>
      </c>
      <c r="N253" s="883">
        <v>0</v>
      </c>
      <c r="O253" s="883">
        <v>0</v>
      </c>
      <c r="P253" s="883">
        <v>21.74</v>
      </c>
      <c r="Q253" s="883">
        <v>15</v>
      </c>
      <c r="R253" s="883">
        <f t="shared" si="64"/>
        <v>3.26</v>
      </c>
      <c r="S253" s="883">
        <v>0</v>
      </c>
      <c r="T253" s="883">
        <v>5</v>
      </c>
      <c r="U253" s="883">
        <f t="shared" si="65"/>
        <v>0</v>
      </c>
      <c r="V253" s="883">
        <v>0</v>
      </c>
      <c r="W253" s="883">
        <v>8</v>
      </c>
      <c r="X253" s="883">
        <f t="shared" si="66"/>
        <v>0</v>
      </c>
      <c r="Y253" s="883">
        <v>0</v>
      </c>
      <c r="Z253" s="883">
        <v>0</v>
      </c>
      <c r="AA253" s="883">
        <v>0</v>
      </c>
      <c r="AB253" s="883">
        <f t="shared" si="67"/>
        <v>25</v>
      </c>
      <c r="AC253" s="883">
        <v>0</v>
      </c>
      <c r="AD253" s="881"/>
      <c r="AE253" s="880"/>
      <c r="AF253" s="883"/>
      <c r="AG253" s="889"/>
      <c r="AH253" s="880"/>
      <c r="AI253" s="880" t="s">
        <v>1241</v>
      </c>
      <c r="AJ253" s="884">
        <v>411</v>
      </c>
      <c r="AK253" s="883">
        <f t="shared" si="68"/>
        <v>21.74</v>
      </c>
      <c r="AL253" s="884">
        <v>413</v>
      </c>
      <c r="AM253" s="883">
        <f t="shared" si="69"/>
        <v>0</v>
      </c>
      <c r="AN253" s="884">
        <v>441</v>
      </c>
      <c r="AO253" s="883">
        <f t="shared" si="70"/>
        <v>0</v>
      </c>
      <c r="AP253" s="881"/>
      <c r="AQ253" s="881"/>
      <c r="AR253" s="883">
        <v>0</v>
      </c>
      <c r="AS253" s="883">
        <v>0</v>
      </c>
      <c r="AT253" s="883">
        <v>0</v>
      </c>
      <c r="AU253" s="880"/>
      <c r="AV253" s="886"/>
      <c r="AW253" s="880"/>
      <c r="AX253" s="886"/>
      <c r="AY253" s="880"/>
      <c r="AZ253" s="880"/>
      <c r="BA253" s="881"/>
      <c r="BB253" s="881" t="s">
        <v>57</v>
      </c>
      <c r="BC253" s="881"/>
      <c r="BD253" s="881"/>
      <c r="BE253" s="884">
        <f t="shared" si="71"/>
        <v>4</v>
      </c>
      <c r="BF253" s="887" t="str">
        <f t="shared" si="72"/>
        <v>SI</v>
      </c>
      <c r="BG253" s="883">
        <f t="shared" si="73"/>
        <v>21.74</v>
      </c>
      <c r="BH253" s="883">
        <f t="shared" si="74"/>
        <v>0</v>
      </c>
      <c r="BI253" s="883">
        <f t="shared" si="75"/>
        <v>0</v>
      </c>
      <c r="BJ253" s="883">
        <f t="shared" si="76"/>
        <v>0</v>
      </c>
      <c r="BK253" s="883">
        <f t="shared" si="77"/>
        <v>0</v>
      </c>
      <c r="BL253" s="883">
        <f t="shared" si="78"/>
        <v>3.26</v>
      </c>
      <c r="BM253" s="881"/>
      <c r="BN253" s="880"/>
      <c r="BO253" s="882" t="s">
        <v>1579</v>
      </c>
      <c r="BP253" s="882" t="s">
        <v>2286</v>
      </c>
      <c r="BQ253" s="882" t="s">
        <v>2285</v>
      </c>
      <c r="BR253" s="880"/>
      <c r="BS253" s="880"/>
      <c r="BT253" s="880"/>
      <c r="BU253" s="880"/>
      <c r="BV253" s="880"/>
      <c r="BW253" s="883">
        <v>0</v>
      </c>
      <c r="BX253" s="883">
        <v>0</v>
      </c>
      <c r="BY253" s="883">
        <v>0</v>
      </c>
      <c r="BZ253" s="890"/>
      <c r="CA253" s="883">
        <f t="shared" si="79"/>
        <v>0</v>
      </c>
      <c r="CB253" s="880"/>
      <c r="CC253" s="881"/>
      <c r="CD253" s="883"/>
      <c r="CE253" s="883"/>
      <c r="CF253" s="883"/>
      <c r="CG253" s="883"/>
      <c r="CH253" s="883"/>
      <c r="CI253" s="883"/>
      <c r="CJ253" s="883"/>
      <c r="CK253" s="883"/>
      <c r="CL253" s="883"/>
      <c r="CM253" s="883"/>
      <c r="CN253" s="883"/>
      <c r="CO253" s="883"/>
      <c r="CP253" s="883"/>
      <c r="CQ253" s="883"/>
      <c r="CR253" s="883"/>
      <c r="CS253" s="883"/>
      <c r="CT253" s="883"/>
      <c r="CU253" s="883"/>
    </row>
    <row r="254" spans="1:99" x14ac:dyDescent="0.25">
      <c r="A254" s="880" t="s">
        <v>1787</v>
      </c>
      <c r="B254" s="881" t="s">
        <v>1788</v>
      </c>
      <c r="C254" s="880"/>
      <c r="D254" s="880"/>
      <c r="E254" s="884" t="s">
        <v>744</v>
      </c>
      <c r="F254" s="888">
        <v>1</v>
      </c>
      <c r="G254" s="881" t="s">
        <v>1007</v>
      </c>
      <c r="H254" s="881" t="s">
        <v>19</v>
      </c>
      <c r="I254" s="865">
        <v>46142</v>
      </c>
      <c r="J254" s="882" t="s">
        <v>8</v>
      </c>
      <c r="K254" s="880"/>
      <c r="L254" s="880"/>
      <c r="M254" s="883">
        <v>0</v>
      </c>
      <c r="N254" s="883">
        <v>0</v>
      </c>
      <c r="O254" s="883">
        <v>0</v>
      </c>
      <c r="P254" s="883">
        <v>21.74</v>
      </c>
      <c r="Q254" s="883">
        <v>15</v>
      </c>
      <c r="R254" s="883">
        <f t="shared" si="64"/>
        <v>3.26</v>
      </c>
      <c r="S254" s="883">
        <v>0</v>
      </c>
      <c r="T254" s="883">
        <v>5</v>
      </c>
      <c r="U254" s="883">
        <f t="shared" si="65"/>
        <v>0</v>
      </c>
      <c r="V254" s="883">
        <v>0</v>
      </c>
      <c r="W254" s="883">
        <v>8</v>
      </c>
      <c r="X254" s="883">
        <f t="shared" si="66"/>
        <v>0</v>
      </c>
      <c r="Y254" s="883">
        <v>0</v>
      </c>
      <c r="Z254" s="883">
        <v>0</v>
      </c>
      <c r="AA254" s="883">
        <v>0</v>
      </c>
      <c r="AB254" s="883">
        <f t="shared" si="67"/>
        <v>25</v>
      </c>
      <c r="AC254" s="883">
        <v>0</v>
      </c>
      <c r="AD254" s="881"/>
      <c r="AE254" s="880"/>
      <c r="AF254" s="883"/>
      <c r="AG254" s="889"/>
      <c r="AH254" s="880"/>
      <c r="AI254" s="880" t="s">
        <v>1241</v>
      </c>
      <c r="AJ254" s="884">
        <v>411</v>
      </c>
      <c r="AK254" s="883">
        <f t="shared" si="68"/>
        <v>21.74</v>
      </c>
      <c r="AL254" s="884">
        <v>413</v>
      </c>
      <c r="AM254" s="883">
        <f t="shared" si="69"/>
        <v>0</v>
      </c>
      <c r="AN254" s="884">
        <v>441</v>
      </c>
      <c r="AO254" s="883">
        <f t="shared" si="70"/>
        <v>0</v>
      </c>
      <c r="AP254" s="881"/>
      <c r="AQ254" s="881"/>
      <c r="AR254" s="883">
        <v>0</v>
      </c>
      <c r="AS254" s="883">
        <v>0</v>
      </c>
      <c r="AT254" s="883">
        <v>0</v>
      </c>
      <c r="AU254" s="880"/>
      <c r="AV254" s="886"/>
      <c r="AW254" s="880"/>
      <c r="AX254" s="886"/>
      <c r="AY254" s="880"/>
      <c r="AZ254" s="880"/>
      <c r="BA254" s="881"/>
      <c r="BB254" s="881" t="s">
        <v>57</v>
      </c>
      <c r="BC254" s="881"/>
      <c r="BD254" s="881"/>
      <c r="BE254" s="884">
        <f t="shared" si="71"/>
        <v>4</v>
      </c>
      <c r="BF254" s="887" t="str">
        <f t="shared" si="72"/>
        <v>SI</v>
      </c>
      <c r="BG254" s="883">
        <f t="shared" si="73"/>
        <v>21.74</v>
      </c>
      <c r="BH254" s="883">
        <f t="shared" si="74"/>
        <v>0</v>
      </c>
      <c r="BI254" s="883">
        <f t="shared" si="75"/>
        <v>0</v>
      </c>
      <c r="BJ254" s="883">
        <f t="shared" si="76"/>
        <v>0</v>
      </c>
      <c r="BK254" s="883">
        <f t="shared" si="77"/>
        <v>0</v>
      </c>
      <c r="BL254" s="883">
        <f t="shared" si="78"/>
        <v>3.26</v>
      </c>
      <c r="BM254" s="881"/>
      <c r="BN254" s="880"/>
      <c r="BO254" s="882" t="s">
        <v>1579</v>
      </c>
      <c r="BP254" s="882" t="s">
        <v>2286</v>
      </c>
      <c r="BQ254" s="882" t="s">
        <v>2285</v>
      </c>
      <c r="BR254" s="880"/>
      <c r="BS254" s="880"/>
      <c r="BT254" s="880"/>
      <c r="BU254" s="880"/>
      <c r="BV254" s="880"/>
      <c r="BW254" s="883">
        <v>0</v>
      </c>
      <c r="BX254" s="883">
        <v>0</v>
      </c>
      <c r="BY254" s="883">
        <v>0</v>
      </c>
      <c r="BZ254" s="890"/>
      <c r="CA254" s="883">
        <f t="shared" si="79"/>
        <v>0</v>
      </c>
      <c r="CB254" s="880"/>
      <c r="CC254" s="881"/>
      <c r="CD254" s="883"/>
      <c r="CE254" s="883"/>
      <c r="CF254" s="883"/>
      <c r="CG254" s="883"/>
      <c r="CH254" s="883"/>
      <c r="CI254" s="883"/>
      <c r="CJ254" s="883"/>
      <c r="CK254" s="883"/>
      <c r="CL254" s="883"/>
      <c r="CM254" s="883"/>
      <c r="CN254" s="883"/>
      <c r="CO254" s="883"/>
      <c r="CP254" s="883"/>
      <c r="CQ254" s="883"/>
      <c r="CR254" s="883"/>
      <c r="CS254" s="883"/>
      <c r="CT254" s="883"/>
      <c r="CU254" s="883"/>
    </row>
    <row r="255" spans="1:99" x14ac:dyDescent="0.25">
      <c r="A255" s="880" t="s">
        <v>1787</v>
      </c>
      <c r="B255" s="881" t="s">
        <v>1788</v>
      </c>
      <c r="C255" s="880"/>
      <c r="D255" s="880"/>
      <c r="E255" s="884" t="s">
        <v>744</v>
      </c>
      <c r="F255" s="888">
        <v>1</v>
      </c>
      <c r="G255" s="881" t="s">
        <v>1007</v>
      </c>
      <c r="H255" s="881" t="s">
        <v>19</v>
      </c>
      <c r="I255" s="865">
        <v>46142</v>
      </c>
      <c r="J255" s="882" t="s">
        <v>8</v>
      </c>
      <c r="K255" s="880"/>
      <c r="L255" s="880"/>
      <c r="M255" s="883">
        <v>0</v>
      </c>
      <c r="N255" s="883">
        <v>0</v>
      </c>
      <c r="O255" s="883">
        <v>0</v>
      </c>
      <c r="P255" s="883">
        <v>21.74</v>
      </c>
      <c r="Q255" s="883">
        <v>15</v>
      </c>
      <c r="R255" s="883">
        <f t="shared" si="64"/>
        <v>3.26</v>
      </c>
      <c r="S255" s="883">
        <v>0</v>
      </c>
      <c r="T255" s="883">
        <v>5</v>
      </c>
      <c r="U255" s="883">
        <f t="shared" si="65"/>
        <v>0</v>
      </c>
      <c r="V255" s="883">
        <v>0</v>
      </c>
      <c r="W255" s="883">
        <v>8</v>
      </c>
      <c r="X255" s="883">
        <f t="shared" si="66"/>
        <v>0</v>
      </c>
      <c r="Y255" s="883">
        <v>0</v>
      </c>
      <c r="Z255" s="883">
        <v>0</v>
      </c>
      <c r="AA255" s="883">
        <v>0</v>
      </c>
      <c r="AB255" s="883">
        <f t="shared" si="67"/>
        <v>25</v>
      </c>
      <c r="AC255" s="883">
        <v>0</v>
      </c>
      <c r="AD255" s="881"/>
      <c r="AE255" s="880"/>
      <c r="AF255" s="883"/>
      <c r="AG255" s="889"/>
      <c r="AH255" s="880"/>
      <c r="AI255" s="880" t="s">
        <v>1241</v>
      </c>
      <c r="AJ255" s="884">
        <v>411</v>
      </c>
      <c r="AK255" s="883">
        <f t="shared" si="68"/>
        <v>21.74</v>
      </c>
      <c r="AL255" s="884">
        <v>413</v>
      </c>
      <c r="AM255" s="883">
        <f t="shared" si="69"/>
        <v>0</v>
      </c>
      <c r="AN255" s="884">
        <v>441</v>
      </c>
      <c r="AO255" s="883">
        <f t="shared" si="70"/>
        <v>0</v>
      </c>
      <c r="AP255" s="881"/>
      <c r="AQ255" s="881"/>
      <c r="AR255" s="883">
        <v>0</v>
      </c>
      <c r="AS255" s="883">
        <v>0</v>
      </c>
      <c r="AT255" s="883">
        <v>0</v>
      </c>
      <c r="AU255" s="880"/>
      <c r="AV255" s="886"/>
      <c r="AW255" s="880"/>
      <c r="AX255" s="886"/>
      <c r="AY255" s="880"/>
      <c r="AZ255" s="880"/>
      <c r="BA255" s="881"/>
      <c r="BB255" s="881" t="s">
        <v>57</v>
      </c>
      <c r="BC255" s="881"/>
      <c r="BD255" s="881"/>
      <c r="BE255" s="884">
        <f t="shared" si="71"/>
        <v>4</v>
      </c>
      <c r="BF255" s="887" t="str">
        <f t="shared" si="72"/>
        <v>SI</v>
      </c>
      <c r="BG255" s="883">
        <f t="shared" si="73"/>
        <v>21.74</v>
      </c>
      <c r="BH255" s="883">
        <f t="shared" si="74"/>
        <v>0</v>
      </c>
      <c r="BI255" s="883">
        <f t="shared" si="75"/>
        <v>0</v>
      </c>
      <c r="BJ255" s="883">
        <f t="shared" si="76"/>
        <v>0</v>
      </c>
      <c r="BK255" s="883">
        <f t="shared" si="77"/>
        <v>0</v>
      </c>
      <c r="BL255" s="883">
        <f t="shared" si="78"/>
        <v>3.26</v>
      </c>
      <c r="BM255" s="881"/>
      <c r="BN255" s="880"/>
      <c r="BO255" s="882" t="s">
        <v>1579</v>
      </c>
      <c r="BP255" s="882" t="s">
        <v>2286</v>
      </c>
      <c r="BQ255" s="882" t="s">
        <v>2285</v>
      </c>
      <c r="BR255" s="880"/>
      <c r="BS255" s="880"/>
      <c r="BT255" s="880"/>
      <c r="BU255" s="880"/>
      <c r="BV255" s="880"/>
      <c r="BW255" s="883">
        <v>0</v>
      </c>
      <c r="BX255" s="883">
        <v>0</v>
      </c>
      <c r="BY255" s="883">
        <v>0</v>
      </c>
      <c r="BZ255" s="890"/>
      <c r="CA255" s="883">
        <f t="shared" si="79"/>
        <v>0</v>
      </c>
      <c r="CB255" s="880"/>
      <c r="CC255" s="881"/>
      <c r="CD255" s="883"/>
      <c r="CE255" s="883"/>
      <c r="CF255" s="883"/>
      <c r="CG255" s="883"/>
      <c r="CH255" s="883"/>
      <c r="CI255" s="883"/>
      <c r="CJ255" s="883"/>
      <c r="CK255" s="883"/>
      <c r="CL255" s="883"/>
      <c r="CM255" s="883"/>
      <c r="CN255" s="883"/>
      <c r="CO255" s="883"/>
      <c r="CP255" s="883"/>
      <c r="CQ255" s="883"/>
      <c r="CR255" s="883"/>
      <c r="CS255" s="883"/>
      <c r="CT255" s="883"/>
      <c r="CU255" s="883"/>
    </row>
    <row r="256" spans="1:99" x14ac:dyDescent="0.25">
      <c r="A256" s="880" t="s">
        <v>1787</v>
      </c>
      <c r="B256" s="881" t="s">
        <v>1788</v>
      </c>
      <c r="C256" s="880"/>
      <c r="D256" s="880"/>
      <c r="E256" s="884" t="s">
        <v>744</v>
      </c>
      <c r="F256" s="888">
        <v>1</v>
      </c>
      <c r="G256" s="881" t="s">
        <v>1007</v>
      </c>
      <c r="H256" s="881" t="s">
        <v>19</v>
      </c>
      <c r="I256" s="865">
        <v>46142</v>
      </c>
      <c r="J256" s="882" t="s">
        <v>8</v>
      </c>
      <c r="K256" s="880"/>
      <c r="L256" s="880"/>
      <c r="M256" s="883">
        <v>0</v>
      </c>
      <c r="N256" s="883">
        <v>0</v>
      </c>
      <c r="O256" s="883">
        <v>0</v>
      </c>
      <c r="P256" s="883">
        <v>21.74</v>
      </c>
      <c r="Q256" s="883">
        <v>15</v>
      </c>
      <c r="R256" s="883">
        <f t="shared" si="64"/>
        <v>3.26</v>
      </c>
      <c r="S256" s="883">
        <v>0</v>
      </c>
      <c r="T256" s="883">
        <v>5</v>
      </c>
      <c r="U256" s="883">
        <f t="shared" si="65"/>
        <v>0</v>
      </c>
      <c r="V256" s="883">
        <v>0</v>
      </c>
      <c r="W256" s="883">
        <v>8</v>
      </c>
      <c r="X256" s="883">
        <f t="shared" si="66"/>
        <v>0</v>
      </c>
      <c r="Y256" s="883">
        <v>0</v>
      </c>
      <c r="Z256" s="883">
        <v>0</v>
      </c>
      <c r="AA256" s="883">
        <v>0</v>
      </c>
      <c r="AB256" s="883">
        <f t="shared" si="67"/>
        <v>25</v>
      </c>
      <c r="AC256" s="883">
        <v>0</v>
      </c>
      <c r="AD256" s="881"/>
      <c r="AE256" s="880"/>
      <c r="AF256" s="883"/>
      <c r="AG256" s="889"/>
      <c r="AH256" s="880"/>
      <c r="AI256" s="880" t="s">
        <v>1241</v>
      </c>
      <c r="AJ256" s="884">
        <v>411</v>
      </c>
      <c r="AK256" s="883">
        <f t="shared" si="68"/>
        <v>21.74</v>
      </c>
      <c r="AL256" s="884">
        <v>413</v>
      </c>
      <c r="AM256" s="883">
        <f t="shared" si="69"/>
        <v>0</v>
      </c>
      <c r="AN256" s="884">
        <v>441</v>
      </c>
      <c r="AO256" s="883">
        <f t="shared" si="70"/>
        <v>0</v>
      </c>
      <c r="AP256" s="881"/>
      <c r="AQ256" s="881"/>
      <c r="AR256" s="883">
        <v>0</v>
      </c>
      <c r="AS256" s="883">
        <v>0</v>
      </c>
      <c r="AT256" s="883">
        <v>0</v>
      </c>
      <c r="AU256" s="880"/>
      <c r="AV256" s="886"/>
      <c r="AW256" s="880"/>
      <c r="AX256" s="886"/>
      <c r="AY256" s="880"/>
      <c r="AZ256" s="880"/>
      <c r="BA256" s="881"/>
      <c r="BB256" s="881" t="s">
        <v>57</v>
      </c>
      <c r="BC256" s="881"/>
      <c r="BD256" s="881"/>
      <c r="BE256" s="884">
        <f t="shared" si="71"/>
        <v>4</v>
      </c>
      <c r="BF256" s="887" t="str">
        <f t="shared" si="72"/>
        <v>SI</v>
      </c>
      <c r="BG256" s="883">
        <f t="shared" si="73"/>
        <v>21.74</v>
      </c>
      <c r="BH256" s="883">
        <f t="shared" si="74"/>
        <v>0</v>
      </c>
      <c r="BI256" s="883">
        <f t="shared" si="75"/>
        <v>0</v>
      </c>
      <c r="BJ256" s="883">
        <f t="shared" si="76"/>
        <v>0</v>
      </c>
      <c r="BK256" s="883">
        <f t="shared" si="77"/>
        <v>0</v>
      </c>
      <c r="BL256" s="883">
        <f t="shared" si="78"/>
        <v>3.26</v>
      </c>
      <c r="BM256" s="881"/>
      <c r="BN256" s="880"/>
      <c r="BO256" s="882" t="s">
        <v>1579</v>
      </c>
      <c r="BP256" s="882" t="s">
        <v>2286</v>
      </c>
      <c r="BQ256" s="882" t="s">
        <v>2285</v>
      </c>
      <c r="BR256" s="880"/>
      <c r="BS256" s="880"/>
      <c r="BT256" s="880"/>
      <c r="BU256" s="880"/>
      <c r="BV256" s="880"/>
      <c r="BW256" s="883">
        <v>0</v>
      </c>
      <c r="BX256" s="883">
        <v>0</v>
      </c>
      <c r="BY256" s="883">
        <v>0</v>
      </c>
      <c r="BZ256" s="890"/>
      <c r="CA256" s="883">
        <f t="shared" si="79"/>
        <v>0</v>
      </c>
      <c r="CB256" s="880"/>
      <c r="CC256" s="881"/>
      <c r="CD256" s="883"/>
      <c r="CE256" s="883"/>
      <c r="CF256" s="883"/>
      <c r="CG256" s="883"/>
      <c r="CH256" s="883"/>
      <c r="CI256" s="883"/>
      <c r="CJ256" s="883"/>
      <c r="CK256" s="883"/>
      <c r="CL256" s="883"/>
      <c r="CM256" s="883"/>
      <c r="CN256" s="883"/>
      <c r="CO256" s="883"/>
      <c r="CP256" s="883"/>
      <c r="CQ256" s="883"/>
      <c r="CR256" s="883"/>
      <c r="CS256" s="883"/>
      <c r="CT256" s="883"/>
      <c r="CU256" s="883"/>
    </row>
    <row r="257" spans="1:99" x14ac:dyDescent="0.25">
      <c r="A257" s="880" t="s">
        <v>1787</v>
      </c>
      <c r="B257" s="881" t="s">
        <v>1788</v>
      </c>
      <c r="C257" s="880"/>
      <c r="D257" s="880"/>
      <c r="E257" s="884" t="s">
        <v>744</v>
      </c>
      <c r="F257" s="888">
        <v>1</v>
      </c>
      <c r="G257" s="881" t="s">
        <v>1007</v>
      </c>
      <c r="H257" s="881" t="s">
        <v>19</v>
      </c>
      <c r="I257" s="865">
        <v>46142</v>
      </c>
      <c r="J257" s="882" t="s">
        <v>8</v>
      </c>
      <c r="K257" s="880"/>
      <c r="L257" s="880"/>
      <c r="M257" s="883">
        <v>0</v>
      </c>
      <c r="N257" s="883">
        <v>0</v>
      </c>
      <c r="O257" s="883">
        <v>0</v>
      </c>
      <c r="P257" s="883">
        <v>13.39</v>
      </c>
      <c r="Q257" s="883">
        <v>15</v>
      </c>
      <c r="R257" s="883">
        <f t="shared" si="64"/>
        <v>2.0099999999999998</v>
      </c>
      <c r="S257" s="883">
        <v>0</v>
      </c>
      <c r="T257" s="883">
        <v>5</v>
      </c>
      <c r="U257" s="883">
        <f t="shared" si="65"/>
        <v>0</v>
      </c>
      <c r="V257" s="883">
        <v>0</v>
      </c>
      <c r="W257" s="883">
        <v>8</v>
      </c>
      <c r="X257" s="883">
        <f t="shared" si="66"/>
        <v>0</v>
      </c>
      <c r="Y257" s="883">
        <v>0</v>
      </c>
      <c r="Z257" s="883">
        <v>0</v>
      </c>
      <c r="AA257" s="883">
        <v>0</v>
      </c>
      <c r="AB257" s="883">
        <f t="shared" si="67"/>
        <v>15.4</v>
      </c>
      <c r="AC257" s="883">
        <v>0</v>
      </c>
      <c r="AD257" s="881"/>
      <c r="AE257" s="880"/>
      <c r="AF257" s="883"/>
      <c r="AG257" s="889"/>
      <c r="AH257" s="880"/>
      <c r="AI257" s="880" t="s">
        <v>1241</v>
      </c>
      <c r="AJ257" s="884">
        <v>411</v>
      </c>
      <c r="AK257" s="883">
        <f t="shared" si="68"/>
        <v>13.39</v>
      </c>
      <c r="AL257" s="884">
        <v>413</v>
      </c>
      <c r="AM257" s="883">
        <f t="shared" si="69"/>
        <v>0</v>
      </c>
      <c r="AN257" s="884">
        <v>441</v>
      </c>
      <c r="AO257" s="883">
        <f t="shared" si="70"/>
        <v>0</v>
      </c>
      <c r="AP257" s="881"/>
      <c r="AQ257" s="881"/>
      <c r="AR257" s="883">
        <v>0</v>
      </c>
      <c r="AS257" s="883">
        <v>0</v>
      </c>
      <c r="AT257" s="883">
        <v>0</v>
      </c>
      <c r="AU257" s="880"/>
      <c r="AV257" s="886"/>
      <c r="AW257" s="880"/>
      <c r="AX257" s="886"/>
      <c r="AY257" s="880"/>
      <c r="AZ257" s="880"/>
      <c r="BA257" s="881"/>
      <c r="BB257" s="881" t="s">
        <v>57</v>
      </c>
      <c r="BC257" s="881"/>
      <c r="BD257" s="881"/>
      <c r="BE257" s="884">
        <f t="shared" si="71"/>
        <v>4</v>
      </c>
      <c r="BF257" s="887" t="str">
        <f t="shared" si="72"/>
        <v>SI</v>
      </c>
      <c r="BG257" s="883">
        <f t="shared" si="73"/>
        <v>13.39</v>
      </c>
      <c r="BH257" s="883">
        <f t="shared" si="74"/>
        <v>0</v>
      </c>
      <c r="BI257" s="883">
        <f t="shared" si="75"/>
        <v>0</v>
      </c>
      <c r="BJ257" s="883">
        <f t="shared" si="76"/>
        <v>0</v>
      </c>
      <c r="BK257" s="883">
        <f t="shared" si="77"/>
        <v>0</v>
      </c>
      <c r="BL257" s="883">
        <f t="shared" si="78"/>
        <v>2.0099999999999998</v>
      </c>
      <c r="BM257" s="881"/>
      <c r="BN257" s="880"/>
      <c r="BO257" s="882" t="s">
        <v>1579</v>
      </c>
      <c r="BP257" s="882" t="s">
        <v>2286</v>
      </c>
      <c r="BQ257" s="882" t="s">
        <v>2285</v>
      </c>
      <c r="BR257" s="880"/>
      <c r="BS257" s="880"/>
      <c r="BT257" s="880"/>
      <c r="BU257" s="880"/>
      <c r="BV257" s="880"/>
      <c r="BW257" s="883">
        <v>0</v>
      </c>
      <c r="BX257" s="883">
        <v>0</v>
      </c>
      <c r="BY257" s="883">
        <v>0</v>
      </c>
      <c r="BZ257" s="890"/>
      <c r="CA257" s="883">
        <f t="shared" si="79"/>
        <v>0</v>
      </c>
      <c r="CB257" s="880"/>
      <c r="CC257" s="881"/>
      <c r="CD257" s="883"/>
      <c r="CE257" s="883"/>
      <c r="CF257" s="883"/>
      <c r="CG257" s="883"/>
      <c r="CH257" s="883"/>
      <c r="CI257" s="883"/>
      <c r="CJ257" s="883"/>
      <c r="CK257" s="883"/>
      <c r="CL257" s="883"/>
      <c r="CM257" s="883"/>
      <c r="CN257" s="883"/>
      <c r="CO257" s="883"/>
      <c r="CP257" s="883"/>
      <c r="CQ257" s="883"/>
      <c r="CR257" s="883"/>
      <c r="CS257" s="883"/>
      <c r="CT257" s="883"/>
      <c r="CU257" s="883"/>
    </row>
    <row r="258" spans="1:99" x14ac:dyDescent="0.25">
      <c r="A258" s="880" t="s">
        <v>1787</v>
      </c>
      <c r="B258" s="881" t="s">
        <v>1788</v>
      </c>
      <c r="C258" s="880"/>
      <c r="D258" s="880"/>
      <c r="E258" s="884" t="s">
        <v>744</v>
      </c>
      <c r="F258" s="888">
        <v>1</v>
      </c>
      <c r="G258" s="881" t="s">
        <v>1007</v>
      </c>
      <c r="H258" s="881" t="s">
        <v>19</v>
      </c>
      <c r="I258" s="865">
        <v>46142</v>
      </c>
      <c r="J258" s="882" t="s">
        <v>8</v>
      </c>
      <c r="K258" s="880"/>
      <c r="L258" s="880"/>
      <c r="M258" s="883">
        <v>0</v>
      </c>
      <c r="N258" s="883">
        <v>0</v>
      </c>
      <c r="O258" s="883">
        <v>0</v>
      </c>
      <c r="P258" s="883">
        <v>21.73</v>
      </c>
      <c r="Q258" s="883">
        <v>15</v>
      </c>
      <c r="R258" s="883">
        <f t="shared" si="64"/>
        <v>3.26</v>
      </c>
      <c r="S258" s="883">
        <v>0</v>
      </c>
      <c r="T258" s="883">
        <v>5</v>
      </c>
      <c r="U258" s="883">
        <f t="shared" si="65"/>
        <v>0</v>
      </c>
      <c r="V258" s="883">
        <v>0</v>
      </c>
      <c r="W258" s="883">
        <v>8</v>
      </c>
      <c r="X258" s="883">
        <f t="shared" si="66"/>
        <v>0</v>
      </c>
      <c r="Y258" s="883">
        <v>0</v>
      </c>
      <c r="Z258" s="883">
        <v>0</v>
      </c>
      <c r="AA258" s="883">
        <v>0</v>
      </c>
      <c r="AB258" s="883">
        <f t="shared" si="67"/>
        <v>24.99</v>
      </c>
      <c r="AC258" s="883">
        <v>0</v>
      </c>
      <c r="AD258" s="881"/>
      <c r="AE258" s="880"/>
      <c r="AF258" s="883"/>
      <c r="AG258" s="889"/>
      <c r="AH258" s="880"/>
      <c r="AI258" s="880" t="s">
        <v>1241</v>
      </c>
      <c r="AJ258" s="884">
        <v>411</v>
      </c>
      <c r="AK258" s="883">
        <f t="shared" si="68"/>
        <v>21.73</v>
      </c>
      <c r="AL258" s="884">
        <v>413</v>
      </c>
      <c r="AM258" s="883">
        <f t="shared" si="69"/>
        <v>0</v>
      </c>
      <c r="AN258" s="884">
        <v>441</v>
      </c>
      <c r="AO258" s="883">
        <f t="shared" si="70"/>
        <v>0</v>
      </c>
      <c r="AP258" s="881"/>
      <c r="AQ258" s="881"/>
      <c r="AR258" s="883">
        <v>0</v>
      </c>
      <c r="AS258" s="883">
        <v>0</v>
      </c>
      <c r="AT258" s="883">
        <v>0</v>
      </c>
      <c r="AU258" s="880"/>
      <c r="AV258" s="886"/>
      <c r="AW258" s="880"/>
      <c r="AX258" s="886"/>
      <c r="AY258" s="880"/>
      <c r="AZ258" s="880"/>
      <c r="BA258" s="881"/>
      <c r="BB258" s="881" t="s">
        <v>57</v>
      </c>
      <c r="BC258" s="881"/>
      <c r="BD258" s="881"/>
      <c r="BE258" s="884">
        <f t="shared" si="71"/>
        <v>4</v>
      </c>
      <c r="BF258" s="887" t="str">
        <f t="shared" si="72"/>
        <v>SI</v>
      </c>
      <c r="BG258" s="883">
        <f t="shared" si="73"/>
        <v>21.73</v>
      </c>
      <c r="BH258" s="883">
        <f t="shared" si="74"/>
        <v>0</v>
      </c>
      <c r="BI258" s="883">
        <f t="shared" si="75"/>
        <v>0</v>
      </c>
      <c r="BJ258" s="883">
        <f t="shared" si="76"/>
        <v>0</v>
      </c>
      <c r="BK258" s="883">
        <f t="shared" si="77"/>
        <v>0</v>
      </c>
      <c r="BL258" s="883">
        <f t="shared" si="78"/>
        <v>3.26</v>
      </c>
      <c r="BM258" s="881"/>
      <c r="BN258" s="880"/>
      <c r="BO258" s="882" t="s">
        <v>1579</v>
      </c>
      <c r="BP258" s="882" t="s">
        <v>2286</v>
      </c>
      <c r="BQ258" s="882" t="s">
        <v>2285</v>
      </c>
      <c r="BR258" s="880"/>
      <c r="BS258" s="880"/>
      <c r="BT258" s="880"/>
      <c r="BU258" s="880"/>
      <c r="BV258" s="880"/>
      <c r="BW258" s="883">
        <v>0</v>
      </c>
      <c r="BX258" s="883">
        <v>0</v>
      </c>
      <c r="BY258" s="883">
        <v>0</v>
      </c>
      <c r="BZ258" s="890"/>
      <c r="CA258" s="883">
        <f t="shared" si="79"/>
        <v>0</v>
      </c>
      <c r="CB258" s="880"/>
      <c r="CC258" s="881"/>
      <c r="CD258" s="883"/>
      <c r="CE258" s="883"/>
      <c r="CF258" s="883"/>
      <c r="CG258" s="883"/>
      <c r="CH258" s="883"/>
      <c r="CI258" s="883"/>
      <c r="CJ258" s="883"/>
      <c r="CK258" s="883"/>
      <c r="CL258" s="883"/>
      <c r="CM258" s="883"/>
      <c r="CN258" s="883"/>
      <c r="CO258" s="883"/>
      <c r="CP258" s="883"/>
      <c r="CQ258" s="883"/>
      <c r="CR258" s="883"/>
      <c r="CS258" s="883"/>
      <c r="CT258" s="883"/>
      <c r="CU258" s="883"/>
    </row>
    <row r="259" spans="1:99" x14ac:dyDescent="0.25">
      <c r="A259" s="880" t="s">
        <v>1787</v>
      </c>
      <c r="B259" s="881" t="s">
        <v>1788</v>
      </c>
      <c r="C259" s="880"/>
      <c r="D259" s="880"/>
      <c r="E259" s="884" t="s">
        <v>744</v>
      </c>
      <c r="F259" s="888">
        <v>1</v>
      </c>
      <c r="G259" s="881" t="s">
        <v>1007</v>
      </c>
      <c r="H259" s="881" t="s">
        <v>19</v>
      </c>
      <c r="I259" s="865">
        <v>46142</v>
      </c>
      <c r="J259" s="882" t="s">
        <v>8</v>
      </c>
      <c r="K259" s="880"/>
      <c r="L259" s="880"/>
      <c r="M259" s="883">
        <v>0</v>
      </c>
      <c r="N259" s="883">
        <v>0</v>
      </c>
      <c r="O259" s="883">
        <v>0</v>
      </c>
      <c r="P259" s="883">
        <v>17.39</v>
      </c>
      <c r="Q259" s="883">
        <v>15</v>
      </c>
      <c r="R259" s="883">
        <f t="shared" si="64"/>
        <v>2.61</v>
      </c>
      <c r="S259" s="883">
        <v>0</v>
      </c>
      <c r="T259" s="883">
        <v>5</v>
      </c>
      <c r="U259" s="883">
        <f t="shared" si="65"/>
        <v>0</v>
      </c>
      <c r="V259" s="883">
        <v>0</v>
      </c>
      <c r="W259" s="883">
        <v>8</v>
      </c>
      <c r="X259" s="883">
        <f t="shared" si="66"/>
        <v>0</v>
      </c>
      <c r="Y259" s="883">
        <v>0</v>
      </c>
      <c r="Z259" s="883">
        <v>0</v>
      </c>
      <c r="AA259" s="883">
        <v>0</v>
      </c>
      <c r="AB259" s="883">
        <f t="shared" si="67"/>
        <v>20</v>
      </c>
      <c r="AC259" s="883">
        <v>0</v>
      </c>
      <c r="AD259" s="881"/>
      <c r="AE259" s="880"/>
      <c r="AF259" s="883"/>
      <c r="AG259" s="889"/>
      <c r="AH259" s="880"/>
      <c r="AI259" s="880" t="s">
        <v>1241</v>
      </c>
      <c r="AJ259" s="884">
        <v>411</v>
      </c>
      <c r="AK259" s="883">
        <f t="shared" si="68"/>
        <v>17.39</v>
      </c>
      <c r="AL259" s="884">
        <v>413</v>
      </c>
      <c r="AM259" s="883">
        <f t="shared" si="69"/>
        <v>0</v>
      </c>
      <c r="AN259" s="884">
        <v>441</v>
      </c>
      <c r="AO259" s="883">
        <f t="shared" si="70"/>
        <v>0</v>
      </c>
      <c r="AP259" s="881"/>
      <c r="AQ259" s="881"/>
      <c r="AR259" s="883">
        <v>0</v>
      </c>
      <c r="AS259" s="883">
        <v>0</v>
      </c>
      <c r="AT259" s="883">
        <v>0</v>
      </c>
      <c r="AU259" s="880"/>
      <c r="AV259" s="886"/>
      <c r="AW259" s="880"/>
      <c r="AX259" s="886"/>
      <c r="AY259" s="880"/>
      <c r="AZ259" s="880"/>
      <c r="BA259" s="881"/>
      <c r="BB259" s="881" t="s">
        <v>57</v>
      </c>
      <c r="BC259" s="881"/>
      <c r="BD259" s="881"/>
      <c r="BE259" s="884">
        <f t="shared" si="71"/>
        <v>4</v>
      </c>
      <c r="BF259" s="887" t="str">
        <f t="shared" si="72"/>
        <v>SI</v>
      </c>
      <c r="BG259" s="883">
        <f t="shared" si="73"/>
        <v>17.39</v>
      </c>
      <c r="BH259" s="883">
        <f t="shared" si="74"/>
        <v>0</v>
      </c>
      <c r="BI259" s="883">
        <f t="shared" si="75"/>
        <v>0</v>
      </c>
      <c r="BJ259" s="883">
        <f t="shared" si="76"/>
        <v>0</v>
      </c>
      <c r="BK259" s="883">
        <f t="shared" si="77"/>
        <v>0</v>
      </c>
      <c r="BL259" s="883">
        <f t="shared" si="78"/>
        <v>2.61</v>
      </c>
      <c r="BM259" s="881"/>
      <c r="BN259" s="880"/>
      <c r="BO259" s="882" t="s">
        <v>1579</v>
      </c>
      <c r="BP259" s="882" t="s">
        <v>2286</v>
      </c>
      <c r="BQ259" s="882" t="s">
        <v>2285</v>
      </c>
      <c r="BR259" s="880"/>
      <c r="BS259" s="880"/>
      <c r="BT259" s="880"/>
      <c r="BU259" s="880"/>
      <c r="BV259" s="880"/>
      <c r="BW259" s="883">
        <v>0</v>
      </c>
      <c r="BX259" s="883">
        <v>0</v>
      </c>
      <c r="BY259" s="883">
        <v>0</v>
      </c>
      <c r="BZ259" s="890"/>
      <c r="CA259" s="883">
        <f t="shared" si="79"/>
        <v>0</v>
      </c>
      <c r="CB259" s="880"/>
      <c r="CC259" s="881"/>
      <c r="CD259" s="883"/>
      <c r="CE259" s="883"/>
      <c r="CF259" s="883"/>
      <c r="CG259" s="883"/>
      <c r="CH259" s="883"/>
      <c r="CI259" s="883"/>
      <c r="CJ259" s="883"/>
      <c r="CK259" s="883"/>
      <c r="CL259" s="883"/>
      <c r="CM259" s="883"/>
      <c r="CN259" s="883"/>
      <c r="CO259" s="883"/>
      <c r="CP259" s="883"/>
      <c r="CQ259" s="883"/>
      <c r="CR259" s="883"/>
      <c r="CS259" s="883"/>
      <c r="CT259" s="883"/>
      <c r="CU259" s="883"/>
    </row>
    <row r="260" spans="1:99" x14ac:dyDescent="0.25">
      <c r="A260" s="880" t="s">
        <v>1787</v>
      </c>
      <c r="B260" s="881" t="s">
        <v>1788</v>
      </c>
      <c r="C260" s="880"/>
      <c r="D260" s="880"/>
      <c r="E260" s="884" t="s">
        <v>744</v>
      </c>
      <c r="F260" s="888">
        <v>1</v>
      </c>
      <c r="G260" s="881" t="s">
        <v>1007</v>
      </c>
      <c r="H260" s="881" t="s">
        <v>19</v>
      </c>
      <c r="I260" s="865">
        <v>46142</v>
      </c>
      <c r="J260" s="882" t="s">
        <v>8</v>
      </c>
      <c r="K260" s="880"/>
      <c r="L260" s="880"/>
      <c r="M260" s="883">
        <v>0</v>
      </c>
      <c r="N260" s="883">
        <v>0</v>
      </c>
      <c r="O260" s="883">
        <v>0</v>
      </c>
      <c r="P260" s="883">
        <v>17.39</v>
      </c>
      <c r="Q260" s="883">
        <v>15</v>
      </c>
      <c r="R260" s="883">
        <f t="shared" si="64"/>
        <v>2.61</v>
      </c>
      <c r="S260" s="883">
        <v>0</v>
      </c>
      <c r="T260" s="883">
        <v>5</v>
      </c>
      <c r="U260" s="883">
        <f t="shared" si="65"/>
        <v>0</v>
      </c>
      <c r="V260" s="883">
        <v>0</v>
      </c>
      <c r="W260" s="883">
        <v>8</v>
      </c>
      <c r="X260" s="883">
        <f t="shared" si="66"/>
        <v>0</v>
      </c>
      <c r="Y260" s="883">
        <v>0</v>
      </c>
      <c r="Z260" s="883">
        <v>0</v>
      </c>
      <c r="AA260" s="883">
        <v>0</v>
      </c>
      <c r="AB260" s="883">
        <f t="shared" si="67"/>
        <v>20</v>
      </c>
      <c r="AC260" s="883">
        <v>0</v>
      </c>
      <c r="AD260" s="881"/>
      <c r="AE260" s="880"/>
      <c r="AF260" s="883"/>
      <c r="AG260" s="889"/>
      <c r="AH260" s="880"/>
      <c r="AI260" s="880" t="s">
        <v>1241</v>
      </c>
      <c r="AJ260" s="884">
        <v>411</v>
      </c>
      <c r="AK260" s="883">
        <f t="shared" si="68"/>
        <v>17.39</v>
      </c>
      <c r="AL260" s="884">
        <v>413</v>
      </c>
      <c r="AM260" s="883">
        <f t="shared" si="69"/>
        <v>0</v>
      </c>
      <c r="AN260" s="884">
        <v>441</v>
      </c>
      <c r="AO260" s="883">
        <f t="shared" si="70"/>
        <v>0</v>
      </c>
      <c r="AP260" s="881"/>
      <c r="AQ260" s="881"/>
      <c r="AR260" s="883">
        <v>0</v>
      </c>
      <c r="AS260" s="883">
        <v>0</v>
      </c>
      <c r="AT260" s="883">
        <v>0</v>
      </c>
      <c r="AU260" s="880"/>
      <c r="AV260" s="886"/>
      <c r="AW260" s="880"/>
      <c r="AX260" s="886"/>
      <c r="AY260" s="880"/>
      <c r="AZ260" s="880"/>
      <c r="BA260" s="881"/>
      <c r="BB260" s="881" t="s">
        <v>57</v>
      </c>
      <c r="BC260" s="881"/>
      <c r="BD260" s="881"/>
      <c r="BE260" s="884">
        <f t="shared" si="71"/>
        <v>4</v>
      </c>
      <c r="BF260" s="887" t="str">
        <f t="shared" si="72"/>
        <v>SI</v>
      </c>
      <c r="BG260" s="883">
        <f t="shared" si="73"/>
        <v>17.39</v>
      </c>
      <c r="BH260" s="883">
        <f t="shared" si="74"/>
        <v>0</v>
      </c>
      <c r="BI260" s="883">
        <f t="shared" si="75"/>
        <v>0</v>
      </c>
      <c r="BJ260" s="883">
        <f t="shared" si="76"/>
        <v>0</v>
      </c>
      <c r="BK260" s="883">
        <f t="shared" si="77"/>
        <v>0</v>
      </c>
      <c r="BL260" s="883">
        <f t="shared" si="78"/>
        <v>2.61</v>
      </c>
      <c r="BM260" s="881"/>
      <c r="BN260" s="880"/>
      <c r="BO260" s="882" t="s">
        <v>1579</v>
      </c>
      <c r="BP260" s="882" t="s">
        <v>2286</v>
      </c>
      <c r="BQ260" s="882" t="s">
        <v>2285</v>
      </c>
      <c r="BR260" s="880"/>
      <c r="BS260" s="880"/>
      <c r="BT260" s="880"/>
      <c r="BU260" s="880"/>
      <c r="BV260" s="880"/>
      <c r="BW260" s="883">
        <v>0</v>
      </c>
      <c r="BX260" s="883">
        <v>0</v>
      </c>
      <c r="BY260" s="883">
        <v>0</v>
      </c>
      <c r="BZ260" s="890"/>
      <c r="CA260" s="883">
        <f t="shared" si="79"/>
        <v>0</v>
      </c>
      <c r="CB260" s="880"/>
      <c r="CC260" s="881"/>
      <c r="CD260" s="883"/>
      <c r="CE260" s="883"/>
      <c r="CF260" s="883"/>
      <c r="CG260" s="883"/>
      <c r="CH260" s="883"/>
      <c r="CI260" s="883"/>
      <c r="CJ260" s="883"/>
      <c r="CK260" s="883"/>
      <c r="CL260" s="883"/>
      <c r="CM260" s="883"/>
      <c r="CN260" s="883"/>
      <c r="CO260" s="883"/>
      <c r="CP260" s="883"/>
      <c r="CQ260" s="883"/>
      <c r="CR260" s="883"/>
      <c r="CS260" s="883"/>
      <c r="CT260" s="883"/>
      <c r="CU260" s="883"/>
    </row>
    <row r="261" spans="1:99" x14ac:dyDescent="0.25">
      <c r="A261" s="880" t="s">
        <v>1787</v>
      </c>
      <c r="B261" s="881" t="s">
        <v>1788</v>
      </c>
      <c r="C261" s="880"/>
      <c r="D261" s="880"/>
      <c r="E261" s="884" t="s">
        <v>744</v>
      </c>
      <c r="F261" s="888">
        <v>1</v>
      </c>
      <c r="G261" s="881" t="s">
        <v>1007</v>
      </c>
      <c r="H261" s="881" t="s">
        <v>19</v>
      </c>
      <c r="I261" s="865">
        <v>46142</v>
      </c>
      <c r="J261" s="882" t="s">
        <v>8</v>
      </c>
      <c r="K261" s="880"/>
      <c r="L261" s="880"/>
      <c r="M261" s="883">
        <v>0</v>
      </c>
      <c r="N261" s="883">
        <v>0</v>
      </c>
      <c r="O261" s="883">
        <v>0</v>
      </c>
      <c r="P261" s="883">
        <v>13.39</v>
      </c>
      <c r="Q261" s="883">
        <v>15</v>
      </c>
      <c r="R261" s="883">
        <f t="shared" si="64"/>
        <v>2.0099999999999998</v>
      </c>
      <c r="S261" s="883">
        <v>0</v>
      </c>
      <c r="T261" s="883">
        <v>5</v>
      </c>
      <c r="U261" s="883">
        <f t="shared" si="65"/>
        <v>0</v>
      </c>
      <c r="V261" s="883">
        <v>0</v>
      </c>
      <c r="W261" s="883">
        <v>8</v>
      </c>
      <c r="X261" s="883">
        <f t="shared" si="66"/>
        <v>0</v>
      </c>
      <c r="Y261" s="883">
        <v>0</v>
      </c>
      <c r="Z261" s="883">
        <v>0</v>
      </c>
      <c r="AA261" s="883">
        <v>0</v>
      </c>
      <c r="AB261" s="883">
        <f t="shared" si="67"/>
        <v>15.4</v>
      </c>
      <c r="AC261" s="883">
        <v>0</v>
      </c>
      <c r="AD261" s="881"/>
      <c r="AE261" s="880"/>
      <c r="AF261" s="883"/>
      <c r="AG261" s="889"/>
      <c r="AH261" s="880"/>
      <c r="AI261" s="880" t="s">
        <v>1241</v>
      </c>
      <c r="AJ261" s="884">
        <v>411</v>
      </c>
      <c r="AK261" s="883">
        <f t="shared" si="68"/>
        <v>13.39</v>
      </c>
      <c r="AL261" s="884">
        <v>413</v>
      </c>
      <c r="AM261" s="883">
        <f t="shared" si="69"/>
        <v>0</v>
      </c>
      <c r="AN261" s="884">
        <v>441</v>
      </c>
      <c r="AO261" s="883">
        <f t="shared" si="70"/>
        <v>0</v>
      </c>
      <c r="AP261" s="881"/>
      <c r="AQ261" s="881"/>
      <c r="AR261" s="883">
        <v>0</v>
      </c>
      <c r="AS261" s="883">
        <v>0</v>
      </c>
      <c r="AT261" s="883">
        <v>0</v>
      </c>
      <c r="AU261" s="880"/>
      <c r="AV261" s="886"/>
      <c r="AW261" s="880"/>
      <c r="AX261" s="886"/>
      <c r="AY261" s="880"/>
      <c r="AZ261" s="880"/>
      <c r="BA261" s="881"/>
      <c r="BB261" s="881" t="s">
        <v>57</v>
      </c>
      <c r="BC261" s="881"/>
      <c r="BD261" s="881"/>
      <c r="BE261" s="884">
        <f t="shared" si="71"/>
        <v>4</v>
      </c>
      <c r="BF261" s="887" t="str">
        <f t="shared" si="72"/>
        <v>SI</v>
      </c>
      <c r="BG261" s="883">
        <f t="shared" si="73"/>
        <v>13.39</v>
      </c>
      <c r="BH261" s="883">
        <f t="shared" si="74"/>
        <v>0</v>
      </c>
      <c r="BI261" s="883">
        <f t="shared" si="75"/>
        <v>0</v>
      </c>
      <c r="BJ261" s="883">
        <f t="shared" si="76"/>
        <v>0</v>
      </c>
      <c r="BK261" s="883">
        <f t="shared" si="77"/>
        <v>0</v>
      </c>
      <c r="BL261" s="883">
        <f t="shared" si="78"/>
        <v>2.0099999999999998</v>
      </c>
      <c r="BM261" s="881"/>
      <c r="BN261" s="880"/>
      <c r="BO261" s="882" t="s">
        <v>1579</v>
      </c>
      <c r="BP261" s="882" t="s">
        <v>2286</v>
      </c>
      <c r="BQ261" s="882" t="s">
        <v>2285</v>
      </c>
      <c r="BR261" s="880"/>
      <c r="BS261" s="880"/>
      <c r="BT261" s="880"/>
      <c r="BU261" s="880"/>
      <c r="BV261" s="880"/>
      <c r="BW261" s="883">
        <v>0</v>
      </c>
      <c r="BX261" s="883">
        <v>0</v>
      </c>
      <c r="BY261" s="883">
        <v>0</v>
      </c>
      <c r="BZ261" s="890"/>
      <c r="CA261" s="883">
        <f t="shared" si="79"/>
        <v>0</v>
      </c>
      <c r="CB261" s="880"/>
      <c r="CC261" s="881"/>
      <c r="CD261" s="883"/>
      <c r="CE261" s="883"/>
      <c r="CF261" s="883"/>
      <c r="CG261" s="883"/>
      <c r="CH261" s="883"/>
      <c r="CI261" s="883"/>
      <c r="CJ261" s="883"/>
      <c r="CK261" s="883"/>
      <c r="CL261" s="883"/>
      <c r="CM261" s="883"/>
      <c r="CN261" s="883"/>
      <c r="CO261" s="883"/>
      <c r="CP261" s="883"/>
      <c r="CQ261" s="883"/>
      <c r="CR261" s="883"/>
      <c r="CS261" s="883"/>
      <c r="CT261" s="883"/>
      <c r="CU261" s="883"/>
    </row>
    <row r="262" spans="1:99" x14ac:dyDescent="0.25">
      <c r="A262" s="880" t="s">
        <v>1787</v>
      </c>
      <c r="B262" s="881" t="s">
        <v>1788</v>
      </c>
      <c r="C262" s="880"/>
      <c r="D262" s="880"/>
      <c r="E262" s="884" t="s">
        <v>744</v>
      </c>
      <c r="F262" s="888">
        <v>1</v>
      </c>
      <c r="G262" s="881" t="s">
        <v>1007</v>
      </c>
      <c r="H262" s="881" t="s">
        <v>19</v>
      </c>
      <c r="I262" s="865">
        <v>46142</v>
      </c>
      <c r="J262" s="882" t="s">
        <v>8</v>
      </c>
      <c r="K262" s="880"/>
      <c r="L262" s="880"/>
      <c r="M262" s="883">
        <v>0</v>
      </c>
      <c r="N262" s="883">
        <v>0</v>
      </c>
      <c r="O262" s="883">
        <v>0</v>
      </c>
      <c r="P262" s="883">
        <v>17.86</v>
      </c>
      <c r="Q262" s="883">
        <v>15</v>
      </c>
      <c r="R262" s="883">
        <f t="shared" si="64"/>
        <v>2.68</v>
      </c>
      <c r="S262" s="883">
        <v>0</v>
      </c>
      <c r="T262" s="883">
        <v>5</v>
      </c>
      <c r="U262" s="883">
        <f t="shared" si="65"/>
        <v>0</v>
      </c>
      <c r="V262" s="883">
        <v>0</v>
      </c>
      <c r="W262" s="883">
        <v>8</v>
      </c>
      <c r="X262" s="883">
        <f t="shared" si="66"/>
        <v>0</v>
      </c>
      <c r="Y262" s="883">
        <v>0</v>
      </c>
      <c r="Z262" s="883">
        <v>0</v>
      </c>
      <c r="AA262" s="883">
        <v>0</v>
      </c>
      <c r="AB262" s="883">
        <f t="shared" si="67"/>
        <v>20.54</v>
      </c>
      <c r="AC262" s="883">
        <v>0</v>
      </c>
      <c r="AD262" s="881"/>
      <c r="AE262" s="880"/>
      <c r="AF262" s="883"/>
      <c r="AG262" s="889"/>
      <c r="AH262" s="880"/>
      <c r="AI262" s="880" t="s">
        <v>1241</v>
      </c>
      <c r="AJ262" s="884">
        <v>411</v>
      </c>
      <c r="AK262" s="883">
        <f t="shared" si="68"/>
        <v>17.86</v>
      </c>
      <c r="AL262" s="884">
        <v>413</v>
      </c>
      <c r="AM262" s="883">
        <f t="shared" si="69"/>
        <v>0</v>
      </c>
      <c r="AN262" s="884">
        <v>441</v>
      </c>
      <c r="AO262" s="883">
        <f t="shared" si="70"/>
        <v>0</v>
      </c>
      <c r="AP262" s="881"/>
      <c r="AQ262" s="881"/>
      <c r="AR262" s="883">
        <v>0</v>
      </c>
      <c r="AS262" s="883">
        <v>0</v>
      </c>
      <c r="AT262" s="883">
        <v>0</v>
      </c>
      <c r="AU262" s="880"/>
      <c r="AV262" s="886"/>
      <c r="AW262" s="880"/>
      <c r="AX262" s="886"/>
      <c r="AY262" s="880"/>
      <c r="AZ262" s="880"/>
      <c r="BA262" s="881"/>
      <c r="BB262" s="881" t="s">
        <v>57</v>
      </c>
      <c r="BC262" s="881"/>
      <c r="BD262" s="881"/>
      <c r="BE262" s="884">
        <f t="shared" si="71"/>
        <v>4</v>
      </c>
      <c r="BF262" s="887" t="str">
        <f t="shared" si="72"/>
        <v>SI</v>
      </c>
      <c r="BG262" s="883">
        <f t="shared" si="73"/>
        <v>17.86</v>
      </c>
      <c r="BH262" s="883">
        <f t="shared" si="74"/>
        <v>0</v>
      </c>
      <c r="BI262" s="883">
        <f t="shared" si="75"/>
        <v>0</v>
      </c>
      <c r="BJ262" s="883">
        <f t="shared" si="76"/>
        <v>0</v>
      </c>
      <c r="BK262" s="883">
        <f t="shared" si="77"/>
        <v>0</v>
      </c>
      <c r="BL262" s="883">
        <f t="shared" si="78"/>
        <v>2.68</v>
      </c>
      <c r="BM262" s="881"/>
      <c r="BN262" s="880"/>
      <c r="BO262" s="882" t="s">
        <v>1579</v>
      </c>
      <c r="BP262" s="882" t="s">
        <v>2286</v>
      </c>
      <c r="BQ262" s="882" t="s">
        <v>2285</v>
      </c>
      <c r="BR262" s="880"/>
      <c r="BS262" s="880"/>
      <c r="BT262" s="880"/>
      <c r="BU262" s="880"/>
      <c r="BV262" s="880"/>
      <c r="BW262" s="883">
        <v>0</v>
      </c>
      <c r="BX262" s="883">
        <v>0</v>
      </c>
      <c r="BY262" s="883">
        <v>0</v>
      </c>
      <c r="BZ262" s="890"/>
      <c r="CA262" s="883">
        <f t="shared" si="79"/>
        <v>0</v>
      </c>
      <c r="CB262" s="880"/>
      <c r="CC262" s="881"/>
      <c r="CD262" s="883"/>
      <c r="CE262" s="883"/>
      <c r="CF262" s="883"/>
      <c r="CG262" s="883"/>
      <c r="CH262" s="883"/>
      <c r="CI262" s="883"/>
      <c r="CJ262" s="883"/>
      <c r="CK262" s="883"/>
      <c r="CL262" s="883"/>
      <c r="CM262" s="883"/>
      <c r="CN262" s="883"/>
      <c r="CO262" s="883"/>
      <c r="CP262" s="883"/>
      <c r="CQ262" s="883"/>
      <c r="CR262" s="883"/>
      <c r="CS262" s="883"/>
      <c r="CT262" s="883"/>
      <c r="CU262" s="883"/>
    </row>
    <row r="263" spans="1:99" x14ac:dyDescent="0.25">
      <c r="A263" s="880" t="s">
        <v>1787</v>
      </c>
      <c r="B263" s="881" t="s">
        <v>1788</v>
      </c>
      <c r="C263" s="880"/>
      <c r="D263" s="880"/>
      <c r="E263" s="884" t="s">
        <v>744</v>
      </c>
      <c r="F263" s="888">
        <v>1</v>
      </c>
      <c r="G263" s="881" t="s">
        <v>1007</v>
      </c>
      <c r="H263" s="881" t="s">
        <v>19</v>
      </c>
      <c r="I263" s="865">
        <v>46142</v>
      </c>
      <c r="J263" s="882" t="s">
        <v>8</v>
      </c>
      <c r="K263" s="880"/>
      <c r="L263" s="880"/>
      <c r="M263" s="883">
        <v>0</v>
      </c>
      <c r="N263" s="883">
        <v>0</v>
      </c>
      <c r="O263" s="883">
        <v>0</v>
      </c>
      <c r="P263" s="883">
        <v>8.92</v>
      </c>
      <c r="Q263" s="883">
        <v>15</v>
      </c>
      <c r="R263" s="883">
        <f t="shared" si="64"/>
        <v>1.34</v>
      </c>
      <c r="S263" s="883">
        <v>0</v>
      </c>
      <c r="T263" s="883">
        <v>5</v>
      </c>
      <c r="U263" s="883">
        <f t="shared" si="65"/>
        <v>0</v>
      </c>
      <c r="V263" s="883">
        <v>0</v>
      </c>
      <c r="W263" s="883">
        <v>8</v>
      </c>
      <c r="X263" s="883">
        <f t="shared" si="66"/>
        <v>0</v>
      </c>
      <c r="Y263" s="883">
        <v>0</v>
      </c>
      <c r="Z263" s="883">
        <v>0</v>
      </c>
      <c r="AA263" s="883">
        <v>0</v>
      </c>
      <c r="AB263" s="883">
        <f t="shared" si="67"/>
        <v>10.26</v>
      </c>
      <c r="AC263" s="883">
        <v>0</v>
      </c>
      <c r="AD263" s="881"/>
      <c r="AE263" s="880"/>
      <c r="AF263" s="883"/>
      <c r="AG263" s="889"/>
      <c r="AH263" s="880"/>
      <c r="AI263" s="880" t="s">
        <v>1241</v>
      </c>
      <c r="AJ263" s="884">
        <v>411</v>
      </c>
      <c r="AK263" s="883">
        <f t="shared" si="68"/>
        <v>8.92</v>
      </c>
      <c r="AL263" s="884">
        <v>413</v>
      </c>
      <c r="AM263" s="883">
        <f t="shared" si="69"/>
        <v>0</v>
      </c>
      <c r="AN263" s="884">
        <v>441</v>
      </c>
      <c r="AO263" s="883">
        <f t="shared" si="70"/>
        <v>0</v>
      </c>
      <c r="AP263" s="881"/>
      <c r="AQ263" s="881"/>
      <c r="AR263" s="883">
        <v>0</v>
      </c>
      <c r="AS263" s="883">
        <v>0</v>
      </c>
      <c r="AT263" s="883">
        <v>0</v>
      </c>
      <c r="AU263" s="880"/>
      <c r="AV263" s="886"/>
      <c r="AW263" s="880"/>
      <c r="AX263" s="886"/>
      <c r="AY263" s="880"/>
      <c r="AZ263" s="880"/>
      <c r="BA263" s="881"/>
      <c r="BB263" s="881" t="s">
        <v>57</v>
      </c>
      <c r="BC263" s="881"/>
      <c r="BD263" s="881"/>
      <c r="BE263" s="884">
        <f t="shared" si="71"/>
        <v>4</v>
      </c>
      <c r="BF263" s="887" t="str">
        <f t="shared" si="72"/>
        <v>SI</v>
      </c>
      <c r="BG263" s="883">
        <f t="shared" si="73"/>
        <v>8.92</v>
      </c>
      <c r="BH263" s="883">
        <f t="shared" si="74"/>
        <v>0</v>
      </c>
      <c r="BI263" s="883">
        <f t="shared" si="75"/>
        <v>0</v>
      </c>
      <c r="BJ263" s="883">
        <f t="shared" si="76"/>
        <v>0</v>
      </c>
      <c r="BK263" s="883">
        <f t="shared" si="77"/>
        <v>0</v>
      </c>
      <c r="BL263" s="883">
        <f t="shared" si="78"/>
        <v>1.34</v>
      </c>
      <c r="BM263" s="881"/>
      <c r="BN263" s="880"/>
      <c r="BO263" s="882" t="s">
        <v>1579</v>
      </c>
      <c r="BP263" s="882" t="s">
        <v>2286</v>
      </c>
      <c r="BQ263" s="882" t="s">
        <v>2285</v>
      </c>
      <c r="BR263" s="880"/>
      <c r="BS263" s="880"/>
      <c r="BT263" s="880"/>
      <c r="BU263" s="880"/>
      <c r="BV263" s="880"/>
      <c r="BW263" s="883">
        <v>0</v>
      </c>
      <c r="BX263" s="883">
        <v>0</v>
      </c>
      <c r="BY263" s="883">
        <v>0</v>
      </c>
      <c r="BZ263" s="890"/>
      <c r="CA263" s="883">
        <f t="shared" si="79"/>
        <v>0</v>
      </c>
      <c r="CB263" s="880"/>
      <c r="CC263" s="881"/>
      <c r="CD263" s="883"/>
      <c r="CE263" s="883"/>
      <c r="CF263" s="883"/>
      <c r="CG263" s="883"/>
      <c r="CH263" s="883"/>
      <c r="CI263" s="883"/>
      <c r="CJ263" s="883"/>
      <c r="CK263" s="883"/>
      <c r="CL263" s="883"/>
      <c r="CM263" s="883"/>
      <c r="CN263" s="883"/>
      <c r="CO263" s="883"/>
      <c r="CP263" s="883"/>
      <c r="CQ263" s="883"/>
      <c r="CR263" s="883"/>
      <c r="CS263" s="883"/>
      <c r="CT263" s="883"/>
      <c r="CU263" s="883"/>
    </row>
    <row r="264" spans="1:99" x14ac:dyDescent="0.25">
      <c r="A264" s="880" t="s">
        <v>1787</v>
      </c>
      <c r="B264" s="881" t="s">
        <v>1788</v>
      </c>
      <c r="C264" s="880"/>
      <c r="D264" s="880"/>
      <c r="E264" s="884" t="s">
        <v>744</v>
      </c>
      <c r="F264" s="888">
        <v>1</v>
      </c>
      <c r="G264" s="881" t="s">
        <v>1007</v>
      </c>
      <c r="H264" s="881" t="s">
        <v>19</v>
      </c>
      <c r="I264" s="865">
        <v>46142</v>
      </c>
      <c r="J264" s="882" t="s">
        <v>8</v>
      </c>
      <c r="K264" s="880"/>
      <c r="L264" s="880"/>
      <c r="M264" s="883">
        <v>0</v>
      </c>
      <c r="N264" s="883">
        <v>0</v>
      </c>
      <c r="O264" s="883">
        <v>0</v>
      </c>
      <c r="P264" s="883">
        <v>17.39</v>
      </c>
      <c r="Q264" s="883">
        <v>15</v>
      </c>
      <c r="R264" s="883">
        <f t="shared" si="64"/>
        <v>2.61</v>
      </c>
      <c r="S264" s="883">
        <v>0</v>
      </c>
      <c r="T264" s="883">
        <v>5</v>
      </c>
      <c r="U264" s="883">
        <f t="shared" si="65"/>
        <v>0</v>
      </c>
      <c r="V264" s="883">
        <v>0</v>
      </c>
      <c r="W264" s="883">
        <v>8</v>
      </c>
      <c r="X264" s="883">
        <f t="shared" si="66"/>
        <v>0</v>
      </c>
      <c r="Y264" s="883">
        <v>0</v>
      </c>
      <c r="Z264" s="883">
        <v>0</v>
      </c>
      <c r="AA264" s="883">
        <v>0</v>
      </c>
      <c r="AB264" s="883">
        <f t="shared" si="67"/>
        <v>20</v>
      </c>
      <c r="AC264" s="883">
        <v>0</v>
      </c>
      <c r="AD264" s="881"/>
      <c r="AE264" s="880"/>
      <c r="AF264" s="883"/>
      <c r="AG264" s="889"/>
      <c r="AH264" s="880"/>
      <c r="AI264" s="880" t="s">
        <v>1241</v>
      </c>
      <c r="AJ264" s="884">
        <v>411</v>
      </c>
      <c r="AK264" s="883">
        <f t="shared" si="68"/>
        <v>17.39</v>
      </c>
      <c r="AL264" s="884">
        <v>413</v>
      </c>
      <c r="AM264" s="883">
        <f t="shared" si="69"/>
        <v>0</v>
      </c>
      <c r="AN264" s="884">
        <v>441</v>
      </c>
      <c r="AO264" s="883">
        <f t="shared" si="70"/>
        <v>0</v>
      </c>
      <c r="AP264" s="881"/>
      <c r="AQ264" s="881"/>
      <c r="AR264" s="883">
        <v>0</v>
      </c>
      <c r="AS264" s="883">
        <v>0</v>
      </c>
      <c r="AT264" s="883">
        <v>0</v>
      </c>
      <c r="AU264" s="880"/>
      <c r="AV264" s="886"/>
      <c r="AW264" s="880"/>
      <c r="AX264" s="886"/>
      <c r="AY264" s="880"/>
      <c r="AZ264" s="880"/>
      <c r="BA264" s="881"/>
      <c r="BB264" s="881" t="s">
        <v>57</v>
      </c>
      <c r="BC264" s="881"/>
      <c r="BD264" s="881"/>
      <c r="BE264" s="884">
        <f t="shared" si="71"/>
        <v>4</v>
      </c>
      <c r="BF264" s="887" t="str">
        <f t="shared" si="72"/>
        <v>SI</v>
      </c>
      <c r="BG264" s="883">
        <f t="shared" si="73"/>
        <v>17.39</v>
      </c>
      <c r="BH264" s="883">
        <f t="shared" si="74"/>
        <v>0</v>
      </c>
      <c r="BI264" s="883">
        <f t="shared" si="75"/>
        <v>0</v>
      </c>
      <c r="BJ264" s="883">
        <f t="shared" si="76"/>
        <v>0</v>
      </c>
      <c r="BK264" s="883">
        <f t="shared" si="77"/>
        <v>0</v>
      </c>
      <c r="BL264" s="883">
        <f t="shared" si="78"/>
        <v>2.61</v>
      </c>
      <c r="BM264" s="881"/>
      <c r="BN264" s="880"/>
      <c r="BO264" s="882" t="s">
        <v>1579</v>
      </c>
      <c r="BP264" s="882" t="s">
        <v>2286</v>
      </c>
      <c r="BQ264" s="882" t="s">
        <v>2285</v>
      </c>
      <c r="BR264" s="880"/>
      <c r="BS264" s="880"/>
      <c r="BT264" s="880"/>
      <c r="BU264" s="880"/>
      <c r="BV264" s="880"/>
      <c r="BW264" s="883">
        <v>0</v>
      </c>
      <c r="BX264" s="883">
        <v>0</v>
      </c>
      <c r="BY264" s="883">
        <v>0</v>
      </c>
      <c r="BZ264" s="890"/>
      <c r="CA264" s="883">
        <f t="shared" si="79"/>
        <v>0</v>
      </c>
      <c r="CB264" s="880"/>
      <c r="CC264" s="881"/>
      <c r="CD264" s="883"/>
      <c r="CE264" s="883"/>
      <c r="CF264" s="883"/>
      <c r="CG264" s="883"/>
      <c r="CH264" s="883"/>
      <c r="CI264" s="883"/>
      <c r="CJ264" s="883"/>
      <c r="CK264" s="883"/>
      <c r="CL264" s="883"/>
      <c r="CM264" s="883"/>
      <c r="CN264" s="883"/>
      <c r="CO264" s="883"/>
      <c r="CP264" s="883"/>
      <c r="CQ264" s="883"/>
      <c r="CR264" s="883"/>
      <c r="CS264" s="883"/>
      <c r="CT264" s="883"/>
      <c r="CU264" s="883"/>
    </row>
    <row r="265" spans="1:99" x14ac:dyDescent="0.25">
      <c r="A265" s="880" t="s">
        <v>1787</v>
      </c>
      <c r="B265" s="881" t="s">
        <v>1788</v>
      </c>
      <c r="C265" s="880"/>
      <c r="D265" s="880"/>
      <c r="E265" s="884" t="s">
        <v>744</v>
      </c>
      <c r="F265" s="888">
        <v>1</v>
      </c>
      <c r="G265" s="881" t="s">
        <v>1007</v>
      </c>
      <c r="H265" s="881" t="s">
        <v>19</v>
      </c>
      <c r="I265" s="865">
        <v>46142</v>
      </c>
      <c r="J265" s="882" t="s">
        <v>8</v>
      </c>
      <c r="K265" s="880"/>
      <c r="L265" s="880"/>
      <c r="M265" s="883">
        <v>0</v>
      </c>
      <c r="N265" s="883">
        <v>0</v>
      </c>
      <c r="O265" s="883">
        <v>0</v>
      </c>
      <c r="P265" s="883">
        <v>21.74</v>
      </c>
      <c r="Q265" s="883">
        <v>15</v>
      </c>
      <c r="R265" s="883">
        <f t="shared" si="64"/>
        <v>3.26</v>
      </c>
      <c r="S265" s="883">
        <v>0</v>
      </c>
      <c r="T265" s="883">
        <v>5</v>
      </c>
      <c r="U265" s="883">
        <f t="shared" si="65"/>
        <v>0</v>
      </c>
      <c r="V265" s="883">
        <v>0</v>
      </c>
      <c r="W265" s="883">
        <v>8</v>
      </c>
      <c r="X265" s="883">
        <f t="shared" si="66"/>
        <v>0</v>
      </c>
      <c r="Y265" s="883">
        <v>0</v>
      </c>
      <c r="Z265" s="883">
        <v>0</v>
      </c>
      <c r="AA265" s="883">
        <v>0</v>
      </c>
      <c r="AB265" s="883">
        <f t="shared" si="67"/>
        <v>25</v>
      </c>
      <c r="AC265" s="883">
        <v>0</v>
      </c>
      <c r="AD265" s="881"/>
      <c r="AE265" s="880"/>
      <c r="AF265" s="883"/>
      <c r="AG265" s="889"/>
      <c r="AH265" s="880"/>
      <c r="AI265" s="880" t="s">
        <v>1241</v>
      </c>
      <c r="AJ265" s="884">
        <v>411</v>
      </c>
      <c r="AK265" s="883">
        <f t="shared" si="68"/>
        <v>21.74</v>
      </c>
      <c r="AL265" s="884">
        <v>413</v>
      </c>
      <c r="AM265" s="883">
        <f t="shared" si="69"/>
        <v>0</v>
      </c>
      <c r="AN265" s="884">
        <v>441</v>
      </c>
      <c r="AO265" s="883">
        <f t="shared" si="70"/>
        <v>0</v>
      </c>
      <c r="AP265" s="881"/>
      <c r="AQ265" s="881"/>
      <c r="AR265" s="883">
        <v>0</v>
      </c>
      <c r="AS265" s="883">
        <v>0</v>
      </c>
      <c r="AT265" s="883">
        <v>0</v>
      </c>
      <c r="AU265" s="880"/>
      <c r="AV265" s="886"/>
      <c r="AW265" s="880"/>
      <c r="AX265" s="886"/>
      <c r="AY265" s="880"/>
      <c r="AZ265" s="880"/>
      <c r="BA265" s="881"/>
      <c r="BB265" s="881" t="s">
        <v>57</v>
      </c>
      <c r="BC265" s="881"/>
      <c r="BD265" s="881"/>
      <c r="BE265" s="884">
        <f t="shared" si="71"/>
        <v>4</v>
      </c>
      <c r="BF265" s="887" t="str">
        <f t="shared" si="72"/>
        <v>SI</v>
      </c>
      <c r="BG265" s="883">
        <f t="shared" si="73"/>
        <v>21.74</v>
      </c>
      <c r="BH265" s="883">
        <f t="shared" si="74"/>
        <v>0</v>
      </c>
      <c r="BI265" s="883">
        <f t="shared" si="75"/>
        <v>0</v>
      </c>
      <c r="BJ265" s="883">
        <f t="shared" si="76"/>
        <v>0</v>
      </c>
      <c r="BK265" s="883">
        <f t="shared" si="77"/>
        <v>0</v>
      </c>
      <c r="BL265" s="883">
        <f t="shared" si="78"/>
        <v>3.26</v>
      </c>
      <c r="BM265" s="881"/>
      <c r="BN265" s="880"/>
      <c r="BO265" s="882" t="s">
        <v>1579</v>
      </c>
      <c r="BP265" s="882" t="s">
        <v>2286</v>
      </c>
      <c r="BQ265" s="882" t="s">
        <v>2285</v>
      </c>
      <c r="BR265" s="880"/>
      <c r="BS265" s="880"/>
      <c r="BT265" s="880"/>
      <c r="BU265" s="880"/>
      <c r="BV265" s="880"/>
      <c r="BW265" s="883">
        <v>0</v>
      </c>
      <c r="BX265" s="883">
        <v>0</v>
      </c>
      <c r="BY265" s="883">
        <v>0</v>
      </c>
      <c r="BZ265" s="890"/>
      <c r="CA265" s="883">
        <f t="shared" si="79"/>
        <v>0</v>
      </c>
      <c r="CB265" s="880"/>
      <c r="CC265" s="881"/>
      <c r="CD265" s="883"/>
      <c r="CE265" s="883"/>
      <c r="CF265" s="883"/>
      <c r="CG265" s="883"/>
      <c r="CH265" s="883"/>
      <c r="CI265" s="883"/>
      <c r="CJ265" s="883"/>
      <c r="CK265" s="883"/>
      <c r="CL265" s="883"/>
      <c r="CM265" s="883"/>
      <c r="CN265" s="883"/>
      <c r="CO265" s="883"/>
      <c r="CP265" s="883"/>
      <c r="CQ265" s="883"/>
      <c r="CR265" s="883"/>
      <c r="CS265" s="883"/>
      <c r="CT265" s="883"/>
      <c r="CU265" s="883"/>
    </row>
    <row r="266" spans="1:99" x14ac:dyDescent="0.25">
      <c r="A266" s="880" t="s">
        <v>1787</v>
      </c>
      <c r="B266" s="881" t="s">
        <v>1788</v>
      </c>
      <c r="C266" s="880"/>
      <c r="D266" s="880"/>
      <c r="E266" s="884" t="s">
        <v>744</v>
      </c>
      <c r="F266" s="888">
        <v>1</v>
      </c>
      <c r="G266" s="881" t="s">
        <v>1007</v>
      </c>
      <c r="H266" s="881" t="s">
        <v>19</v>
      </c>
      <c r="I266" s="865">
        <v>46142</v>
      </c>
      <c r="J266" s="882" t="s">
        <v>8</v>
      </c>
      <c r="K266" s="880"/>
      <c r="L266" s="880"/>
      <c r="M266" s="883">
        <v>0</v>
      </c>
      <c r="N266" s="883">
        <v>0</v>
      </c>
      <c r="O266" s="883">
        <v>0</v>
      </c>
      <c r="P266" s="883">
        <v>21.74</v>
      </c>
      <c r="Q266" s="883">
        <v>15</v>
      </c>
      <c r="R266" s="883">
        <f t="shared" si="64"/>
        <v>3.26</v>
      </c>
      <c r="S266" s="883">
        <v>0</v>
      </c>
      <c r="T266" s="883">
        <v>5</v>
      </c>
      <c r="U266" s="883">
        <f t="shared" si="65"/>
        <v>0</v>
      </c>
      <c r="V266" s="883">
        <v>0</v>
      </c>
      <c r="W266" s="883">
        <v>8</v>
      </c>
      <c r="X266" s="883">
        <f t="shared" si="66"/>
        <v>0</v>
      </c>
      <c r="Y266" s="883">
        <v>0</v>
      </c>
      <c r="Z266" s="883">
        <v>0</v>
      </c>
      <c r="AA266" s="883">
        <v>0</v>
      </c>
      <c r="AB266" s="883">
        <f t="shared" si="67"/>
        <v>25</v>
      </c>
      <c r="AC266" s="883">
        <v>0</v>
      </c>
      <c r="AD266" s="881"/>
      <c r="AE266" s="880"/>
      <c r="AF266" s="883"/>
      <c r="AG266" s="889"/>
      <c r="AH266" s="880"/>
      <c r="AI266" s="880" t="s">
        <v>1241</v>
      </c>
      <c r="AJ266" s="884">
        <v>411</v>
      </c>
      <c r="AK266" s="883">
        <f t="shared" si="68"/>
        <v>21.74</v>
      </c>
      <c r="AL266" s="884">
        <v>413</v>
      </c>
      <c r="AM266" s="883">
        <f t="shared" si="69"/>
        <v>0</v>
      </c>
      <c r="AN266" s="884">
        <v>441</v>
      </c>
      <c r="AO266" s="883">
        <f t="shared" si="70"/>
        <v>0</v>
      </c>
      <c r="AP266" s="881"/>
      <c r="AQ266" s="881"/>
      <c r="AR266" s="883">
        <v>0</v>
      </c>
      <c r="AS266" s="883">
        <v>0</v>
      </c>
      <c r="AT266" s="883">
        <v>0</v>
      </c>
      <c r="AU266" s="880"/>
      <c r="AV266" s="886"/>
      <c r="AW266" s="880"/>
      <c r="AX266" s="886"/>
      <c r="AY266" s="880"/>
      <c r="AZ266" s="880"/>
      <c r="BA266" s="881"/>
      <c r="BB266" s="881" t="s">
        <v>57</v>
      </c>
      <c r="BC266" s="881"/>
      <c r="BD266" s="881"/>
      <c r="BE266" s="884">
        <f t="shared" si="71"/>
        <v>4</v>
      </c>
      <c r="BF266" s="887" t="str">
        <f t="shared" si="72"/>
        <v>SI</v>
      </c>
      <c r="BG266" s="883">
        <f t="shared" si="73"/>
        <v>21.74</v>
      </c>
      <c r="BH266" s="883">
        <f t="shared" si="74"/>
        <v>0</v>
      </c>
      <c r="BI266" s="883">
        <f t="shared" si="75"/>
        <v>0</v>
      </c>
      <c r="BJ266" s="883">
        <f t="shared" si="76"/>
        <v>0</v>
      </c>
      <c r="BK266" s="883">
        <f t="shared" si="77"/>
        <v>0</v>
      </c>
      <c r="BL266" s="883">
        <f t="shared" si="78"/>
        <v>3.26</v>
      </c>
      <c r="BM266" s="881"/>
      <c r="BN266" s="880"/>
      <c r="BO266" s="882" t="s">
        <v>1579</v>
      </c>
      <c r="BP266" s="882" t="s">
        <v>2286</v>
      </c>
      <c r="BQ266" s="882" t="s">
        <v>2285</v>
      </c>
      <c r="BR266" s="880"/>
      <c r="BS266" s="880"/>
      <c r="BT266" s="880"/>
      <c r="BU266" s="880"/>
      <c r="BV266" s="880"/>
      <c r="BW266" s="883">
        <v>0</v>
      </c>
      <c r="BX266" s="883">
        <v>0</v>
      </c>
      <c r="BY266" s="883">
        <v>0</v>
      </c>
      <c r="BZ266" s="890"/>
      <c r="CA266" s="883">
        <f t="shared" si="79"/>
        <v>0</v>
      </c>
      <c r="CB266" s="880"/>
      <c r="CC266" s="881"/>
      <c r="CD266" s="883"/>
      <c r="CE266" s="883"/>
      <c r="CF266" s="883"/>
      <c r="CG266" s="883"/>
      <c r="CH266" s="883"/>
      <c r="CI266" s="883"/>
      <c r="CJ266" s="883"/>
      <c r="CK266" s="883"/>
      <c r="CL266" s="883"/>
      <c r="CM266" s="883"/>
      <c r="CN266" s="883"/>
      <c r="CO266" s="883"/>
      <c r="CP266" s="883"/>
      <c r="CQ266" s="883"/>
      <c r="CR266" s="883"/>
      <c r="CS266" s="883"/>
      <c r="CT266" s="883"/>
      <c r="CU266" s="883"/>
    </row>
    <row r="267" spans="1:99" x14ac:dyDescent="0.25">
      <c r="A267" s="880" t="s">
        <v>1787</v>
      </c>
      <c r="B267" s="881" t="s">
        <v>1788</v>
      </c>
      <c r="C267" s="880"/>
      <c r="D267" s="880"/>
      <c r="E267" s="884" t="s">
        <v>744</v>
      </c>
      <c r="F267" s="888">
        <v>1</v>
      </c>
      <c r="G267" s="881" t="s">
        <v>1007</v>
      </c>
      <c r="H267" s="881" t="s">
        <v>19</v>
      </c>
      <c r="I267" s="865">
        <v>46142</v>
      </c>
      <c r="J267" s="882" t="s">
        <v>8</v>
      </c>
      <c r="K267" s="880"/>
      <c r="L267" s="880"/>
      <c r="M267" s="883">
        <v>0</v>
      </c>
      <c r="N267" s="883">
        <v>0</v>
      </c>
      <c r="O267" s="883">
        <v>0</v>
      </c>
      <c r="P267" s="883">
        <v>21.74</v>
      </c>
      <c r="Q267" s="883">
        <v>15</v>
      </c>
      <c r="R267" s="883">
        <f t="shared" ref="R267:R330" si="80">ROUND(P267*Q267%,2)</f>
        <v>3.26</v>
      </c>
      <c r="S267" s="883">
        <v>0</v>
      </c>
      <c r="T267" s="883">
        <v>5</v>
      </c>
      <c r="U267" s="883">
        <f t="shared" ref="U267:U330" si="81">ROUND(S267*T267%,2)</f>
        <v>0</v>
      </c>
      <c r="V267" s="883">
        <v>0</v>
      </c>
      <c r="W267" s="883">
        <v>8</v>
      </c>
      <c r="X267" s="883">
        <f t="shared" ref="X267:X330" si="82">ROUND(V267*W267%,2)</f>
        <v>0</v>
      </c>
      <c r="Y267" s="883">
        <v>0</v>
      </c>
      <c r="Z267" s="883">
        <v>0</v>
      </c>
      <c r="AA267" s="883">
        <v>0</v>
      </c>
      <c r="AB267" s="883">
        <f t="shared" ref="AB267:AB330" si="83">ROUND(SUM(M267:P267)+SUM(R267:S267)+SUM(U267:V267)+SUM(X267:AA267),2)</f>
        <v>25</v>
      </c>
      <c r="AC267" s="883">
        <v>0</v>
      </c>
      <c r="AD267" s="881"/>
      <c r="AE267" s="880"/>
      <c r="AF267" s="883"/>
      <c r="AG267" s="889"/>
      <c r="AH267" s="880"/>
      <c r="AI267" s="880" t="s">
        <v>1241</v>
      </c>
      <c r="AJ267" s="884">
        <v>411</v>
      </c>
      <c r="AK267" s="883">
        <f t="shared" ref="AK267:AK330" si="84">IF(OR(AJ267=441,AJ267=444,AJ267=417,AJ267=418),IF(AJ267=441,SUM($M267:$N267)+SUM($Y267:$AA267),SUM($M267:$P267)+$S267+$V267),IF(AND(AJ267&gt;412,AJ267&lt;417),$O267,IF(OR(AJ267=411,AJ267=412),$P267,IF(AJ267=420,$V267,IF(AJ267=435,$S267,0)))))</f>
        <v>21.74</v>
      </c>
      <c r="AL267" s="884">
        <v>413</v>
      </c>
      <c r="AM267" s="883">
        <f t="shared" ref="AM267:AM330" si="85">IF(OR(AL267=441,AL267=444,AL267=417,AL267=418),IF(AL267=441,SUM($M267:$N267)+SUM($Y267:$AA267),SUM($M267:$P267)+$S267+$V267),IF(AND(AL267&gt;412,AL267&lt;417),$O267,IF(OR(AL267=411,AL267=412),$P267,IF(AL267=420,$V267,IF(AL267=435,$S267,0)))))</f>
        <v>0</v>
      </c>
      <c r="AN267" s="884">
        <v>441</v>
      </c>
      <c r="AO267" s="883">
        <f t="shared" ref="AO267:AO330" si="86">IF(OR(AN267=441,AN267=444,AN267=417,AN267=418),IF(AN267=441,SUM($M267:$N267)+SUM($Y267:$AA267),SUM($M267:$P267)+$S267+$V267),IF(AND(AN267&gt;412,AN267&lt;417),$O267,IF(OR(AN267=411,AN267=412),$P267,IF(AN267=420,$V267,IF(AN267=435,$S267,0)))))</f>
        <v>0</v>
      </c>
      <c r="AP267" s="881"/>
      <c r="AQ267" s="881"/>
      <c r="AR267" s="883">
        <v>0</v>
      </c>
      <c r="AS267" s="883">
        <v>0</v>
      </c>
      <c r="AT267" s="883">
        <v>0</v>
      </c>
      <c r="AU267" s="880"/>
      <c r="AV267" s="886"/>
      <c r="AW267" s="880"/>
      <c r="AX267" s="886"/>
      <c r="AY267" s="880"/>
      <c r="AZ267" s="880"/>
      <c r="BA267" s="881"/>
      <c r="BB267" s="881" t="s">
        <v>57</v>
      </c>
      <c r="BC267" s="881"/>
      <c r="BD267" s="881"/>
      <c r="BE267" s="884">
        <f t="shared" ref="BE267:BE330" si="87">IF(ISNUMBER(I267),MONTH(I267),0)</f>
        <v>4</v>
      </c>
      <c r="BF267" s="887" t="str">
        <f t="shared" ref="BF267:BF330" si="88">IF(ISNUMBER(I267),IF(ISERROR(HLOOKUP(MONTH(I267),meses_104,1,0)),"NO","SI"),"NO")</f>
        <v>SI</v>
      </c>
      <c r="BG267" s="883">
        <f t="shared" ref="BG267:BG330" si="89">IF(ISBLANK(H267),0,IF(OR((VALUE(LEFT(H267,2))=4),((LEFT(H267,3))="372")),0,AK267))</f>
        <v>21.74</v>
      </c>
      <c r="BH267" s="883">
        <f t="shared" ref="BH267:BH330" si="90">IF(ISBLANK(H267),0,IF(OR((VALUE(LEFT(H267,2))=4),((LEFT(H267,3))="372")),0,AM267))</f>
        <v>0</v>
      </c>
      <c r="BI267" s="883">
        <f t="shared" ref="BI267:BI330" si="91">IF(ISBLANK(H267),0,IF(OR((VALUE(LEFT(H267,2))=4),((LEFT(H267,3))="372")),0,AO267))</f>
        <v>0</v>
      </c>
      <c r="BJ267" s="883">
        <f t="shared" ref="BJ267:BJ330" si="92">SUM(M267:O267)+SUM(Y267:AA267)</f>
        <v>0</v>
      </c>
      <c r="BK267" s="883">
        <f t="shared" ref="BK267:BK330" si="93">ROUND((IF(AJ267=444,(R267+U267+X267),0)+IF(AL267=444,(R267+U267+X267),0)+IF(AN267=444,(R267+U267+X267),0)),2)</f>
        <v>0</v>
      </c>
      <c r="BL267" s="883">
        <f t="shared" ref="BL267:BL330" si="94">R267+U267+X267-BK267</f>
        <v>3.26</v>
      </c>
      <c r="BM267" s="881"/>
      <c r="BN267" s="880"/>
      <c r="BO267" s="882" t="s">
        <v>1579</v>
      </c>
      <c r="BP267" s="882" t="s">
        <v>2286</v>
      </c>
      <c r="BQ267" s="882" t="s">
        <v>2285</v>
      </c>
      <c r="BR267" s="880"/>
      <c r="BS267" s="880"/>
      <c r="BT267" s="880"/>
      <c r="BU267" s="880"/>
      <c r="BV267" s="880"/>
      <c r="BW267" s="883">
        <v>0</v>
      </c>
      <c r="BX267" s="883">
        <v>0</v>
      </c>
      <c r="BY267" s="883">
        <v>0</v>
      </c>
      <c r="BZ267" s="890"/>
      <c r="CA267" s="883">
        <f t="shared" ref="CA267:CA330" si="95">ROUND((IF(OR(AJ267=413,AJ267=414),AK267,0)+IF(OR(AL267=413,AL267=414),AM267,0)+IF(OR(AN267=413,AN267=414),AO267,0)),2)</f>
        <v>0</v>
      </c>
      <c r="CB267" s="880"/>
      <c r="CC267" s="881"/>
      <c r="CD267" s="883"/>
      <c r="CE267" s="883"/>
      <c r="CF267" s="883"/>
      <c r="CG267" s="883"/>
      <c r="CH267" s="883"/>
      <c r="CI267" s="883"/>
      <c r="CJ267" s="883"/>
      <c r="CK267" s="883"/>
      <c r="CL267" s="883"/>
      <c r="CM267" s="883"/>
      <c r="CN267" s="883"/>
      <c r="CO267" s="883"/>
      <c r="CP267" s="883"/>
      <c r="CQ267" s="883"/>
      <c r="CR267" s="883"/>
      <c r="CS267" s="883"/>
      <c r="CT267" s="883"/>
      <c r="CU267" s="883"/>
    </row>
    <row r="268" spans="1:99" x14ac:dyDescent="0.25">
      <c r="A268" s="880" t="s">
        <v>1787</v>
      </c>
      <c r="B268" s="881" t="s">
        <v>1788</v>
      </c>
      <c r="C268" s="880"/>
      <c r="D268" s="880"/>
      <c r="E268" s="884" t="s">
        <v>744</v>
      </c>
      <c r="F268" s="888">
        <v>1</v>
      </c>
      <c r="G268" s="881" t="s">
        <v>1007</v>
      </c>
      <c r="H268" s="881" t="s">
        <v>19</v>
      </c>
      <c r="I268" s="865">
        <v>46142</v>
      </c>
      <c r="J268" s="882" t="s">
        <v>8</v>
      </c>
      <c r="K268" s="880"/>
      <c r="L268" s="880"/>
      <c r="M268" s="883">
        <v>0</v>
      </c>
      <c r="N268" s="883">
        <v>0</v>
      </c>
      <c r="O268" s="883">
        <v>0</v>
      </c>
      <c r="P268" s="883">
        <v>17.39</v>
      </c>
      <c r="Q268" s="883">
        <v>15</v>
      </c>
      <c r="R268" s="883">
        <f t="shared" si="80"/>
        <v>2.61</v>
      </c>
      <c r="S268" s="883">
        <v>0</v>
      </c>
      <c r="T268" s="883">
        <v>5</v>
      </c>
      <c r="U268" s="883">
        <f t="shared" si="81"/>
        <v>0</v>
      </c>
      <c r="V268" s="883">
        <v>0</v>
      </c>
      <c r="W268" s="883">
        <v>8</v>
      </c>
      <c r="X268" s="883">
        <f t="shared" si="82"/>
        <v>0</v>
      </c>
      <c r="Y268" s="883">
        <v>0</v>
      </c>
      <c r="Z268" s="883">
        <v>0</v>
      </c>
      <c r="AA268" s="883">
        <v>0</v>
      </c>
      <c r="AB268" s="883">
        <f t="shared" si="83"/>
        <v>20</v>
      </c>
      <c r="AC268" s="883">
        <v>0</v>
      </c>
      <c r="AD268" s="881"/>
      <c r="AE268" s="880"/>
      <c r="AF268" s="883"/>
      <c r="AG268" s="889"/>
      <c r="AH268" s="880"/>
      <c r="AI268" s="880" t="s">
        <v>1241</v>
      </c>
      <c r="AJ268" s="884">
        <v>411</v>
      </c>
      <c r="AK268" s="883">
        <f t="shared" si="84"/>
        <v>17.39</v>
      </c>
      <c r="AL268" s="884">
        <v>413</v>
      </c>
      <c r="AM268" s="883">
        <f t="shared" si="85"/>
        <v>0</v>
      </c>
      <c r="AN268" s="884">
        <v>441</v>
      </c>
      <c r="AO268" s="883">
        <f t="shared" si="86"/>
        <v>0</v>
      </c>
      <c r="AP268" s="881"/>
      <c r="AQ268" s="881"/>
      <c r="AR268" s="883">
        <v>0</v>
      </c>
      <c r="AS268" s="883">
        <v>0</v>
      </c>
      <c r="AT268" s="883">
        <v>0</v>
      </c>
      <c r="AU268" s="880"/>
      <c r="AV268" s="886"/>
      <c r="AW268" s="880"/>
      <c r="AX268" s="886"/>
      <c r="AY268" s="880"/>
      <c r="AZ268" s="880"/>
      <c r="BA268" s="881"/>
      <c r="BB268" s="881" t="s">
        <v>57</v>
      </c>
      <c r="BC268" s="881"/>
      <c r="BD268" s="881"/>
      <c r="BE268" s="884">
        <f t="shared" si="87"/>
        <v>4</v>
      </c>
      <c r="BF268" s="887" t="str">
        <f t="shared" si="88"/>
        <v>SI</v>
      </c>
      <c r="BG268" s="883">
        <f t="shared" si="89"/>
        <v>17.39</v>
      </c>
      <c r="BH268" s="883">
        <f t="shared" si="90"/>
        <v>0</v>
      </c>
      <c r="BI268" s="883">
        <f t="shared" si="91"/>
        <v>0</v>
      </c>
      <c r="BJ268" s="883">
        <f t="shared" si="92"/>
        <v>0</v>
      </c>
      <c r="BK268" s="883">
        <f t="shared" si="93"/>
        <v>0</v>
      </c>
      <c r="BL268" s="883">
        <f t="shared" si="94"/>
        <v>2.61</v>
      </c>
      <c r="BM268" s="881"/>
      <c r="BN268" s="880"/>
      <c r="BO268" s="882" t="s">
        <v>1579</v>
      </c>
      <c r="BP268" s="882" t="s">
        <v>2286</v>
      </c>
      <c r="BQ268" s="882" t="s">
        <v>2285</v>
      </c>
      <c r="BR268" s="880"/>
      <c r="BS268" s="880"/>
      <c r="BT268" s="880"/>
      <c r="BU268" s="880"/>
      <c r="BV268" s="880"/>
      <c r="BW268" s="883">
        <v>0</v>
      </c>
      <c r="BX268" s="883">
        <v>0</v>
      </c>
      <c r="BY268" s="883">
        <v>0</v>
      </c>
      <c r="BZ268" s="890"/>
      <c r="CA268" s="883">
        <f t="shared" si="95"/>
        <v>0</v>
      </c>
      <c r="CB268" s="880"/>
      <c r="CC268" s="881"/>
      <c r="CD268" s="883"/>
      <c r="CE268" s="883"/>
      <c r="CF268" s="883"/>
      <c r="CG268" s="883"/>
      <c r="CH268" s="883"/>
      <c r="CI268" s="883"/>
      <c r="CJ268" s="883"/>
      <c r="CK268" s="883"/>
      <c r="CL268" s="883"/>
      <c r="CM268" s="883"/>
      <c r="CN268" s="883"/>
      <c r="CO268" s="883"/>
      <c r="CP268" s="883"/>
      <c r="CQ268" s="883"/>
      <c r="CR268" s="883"/>
      <c r="CS268" s="883"/>
      <c r="CT268" s="883"/>
      <c r="CU268" s="883"/>
    </row>
    <row r="269" spans="1:99" x14ac:dyDescent="0.25">
      <c r="A269" s="880" t="s">
        <v>1787</v>
      </c>
      <c r="B269" s="881" t="s">
        <v>1788</v>
      </c>
      <c r="C269" s="880"/>
      <c r="D269" s="880"/>
      <c r="E269" s="884" t="s">
        <v>744</v>
      </c>
      <c r="F269" s="888">
        <v>1</v>
      </c>
      <c r="G269" s="881" t="s">
        <v>1007</v>
      </c>
      <c r="H269" s="881" t="s">
        <v>19</v>
      </c>
      <c r="I269" s="865">
        <v>46142</v>
      </c>
      <c r="J269" s="882" t="s">
        <v>8</v>
      </c>
      <c r="K269" s="880"/>
      <c r="L269" s="880"/>
      <c r="M269" s="883">
        <v>0</v>
      </c>
      <c r="N269" s="883">
        <v>0</v>
      </c>
      <c r="O269" s="883">
        <v>0</v>
      </c>
      <c r="P269" s="883">
        <v>17.39</v>
      </c>
      <c r="Q269" s="883">
        <v>15</v>
      </c>
      <c r="R269" s="883">
        <f t="shared" si="80"/>
        <v>2.61</v>
      </c>
      <c r="S269" s="883">
        <v>0</v>
      </c>
      <c r="T269" s="883">
        <v>5</v>
      </c>
      <c r="U269" s="883">
        <f t="shared" si="81"/>
        <v>0</v>
      </c>
      <c r="V269" s="883">
        <v>0</v>
      </c>
      <c r="W269" s="883">
        <v>8</v>
      </c>
      <c r="X269" s="883">
        <f t="shared" si="82"/>
        <v>0</v>
      </c>
      <c r="Y269" s="883">
        <v>0</v>
      </c>
      <c r="Z269" s="883">
        <v>0</v>
      </c>
      <c r="AA269" s="883">
        <v>0</v>
      </c>
      <c r="AB269" s="883">
        <f t="shared" si="83"/>
        <v>20</v>
      </c>
      <c r="AC269" s="883">
        <v>0</v>
      </c>
      <c r="AD269" s="881"/>
      <c r="AE269" s="880"/>
      <c r="AF269" s="883"/>
      <c r="AG269" s="889"/>
      <c r="AH269" s="880"/>
      <c r="AI269" s="880" t="s">
        <v>1241</v>
      </c>
      <c r="AJ269" s="884">
        <v>411</v>
      </c>
      <c r="AK269" s="883">
        <f t="shared" si="84"/>
        <v>17.39</v>
      </c>
      <c r="AL269" s="884">
        <v>413</v>
      </c>
      <c r="AM269" s="883">
        <f t="shared" si="85"/>
        <v>0</v>
      </c>
      <c r="AN269" s="884">
        <v>441</v>
      </c>
      <c r="AO269" s="883">
        <f t="shared" si="86"/>
        <v>0</v>
      </c>
      <c r="AP269" s="881"/>
      <c r="AQ269" s="881"/>
      <c r="AR269" s="883">
        <v>0</v>
      </c>
      <c r="AS269" s="883">
        <v>0</v>
      </c>
      <c r="AT269" s="883">
        <v>0</v>
      </c>
      <c r="AU269" s="880"/>
      <c r="AV269" s="886"/>
      <c r="AW269" s="880"/>
      <c r="AX269" s="886"/>
      <c r="AY269" s="880"/>
      <c r="AZ269" s="880"/>
      <c r="BA269" s="881"/>
      <c r="BB269" s="881" t="s">
        <v>57</v>
      </c>
      <c r="BC269" s="881"/>
      <c r="BD269" s="881"/>
      <c r="BE269" s="884">
        <f t="shared" si="87"/>
        <v>4</v>
      </c>
      <c r="BF269" s="887" t="str">
        <f t="shared" si="88"/>
        <v>SI</v>
      </c>
      <c r="BG269" s="883">
        <f t="shared" si="89"/>
        <v>17.39</v>
      </c>
      <c r="BH269" s="883">
        <f t="shared" si="90"/>
        <v>0</v>
      </c>
      <c r="BI269" s="883">
        <f t="shared" si="91"/>
        <v>0</v>
      </c>
      <c r="BJ269" s="883">
        <f t="shared" si="92"/>
        <v>0</v>
      </c>
      <c r="BK269" s="883">
        <f t="shared" si="93"/>
        <v>0</v>
      </c>
      <c r="BL269" s="883">
        <f t="shared" si="94"/>
        <v>2.61</v>
      </c>
      <c r="BM269" s="881"/>
      <c r="BN269" s="880"/>
      <c r="BO269" s="882" t="s">
        <v>1579</v>
      </c>
      <c r="BP269" s="882" t="s">
        <v>2286</v>
      </c>
      <c r="BQ269" s="882" t="s">
        <v>2285</v>
      </c>
      <c r="BR269" s="880"/>
      <c r="BS269" s="880"/>
      <c r="BT269" s="880"/>
      <c r="BU269" s="880"/>
      <c r="BV269" s="880"/>
      <c r="BW269" s="883">
        <v>0</v>
      </c>
      <c r="BX269" s="883">
        <v>0</v>
      </c>
      <c r="BY269" s="883">
        <v>0</v>
      </c>
      <c r="BZ269" s="890"/>
      <c r="CA269" s="883">
        <f t="shared" si="95"/>
        <v>0</v>
      </c>
      <c r="CB269" s="880"/>
      <c r="CC269" s="881"/>
      <c r="CD269" s="883"/>
      <c r="CE269" s="883"/>
      <c r="CF269" s="883"/>
      <c r="CG269" s="883"/>
      <c r="CH269" s="883"/>
      <c r="CI269" s="883"/>
      <c r="CJ269" s="883"/>
      <c r="CK269" s="883"/>
      <c r="CL269" s="883"/>
      <c r="CM269" s="883"/>
      <c r="CN269" s="883"/>
      <c r="CO269" s="883"/>
      <c r="CP269" s="883"/>
      <c r="CQ269" s="883"/>
      <c r="CR269" s="883"/>
      <c r="CS269" s="883"/>
      <c r="CT269" s="883"/>
      <c r="CU269" s="883"/>
    </row>
    <row r="270" spans="1:99" x14ac:dyDescent="0.25">
      <c r="A270" s="880" t="s">
        <v>1787</v>
      </c>
      <c r="B270" s="881" t="s">
        <v>1788</v>
      </c>
      <c r="C270" s="880"/>
      <c r="D270" s="880"/>
      <c r="E270" s="884" t="s">
        <v>744</v>
      </c>
      <c r="F270" s="888">
        <v>1</v>
      </c>
      <c r="G270" s="881" t="s">
        <v>1007</v>
      </c>
      <c r="H270" s="881" t="s">
        <v>19</v>
      </c>
      <c r="I270" s="865">
        <v>46142</v>
      </c>
      <c r="J270" s="882" t="s">
        <v>8</v>
      </c>
      <c r="K270" s="880"/>
      <c r="L270" s="880"/>
      <c r="M270" s="883">
        <v>0</v>
      </c>
      <c r="N270" s="883">
        <v>0</v>
      </c>
      <c r="O270" s="883">
        <v>0</v>
      </c>
      <c r="P270" s="883">
        <v>34.78</v>
      </c>
      <c r="Q270" s="883">
        <v>15</v>
      </c>
      <c r="R270" s="883">
        <f t="shared" si="80"/>
        <v>5.22</v>
      </c>
      <c r="S270" s="883">
        <v>0</v>
      </c>
      <c r="T270" s="883">
        <v>5</v>
      </c>
      <c r="U270" s="883">
        <f t="shared" si="81"/>
        <v>0</v>
      </c>
      <c r="V270" s="883">
        <v>0</v>
      </c>
      <c r="W270" s="883">
        <v>8</v>
      </c>
      <c r="X270" s="883">
        <f t="shared" si="82"/>
        <v>0</v>
      </c>
      <c r="Y270" s="883">
        <v>0</v>
      </c>
      <c r="Z270" s="883">
        <v>0</v>
      </c>
      <c r="AA270" s="883">
        <v>0</v>
      </c>
      <c r="AB270" s="883">
        <f t="shared" si="83"/>
        <v>40</v>
      </c>
      <c r="AC270" s="883">
        <v>0</v>
      </c>
      <c r="AD270" s="881"/>
      <c r="AE270" s="880"/>
      <c r="AF270" s="883"/>
      <c r="AG270" s="889"/>
      <c r="AH270" s="880"/>
      <c r="AI270" s="880" t="s">
        <v>1241</v>
      </c>
      <c r="AJ270" s="884">
        <v>411</v>
      </c>
      <c r="AK270" s="883">
        <f t="shared" si="84"/>
        <v>34.78</v>
      </c>
      <c r="AL270" s="884">
        <v>413</v>
      </c>
      <c r="AM270" s="883">
        <f t="shared" si="85"/>
        <v>0</v>
      </c>
      <c r="AN270" s="884">
        <v>441</v>
      </c>
      <c r="AO270" s="883">
        <f t="shared" si="86"/>
        <v>0</v>
      </c>
      <c r="AP270" s="881"/>
      <c r="AQ270" s="881"/>
      <c r="AR270" s="883">
        <v>0</v>
      </c>
      <c r="AS270" s="883">
        <v>0</v>
      </c>
      <c r="AT270" s="883">
        <v>0</v>
      </c>
      <c r="AU270" s="880"/>
      <c r="AV270" s="886"/>
      <c r="AW270" s="880"/>
      <c r="AX270" s="886"/>
      <c r="AY270" s="880"/>
      <c r="AZ270" s="880"/>
      <c r="BA270" s="881"/>
      <c r="BB270" s="881" t="s">
        <v>57</v>
      </c>
      <c r="BC270" s="881"/>
      <c r="BD270" s="881"/>
      <c r="BE270" s="884">
        <f t="shared" si="87"/>
        <v>4</v>
      </c>
      <c r="BF270" s="887" t="str">
        <f t="shared" si="88"/>
        <v>SI</v>
      </c>
      <c r="BG270" s="883">
        <f t="shared" si="89"/>
        <v>34.78</v>
      </c>
      <c r="BH270" s="883">
        <f t="shared" si="90"/>
        <v>0</v>
      </c>
      <c r="BI270" s="883">
        <f t="shared" si="91"/>
        <v>0</v>
      </c>
      <c r="BJ270" s="883">
        <f t="shared" si="92"/>
        <v>0</v>
      </c>
      <c r="BK270" s="883">
        <f t="shared" si="93"/>
        <v>0</v>
      </c>
      <c r="BL270" s="883">
        <f t="shared" si="94"/>
        <v>5.22</v>
      </c>
      <c r="BM270" s="881"/>
      <c r="BN270" s="880"/>
      <c r="BO270" s="882" t="s">
        <v>1579</v>
      </c>
      <c r="BP270" s="882" t="s">
        <v>2286</v>
      </c>
      <c r="BQ270" s="882" t="s">
        <v>2285</v>
      </c>
      <c r="BR270" s="880"/>
      <c r="BS270" s="880"/>
      <c r="BT270" s="880"/>
      <c r="BU270" s="880"/>
      <c r="BV270" s="880"/>
      <c r="BW270" s="883">
        <v>0</v>
      </c>
      <c r="BX270" s="883">
        <v>0</v>
      </c>
      <c r="BY270" s="883">
        <v>0</v>
      </c>
      <c r="BZ270" s="890"/>
      <c r="CA270" s="883">
        <f t="shared" si="95"/>
        <v>0</v>
      </c>
      <c r="CB270" s="880"/>
      <c r="CC270" s="881"/>
      <c r="CD270" s="883"/>
      <c r="CE270" s="883"/>
      <c r="CF270" s="883"/>
      <c r="CG270" s="883"/>
      <c r="CH270" s="883"/>
      <c r="CI270" s="883"/>
      <c r="CJ270" s="883"/>
      <c r="CK270" s="883"/>
      <c r="CL270" s="883"/>
      <c r="CM270" s="883"/>
      <c r="CN270" s="883"/>
      <c r="CO270" s="883"/>
      <c r="CP270" s="883"/>
      <c r="CQ270" s="883"/>
      <c r="CR270" s="883"/>
      <c r="CS270" s="883"/>
      <c r="CT270" s="883"/>
      <c r="CU270" s="883"/>
    </row>
    <row r="271" spans="1:99" x14ac:dyDescent="0.25">
      <c r="A271" s="880" t="s">
        <v>1787</v>
      </c>
      <c r="B271" s="881" t="s">
        <v>1788</v>
      </c>
      <c r="C271" s="880"/>
      <c r="D271" s="880"/>
      <c r="E271" s="884" t="s">
        <v>744</v>
      </c>
      <c r="F271" s="888">
        <v>1</v>
      </c>
      <c r="G271" s="881" t="s">
        <v>1007</v>
      </c>
      <c r="H271" s="881" t="s">
        <v>19</v>
      </c>
      <c r="I271" s="865">
        <v>46142</v>
      </c>
      <c r="J271" s="882" t="s">
        <v>8</v>
      </c>
      <c r="K271" s="880"/>
      <c r="L271" s="880"/>
      <c r="M271" s="883">
        <v>0</v>
      </c>
      <c r="N271" s="883">
        <v>0</v>
      </c>
      <c r="O271" s="883">
        <v>0</v>
      </c>
      <c r="P271" s="883">
        <v>21.74</v>
      </c>
      <c r="Q271" s="883">
        <v>15</v>
      </c>
      <c r="R271" s="883">
        <f t="shared" si="80"/>
        <v>3.26</v>
      </c>
      <c r="S271" s="883">
        <v>0</v>
      </c>
      <c r="T271" s="883">
        <v>5</v>
      </c>
      <c r="U271" s="883">
        <f t="shared" si="81"/>
        <v>0</v>
      </c>
      <c r="V271" s="883">
        <v>0</v>
      </c>
      <c r="W271" s="883">
        <v>8</v>
      </c>
      <c r="X271" s="883">
        <f t="shared" si="82"/>
        <v>0</v>
      </c>
      <c r="Y271" s="883">
        <v>0</v>
      </c>
      <c r="Z271" s="883">
        <v>0</v>
      </c>
      <c r="AA271" s="883">
        <v>0</v>
      </c>
      <c r="AB271" s="883">
        <f t="shared" si="83"/>
        <v>25</v>
      </c>
      <c r="AC271" s="883">
        <v>0</v>
      </c>
      <c r="AD271" s="881"/>
      <c r="AE271" s="880"/>
      <c r="AF271" s="883"/>
      <c r="AG271" s="889"/>
      <c r="AH271" s="880"/>
      <c r="AI271" s="880" t="s">
        <v>1241</v>
      </c>
      <c r="AJ271" s="884">
        <v>411</v>
      </c>
      <c r="AK271" s="883">
        <f t="shared" si="84"/>
        <v>21.74</v>
      </c>
      <c r="AL271" s="884">
        <v>413</v>
      </c>
      <c r="AM271" s="883">
        <f t="shared" si="85"/>
        <v>0</v>
      </c>
      <c r="AN271" s="884">
        <v>441</v>
      </c>
      <c r="AO271" s="883">
        <f t="shared" si="86"/>
        <v>0</v>
      </c>
      <c r="AP271" s="881"/>
      <c r="AQ271" s="881"/>
      <c r="AR271" s="883">
        <v>0</v>
      </c>
      <c r="AS271" s="883">
        <v>0</v>
      </c>
      <c r="AT271" s="883">
        <v>0</v>
      </c>
      <c r="AU271" s="880"/>
      <c r="AV271" s="886"/>
      <c r="AW271" s="880"/>
      <c r="AX271" s="886"/>
      <c r="AY271" s="880"/>
      <c r="AZ271" s="880"/>
      <c r="BA271" s="881"/>
      <c r="BB271" s="881" t="s">
        <v>57</v>
      </c>
      <c r="BC271" s="881"/>
      <c r="BD271" s="881"/>
      <c r="BE271" s="884">
        <f t="shared" si="87"/>
        <v>4</v>
      </c>
      <c r="BF271" s="887" t="str">
        <f t="shared" si="88"/>
        <v>SI</v>
      </c>
      <c r="BG271" s="883">
        <f t="shared" si="89"/>
        <v>21.74</v>
      </c>
      <c r="BH271" s="883">
        <f t="shared" si="90"/>
        <v>0</v>
      </c>
      <c r="BI271" s="883">
        <f t="shared" si="91"/>
        <v>0</v>
      </c>
      <c r="BJ271" s="883">
        <f t="shared" si="92"/>
        <v>0</v>
      </c>
      <c r="BK271" s="883">
        <f t="shared" si="93"/>
        <v>0</v>
      </c>
      <c r="BL271" s="883">
        <f t="shared" si="94"/>
        <v>3.26</v>
      </c>
      <c r="BM271" s="881"/>
      <c r="BN271" s="880"/>
      <c r="BO271" s="882" t="s">
        <v>1579</v>
      </c>
      <c r="BP271" s="882" t="s">
        <v>2286</v>
      </c>
      <c r="BQ271" s="882" t="s">
        <v>2285</v>
      </c>
      <c r="BR271" s="880"/>
      <c r="BS271" s="880"/>
      <c r="BT271" s="880"/>
      <c r="BU271" s="880"/>
      <c r="BV271" s="880"/>
      <c r="BW271" s="883">
        <v>0</v>
      </c>
      <c r="BX271" s="883">
        <v>0</v>
      </c>
      <c r="BY271" s="883">
        <v>0</v>
      </c>
      <c r="BZ271" s="890"/>
      <c r="CA271" s="883">
        <f t="shared" si="95"/>
        <v>0</v>
      </c>
      <c r="CB271" s="880"/>
      <c r="CC271" s="881"/>
      <c r="CD271" s="883"/>
      <c r="CE271" s="883"/>
      <c r="CF271" s="883"/>
      <c r="CG271" s="883"/>
      <c r="CH271" s="883"/>
      <c r="CI271" s="883"/>
      <c r="CJ271" s="883"/>
      <c r="CK271" s="883"/>
      <c r="CL271" s="883"/>
      <c r="CM271" s="883"/>
      <c r="CN271" s="883"/>
      <c r="CO271" s="883"/>
      <c r="CP271" s="883"/>
      <c r="CQ271" s="883"/>
      <c r="CR271" s="883"/>
      <c r="CS271" s="883"/>
      <c r="CT271" s="883"/>
      <c r="CU271" s="883"/>
    </row>
    <row r="272" spans="1:99" x14ac:dyDescent="0.25">
      <c r="A272" s="880" t="s">
        <v>1787</v>
      </c>
      <c r="B272" s="881" t="s">
        <v>1788</v>
      </c>
      <c r="C272" s="880"/>
      <c r="D272" s="880"/>
      <c r="E272" s="884" t="s">
        <v>744</v>
      </c>
      <c r="F272" s="888">
        <v>1</v>
      </c>
      <c r="G272" s="881" t="s">
        <v>1007</v>
      </c>
      <c r="H272" s="881" t="s">
        <v>19</v>
      </c>
      <c r="I272" s="865">
        <v>46142</v>
      </c>
      <c r="J272" s="882" t="s">
        <v>8</v>
      </c>
      <c r="K272" s="880"/>
      <c r="L272" s="880"/>
      <c r="M272" s="883">
        <v>0</v>
      </c>
      <c r="N272" s="883">
        <v>0</v>
      </c>
      <c r="O272" s="883">
        <v>0</v>
      </c>
      <c r="P272" s="883">
        <v>21.73</v>
      </c>
      <c r="Q272" s="883">
        <v>15</v>
      </c>
      <c r="R272" s="883">
        <f t="shared" si="80"/>
        <v>3.26</v>
      </c>
      <c r="S272" s="883">
        <v>0</v>
      </c>
      <c r="T272" s="883">
        <v>5</v>
      </c>
      <c r="U272" s="883">
        <f t="shared" si="81"/>
        <v>0</v>
      </c>
      <c r="V272" s="883">
        <v>0</v>
      </c>
      <c r="W272" s="883">
        <v>8</v>
      </c>
      <c r="X272" s="883">
        <f t="shared" si="82"/>
        <v>0</v>
      </c>
      <c r="Y272" s="883">
        <v>0</v>
      </c>
      <c r="Z272" s="883">
        <v>0</v>
      </c>
      <c r="AA272" s="883">
        <v>0</v>
      </c>
      <c r="AB272" s="883">
        <f t="shared" si="83"/>
        <v>24.99</v>
      </c>
      <c r="AC272" s="883">
        <v>0</v>
      </c>
      <c r="AD272" s="881"/>
      <c r="AE272" s="880"/>
      <c r="AF272" s="883"/>
      <c r="AG272" s="889"/>
      <c r="AH272" s="880"/>
      <c r="AI272" s="880" t="s">
        <v>1241</v>
      </c>
      <c r="AJ272" s="884">
        <v>411</v>
      </c>
      <c r="AK272" s="883">
        <f t="shared" si="84"/>
        <v>21.73</v>
      </c>
      <c r="AL272" s="884">
        <v>413</v>
      </c>
      <c r="AM272" s="883">
        <f t="shared" si="85"/>
        <v>0</v>
      </c>
      <c r="AN272" s="884">
        <v>441</v>
      </c>
      <c r="AO272" s="883">
        <f t="shared" si="86"/>
        <v>0</v>
      </c>
      <c r="AP272" s="881"/>
      <c r="AQ272" s="881"/>
      <c r="AR272" s="883">
        <v>0</v>
      </c>
      <c r="AS272" s="883">
        <v>0</v>
      </c>
      <c r="AT272" s="883">
        <v>0</v>
      </c>
      <c r="AU272" s="880"/>
      <c r="AV272" s="886"/>
      <c r="AW272" s="880"/>
      <c r="AX272" s="886"/>
      <c r="AY272" s="880"/>
      <c r="AZ272" s="880"/>
      <c r="BA272" s="881"/>
      <c r="BB272" s="881" t="s">
        <v>57</v>
      </c>
      <c r="BC272" s="881"/>
      <c r="BD272" s="881"/>
      <c r="BE272" s="884">
        <f t="shared" si="87"/>
        <v>4</v>
      </c>
      <c r="BF272" s="887" t="str">
        <f t="shared" si="88"/>
        <v>SI</v>
      </c>
      <c r="BG272" s="883">
        <f t="shared" si="89"/>
        <v>21.73</v>
      </c>
      <c r="BH272" s="883">
        <f t="shared" si="90"/>
        <v>0</v>
      </c>
      <c r="BI272" s="883">
        <f t="shared" si="91"/>
        <v>0</v>
      </c>
      <c r="BJ272" s="883">
        <f t="shared" si="92"/>
        <v>0</v>
      </c>
      <c r="BK272" s="883">
        <f t="shared" si="93"/>
        <v>0</v>
      </c>
      <c r="BL272" s="883">
        <f t="shared" si="94"/>
        <v>3.26</v>
      </c>
      <c r="BM272" s="881"/>
      <c r="BN272" s="880"/>
      <c r="BO272" s="882" t="s">
        <v>1579</v>
      </c>
      <c r="BP272" s="882" t="s">
        <v>2286</v>
      </c>
      <c r="BQ272" s="882" t="s">
        <v>2285</v>
      </c>
      <c r="BR272" s="880"/>
      <c r="BS272" s="880"/>
      <c r="BT272" s="880"/>
      <c r="BU272" s="880"/>
      <c r="BV272" s="880"/>
      <c r="BW272" s="883">
        <v>0</v>
      </c>
      <c r="BX272" s="883">
        <v>0</v>
      </c>
      <c r="BY272" s="883">
        <v>0</v>
      </c>
      <c r="BZ272" s="890"/>
      <c r="CA272" s="883">
        <f t="shared" si="95"/>
        <v>0</v>
      </c>
      <c r="CB272" s="880"/>
      <c r="CC272" s="881"/>
      <c r="CD272" s="883"/>
      <c r="CE272" s="883"/>
      <c r="CF272" s="883"/>
      <c r="CG272" s="883"/>
      <c r="CH272" s="883"/>
      <c r="CI272" s="883"/>
      <c r="CJ272" s="883"/>
      <c r="CK272" s="883"/>
      <c r="CL272" s="883"/>
      <c r="CM272" s="883"/>
      <c r="CN272" s="883"/>
      <c r="CO272" s="883"/>
      <c r="CP272" s="883"/>
      <c r="CQ272" s="883"/>
      <c r="CR272" s="883"/>
      <c r="CS272" s="883"/>
      <c r="CT272" s="883"/>
      <c r="CU272" s="883"/>
    </row>
    <row r="273" spans="1:99" x14ac:dyDescent="0.25">
      <c r="A273" s="880" t="s">
        <v>1787</v>
      </c>
      <c r="B273" s="881" t="s">
        <v>1788</v>
      </c>
      <c r="C273" s="880"/>
      <c r="D273" s="880"/>
      <c r="E273" s="884" t="s">
        <v>744</v>
      </c>
      <c r="F273" s="888">
        <v>1</v>
      </c>
      <c r="G273" s="881" t="s">
        <v>1007</v>
      </c>
      <c r="H273" s="881" t="s">
        <v>19</v>
      </c>
      <c r="I273" s="865">
        <v>46142</v>
      </c>
      <c r="J273" s="882" t="s">
        <v>8</v>
      </c>
      <c r="K273" s="880"/>
      <c r="L273" s="880"/>
      <c r="M273" s="883">
        <v>0</v>
      </c>
      <c r="N273" s="883">
        <v>0</v>
      </c>
      <c r="O273" s="883">
        <v>0</v>
      </c>
      <c r="P273" s="883">
        <v>13.04</v>
      </c>
      <c r="Q273" s="883">
        <v>15</v>
      </c>
      <c r="R273" s="883">
        <f t="shared" si="80"/>
        <v>1.96</v>
      </c>
      <c r="S273" s="883">
        <v>0</v>
      </c>
      <c r="T273" s="883">
        <v>5</v>
      </c>
      <c r="U273" s="883">
        <f t="shared" si="81"/>
        <v>0</v>
      </c>
      <c r="V273" s="883">
        <v>0</v>
      </c>
      <c r="W273" s="883">
        <v>8</v>
      </c>
      <c r="X273" s="883">
        <f t="shared" si="82"/>
        <v>0</v>
      </c>
      <c r="Y273" s="883">
        <v>0</v>
      </c>
      <c r="Z273" s="883">
        <v>0</v>
      </c>
      <c r="AA273" s="883">
        <v>0</v>
      </c>
      <c r="AB273" s="883">
        <f t="shared" si="83"/>
        <v>15</v>
      </c>
      <c r="AC273" s="883">
        <v>0</v>
      </c>
      <c r="AD273" s="881"/>
      <c r="AE273" s="880"/>
      <c r="AF273" s="883"/>
      <c r="AG273" s="889"/>
      <c r="AH273" s="880"/>
      <c r="AI273" s="880" t="s">
        <v>1241</v>
      </c>
      <c r="AJ273" s="884">
        <v>411</v>
      </c>
      <c r="AK273" s="883">
        <f t="shared" si="84"/>
        <v>13.04</v>
      </c>
      <c r="AL273" s="884">
        <v>413</v>
      </c>
      <c r="AM273" s="883">
        <f t="shared" si="85"/>
        <v>0</v>
      </c>
      <c r="AN273" s="884">
        <v>441</v>
      </c>
      <c r="AO273" s="883">
        <f t="shared" si="86"/>
        <v>0</v>
      </c>
      <c r="AP273" s="881"/>
      <c r="AQ273" s="881"/>
      <c r="AR273" s="883">
        <v>0</v>
      </c>
      <c r="AS273" s="883">
        <v>0</v>
      </c>
      <c r="AT273" s="883">
        <v>0</v>
      </c>
      <c r="AU273" s="880"/>
      <c r="AV273" s="886"/>
      <c r="AW273" s="880"/>
      <c r="AX273" s="886"/>
      <c r="AY273" s="880"/>
      <c r="AZ273" s="880"/>
      <c r="BA273" s="881"/>
      <c r="BB273" s="881" t="s">
        <v>57</v>
      </c>
      <c r="BC273" s="881"/>
      <c r="BD273" s="881"/>
      <c r="BE273" s="884">
        <f t="shared" si="87"/>
        <v>4</v>
      </c>
      <c r="BF273" s="887" t="str">
        <f t="shared" si="88"/>
        <v>SI</v>
      </c>
      <c r="BG273" s="883">
        <f t="shared" si="89"/>
        <v>13.04</v>
      </c>
      <c r="BH273" s="883">
        <f t="shared" si="90"/>
        <v>0</v>
      </c>
      <c r="BI273" s="883">
        <f t="shared" si="91"/>
        <v>0</v>
      </c>
      <c r="BJ273" s="883">
        <f t="shared" si="92"/>
        <v>0</v>
      </c>
      <c r="BK273" s="883">
        <f t="shared" si="93"/>
        <v>0</v>
      </c>
      <c r="BL273" s="883">
        <f t="shared" si="94"/>
        <v>1.96</v>
      </c>
      <c r="BM273" s="881"/>
      <c r="BN273" s="880"/>
      <c r="BO273" s="882" t="s">
        <v>1579</v>
      </c>
      <c r="BP273" s="882" t="s">
        <v>2286</v>
      </c>
      <c r="BQ273" s="882" t="s">
        <v>2285</v>
      </c>
      <c r="BR273" s="880"/>
      <c r="BS273" s="880"/>
      <c r="BT273" s="880"/>
      <c r="BU273" s="880"/>
      <c r="BV273" s="880"/>
      <c r="BW273" s="883">
        <v>0</v>
      </c>
      <c r="BX273" s="883">
        <v>0</v>
      </c>
      <c r="BY273" s="883">
        <v>0</v>
      </c>
      <c r="BZ273" s="890"/>
      <c r="CA273" s="883">
        <f t="shared" si="95"/>
        <v>0</v>
      </c>
      <c r="CB273" s="880"/>
      <c r="CC273" s="881"/>
      <c r="CD273" s="883"/>
      <c r="CE273" s="883"/>
      <c r="CF273" s="883"/>
      <c r="CG273" s="883"/>
      <c r="CH273" s="883"/>
      <c r="CI273" s="883"/>
      <c r="CJ273" s="883"/>
      <c r="CK273" s="883"/>
      <c r="CL273" s="883"/>
      <c r="CM273" s="883"/>
      <c r="CN273" s="883"/>
      <c r="CO273" s="883"/>
      <c r="CP273" s="883"/>
      <c r="CQ273" s="883"/>
      <c r="CR273" s="883"/>
      <c r="CS273" s="883"/>
      <c r="CT273" s="883"/>
      <c r="CU273" s="883"/>
    </row>
    <row r="274" spans="1:99" x14ac:dyDescent="0.25">
      <c r="A274" s="880" t="s">
        <v>1787</v>
      </c>
      <c r="B274" s="881" t="s">
        <v>1788</v>
      </c>
      <c r="C274" s="880"/>
      <c r="D274" s="880"/>
      <c r="E274" s="884" t="s">
        <v>744</v>
      </c>
      <c r="F274" s="888">
        <v>1</v>
      </c>
      <c r="G274" s="881" t="s">
        <v>1007</v>
      </c>
      <c r="H274" s="881" t="s">
        <v>19</v>
      </c>
      <c r="I274" s="865">
        <v>46142</v>
      </c>
      <c r="J274" s="882" t="s">
        <v>8</v>
      </c>
      <c r="K274" s="880"/>
      <c r="L274" s="880"/>
      <c r="M274" s="883">
        <v>0</v>
      </c>
      <c r="N274" s="883">
        <v>0</v>
      </c>
      <c r="O274" s="883">
        <v>0</v>
      </c>
      <c r="P274" s="883">
        <v>17.39</v>
      </c>
      <c r="Q274" s="883">
        <v>15</v>
      </c>
      <c r="R274" s="883">
        <f t="shared" si="80"/>
        <v>2.61</v>
      </c>
      <c r="S274" s="883">
        <v>0</v>
      </c>
      <c r="T274" s="883">
        <v>5</v>
      </c>
      <c r="U274" s="883">
        <f t="shared" si="81"/>
        <v>0</v>
      </c>
      <c r="V274" s="883">
        <v>0</v>
      </c>
      <c r="W274" s="883">
        <v>8</v>
      </c>
      <c r="X274" s="883">
        <f t="shared" si="82"/>
        <v>0</v>
      </c>
      <c r="Y274" s="883">
        <v>0</v>
      </c>
      <c r="Z274" s="883">
        <v>0</v>
      </c>
      <c r="AA274" s="883">
        <v>0</v>
      </c>
      <c r="AB274" s="883">
        <f t="shared" si="83"/>
        <v>20</v>
      </c>
      <c r="AC274" s="883">
        <v>0</v>
      </c>
      <c r="AD274" s="881"/>
      <c r="AE274" s="880"/>
      <c r="AF274" s="883"/>
      <c r="AG274" s="889"/>
      <c r="AH274" s="880"/>
      <c r="AI274" s="880" t="s">
        <v>1241</v>
      </c>
      <c r="AJ274" s="884">
        <v>411</v>
      </c>
      <c r="AK274" s="883">
        <f t="shared" si="84"/>
        <v>17.39</v>
      </c>
      <c r="AL274" s="884">
        <v>413</v>
      </c>
      <c r="AM274" s="883">
        <f t="shared" si="85"/>
        <v>0</v>
      </c>
      <c r="AN274" s="884">
        <v>441</v>
      </c>
      <c r="AO274" s="883">
        <f t="shared" si="86"/>
        <v>0</v>
      </c>
      <c r="AP274" s="881"/>
      <c r="AQ274" s="881"/>
      <c r="AR274" s="883">
        <v>0</v>
      </c>
      <c r="AS274" s="883">
        <v>0</v>
      </c>
      <c r="AT274" s="883">
        <v>0</v>
      </c>
      <c r="AU274" s="880"/>
      <c r="AV274" s="886"/>
      <c r="AW274" s="880"/>
      <c r="AX274" s="886"/>
      <c r="AY274" s="880"/>
      <c r="AZ274" s="880"/>
      <c r="BA274" s="881"/>
      <c r="BB274" s="881" t="s">
        <v>57</v>
      </c>
      <c r="BC274" s="881"/>
      <c r="BD274" s="881"/>
      <c r="BE274" s="884">
        <f t="shared" si="87"/>
        <v>4</v>
      </c>
      <c r="BF274" s="887" t="str">
        <f t="shared" si="88"/>
        <v>SI</v>
      </c>
      <c r="BG274" s="883">
        <f t="shared" si="89"/>
        <v>17.39</v>
      </c>
      <c r="BH274" s="883">
        <f t="shared" si="90"/>
        <v>0</v>
      </c>
      <c r="BI274" s="883">
        <f t="shared" si="91"/>
        <v>0</v>
      </c>
      <c r="BJ274" s="883">
        <f t="shared" si="92"/>
        <v>0</v>
      </c>
      <c r="BK274" s="883">
        <f t="shared" si="93"/>
        <v>0</v>
      </c>
      <c r="BL274" s="883">
        <f t="shared" si="94"/>
        <v>2.61</v>
      </c>
      <c r="BM274" s="881"/>
      <c r="BN274" s="880"/>
      <c r="BO274" s="882" t="s">
        <v>1579</v>
      </c>
      <c r="BP274" s="882" t="s">
        <v>2286</v>
      </c>
      <c r="BQ274" s="882" t="s">
        <v>2285</v>
      </c>
      <c r="BR274" s="880"/>
      <c r="BS274" s="880"/>
      <c r="BT274" s="880"/>
      <c r="BU274" s="880"/>
      <c r="BV274" s="880"/>
      <c r="BW274" s="883">
        <v>0</v>
      </c>
      <c r="BX274" s="883">
        <v>0</v>
      </c>
      <c r="BY274" s="883">
        <v>0</v>
      </c>
      <c r="BZ274" s="890"/>
      <c r="CA274" s="883">
        <f t="shared" si="95"/>
        <v>0</v>
      </c>
      <c r="CB274" s="880"/>
      <c r="CC274" s="881"/>
      <c r="CD274" s="883"/>
      <c r="CE274" s="883"/>
      <c r="CF274" s="883"/>
      <c r="CG274" s="883"/>
      <c r="CH274" s="883"/>
      <c r="CI274" s="883"/>
      <c r="CJ274" s="883"/>
      <c r="CK274" s="883"/>
      <c r="CL274" s="883"/>
      <c r="CM274" s="883"/>
      <c r="CN274" s="883"/>
      <c r="CO274" s="883"/>
      <c r="CP274" s="883"/>
      <c r="CQ274" s="883"/>
      <c r="CR274" s="883"/>
      <c r="CS274" s="883"/>
      <c r="CT274" s="883"/>
      <c r="CU274" s="883"/>
    </row>
    <row r="275" spans="1:99" x14ac:dyDescent="0.25">
      <c r="A275" s="880" t="s">
        <v>1787</v>
      </c>
      <c r="B275" s="881" t="s">
        <v>1788</v>
      </c>
      <c r="C275" s="880"/>
      <c r="D275" s="880"/>
      <c r="E275" s="884" t="s">
        <v>744</v>
      </c>
      <c r="F275" s="888">
        <v>1</v>
      </c>
      <c r="G275" s="881" t="s">
        <v>1007</v>
      </c>
      <c r="H275" s="881" t="s">
        <v>19</v>
      </c>
      <c r="I275" s="865">
        <v>46142</v>
      </c>
      <c r="J275" s="882" t="s">
        <v>8</v>
      </c>
      <c r="K275" s="880"/>
      <c r="L275" s="880"/>
      <c r="M275" s="883">
        <v>0</v>
      </c>
      <c r="N275" s="883">
        <v>0</v>
      </c>
      <c r="O275" s="883">
        <v>0</v>
      </c>
      <c r="P275" s="883">
        <v>21.74</v>
      </c>
      <c r="Q275" s="883">
        <v>15</v>
      </c>
      <c r="R275" s="883">
        <f t="shared" si="80"/>
        <v>3.26</v>
      </c>
      <c r="S275" s="883">
        <v>0</v>
      </c>
      <c r="T275" s="883">
        <v>5</v>
      </c>
      <c r="U275" s="883">
        <f t="shared" si="81"/>
        <v>0</v>
      </c>
      <c r="V275" s="883">
        <v>0</v>
      </c>
      <c r="W275" s="883">
        <v>8</v>
      </c>
      <c r="X275" s="883">
        <f t="shared" si="82"/>
        <v>0</v>
      </c>
      <c r="Y275" s="883">
        <v>0</v>
      </c>
      <c r="Z275" s="883">
        <v>0</v>
      </c>
      <c r="AA275" s="883">
        <v>0</v>
      </c>
      <c r="AB275" s="883">
        <f t="shared" si="83"/>
        <v>25</v>
      </c>
      <c r="AC275" s="883">
        <v>0</v>
      </c>
      <c r="AD275" s="881"/>
      <c r="AE275" s="880"/>
      <c r="AF275" s="883"/>
      <c r="AG275" s="889"/>
      <c r="AH275" s="880"/>
      <c r="AI275" s="880" t="s">
        <v>1241</v>
      </c>
      <c r="AJ275" s="884">
        <v>411</v>
      </c>
      <c r="AK275" s="883">
        <f t="shared" si="84"/>
        <v>21.74</v>
      </c>
      <c r="AL275" s="884">
        <v>413</v>
      </c>
      <c r="AM275" s="883">
        <f t="shared" si="85"/>
        <v>0</v>
      </c>
      <c r="AN275" s="884">
        <v>441</v>
      </c>
      <c r="AO275" s="883">
        <f t="shared" si="86"/>
        <v>0</v>
      </c>
      <c r="AP275" s="881"/>
      <c r="AQ275" s="881"/>
      <c r="AR275" s="883">
        <v>0</v>
      </c>
      <c r="AS275" s="883">
        <v>0</v>
      </c>
      <c r="AT275" s="883">
        <v>0</v>
      </c>
      <c r="AU275" s="880"/>
      <c r="AV275" s="886"/>
      <c r="AW275" s="880"/>
      <c r="AX275" s="886"/>
      <c r="AY275" s="880"/>
      <c r="AZ275" s="880"/>
      <c r="BA275" s="881"/>
      <c r="BB275" s="881" t="s">
        <v>57</v>
      </c>
      <c r="BC275" s="881"/>
      <c r="BD275" s="881"/>
      <c r="BE275" s="884">
        <f t="shared" si="87"/>
        <v>4</v>
      </c>
      <c r="BF275" s="887" t="str">
        <f t="shared" si="88"/>
        <v>SI</v>
      </c>
      <c r="BG275" s="883">
        <f t="shared" si="89"/>
        <v>21.74</v>
      </c>
      <c r="BH275" s="883">
        <f t="shared" si="90"/>
        <v>0</v>
      </c>
      <c r="BI275" s="883">
        <f t="shared" si="91"/>
        <v>0</v>
      </c>
      <c r="BJ275" s="883">
        <f t="shared" si="92"/>
        <v>0</v>
      </c>
      <c r="BK275" s="883">
        <f t="shared" si="93"/>
        <v>0</v>
      </c>
      <c r="BL275" s="883">
        <f t="shared" si="94"/>
        <v>3.26</v>
      </c>
      <c r="BM275" s="881"/>
      <c r="BN275" s="880"/>
      <c r="BO275" s="882" t="s">
        <v>1579</v>
      </c>
      <c r="BP275" s="882" t="s">
        <v>2286</v>
      </c>
      <c r="BQ275" s="882" t="s">
        <v>2285</v>
      </c>
      <c r="BR275" s="880"/>
      <c r="BS275" s="880"/>
      <c r="BT275" s="880"/>
      <c r="BU275" s="880"/>
      <c r="BV275" s="880"/>
      <c r="BW275" s="883">
        <v>0</v>
      </c>
      <c r="BX275" s="883">
        <v>0</v>
      </c>
      <c r="BY275" s="883">
        <v>0</v>
      </c>
      <c r="BZ275" s="890"/>
      <c r="CA275" s="883">
        <f t="shared" si="95"/>
        <v>0</v>
      </c>
      <c r="CB275" s="880"/>
      <c r="CC275" s="881"/>
      <c r="CD275" s="883"/>
      <c r="CE275" s="883"/>
      <c r="CF275" s="883"/>
      <c r="CG275" s="883"/>
      <c r="CH275" s="883"/>
      <c r="CI275" s="883"/>
      <c r="CJ275" s="883"/>
      <c r="CK275" s="883"/>
      <c r="CL275" s="883"/>
      <c r="CM275" s="883"/>
      <c r="CN275" s="883"/>
      <c r="CO275" s="883"/>
      <c r="CP275" s="883"/>
      <c r="CQ275" s="883"/>
      <c r="CR275" s="883"/>
      <c r="CS275" s="883"/>
      <c r="CT275" s="883"/>
      <c r="CU275" s="883"/>
    </row>
    <row r="276" spans="1:99" x14ac:dyDescent="0.25">
      <c r="A276" s="880" t="s">
        <v>1787</v>
      </c>
      <c r="B276" s="881" t="s">
        <v>1788</v>
      </c>
      <c r="C276" s="880"/>
      <c r="D276" s="880"/>
      <c r="E276" s="884" t="s">
        <v>744</v>
      </c>
      <c r="F276" s="888">
        <v>1</v>
      </c>
      <c r="G276" s="881" t="s">
        <v>1007</v>
      </c>
      <c r="H276" s="881" t="s">
        <v>19</v>
      </c>
      <c r="I276" s="865">
        <v>46142</v>
      </c>
      <c r="J276" s="882" t="s">
        <v>8</v>
      </c>
      <c r="K276" s="880"/>
      <c r="L276" s="880"/>
      <c r="M276" s="883">
        <v>0</v>
      </c>
      <c r="N276" s="883">
        <v>0</v>
      </c>
      <c r="O276" s="883">
        <v>0</v>
      </c>
      <c r="P276" s="883">
        <v>13.04</v>
      </c>
      <c r="Q276" s="883">
        <v>15</v>
      </c>
      <c r="R276" s="883">
        <f t="shared" si="80"/>
        <v>1.96</v>
      </c>
      <c r="S276" s="883">
        <v>0</v>
      </c>
      <c r="T276" s="883">
        <v>5</v>
      </c>
      <c r="U276" s="883">
        <f t="shared" si="81"/>
        <v>0</v>
      </c>
      <c r="V276" s="883">
        <v>0</v>
      </c>
      <c r="W276" s="883">
        <v>8</v>
      </c>
      <c r="X276" s="883">
        <f t="shared" si="82"/>
        <v>0</v>
      </c>
      <c r="Y276" s="883">
        <v>0</v>
      </c>
      <c r="Z276" s="883">
        <v>0</v>
      </c>
      <c r="AA276" s="883">
        <v>0</v>
      </c>
      <c r="AB276" s="883">
        <f t="shared" si="83"/>
        <v>15</v>
      </c>
      <c r="AC276" s="883">
        <v>0</v>
      </c>
      <c r="AD276" s="881"/>
      <c r="AE276" s="880"/>
      <c r="AF276" s="883"/>
      <c r="AG276" s="889"/>
      <c r="AH276" s="880"/>
      <c r="AI276" s="880" t="s">
        <v>1241</v>
      </c>
      <c r="AJ276" s="884">
        <v>411</v>
      </c>
      <c r="AK276" s="883">
        <f t="shared" si="84"/>
        <v>13.04</v>
      </c>
      <c r="AL276" s="884">
        <v>413</v>
      </c>
      <c r="AM276" s="883">
        <f t="shared" si="85"/>
        <v>0</v>
      </c>
      <c r="AN276" s="884">
        <v>441</v>
      </c>
      <c r="AO276" s="883">
        <f t="shared" si="86"/>
        <v>0</v>
      </c>
      <c r="AP276" s="881"/>
      <c r="AQ276" s="881"/>
      <c r="AR276" s="883">
        <v>0</v>
      </c>
      <c r="AS276" s="883">
        <v>0</v>
      </c>
      <c r="AT276" s="883">
        <v>0</v>
      </c>
      <c r="AU276" s="880"/>
      <c r="AV276" s="886"/>
      <c r="AW276" s="880"/>
      <c r="AX276" s="886"/>
      <c r="AY276" s="880"/>
      <c r="AZ276" s="880"/>
      <c r="BA276" s="881"/>
      <c r="BB276" s="881" t="s">
        <v>57</v>
      </c>
      <c r="BC276" s="881"/>
      <c r="BD276" s="881"/>
      <c r="BE276" s="884">
        <f t="shared" si="87"/>
        <v>4</v>
      </c>
      <c r="BF276" s="887" t="str">
        <f t="shared" si="88"/>
        <v>SI</v>
      </c>
      <c r="BG276" s="883">
        <f t="shared" si="89"/>
        <v>13.04</v>
      </c>
      <c r="BH276" s="883">
        <f t="shared" si="90"/>
        <v>0</v>
      </c>
      <c r="BI276" s="883">
        <f t="shared" si="91"/>
        <v>0</v>
      </c>
      <c r="BJ276" s="883">
        <f t="shared" si="92"/>
        <v>0</v>
      </c>
      <c r="BK276" s="883">
        <f t="shared" si="93"/>
        <v>0</v>
      </c>
      <c r="BL276" s="883">
        <f t="shared" si="94"/>
        <v>1.96</v>
      </c>
      <c r="BM276" s="881"/>
      <c r="BN276" s="880"/>
      <c r="BO276" s="882" t="s">
        <v>1579</v>
      </c>
      <c r="BP276" s="882" t="s">
        <v>2286</v>
      </c>
      <c r="BQ276" s="882" t="s">
        <v>2285</v>
      </c>
      <c r="BR276" s="880"/>
      <c r="BS276" s="880"/>
      <c r="BT276" s="880"/>
      <c r="BU276" s="880"/>
      <c r="BV276" s="880"/>
      <c r="BW276" s="883">
        <v>0</v>
      </c>
      <c r="BX276" s="883">
        <v>0</v>
      </c>
      <c r="BY276" s="883">
        <v>0</v>
      </c>
      <c r="BZ276" s="890"/>
      <c r="CA276" s="883">
        <f t="shared" si="95"/>
        <v>0</v>
      </c>
      <c r="CB276" s="880"/>
      <c r="CC276" s="881"/>
      <c r="CD276" s="883"/>
      <c r="CE276" s="883"/>
      <c r="CF276" s="883"/>
      <c r="CG276" s="883"/>
      <c r="CH276" s="883"/>
      <c r="CI276" s="883"/>
      <c r="CJ276" s="883"/>
      <c r="CK276" s="883"/>
      <c r="CL276" s="883"/>
      <c r="CM276" s="883"/>
      <c r="CN276" s="883"/>
      <c r="CO276" s="883"/>
      <c r="CP276" s="883"/>
      <c r="CQ276" s="883"/>
      <c r="CR276" s="883"/>
      <c r="CS276" s="883"/>
      <c r="CT276" s="883"/>
      <c r="CU276" s="883"/>
    </row>
    <row r="277" spans="1:99" x14ac:dyDescent="0.25">
      <c r="A277" s="880" t="s">
        <v>1787</v>
      </c>
      <c r="B277" s="881" t="s">
        <v>1788</v>
      </c>
      <c r="C277" s="880"/>
      <c r="D277" s="880"/>
      <c r="E277" s="884" t="s">
        <v>744</v>
      </c>
      <c r="F277" s="888">
        <v>1</v>
      </c>
      <c r="G277" s="881" t="s">
        <v>1007</v>
      </c>
      <c r="H277" s="881" t="s">
        <v>19</v>
      </c>
      <c r="I277" s="865">
        <v>46142</v>
      </c>
      <c r="J277" s="882" t="s">
        <v>8</v>
      </c>
      <c r="K277" s="880"/>
      <c r="L277" s="880"/>
      <c r="M277" s="883">
        <v>0</v>
      </c>
      <c r="N277" s="883">
        <v>0</v>
      </c>
      <c r="O277" s="883">
        <v>0</v>
      </c>
      <c r="P277" s="883">
        <v>17.39</v>
      </c>
      <c r="Q277" s="883">
        <v>15</v>
      </c>
      <c r="R277" s="883">
        <f t="shared" si="80"/>
        <v>2.61</v>
      </c>
      <c r="S277" s="883">
        <v>0</v>
      </c>
      <c r="T277" s="883">
        <v>5</v>
      </c>
      <c r="U277" s="883">
        <f t="shared" si="81"/>
        <v>0</v>
      </c>
      <c r="V277" s="883">
        <v>0</v>
      </c>
      <c r="W277" s="883">
        <v>8</v>
      </c>
      <c r="X277" s="883">
        <f t="shared" si="82"/>
        <v>0</v>
      </c>
      <c r="Y277" s="883">
        <v>0</v>
      </c>
      <c r="Z277" s="883">
        <v>0</v>
      </c>
      <c r="AA277" s="883">
        <v>0</v>
      </c>
      <c r="AB277" s="883">
        <f t="shared" si="83"/>
        <v>20</v>
      </c>
      <c r="AC277" s="883">
        <v>0</v>
      </c>
      <c r="AD277" s="881"/>
      <c r="AE277" s="880"/>
      <c r="AF277" s="883"/>
      <c r="AG277" s="889"/>
      <c r="AH277" s="880"/>
      <c r="AI277" s="880" t="s">
        <v>1241</v>
      </c>
      <c r="AJ277" s="884">
        <v>411</v>
      </c>
      <c r="AK277" s="883">
        <f t="shared" si="84"/>
        <v>17.39</v>
      </c>
      <c r="AL277" s="884">
        <v>413</v>
      </c>
      <c r="AM277" s="883">
        <f t="shared" si="85"/>
        <v>0</v>
      </c>
      <c r="AN277" s="884">
        <v>441</v>
      </c>
      <c r="AO277" s="883">
        <f t="shared" si="86"/>
        <v>0</v>
      </c>
      <c r="AP277" s="881"/>
      <c r="AQ277" s="881"/>
      <c r="AR277" s="883">
        <v>0</v>
      </c>
      <c r="AS277" s="883">
        <v>0</v>
      </c>
      <c r="AT277" s="883">
        <v>0</v>
      </c>
      <c r="AU277" s="880"/>
      <c r="AV277" s="886"/>
      <c r="AW277" s="880"/>
      <c r="AX277" s="886"/>
      <c r="AY277" s="880"/>
      <c r="AZ277" s="880"/>
      <c r="BA277" s="881"/>
      <c r="BB277" s="881" t="s">
        <v>57</v>
      </c>
      <c r="BC277" s="881"/>
      <c r="BD277" s="881"/>
      <c r="BE277" s="884">
        <f t="shared" si="87"/>
        <v>4</v>
      </c>
      <c r="BF277" s="887" t="str">
        <f t="shared" si="88"/>
        <v>SI</v>
      </c>
      <c r="BG277" s="883">
        <f t="shared" si="89"/>
        <v>17.39</v>
      </c>
      <c r="BH277" s="883">
        <f t="shared" si="90"/>
        <v>0</v>
      </c>
      <c r="BI277" s="883">
        <f t="shared" si="91"/>
        <v>0</v>
      </c>
      <c r="BJ277" s="883">
        <f t="shared" si="92"/>
        <v>0</v>
      </c>
      <c r="BK277" s="883">
        <f t="shared" si="93"/>
        <v>0</v>
      </c>
      <c r="BL277" s="883">
        <f t="shared" si="94"/>
        <v>2.61</v>
      </c>
      <c r="BM277" s="881"/>
      <c r="BN277" s="880"/>
      <c r="BO277" s="882" t="s">
        <v>1579</v>
      </c>
      <c r="BP277" s="882" t="s">
        <v>2286</v>
      </c>
      <c r="BQ277" s="882" t="s">
        <v>2285</v>
      </c>
      <c r="BR277" s="880"/>
      <c r="BS277" s="880"/>
      <c r="BT277" s="880"/>
      <c r="BU277" s="880"/>
      <c r="BV277" s="880"/>
      <c r="BW277" s="883">
        <v>0</v>
      </c>
      <c r="BX277" s="883">
        <v>0</v>
      </c>
      <c r="BY277" s="883">
        <v>0</v>
      </c>
      <c r="BZ277" s="890"/>
      <c r="CA277" s="883">
        <f t="shared" si="95"/>
        <v>0</v>
      </c>
      <c r="CB277" s="880"/>
      <c r="CC277" s="881"/>
      <c r="CD277" s="883"/>
      <c r="CE277" s="883"/>
      <c r="CF277" s="883"/>
      <c r="CG277" s="883"/>
      <c r="CH277" s="883"/>
      <c r="CI277" s="883"/>
      <c r="CJ277" s="883"/>
      <c r="CK277" s="883"/>
      <c r="CL277" s="883"/>
      <c r="CM277" s="883"/>
      <c r="CN277" s="883"/>
      <c r="CO277" s="883"/>
      <c r="CP277" s="883"/>
      <c r="CQ277" s="883"/>
      <c r="CR277" s="883"/>
      <c r="CS277" s="883"/>
      <c r="CT277" s="883"/>
      <c r="CU277" s="883"/>
    </row>
    <row r="278" spans="1:99" x14ac:dyDescent="0.25">
      <c r="A278" s="880" t="s">
        <v>1787</v>
      </c>
      <c r="B278" s="881" t="s">
        <v>1788</v>
      </c>
      <c r="C278" s="880"/>
      <c r="D278" s="880"/>
      <c r="E278" s="884" t="s">
        <v>744</v>
      </c>
      <c r="F278" s="888">
        <v>1</v>
      </c>
      <c r="G278" s="881" t="s">
        <v>1007</v>
      </c>
      <c r="H278" s="881" t="s">
        <v>19</v>
      </c>
      <c r="I278" s="865">
        <v>46142</v>
      </c>
      <c r="J278" s="882" t="s">
        <v>8</v>
      </c>
      <c r="K278" s="880"/>
      <c r="L278" s="880"/>
      <c r="M278" s="883">
        <v>0</v>
      </c>
      <c r="N278" s="883">
        <v>0</v>
      </c>
      <c r="O278" s="883">
        <v>0</v>
      </c>
      <c r="P278" s="883">
        <v>20.54</v>
      </c>
      <c r="Q278" s="883">
        <v>15</v>
      </c>
      <c r="R278" s="883">
        <f t="shared" si="80"/>
        <v>3.08</v>
      </c>
      <c r="S278" s="883">
        <v>0</v>
      </c>
      <c r="T278" s="883">
        <v>5</v>
      </c>
      <c r="U278" s="883">
        <f t="shared" si="81"/>
        <v>0</v>
      </c>
      <c r="V278" s="883">
        <v>0</v>
      </c>
      <c r="W278" s="883">
        <v>8</v>
      </c>
      <c r="X278" s="883">
        <f t="shared" si="82"/>
        <v>0</v>
      </c>
      <c r="Y278" s="883">
        <v>0</v>
      </c>
      <c r="Z278" s="883">
        <v>0</v>
      </c>
      <c r="AA278" s="883">
        <v>0</v>
      </c>
      <c r="AB278" s="883">
        <f t="shared" si="83"/>
        <v>23.62</v>
      </c>
      <c r="AC278" s="883">
        <v>0</v>
      </c>
      <c r="AD278" s="881"/>
      <c r="AE278" s="880"/>
      <c r="AF278" s="883"/>
      <c r="AG278" s="889"/>
      <c r="AH278" s="880"/>
      <c r="AI278" s="880" t="s">
        <v>1241</v>
      </c>
      <c r="AJ278" s="884">
        <v>411</v>
      </c>
      <c r="AK278" s="883">
        <f t="shared" si="84"/>
        <v>20.54</v>
      </c>
      <c r="AL278" s="884">
        <v>413</v>
      </c>
      <c r="AM278" s="883">
        <f t="shared" si="85"/>
        <v>0</v>
      </c>
      <c r="AN278" s="884">
        <v>441</v>
      </c>
      <c r="AO278" s="883">
        <f t="shared" si="86"/>
        <v>0</v>
      </c>
      <c r="AP278" s="881"/>
      <c r="AQ278" s="881"/>
      <c r="AR278" s="883">
        <v>0</v>
      </c>
      <c r="AS278" s="883">
        <v>0</v>
      </c>
      <c r="AT278" s="883">
        <v>0</v>
      </c>
      <c r="AU278" s="880"/>
      <c r="AV278" s="886"/>
      <c r="AW278" s="880"/>
      <c r="AX278" s="886"/>
      <c r="AY278" s="880"/>
      <c r="AZ278" s="880"/>
      <c r="BA278" s="881"/>
      <c r="BB278" s="881" t="s">
        <v>57</v>
      </c>
      <c r="BC278" s="881"/>
      <c r="BD278" s="881"/>
      <c r="BE278" s="884">
        <f t="shared" si="87"/>
        <v>4</v>
      </c>
      <c r="BF278" s="887" t="str">
        <f t="shared" si="88"/>
        <v>SI</v>
      </c>
      <c r="BG278" s="883">
        <f t="shared" si="89"/>
        <v>20.54</v>
      </c>
      <c r="BH278" s="883">
        <f t="shared" si="90"/>
        <v>0</v>
      </c>
      <c r="BI278" s="883">
        <f t="shared" si="91"/>
        <v>0</v>
      </c>
      <c r="BJ278" s="883">
        <f t="shared" si="92"/>
        <v>0</v>
      </c>
      <c r="BK278" s="883">
        <f t="shared" si="93"/>
        <v>0</v>
      </c>
      <c r="BL278" s="883">
        <f t="shared" si="94"/>
        <v>3.08</v>
      </c>
      <c r="BM278" s="881"/>
      <c r="BN278" s="880"/>
      <c r="BO278" s="882" t="s">
        <v>1579</v>
      </c>
      <c r="BP278" s="882" t="s">
        <v>2286</v>
      </c>
      <c r="BQ278" s="882" t="s">
        <v>2285</v>
      </c>
      <c r="BR278" s="880"/>
      <c r="BS278" s="880"/>
      <c r="BT278" s="880"/>
      <c r="BU278" s="880"/>
      <c r="BV278" s="880"/>
      <c r="BW278" s="883">
        <v>0</v>
      </c>
      <c r="BX278" s="883">
        <v>0</v>
      </c>
      <c r="BY278" s="883">
        <v>0</v>
      </c>
      <c r="BZ278" s="890"/>
      <c r="CA278" s="883">
        <f t="shared" si="95"/>
        <v>0</v>
      </c>
      <c r="CB278" s="880"/>
      <c r="CC278" s="881"/>
      <c r="CD278" s="883"/>
      <c r="CE278" s="883"/>
      <c r="CF278" s="883"/>
      <c r="CG278" s="883"/>
      <c r="CH278" s="883"/>
      <c r="CI278" s="883"/>
      <c r="CJ278" s="883"/>
      <c r="CK278" s="883"/>
      <c r="CL278" s="883"/>
      <c r="CM278" s="883"/>
      <c r="CN278" s="883"/>
      <c r="CO278" s="883"/>
      <c r="CP278" s="883"/>
      <c r="CQ278" s="883"/>
      <c r="CR278" s="883"/>
      <c r="CS278" s="883"/>
      <c r="CT278" s="883"/>
      <c r="CU278" s="883"/>
    </row>
    <row r="279" spans="1:99" x14ac:dyDescent="0.25">
      <c r="A279" s="880" t="s">
        <v>1787</v>
      </c>
      <c r="B279" s="881" t="s">
        <v>1788</v>
      </c>
      <c r="C279" s="880"/>
      <c r="D279" s="880"/>
      <c r="E279" s="884" t="s">
        <v>744</v>
      </c>
      <c r="F279" s="888">
        <v>1</v>
      </c>
      <c r="G279" s="881" t="s">
        <v>1007</v>
      </c>
      <c r="H279" s="881" t="s">
        <v>19</v>
      </c>
      <c r="I279" s="865">
        <v>46142</v>
      </c>
      <c r="J279" s="882" t="s">
        <v>8</v>
      </c>
      <c r="K279" s="880"/>
      <c r="L279" s="880"/>
      <c r="M279" s="883">
        <v>0</v>
      </c>
      <c r="N279" s="883">
        <v>0</v>
      </c>
      <c r="O279" s="883">
        <v>0</v>
      </c>
      <c r="P279" s="883">
        <v>17.39</v>
      </c>
      <c r="Q279" s="883">
        <v>15</v>
      </c>
      <c r="R279" s="883">
        <f t="shared" si="80"/>
        <v>2.61</v>
      </c>
      <c r="S279" s="883">
        <v>0</v>
      </c>
      <c r="T279" s="883">
        <v>5</v>
      </c>
      <c r="U279" s="883">
        <f t="shared" si="81"/>
        <v>0</v>
      </c>
      <c r="V279" s="883">
        <v>0</v>
      </c>
      <c r="W279" s="883">
        <v>8</v>
      </c>
      <c r="X279" s="883">
        <f t="shared" si="82"/>
        <v>0</v>
      </c>
      <c r="Y279" s="883">
        <v>0</v>
      </c>
      <c r="Z279" s="883">
        <v>0</v>
      </c>
      <c r="AA279" s="883">
        <v>0</v>
      </c>
      <c r="AB279" s="883">
        <f t="shared" si="83"/>
        <v>20</v>
      </c>
      <c r="AC279" s="883">
        <v>0</v>
      </c>
      <c r="AD279" s="881"/>
      <c r="AE279" s="880"/>
      <c r="AF279" s="883"/>
      <c r="AG279" s="889"/>
      <c r="AH279" s="880"/>
      <c r="AI279" s="880" t="s">
        <v>1241</v>
      </c>
      <c r="AJ279" s="884">
        <v>411</v>
      </c>
      <c r="AK279" s="883">
        <f t="shared" si="84"/>
        <v>17.39</v>
      </c>
      <c r="AL279" s="884">
        <v>413</v>
      </c>
      <c r="AM279" s="883">
        <f t="shared" si="85"/>
        <v>0</v>
      </c>
      <c r="AN279" s="884">
        <v>441</v>
      </c>
      <c r="AO279" s="883">
        <f t="shared" si="86"/>
        <v>0</v>
      </c>
      <c r="AP279" s="881"/>
      <c r="AQ279" s="881"/>
      <c r="AR279" s="883">
        <v>0</v>
      </c>
      <c r="AS279" s="883">
        <v>0</v>
      </c>
      <c r="AT279" s="883">
        <v>0</v>
      </c>
      <c r="AU279" s="880"/>
      <c r="AV279" s="886"/>
      <c r="AW279" s="880"/>
      <c r="AX279" s="886"/>
      <c r="AY279" s="880"/>
      <c r="AZ279" s="880"/>
      <c r="BA279" s="881"/>
      <c r="BB279" s="881" t="s">
        <v>57</v>
      </c>
      <c r="BC279" s="881"/>
      <c r="BD279" s="881"/>
      <c r="BE279" s="884">
        <f t="shared" si="87"/>
        <v>4</v>
      </c>
      <c r="BF279" s="887" t="str">
        <f t="shared" si="88"/>
        <v>SI</v>
      </c>
      <c r="BG279" s="883">
        <f t="shared" si="89"/>
        <v>17.39</v>
      </c>
      <c r="BH279" s="883">
        <f t="shared" si="90"/>
        <v>0</v>
      </c>
      <c r="BI279" s="883">
        <f t="shared" si="91"/>
        <v>0</v>
      </c>
      <c r="BJ279" s="883">
        <f t="shared" si="92"/>
        <v>0</v>
      </c>
      <c r="BK279" s="883">
        <f t="shared" si="93"/>
        <v>0</v>
      </c>
      <c r="BL279" s="883">
        <f t="shared" si="94"/>
        <v>2.61</v>
      </c>
      <c r="BM279" s="881"/>
      <c r="BN279" s="880"/>
      <c r="BO279" s="882" t="s">
        <v>1579</v>
      </c>
      <c r="BP279" s="882" t="s">
        <v>2286</v>
      </c>
      <c r="BQ279" s="882" t="s">
        <v>2285</v>
      </c>
      <c r="BR279" s="880"/>
      <c r="BS279" s="880"/>
      <c r="BT279" s="880"/>
      <c r="BU279" s="880"/>
      <c r="BV279" s="880"/>
      <c r="BW279" s="883">
        <v>0</v>
      </c>
      <c r="BX279" s="883">
        <v>0</v>
      </c>
      <c r="BY279" s="883">
        <v>0</v>
      </c>
      <c r="BZ279" s="890"/>
      <c r="CA279" s="883">
        <f t="shared" si="95"/>
        <v>0</v>
      </c>
      <c r="CB279" s="880"/>
      <c r="CC279" s="881"/>
      <c r="CD279" s="883"/>
      <c r="CE279" s="883"/>
      <c r="CF279" s="883"/>
      <c r="CG279" s="883"/>
      <c r="CH279" s="883"/>
      <c r="CI279" s="883"/>
      <c r="CJ279" s="883"/>
      <c r="CK279" s="883"/>
      <c r="CL279" s="883"/>
      <c r="CM279" s="883"/>
      <c r="CN279" s="883"/>
      <c r="CO279" s="883"/>
      <c r="CP279" s="883"/>
      <c r="CQ279" s="883"/>
      <c r="CR279" s="883"/>
      <c r="CS279" s="883"/>
      <c r="CT279" s="883"/>
      <c r="CU279" s="883"/>
    </row>
    <row r="280" spans="1:99" x14ac:dyDescent="0.25">
      <c r="A280" s="880" t="s">
        <v>1787</v>
      </c>
      <c r="B280" s="881" t="s">
        <v>1788</v>
      </c>
      <c r="C280" s="880"/>
      <c r="D280" s="880"/>
      <c r="E280" s="884" t="s">
        <v>744</v>
      </c>
      <c r="F280" s="888">
        <v>1</v>
      </c>
      <c r="G280" s="881" t="s">
        <v>1007</v>
      </c>
      <c r="H280" s="881" t="s">
        <v>19</v>
      </c>
      <c r="I280" s="865">
        <v>46142</v>
      </c>
      <c r="J280" s="882" t="s">
        <v>8</v>
      </c>
      <c r="K280" s="880"/>
      <c r="L280" s="880"/>
      <c r="M280" s="883">
        <v>0</v>
      </c>
      <c r="N280" s="883">
        <v>0</v>
      </c>
      <c r="O280" s="883">
        <v>0</v>
      </c>
      <c r="P280" s="883">
        <v>13.04</v>
      </c>
      <c r="Q280" s="883">
        <v>15</v>
      </c>
      <c r="R280" s="883">
        <f t="shared" si="80"/>
        <v>1.96</v>
      </c>
      <c r="S280" s="883">
        <v>0</v>
      </c>
      <c r="T280" s="883">
        <v>5</v>
      </c>
      <c r="U280" s="883">
        <f t="shared" si="81"/>
        <v>0</v>
      </c>
      <c r="V280" s="883">
        <v>0</v>
      </c>
      <c r="W280" s="883">
        <v>8</v>
      </c>
      <c r="X280" s="883">
        <f t="shared" si="82"/>
        <v>0</v>
      </c>
      <c r="Y280" s="883">
        <v>0</v>
      </c>
      <c r="Z280" s="883">
        <v>0</v>
      </c>
      <c r="AA280" s="883">
        <v>0</v>
      </c>
      <c r="AB280" s="883">
        <f t="shared" si="83"/>
        <v>15</v>
      </c>
      <c r="AC280" s="883">
        <v>0</v>
      </c>
      <c r="AD280" s="881"/>
      <c r="AE280" s="880"/>
      <c r="AF280" s="883"/>
      <c r="AG280" s="889"/>
      <c r="AH280" s="880"/>
      <c r="AI280" s="880" t="s">
        <v>1241</v>
      </c>
      <c r="AJ280" s="884">
        <v>411</v>
      </c>
      <c r="AK280" s="883">
        <f t="shared" si="84"/>
        <v>13.04</v>
      </c>
      <c r="AL280" s="884">
        <v>413</v>
      </c>
      <c r="AM280" s="883">
        <f t="shared" si="85"/>
        <v>0</v>
      </c>
      <c r="AN280" s="884">
        <v>441</v>
      </c>
      <c r="AO280" s="883">
        <f t="shared" si="86"/>
        <v>0</v>
      </c>
      <c r="AP280" s="881"/>
      <c r="AQ280" s="881"/>
      <c r="AR280" s="883">
        <v>0</v>
      </c>
      <c r="AS280" s="883">
        <v>0</v>
      </c>
      <c r="AT280" s="883">
        <v>0</v>
      </c>
      <c r="AU280" s="880"/>
      <c r="AV280" s="886"/>
      <c r="AW280" s="880"/>
      <c r="AX280" s="886"/>
      <c r="AY280" s="880"/>
      <c r="AZ280" s="880"/>
      <c r="BA280" s="881"/>
      <c r="BB280" s="881" t="s">
        <v>57</v>
      </c>
      <c r="BC280" s="881"/>
      <c r="BD280" s="881"/>
      <c r="BE280" s="884">
        <f t="shared" si="87"/>
        <v>4</v>
      </c>
      <c r="BF280" s="887" t="str">
        <f t="shared" si="88"/>
        <v>SI</v>
      </c>
      <c r="BG280" s="883">
        <f t="shared" si="89"/>
        <v>13.04</v>
      </c>
      <c r="BH280" s="883">
        <f t="shared" si="90"/>
        <v>0</v>
      </c>
      <c r="BI280" s="883">
        <f t="shared" si="91"/>
        <v>0</v>
      </c>
      <c r="BJ280" s="883">
        <f t="shared" si="92"/>
        <v>0</v>
      </c>
      <c r="BK280" s="883">
        <f t="shared" si="93"/>
        <v>0</v>
      </c>
      <c r="BL280" s="883">
        <f t="shared" si="94"/>
        <v>1.96</v>
      </c>
      <c r="BM280" s="881"/>
      <c r="BN280" s="880"/>
      <c r="BO280" s="882" t="s">
        <v>1579</v>
      </c>
      <c r="BP280" s="882" t="s">
        <v>2286</v>
      </c>
      <c r="BQ280" s="882" t="s">
        <v>2285</v>
      </c>
      <c r="BR280" s="880"/>
      <c r="BS280" s="880"/>
      <c r="BT280" s="880"/>
      <c r="BU280" s="880"/>
      <c r="BV280" s="880"/>
      <c r="BW280" s="883">
        <v>0</v>
      </c>
      <c r="BX280" s="883">
        <v>0</v>
      </c>
      <c r="BY280" s="883">
        <v>0</v>
      </c>
      <c r="BZ280" s="890"/>
      <c r="CA280" s="883">
        <f t="shared" si="95"/>
        <v>0</v>
      </c>
      <c r="CB280" s="880"/>
      <c r="CC280" s="881"/>
      <c r="CD280" s="883"/>
      <c r="CE280" s="883"/>
      <c r="CF280" s="883"/>
      <c r="CG280" s="883"/>
      <c r="CH280" s="883"/>
      <c r="CI280" s="883"/>
      <c r="CJ280" s="883"/>
      <c r="CK280" s="883"/>
      <c r="CL280" s="883"/>
      <c r="CM280" s="883"/>
      <c r="CN280" s="883"/>
      <c r="CO280" s="883"/>
      <c r="CP280" s="883"/>
      <c r="CQ280" s="883"/>
      <c r="CR280" s="883"/>
      <c r="CS280" s="883"/>
      <c r="CT280" s="883"/>
      <c r="CU280" s="883"/>
    </row>
    <row r="281" spans="1:99" x14ac:dyDescent="0.25">
      <c r="A281" s="880" t="s">
        <v>1787</v>
      </c>
      <c r="B281" s="881" t="s">
        <v>1788</v>
      </c>
      <c r="C281" s="880"/>
      <c r="D281" s="880"/>
      <c r="E281" s="884" t="s">
        <v>744</v>
      </c>
      <c r="F281" s="888">
        <v>1</v>
      </c>
      <c r="G281" s="881" t="s">
        <v>1007</v>
      </c>
      <c r="H281" s="881" t="s">
        <v>19</v>
      </c>
      <c r="I281" s="865">
        <v>46142</v>
      </c>
      <c r="J281" s="882" t="s">
        <v>8</v>
      </c>
      <c r="K281" s="880"/>
      <c r="L281" s="880"/>
      <c r="M281" s="883">
        <v>0</v>
      </c>
      <c r="N281" s="883">
        <v>0</v>
      </c>
      <c r="O281" s="883">
        <v>0</v>
      </c>
      <c r="P281" s="883">
        <v>26.08</v>
      </c>
      <c r="Q281" s="883">
        <v>15</v>
      </c>
      <c r="R281" s="883">
        <f t="shared" si="80"/>
        <v>3.91</v>
      </c>
      <c r="S281" s="883">
        <v>0</v>
      </c>
      <c r="T281" s="883">
        <v>5</v>
      </c>
      <c r="U281" s="883">
        <f t="shared" si="81"/>
        <v>0</v>
      </c>
      <c r="V281" s="883">
        <v>0</v>
      </c>
      <c r="W281" s="883">
        <v>8</v>
      </c>
      <c r="X281" s="883">
        <f t="shared" si="82"/>
        <v>0</v>
      </c>
      <c r="Y281" s="883">
        <v>0</v>
      </c>
      <c r="Z281" s="883">
        <v>0</v>
      </c>
      <c r="AA281" s="883">
        <v>0</v>
      </c>
      <c r="AB281" s="883">
        <f t="shared" si="83"/>
        <v>29.99</v>
      </c>
      <c r="AC281" s="883">
        <v>0</v>
      </c>
      <c r="AD281" s="881"/>
      <c r="AE281" s="880"/>
      <c r="AF281" s="883"/>
      <c r="AG281" s="889"/>
      <c r="AH281" s="880"/>
      <c r="AI281" s="880" t="s">
        <v>1241</v>
      </c>
      <c r="AJ281" s="884">
        <v>411</v>
      </c>
      <c r="AK281" s="883">
        <f t="shared" si="84"/>
        <v>26.08</v>
      </c>
      <c r="AL281" s="884">
        <v>413</v>
      </c>
      <c r="AM281" s="883">
        <f t="shared" si="85"/>
        <v>0</v>
      </c>
      <c r="AN281" s="884">
        <v>441</v>
      </c>
      <c r="AO281" s="883">
        <f t="shared" si="86"/>
        <v>0</v>
      </c>
      <c r="AP281" s="881"/>
      <c r="AQ281" s="881"/>
      <c r="AR281" s="883">
        <v>0</v>
      </c>
      <c r="AS281" s="883">
        <v>0</v>
      </c>
      <c r="AT281" s="883">
        <v>0</v>
      </c>
      <c r="AU281" s="880"/>
      <c r="AV281" s="886"/>
      <c r="AW281" s="880"/>
      <c r="AX281" s="886"/>
      <c r="AY281" s="880"/>
      <c r="AZ281" s="880"/>
      <c r="BA281" s="881"/>
      <c r="BB281" s="881" t="s">
        <v>57</v>
      </c>
      <c r="BC281" s="881"/>
      <c r="BD281" s="881"/>
      <c r="BE281" s="884">
        <f t="shared" si="87"/>
        <v>4</v>
      </c>
      <c r="BF281" s="887" t="str">
        <f t="shared" si="88"/>
        <v>SI</v>
      </c>
      <c r="BG281" s="883">
        <f t="shared" si="89"/>
        <v>26.08</v>
      </c>
      <c r="BH281" s="883">
        <f t="shared" si="90"/>
        <v>0</v>
      </c>
      <c r="BI281" s="883">
        <f t="shared" si="91"/>
        <v>0</v>
      </c>
      <c r="BJ281" s="883">
        <f t="shared" si="92"/>
        <v>0</v>
      </c>
      <c r="BK281" s="883">
        <f t="shared" si="93"/>
        <v>0</v>
      </c>
      <c r="BL281" s="883">
        <f t="shared" si="94"/>
        <v>3.91</v>
      </c>
      <c r="BM281" s="881"/>
      <c r="BN281" s="880"/>
      <c r="BO281" s="882" t="s">
        <v>1579</v>
      </c>
      <c r="BP281" s="882" t="s">
        <v>2286</v>
      </c>
      <c r="BQ281" s="882" t="s">
        <v>2285</v>
      </c>
      <c r="BR281" s="880"/>
      <c r="BS281" s="880"/>
      <c r="BT281" s="880"/>
      <c r="BU281" s="880"/>
      <c r="BV281" s="880"/>
      <c r="BW281" s="883">
        <v>0</v>
      </c>
      <c r="BX281" s="883">
        <v>0</v>
      </c>
      <c r="BY281" s="883">
        <v>0</v>
      </c>
      <c r="BZ281" s="890"/>
      <c r="CA281" s="883">
        <f t="shared" si="95"/>
        <v>0</v>
      </c>
      <c r="CB281" s="880"/>
      <c r="CC281" s="881"/>
      <c r="CD281" s="883"/>
      <c r="CE281" s="883"/>
      <c r="CF281" s="883"/>
      <c r="CG281" s="883"/>
      <c r="CH281" s="883"/>
      <c r="CI281" s="883"/>
      <c r="CJ281" s="883"/>
      <c r="CK281" s="883"/>
      <c r="CL281" s="883"/>
      <c r="CM281" s="883"/>
      <c r="CN281" s="883"/>
      <c r="CO281" s="883"/>
      <c r="CP281" s="883"/>
      <c r="CQ281" s="883"/>
      <c r="CR281" s="883"/>
      <c r="CS281" s="883"/>
      <c r="CT281" s="883"/>
      <c r="CU281" s="883"/>
    </row>
    <row r="282" spans="1:99" x14ac:dyDescent="0.25">
      <c r="A282" s="880" t="s">
        <v>1787</v>
      </c>
      <c r="B282" s="881" t="s">
        <v>1788</v>
      </c>
      <c r="C282" s="880"/>
      <c r="D282" s="880"/>
      <c r="E282" s="884" t="s">
        <v>744</v>
      </c>
      <c r="F282" s="888">
        <v>1</v>
      </c>
      <c r="G282" s="881" t="s">
        <v>1007</v>
      </c>
      <c r="H282" s="881" t="s">
        <v>19</v>
      </c>
      <c r="I282" s="865">
        <v>46142</v>
      </c>
      <c r="J282" s="882" t="s">
        <v>8</v>
      </c>
      <c r="K282" s="880"/>
      <c r="L282" s="880"/>
      <c r="M282" s="883">
        <v>0</v>
      </c>
      <c r="N282" s="883">
        <v>0</v>
      </c>
      <c r="O282" s="883">
        <v>0</v>
      </c>
      <c r="P282" s="883">
        <v>13.04</v>
      </c>
      <c r="Q282" s="883">
        <v>15</v>
      </c>
      <c r="R282" s="883">
        <f t="shared" si="80"/>
        <v>1.96</v>
      </c>
      <c r="S282" s="883">
        <v>0</v>
      </c>
      <c r="T282" s="883">
        <v>5</v>
      </c>
      <c r="U282" s="883">
        <f t="shared" si="81"/>
        <v>0</v>
      </c>
      <c r="V282" s="883">
        <v>0</v>
      </c>
      <c r="W282" s="883">
        <v>8</v>
      </c>
      <c r="X282" s="883">
        <f t="shared" si="82"/>
        <v>0</v>
      </c>
      <c r="Y282" s="883">
        <v>0</v>
      </c>
      <c r="Z282" s="883">
        <v>0</v>
      </c>
      <c r="AA282" s="883">
        <v>0</v>
      </c>
      <c r="AB282" s="883">
        <f t="shared" si="83"/>
        <v>15</v>
      </c>
      <c r="AC282" s="883">
        <v>0</v>
      </c>
      <c r="AD282" s="881"/>
      <c r="AE282" s="880"/>
      <c r="AF282" s="883"/>
      <c r="AG282" s="889"/>
      <c r="AH282" s="880"/>
      <c r="AI282" s="880" t="s">
        <v>1241</v>
      </c>
      <c r="AJ282" s="884">
        <v>411</v>
      </c>
      <c r="AK282" s="883">
        <f t="shared" si="84"/>
        <v>13.04</v>
      </c>
      <c r="AL282" s="884">
        <v>413</v>
      </c>
      <c r="AM282" s="883">
        <f t="shared" si="85"/>
        <v>0</v>
      </c>
      <c r="AN282" s="884">
        <v>441</v>
      </c>
      <c r="AO282" s="883">
        <f t="shared" si="86"/>
        <v>0</v>
      </c>
      <c r="AP282" s="881"/>
      <c r="AQ282" s="881"/>
      <c r="AR282" s="883">
        <v>0</v>
      </c>
      <c r="AS282" s="883">
        <v>0</v>
      </c>
      <c r="AT282" s="883">
        <v>0</v>
      </c>
      <c r="AU282" s="880"/>
      <c r="AV282" s="886"/>
      <c r="AW282" s="880"/>
      <c r="AX282" s="886"/>
      <c r="AY282" s="880"/>
      <c r="AZ282" s="880"/>
      <c r="BA282" s="881"/>
      <c r="BB282" s="881" t="s">
        <v>57</v>
      </c>
      <c r="BC282" s="881"/>
      <c r="BD282" s="881"/>
      <c r="BE282" s="884">
        <f t="shared" si="87"/>
        <v>4</v>
      </c>
      <c r="BF282" s="887" t="str">
        <f t="shared" si="88"/>
        <v>SI</v>
      </c>
      <c r="BG282" s="883">
        <f t="shared" si="89"/>
        <v>13.04</v>
      </c>
      <c r="BH282" s="883">
        <f t="shared" si="90"/>
        <v>0</v>
      </c>
      <c r="BI282" s="883">
        <f t="shared" si="91"/>
        <v>0</v>
      </c>
      <c r="BJ282" s="883">
        <f t="shared" si="92"/>
        <v>0</v>
      </c>
      <c r="BK282" s="883">
        <f t="shared" si="93"/>
        <v>0</v>
      </c>
      <c r="BL282" s="883">
        <f t="shared" si="94"/>
        <v>1.96</v>
      </c>
      <c r="BM282" s="881"/>
      <c r="BN282" s="880"/>
      <c r="BO282" s="882" t="s">
        <v>1579</v>
      </c>
      <c r="BP282" s="882" t="s">
        <v>2286</v>
      </c>
      <c r="BQ282" s="882" t="s">
        <v>2285</v>
      </c>
      <c r="BR282" s="880"/>
      <c r="BS282" s="880"/>
      <c r="BT282" s="880"/>
      <c r="BU282" s="880"/>
      <c r="BV282" s="880"/>
      <c r="BW282" s="883">
        <v>0</v>
      </c>
      <c r="BX282" s="883">
        <v>0</v>
      </c>
      <c r="BY282" s="883">
        <v>0</v>
      </c>
      <c r="BZ282" s="890"/>
      <c r="CA282" s="883">
        <f t="shared" si="95"/>
        <v>0</v>
      </c>
      <c r="CB282" s="880"/>
      <c r="CC282" s="881"/>
      <c r="CD282" s="883"/>
      <c r="CE282" s="883"/>
      <c r="CF282" s="883"/>
      <c r="CG282" s="883"/>
      <c r="CH282" s="883"/>
      <c r="CI282" s="883"/>
      <c r="CJ282" s="883"/>
      <c r="CK282" s="883"/>
      <c r="CL282" s="883"/>
      <c r="CM282" s="883"/>
      <c r="CN282" s="883"/>
      <c r="CO282" s="883"/>
      <c r="CP282" s="883"/>
      <c r="CQ282" s="883"/>
      <c r="CR282" s="883"/>
      <c r="CS282" s="883"/>
      <c r="CT282" s="883"/>
      <c r="CU282" s="883"/>
    </row>
    <row r="283" spans="1:99" x14ac:dyDescent="0.25">
      <c r="A283" s="880" t="s">
        <v>1787</v>
      </c>
      <c r="B283" s="881" t="s">
        <v>1788</v>
      </c>
      <c r="C283" s="880"/>
      <c r="D283" s="880"/>
      <c r="E283" s="884" t="s">
        <v>744</v>
      </c>
      <c r="F283" s="888">
        <v>1</v>
      </c>
      <c r="G283" s="881" t="s">
        <v>1007</v>
      </c>
      <c r="H283" s="881" t="s">
        <v>19</v>
      </c>
      <c r="I283" s="865">
        <v>46142</v>
      </c>
      <c r="J283" s="882" t="s">
        <v>8</v>
      </c>
      <c r="K283" s="880"/>
      <c r="L283" s="880"/>
      <c r="M283" s="883">
        <v>0</v>
      </c>
      <c r="N283" s="883">
        <v>0</v>
      </c>
      <c r="O283" s="883">
        <v>0</v>
      </c>
      <c r="P283" s="883">
        <v>13.04</v>
      </c>
      <c r="Q283" s="883">
        <v>15</v>
      </c>
      <c r="R283" s="883">
        <f t="shared" si="80"/>
        <v>1.96</v>
      </c>
      <c r="S283" s="883">
        <v>0</v>
      </c>
      <c r="T283" s="883">
        <v>5</v>
      </c>
      <c r="U283" s="883">
        <f t="shared" si="81"/>
        <v>0</v>
      </c>
      <c r="V283" s="883">
        <v>0</v>
      </c>
      <c r="W283" s="883">
        <v>8</v>
      </c>
      <c r="X283" s="883">
        <f t="shared" si="82"/>
        <v>0</v>
      </c>
      <c r="Y283" s="883">
        <v>0</v>
      </c>
      <c r="Z283" s="883">
        <v>0</v>
      </c>
      <c r="AA283" s="883">
        <v>0</v>
      </c>
      <c r="AB283" s="883">
        <f t="shared" si="83"/>
        <v>15</v>
      </c>
      <c r="AC283" s="883">
        <v>0</v>
      </c>
      <c r="AD283" s="881"/>
      <c r="AE283" s="880"/>
      <c r="AF283" s="883"/>
      <c r="AG283" s="889"/>
      <c r="AH283" s="880"/>
      <c r="AI283" s="880" t="s">
        <v>1241</v>
      </c>
      <c r="AJ283" s="884">
        <v>411</v>
      </c>
      <c r="AK283" s="883">
        <f t="shared" si="84"/>
        <v>13.04</v>
      </c>
      <c r="AL283" s="884">
        <v>413</v>
      </c>
      <c r="AM283" s="883">
        <f t="shared" si="85"/>
        <v>0</v>
      </c>
      <c r="AN283" s="884">
        <v>441</v>
      </c>
      <c r="AO283" s="883">
        <f t="shared" si="86"/>
        <v>0</v>
      </c>
      <c r="AP283" s="881"/>
      <c r="AQ283" s="881"/>
      <c r="AR283" s="883">
        <v>0</v>
      </c>
      <c r="AS283" s="883">
        <v>0</v>
      </c>
      <c r="AT283" s="883">
        <v>0</v>
      </c>
      <c r="AU283" s="880"/>
      <c r="AV283" s="886"/>
      <c r="AW283" s="880"/>
      <c r="AX283" s="886"/>
      <c r="AY283" s="880"/>
      <c r="AZ283" s="880"/>
      <c r="BA283" s="881"/>
      <c r="BB283" s="881" t="s">
        <v>57</v>
      </c>
      <c r="BC283" s="881"/>
      <c r="BD283" s="881"/>
      <c r="BE283" s="884">
        <f t="shared" si="87"/>
        <v>4</v>
      </c>
      <c r="BF283" s="887" t="str">
        <f t="shared" si="88"/>
        <v>SI</v>
      </c>
      <c r="BG283" s="883">
        <f t="shared" si="89"/>
        <v>13.04</v>
      </c>
      <c r="BH283" s="883">
        <f t="shared" si="90"/>
        <v>0</v>
      </c>
      <c r="BI283" s="883">
        <f t="shared" si="91"/>
        <v>0</v>
      </c>
      <c r="BJ283" s="883">
        <f t="shared" si="92"/>
        <v>0</v>
      </c>
      <c r="BK283" s="883">
        <f t="shared" si="93"/>
        <v>0</v>
      </c>
      <c r="BL283" s="883">
        <f t="shared" si="94"/>
        <v>1.96</v>
      </c>
      <c r="BM283" s="881"/>
      <c r="BN283" s="880"/>
      <c r="BO283" s="882" t="s">
        <v>1579</v>
      </c>
      <c r="BP283" s="882" t="s">
        <v>2286</v>
      </c>
      <c r="BQ283" s="882" t="s">
        <v>2285</v>
      </c>
      <c r="BR283" s="880"/>
      <c r="BS283" s="880"/>
      <c r="BT283" s="880"/>
      <c r="BU283" s="880"/>
      <c r="BV283" s="880"/>
      <c r="BW283" s="883">
        <v>0</v>
      </c>
      <c r="BX283" s="883">
        <v>0</v>
      </c>
      <c r="BY283" s="883">
        <v>0</v>
      </c>
      <c r="BZ283" s="890"/>
      <c r="CA283" s="883">
        <f t="shared" si="95"/>
        <v>0</v>
      </c>
      <c r="CB283" s="880"/>
      <c r="CC283" s="881"/>
      <c r="CD283" s="883"/>
      <c r="CE283" s="883"/>
      <c r="CF283" s="883"/>
      <c r="CG283" s="883"/>
      <c r="CH283" s="883"/>
      <c r="CI283" s="883"/>
      <c r="CJ283" s="883"/>
      <c r="CK283" s="883"/>
      <c r="CL283" s="883"/>
      <c r="CM283" s="883"/>
      <c r="CN283" s="883"/>
      <c r="CO283" s="883"/>
      <c r="CP283" s="883"/>
      <c r="CQ283" s="883"/>
      <c r="CR283" s="883"/>
      <c r="CS283" s="883"/>
      <c r="CT283" s="883"/>
      <c r="CU283" s="883"/>
    </row>
    <row r="284" spans="1:99" x14ac:dyDescent="0.25">
      <c r="A284" s="880" t="s">
        <v>1787</v>
      </c>
      <c r="B284" s="881" t="s">
        <v>1788</v>
      </c>
      <c r="C284" s="880"/>
      <c r="D284" s="880"/>
      <c r="E284" s="884" t="s">
        <v>744</v>
      </c>
      <c r="F284" s="888">
        <v>1</v>
      </c>
      <c r="G284" s="881" t="s">
        <v>1007</v>
      </c>
      <c r="H284" s="881" t="s">
        <v>19</v>
      </c>
      <c r="I284" s="865">
        <v>46142</v>
      </c>
      <c r="J284" s="882" t="s">
        <v>8</v>
      </c>
      <c r="K284" s="880"/>
      <c r="L284" s="880"/>
      <c r="M284" s="883">
        <v>0</v>
      </c>
      <c r="N284" s="883">
        <v>0</v>
      </c>
      <c r="O284" s="883">
        <v>0</v>
      </c>
      <c r="P284" s="883">
        <v>26.08</v>
      </c>
      <c r="Q284" s="883">
        <v>15</v>
      </c>
      <c r="R284" s="883">
        <f t="shared" si="80"/>
        <v>3.91</v>
      </c>
      <c r="S284" s="883">
        <v>0</v>
      </c>
      <c r="T284" s="883">
        <v>5</v>
      </c>
      <c r="U284" s="883">
        <f t="shared" si="81"/>
        <v>0</v>
      </c>
      <c r="V284" s="883">
        <v>0</v>
      </c>
      <c r="W284" s="883">
        <v>8</v>
      </c>
      <c r="X284" s="883">
        <f t="shared" si="82"/>
        <v>0</v>
      </c>
      <c r="Y284" s="883">
        <v>0</v>
      </c>
      <c r="Z284" s="883">
        <v>0</v>
      </c>
      <c r="AA284" s="883">
        <v>0</v>
      </c>
      <c r="AB284" s="883">
        <f t="shared" si="83"/>
        <v>29.99</v>
      </c>
      <c r="AC284" s="883">
        <v>0</v>
      </c>
      <c r="AD284" s="881"/>
      <c r="AE284" s="880"/>
      <c r="AF284" s="883"/>
      <c r="AG284" s="889"/>
      <c r="AH284" s="880"/>
      <c r="AI284" s="880" t="s">
        <v>1241</v>
      </c>
      <c r="AJ284" s="884">
        <v>411</v>
      </c>
      <c r="AK284" s="883">
        <f t="shared" si="84"/>
        <v>26.08</v>
      </c>
      <c r="AL284" s="884">
        <v>413</v>
      </c>
      <c r="AM284" s="883">
        <f t="shared" si="85"/>
        <v>0</v>
      </c>
      <c r="AN284" s="884">
        <v>441</v>
      </c>
      <c r="AO284" s="883">
        <f t="shared" si="86"/>
        <v>0</v>
      </c>
      <c r="AP284" s="881"/>
      <c r="AQ284" s="881"/>
      <c r="AR284" s="883">
        <v>0</v>
      </c>
      <c r="AS284" s="883">
        <v>0</v>
      </c>
      <c r="AT284" s="883">
        <v>0</v>
      </c>
      <c r="AU284" s="880"/>
      <c r="AV284" s="886"/>
      <c r="AW284" s="880"/>
      <c r="AX284" s="886"/>
      <c r="AY284" s="880"/>
      <c r="AZ284" s="880"/>
      <c r="BA284" s="881"/>
      <c r="BB284" s="881" t="s">
        <v>57</v>
      </c>
      <c r="BC284" s="881"/>
      <c r="BD284" s="881"/>
      <c r="BE284" s="884">
        <f t="shared" si="87"/>
        <v>4</v>
      </c>
      <c r="BF284" s="887" t="str">
        <f t="shared" si="88"/>
        <v>SI</v>
      </c>
      <c r="BG284" s="883">
        <f t="shared" si="89"/>
        <v>26.08</v>
      </c>
      <c r="BH284" s="883">
        <f t="shared" si="90"/>
        <v>0</v>
      </c>
      <c r="BI284" s="883">
        <f t="shared" si="91"/>
        <v>0</v>
      </c>
      <c r="BJ284" s="883">
        <f t="shared" si="92"/>
        <v>0</v>
      </c>
      <c r="BK284" s="883">
        <f t="shared" si="93"/>
        <v>0</v>
      </c>
      <c r="BL284" s="883">
        <f t="shared" si="94"/>
        <v>3.91</v>
      </c>
      <c r="BM284" s="881"/>
      <c r="BN284" s="880"/>
      <c r="BO284" s="882" t="s">
        <v>1579</v>
      </c>
      <c r="BP284" s="882" t="s">
        <v>2286</v>
      </c>
      <c r="BQ284" s="882" t="s">
        <v>2285</v>
      </c>
      <c r="BR284" s="880"/>
      <c r="BS284" s="880"/>
      <c r="BT284" s="880"/>
      <c r="BU284" s="880"/>
      <c r="BV284" s="880"/>
      <c r="BW284" s="883">
        <v>0</v>
      </c>
      <c r="BX284" s="883">
        <v>0</v>
      </c>
      <c r="BY284" s="883">
        <v>0</v>
      </c>
      <c r="BZ284" s="890"/>
      <c r="CA284" s="883">
        <f t="shared" si="95"/>
        <v>0</v>
      </c>
      <c r="CB284" s="880"/>
      <c r="CC284" s="881"/>
      <c r="CD284" s="883"/>
      <c r="CE284" s="883"/>
      <c r="CF284" s="883"/>
      <c r="CG284" s="883"/>
      <c r="CH284" s="883"/>
      <c r="CI284" s="883"/>
      <c r="CJ284" s="883"/>
      <c r="CK284" s="883"/>
      <c r="CL284" s="883"/>
      <c r="CM284" s="883"/>
      <c r="CN284" s="883"/>
      <c r="CO284" s="883"/>
      <c r="CP284" s="883"/>
      <c r="CQ284" s="883"/>
      <c r="CR284" s="883"/>
      <c r="CS284" s="883"/>
      <c r="CT284" s="883"/>
      <c r="CU284" s="883"/>
    </row>
    <row r="285" spans="1:99" x14ac:dyDescent="0.25">
      <c r="A285" s="880" t="s">
        <v>1787</v>
      </c>
      <c r="B285" s="881" t="s">
        <v>1788</v>
      </c>
      <c r="C285" s="880"/>
      <c r="D285" s="880"/>
      <c r="E285" s="884" t="s">
        <v>744</v>
      </c>
      <c r="F285" s="888">
        <v>1</v>
      </c>
      <c r="G285" s="881" t="s">
        <v>1007</v>
      </c>
      <c r="H285" s="881" t="s">
        <v>19</v>
      </c>
      <c r="I285" s="865">
        <v>46142</v>
      </c>
      <c r="J285" s="882" t="s">
        <v>8</v>
      </c>
      <c r="K285" s="880"/>
      <c r="L285" s="880"/>
      <c r="M285" s="883">
        <v>0</v>
      </c>
      <c r="N285" s="883">
        <v>0</v>
      </c>
      <c r="O285" s="883">
        <v>0</v>
      </c>
      <c r="P285" s="883">
        <v>31.25</v>
      </c>
      <c r="Q285" s="883">
        <v>15</v>
      </c>
      <c r="R285" s="883">
        <f t="shared" si="80"/>
        <v>4.6900000000000004</v>
      </c>
      <c r="S285" s="883">
        <v>0</v>
      </c>
      <c r="T285" s="883">
        <v>5</v>
      </c>
      <c r="U285" s="883">
        <f t="shared" si="81"/>
        <v>0</v>
      </c>
      <c r="V285" s="883">
        <v>0</v>
      </c>
      <c r="W285" s="883">
        <v>8</v>
      </c>
      <c r="X285" s="883">
        <f t="shared" si="82"/>
        <v>0</v>
      </c>
      <c r="Y285" s="883">
        <v>0</v>
      </c>
      <c r="Z285" s="883">
        <v>0</v>
      </c>
      <c r="AA285" s="883">
        <v>0</v>
      </c>
      <c r="AB285" s="883">
        <f t="shared" si="83"/>
        <v>35.94</v>
      </c>
      <c r="AC285" s="883">
        <v>0</v>
      </c>
      <c r="AD285" s="881"/>
      <c r="AE285" s="880"/>
      <c r="AF285" s="883"/>
      <c r="AG285" s="889"/>
      <c r="AH285" s="880"/>
      <c r="AI285" s="880" t="s">
        <v>1241</v>
      </c>
      <c r="AJ285" s="884">
        <v>411</v>
      </c>
      <c r="AK285" s="883">
        <f t="shared" si="84"/>
        <v>31.25</v>
      </c>
      <c r="AL285" s="884">
        <v>413</v>
      </c>
      <c r="AM285" s="883">
        <f t="shared" si="85"/>
        <v>0</v>
      </c>
      <c r="AN285" s="884">
        <v>441</v>
      </c>
      <c r="AO285" s="883">
        <f t="shared" si="86"/>
        <v>0</v>
      </c>
      <c r="AP285" s="881"/>
      <c r="AQ285" s="881"/>
      <c r="AR285" s="883">
        <v>0</v>
      </c>
      <c r="AS285" s="883">
        <v>0</v>
      </c>
      <c r="AT285" s="883">
        <v>0</v>
      </c>
      <c r="AU285" s="880"/>
      <c r="AV285" s="886"/>
      <c r="AW285" s="880"/>
      <c r="AX285" s="886"/>
      <c r="AY285" s="880"/>
      <c r="AZ285" s="880"/>
      <c r="BA285" s="881"/>
      <c r="BB285" s="881" t="s">
        <v>57</v>
      </c>
      <c r="BC285" s="881"/>
      <c r="BD285" s="881"/>
      <c r="BE285" s="884">
        <f t="shared" si="87"/>
        <v>4</v>
      </c>
      <c r="BF285" s="887" t="str">
        <f t="shared" si="88"/>
        <v>SI</v>
      </c>
      <c r="BG285" s="883">
        <f t="shared" si="89"/>
        <v>31.25</v>
      </c>
      <c r="BH285" s="883">
        <f t="shared" si="90"/>
        <v>0</v>
      </c>
      <c r="BI285" s="883">
        <f t="shared" si="91"/>
        <v>0</v>
      </c>
      <c r="BJ285" s="883">
        <f t="shared" si="92"/>
        <v>0</v>
      </c>
      <c r="BK285" s="883">
        <f t="shared" si="93"/>
        <v>0</v>
      </c>
      <c r="BL285" s="883">
        <f t="shared" si="94"/>
        <v>4.6900000000000004</v>
      </c>
      <c r="BM285" s="881"/>
      <c r="BN285" s="880"/>
      <c r="BO285" s="882" t="s">
        <v>1579</v>
      </c>
      <c r="BP285" s="882" t="s">
        <v>2286</v>
      </c>
      <c r="BQ285" s="882" t="s">
        <v>2285</v>
      </c>
      <c r="BR285" s="880"/>
      <c r="BS285" s="880"/>
      <c r="BT285" s="880"/>
      <c r="BU285" s="880"/>
      <c r="BV285" s="880"/>
      <c r="BW285" s="883">
        <v>0</v>
      </c>
      <c r="BX285" s="883">
        <v>0</v>
      </c>
      <c r="BY285" s="883">
        <v>0</v>
      </c>
      <c r="BZ285" s="890"/>
      <c r="CA285" s="883">
        <f t="shared" si="95"/>
        <v>0</v>
      </c>
      <c r="CB285" s="880"/>
      <c r="CC285" s="881"/>
      <c r="CD285" s="883"/>
      <c r="CE285" s="883"/>
      <c r="CF285" s="883"/>
      <c r="CG285" s="883"/>
      <c r="CH285" s="883"/>
      <c r="CI285" s="883"/>
      <c r="CJ285" s="883"/>
      <c r="CK285" s="883"/>
      <c r="CL285" s="883"/>
      <c r="CM285" s="883"/>
      <c r="CN285" s="883"/>
      <c r="CO285" s="883"/>
      <c r="CP285" s="883"/>
      <c r="CQ285" s="883"/>
      <c r="CR285" s="883"/>
      <c r="CS285" s="883"/>
      <c r="CT285" s="883"/>
      <c r="CU285" s="883"/>
    </row>
    <row r="286" spans="1:99" x14ac:dyDescent="0.25">
      <c r="A286" s="880" t="s">
        <v>1787</v>
      </c>
      <c r="B286" s="881" t="s">
        <v>1788</v>
      </c>
      <c r="C286" s="880"/>
      <c r="D286" s="880"/>
      <c r="E286" s="884" t="s">
        <v>744</v>
      </c>
      <c r="F286" s="888">
        <v>1</v>
      </c>
      <c r="G286" s="881" t="s">
        <v>1007</v>
      </c>
      <c r="H286" s="881" t="s">
        <v>19</v>
      </c>
      <c r="I286" s="865">
        <v>46142</v>
      </c>
      <c r="J286" s="882" t="s">
        <v>8</v>
      </c>
      <c r="K286" s="880"/>
      <c r="L286" s="880"/>
      <c r="M286" s="883">
        <v>0</v>
      </c>
      <c r="N286" s="883">
        <v>0</v>
      </c>
      <c r="O286" s="883">
        <v>0</v>
      </c>
      <c r="P286" s="883">
        <v>21.73</v>
      </c>
      <c r="Q286" s="883">
        <v>15</v>
      </c>
      <c r="R286" s="883">
        <f t="shared" si="80"/>
        <v>3.26</v>
      </c>
      <c r="S286" s="883">
        <v>0</v>
      </c>
      <c r="T286" s="883">
        <v>5</v>
      </c>
      <c r="U286" s="883">
        <f t="shared" si="81"/>
        <v>0</v>
      </c>
      <c r="V286" s="883">
        <v>0</v>
      </c>
      <c r="W286" s="883">
        <v>8</v>
      </c>
      <c r="X286" s="883">
        <f t="shared" si="82"/>
        <v>0</v>
      </c>
      <c r="Y286" s="883">
        <v>0</v>
      </c>
      <c r="Z286" s="883">
        <v>0</v>
      </c>
      <c r="AA286" s="883">
        <v>0</v>
      </c>
      <c r="AB286" s="883">
        <f t="shared" si="83"/>
        <v>24.99</v>
      </c>
      <c r="AC286" s="883">
        <v>0</v>
      </c>
      <c r="AD286" s="881"/>
      <c r="AE286" s="880"/>
      <c r="AF286" s="883"/>
      <c r="AG286" s="889"/>
      <c r="AH286" s="880"/>
      <c r="AI286" s="880" t="s">
        <v>1241</v>
      </c>
      <c r="AJ286" s="884">
        <v>411</v>
      </c>
      <c r="AK286" s="883">
        <f t="shared" si="84"/>
        <v>21.73</v>
      </c>
      <c r="AL286" s="884">
        <v>413</v>
      </c>
      <c r="AM286" s="883">
        <f t="shared" si="85"/>
        <v>0</v>
      </c>
      <c r="AN286" s="884">
        <v>441</v>
      </c>
      <c r="AO286" s="883">
        <f t="shared" si="86"/>
        <v>0</v>
      </c>
      <c r="AP286" s="881"/>
      <c r="AQ286" s="881"/>
      <c r="AR286" s="883">
        <v>0</v>
      </c>
      <c r="AS286" s="883">
        <v>0</v>
      </c>
      <c r="AT286" s="883">
        <v>0</v>
      </c>
      <c r="AU286" s="880"/>
      <c r="AV286" s="886"/>
      <c r="AW286" s="880"/>
      <c r="AX286" s="886"/>
      <c r="AY286" s="880"/>
      <c r="AZ286" s="880"/>
      <c r="BA286" s="881"/>
      <c r="BB286" s="881" t="s">
        <v>57</v>
      </c>
      <c r="BC286" s="881"/>
      <c r="BD286" s="881"/>
      <c r="BE286" s="884">
        <f t="shared" si="87"/>
        <v>4</v>
      </c>
      <c r="BF286" s="887" t="str">
        <f t="shared" si="88"/>
        <v>SI</v>
      </c>
      <c r="BG286" s="883">
        <f t="shared" si="89"/>
        <v>21.73</v>
      </c>
      <c r="BH286" s="883">
        <f t="shared" si="90"/>
        <v>0</v>
      </c>
      <c r="BI286" s="883">
        <f t="shared" si="91"/>
        <v>0</v>
      </c>
      <c r="BJ286" s="883">
        <f t="shared" si="92"/>
        <v>0</v>
      </c>
      <c r="BK286" s="883">
        <f t="shared" si="93"/>
        <v>0</v>
      </c>
      <c r="BL286" s="883">
        <f t="shared" si="94"/>
        <v>3.26</v>
      </c>
      <c r="BM286" s="881"/>
      <c r="BN286" s="880"/>
      <c r="BO286" s="882" t="s">
        <v>1579</v>
      </c>
      <c r="BP286" s="882" t="s">
        <v>2286</v>
      </c>
      <c r="BQ286" s="882" t="s">
        <v>2285</v>
      </c>
      <c r="BR286" s="880"/>
      <c r="BS286" s="880"/>
      <c r="BT286" s="880"/>
      <c r="BU286" s="880"/>
      <c r="BV286" s="880"/>
      <c r="BW286" s="883">
        <v>0</v>
      </c>
      <c r="BX286" s="883">
        <v>0</v>
      </c>
      <c r="BY286" s="883">
        <v>0</v>
      </c>
      <c r="BZ286" s="890"/>
      <c r="CA286" s="883">
        <f t="shared" si="95"/>
        <v>0</v>
      </c>
      <c r="CB286" s="880"/>
      <c r="CC286" s="881"/>
      <c r="CD286" s="883"/>
      <c r="CE286" s="883"/>
      <c r="CF286" s="883"/>
      <c r="CG286" s="883"/>
      <c r="CH286" s="883"/>
      <c r="CI286" s="883"/>
      <c r="CJ286" s="883"/>
      <c r="CK286" s="883"/>
      <c r="CL286" s="883"/>
      <c r="CM286" s="883"/>
      <c r="CN286" s="883"/>
      <c r="CO286" s="883"/>
      <c r="CP286" s="883"/>
      <c r="CQ286" s="883"/>
      <c r="CR286" s="883"/>
      <c r="CS286" s="883"/>
      <c r="CT286" s="883"/>
      <c r="CU286" s="883"/>
    </row>
    <row r="287" spans="1:99" x14ac:dyDescent="0.25">
      <c r="A287" s="880" t="s">
        <v>1787</v>
      </c>
      <c r="B287" s="881" t="s">
        <v>1788</v>
      </c>
      <c r="C287" s="880"/>
      <c r="D287" s="880"/>
      <c r="E287" s="884" t="s">
        <v>744</v>
      </c>
      <c r="F287" s="888">
        <v>1</v>
      </c>
      <c r="G287" s="881" t="s">
        <v>1007</v>
      </c>
      <c r="H287" s="881" t="s">
        <v>19</v>
      </c>
      <c r="I287" s="865">
        <v>46142</v>
      </c>
      <c r="J287" s="882" t="s">
        <v>8</v>
      </c>
      <c r="K287" s="880"/>
      <c r="L287" s="880"/>
      <c r="M287" s="883">
        <v>0</v>
      </c>
      <c r="N287" s="883">
        <v>0</v>
      </c>
      <c r="O287" s="883">
        <v>0</v>
      </c>
      <c r="P287" s="883">
        <v>34.78</v>
      </c>
      <c r="Q287" s="883">
        <v>15</v>
      </c>
      <c r="R287" s="883">
        <f t="shared" si="80"/>
        <v>5.22</v>
      </c>
      <c r="S287" s="883">
        <v>0</v>
      </c>
      <c r="T287" s="883">
        <v>5</v>
      </c>
      <c r="U287" s="883">
        <f t="shared" si="81"/>
        <v>0</v>
      </c>
      <c r="V287" s="883">
        <v>0</v>
      </c>
      <c r="W287" s="883">
        <v>8</v>
      </c>
      <c r="X287" s="883">
        <f t="shared" si="82"/>
        <v>0</v>
      </c>
      <c r="Y287" s="883">
        <v>0</v>
      </c>
      <c r="Z287" s="883">
        <v>0</v>
      </c>
      <c r="AA287" s="883">
        <v>0</v>
      </c>
      <c r="AB287" s="883">
        <f t="shared" si="83"/>
        <v>40</v>
      </c>
      <c r="AC287" s="883">
        <v>0</v>
      </c>
      <c r="AD287" s="881"/>
      <c r="AE287" s="880"/>
      <c r="AF287" s="883"/>
      <c r="AG287" s="889"/>
      <c r="AH287" s="880"/>
      <c r="AI287" s="880" t="s">
        <v>1241</v>
      </c>
      <c r="AJ287" s="884">
        <v>411</v>
      </c>
      <c r="AK287" s="883">
        <f t="shared" si="84"/>
        <v>34.78</v>
      </c>
      <c r="AL287" s="884">
        <v>413</v>
      </c>
      <c r="AM287" s="883">
        <f t="shared" si="85"/>
        <v>0</v>
      </c>
      <c r="AN287" s="884">
        <v>441</v>
      </c>
      <c r="AO287" s="883">
        <f t="shared" si="86"/>
        <v>0</v>
      </c>
      <c r="AP287" s="881"/>
      <c r="AQ287" s="881"/>
      <c r="AR287" s="883">
        <v>0</v>
      </c>
      <c r="AS287" s="883">
        <v>0</v>
      </c>
      <c r="AT287" s="883">
        <v>0</v>
      </c>
      <c r="AU287" s="880"/>
      <c r="AV287" s="886"/>
      <c r="AW287" s="880"/>
      <c r="AX287" s="886"/>
      <c r="AY287" s="880"/>
      <c r="AZ287" s="880"/>
      <c r="BA287" s="881"/>
      <c r="BB287" s="881" t="s">
        <v>57</v>
      </c>
      <c r="BC287" s="881"/>
      <c r="BD287" s="881"/>
      <c r="BE287" s="884">
        <f t="shared" si="87"/>
        <v>4</v>
      </c>
      <c r="BF287" s="887" t="str">
        <f t="shared" si="88"/>
        <v>SI</v>
      </c>
      <c r="BG287" s="883">
        <f t="shared" si="89"/>
        <v>34.78</v>
      </c>
      <c r="BH287" s="883">
        <f t="shared" si="90"/>
        <v>0</v>
      </c>
      <c r="BI287" s="883">
        <f t="shared" si="91"/>
        <v>0</v>
      </c>
      <c r="BJ287" s="883">
        <f t="shared" si="92"/>
        <v>0</v>
      </c>
      <c r="BK287" s="883">
        <f t="shared" si="93"/>
        <v>0</v>
      </c>
      <c r="BL287" s="883">
        <f t="shared" si="94"/>
        <v>5.22</v>
      </c>
      <c r="BM287" s="881"/>
      <c r="BN287" s="880"/>
      <c r="BO287" s="882" t="s">
        <v>1579</v>
      </c>
      <c r="BP287" s="882" t="s">
        <v>2286</v>
      </c>
      <c r="BQ287" s="882" t="s">
        <v>2285</v>
      </c>
      <c r="BR287" s="880"/>
      <c r="BS287" s="880"/>
      <c r="BT287" s="880"/>
      <c r="BU287" s="880"/>
      <c r="BV287" s="880"/>
      <c r="BW287" s="883">
        <v>0</v>
      </c>
      <c r="BX287" s="883">
        <v>0</v>
      </c>
      <c r="BY287" s="883">
        <v>0</v>
      </c>
      <c r="BZ287" s="890"/>
      <c r="CA287" s="883">
        <f t="shared" si="95"/>
        <v>0</v>
      </c>
      <c r="CB287" s="880"/>
      <c r="CC287" s="881"/>
      <c r="CD287" s="883"/>
      <c r="CE287" s="883"/>
      <c r="CF287" s="883"/>
      <c r="CG287" s="883"/>
      <c r="CH287" s="883"/>
      <c r="CI287" s="883"/>
      <c r="CJ287" s="883"/>
      <c r="CK287" s="883"/>
      <c r="CL287" s="883"/>
      <c r="CM287" s="883"/>
      <c r="CN287" s="883"/>
      <c r="CO287" s="883"/>
      <c r="CP287" s="883"/>
      <c r="CQ287" s="883"/>
      <c r="CR287" s="883"/>
      <c r="CS287" s="883"/>
      <c r="CT287" s="883"/>
      <c r="CU287" s="883"/>
    </row>
    <row r="288" spans="1:99" x14ac:dyDescent="0.25">
      <c r="A288" s="880" t="s">
        <v>1787</v>
      </c>
      <c r="B288" s="881" t="s">
        <v>1788</v>
      </c>
      <c r="C288" s="880"/>
      <c r="D288" s="880"/>
      <c r="E288" s="884" t="s">
        <v>744</v>
      </c>
      <c r="F288" s="888">
        <v>1</v>
      </c>
      <c r="G288" s="881" t="s">
        <v>1007</v>
      </c>
      <c r="H288" s="881" t="s">
        <v>19</v>
      </c>
      <c r="I288" s="865">
        <v>46142</v>
      </c>
      <c r="J288" s="882" t="s">
        <v>8</v>
      </c>
      <c r="K288" s="880"/>
      <c r="L288" s="880"/>
      <c r="M288" s="883">
        <v>0</v>
      </c>
      <c r="N288" s="883">
        <v>0</v>
      </c>
      <c r="O288" s="883">
        <v>0</v>
      </c>
      <c r="P288" s="883">
        <v>21.74</v>
      </c>
      <c r="Q288" s="883">
        <v>15</v>
      </c>
      <c r="R288" s="883">
        <f t="shared" si="80"/>
        <v>3.26</v>
      </c>
      <c r="S288" s="883">
        <v>0</v>
      </c>
      <c r="T288" s="883">
        <v>5</v>
      </c>
      <c r="U288" s="883">
        <f t="shared" si="81"/>
        <v>0</v>
      </c>
      <c r="V288" s="883">
        <v>0</v>
      </c>
      <c r="W288" s="883">
        <v>8</v>
      </c>
      <c r="X288" s="883">
        <f t="shared" si="82"/>
        <v>0</v>
      </c>
      <c r="Y288" s="883">
        <v>0</v>
      </c>
      <c r="Z288" s="883">
        <v>0</v>
      </c>
      <c r="AA288" s="883">
        <v>0</v>
      </c>
      <c r="AB288" s="883">
        <f t="shared" si="83"/>
        <v>25</v>
      </c>
      <c r="AC288" s="883">
        <v>0</v>
      </c>
      <c r="AD288" s="881"/>
      <c r="AE288" s="880"/>
      <c r="AF288" s="883"/>
      <c r="AG288" s="889"/>
      <c r="AH288" s="880"/>
      <c r="AI288" s="880" t="s">
        <v>1241</v>
      </c>
      <c r="AJ288" s="884">
        <v>411</v>
      </c>
      <c r="AK288" s="883">
        <f t="shared" si="84"/>
        <v>21.74</v>
      </c>
      <c r="AL288" s="884">
        <v>413</v>
      </c>
      <c r="AM288" s="883">
        <f t="shared" si="85"/>
        <v>0</v>
      </c>
      <c r="AN288" s="884">
        <v>441</v>
      </c>
      <c r="AO288" s="883">
        <f t="shared" si="86"/>
        <v>0</v>
      </c>
      <c r="AP288" s="881"/>
      <c r="AQ288" s="881"/>
      <c r="AR288" s="883">
        <v>0</v>
      </c>
      <c r="AS288" s="883">
        <v>0</v>
      </c>
      <c r="AT288" s="883">
        <v>0</v>
      </c>
      <c r="AU288" s="880"/>
      <c r="AV288" s="886"/>
      <c r="AW288" s="880"/>
      <c r="AX288" s="886"/>
      <c r="AY288" s="880"/>
      <c r="AZ288" s="880"/>
      <c r="BA288" s="881"/>
      <c r="BB288" s="881" t="s">
        <v>57</v>
      </c>
      <c r="BC288" s="881"/>
      <c r="BD288" s="881"/>
      <c r="BE288" s="884">
        <f t="shared" si="87"/>
        <v>4</v>
      </c>
      <c r="BF288" s="887" t="str">
        <f t="shared" si="88"/>
        <v>SI</v>
      </c>
      <c r="BG288" s="883">
        <f t="shared" si="89"/>
        <v>21.74</v>
      </c>
      <c r="BH288" s="883">
        <f t="shared" si="90"/>
        <v>0</v>
      </c>
      <c r="BI288" s="883">
        <f t="shared" si="91"/>
        <v>0</v>
      </c>
      <c r="BJ288" s="883">
        <f t="shared" si="92"/>
        <v>0</v>
      </c>
      <c r="BK288" s="883">
        <f t="shared" si="93"/>
        <v>0</v>
      </c>
      <c r="BL288" s="883">
        <f t="shared" si="94"/>
        <v>3.26</v>
      </c>
      <c r="BM288" s="881"/>
      <c r="BN288" s="880"/>
      <c r="BO288" s="882" t="s">
        <v>1579</v>
      </c>
      <c r="BP288" s="882" t="s">
        <v>2286</v>
      </c>
      <c r="BQ288" s="882" t="s">
        <v>2285</v>
      </c>
      <c r="BR288" s="880"/>
      <c r="BS288" s="880"/>
      <c r="BT288" s="880"/>
      <c r="BU288" s="880"/>
      <c r="BV288" s="880"/>
      <c r="BW288" s="883">
        <v>0</v>
      </c>
      <c r="BX288" s="883">
        <v>0</v>
      </c>
      <c r="BY288" s="883">
        <v>0</v>
      </c>
      <c r="BZ288" s="890"/>
      <c r="CA288" s="883">
        <f t="shared" si="95"/>
        <v>0</v>
      </c>
      <c r="CB288" s="880"/>
      <c r="CC288" s="881"/>
      <c r="CD288" s="883"/>
      <c r="CE288" s="883"/>
      <c r="CF288" s="883"/>
      <c r="CG288" s="883"/>
      <c r="CH288" s="883"/>
      <c r="CI288" s="883"/>
      <c r="CJ288" s="883"/>
      <c r="CK288" s="883"/>
      <c r="CL288" s="883"/>
      <c r="CM288" s="883"/>
      <c r="CN288" s="883"/>
      <c r="CO288" s="883"/>
      <c r="CP288" s="883"/>
      <c r="CQ288" s="883"/>
      <c r="CR288" s="883"/>
      <c r="CS288" s="883"/>
      <c r="CT288" s="883"/>
      <c r="CU288" s="883"/>
    </row>
    <row r="289" spans="1:99" x14ac:dyDescent="0.25">
      <c r="A289" s="880" t="s">
        <v>1787</v>
      </c>
      <c r="B289" s="881" t="s">
        <v>1788</v>
      </c>
      <c r="C289" s="880"/>
      <c r="D289" s="880"/>
      <c r="E289" s="884" t="s">
        <v>744</v>
      </c>
      <c r="F289" s="888">
        <v>1</v>
      </c>
      <c r="G289" s="881" t="s">
        <v>1007</v>
      </c>
      <c r="H289" s="881" t="s">
        <v>19</v>
      </c>
      <c r="I289" s="865">
        <v>46142</v>
      </c>
      <c r="J289" s="882" t="s">
        <v>8</v>
      </c>
      <c r="K289" s="880"/>
      <c r="L289" s="880"/>
      <c r="M289" s="883">
        <v>0</v>
      </c>
      <c r="N289" s="883">
        <v>0</v>
      </c>
      <c r="O289" s="883">
        <v>0</v>
      </c>
      <c r="P289" s="883">
        <v>21.73</v>
      </c>
      <c r="Q289" s="883">
        <v>15</v>
      </c>
      <c r="R289" s="883">
        <f t="shared" si="80"/>
        <v>3.26</v>
      </c>
      <c r="S289" s="883">
        <v>0</v>
      </c>
      <c r="T289" s="883">
        <v>5</v>
      </c>
      <c r="U289" s="883">
        <f t="shared" si="81"/>
        <v>0</v>
      </c>
      <c r="V289" s="883">
        <v>0</v>
      </c>
      <c r="W289" s="883">
        <v>8</v>
      </c>
      <c r="X289" s="883">
        <f t="shared" si="82"/>
        <v>0</v>
      </c>
      <c r="Y289" s="883">
        <v>0</v>
      </c>
      <c r="Z289" s="883">
        <v>0</v>
      </c>
      <c r="AA289" s="883">
        <v>0</v>
      </c>
      <c r="AB289" s="883">
        <f t="shared" si="83"/>
        <v>24.99</v>
      </c>
      <c r="AC289" s="883">
        <v>0</v>
      </c>
      <c r="AD289" s="881"/>
      <c r="AE289" s="880"/>
      <c r="AF289" s="883"/>
      <c r="AG289" s="889"/>
      <c r="AH289" s="880"/>
      <c r="AI289" s="880" t="s">
        <v>1241</v>
      </c>
      <c r="AJ289" s="884">
        <v>411</v>
      </c>
      <c r="AK289" s="883">
        <f t="shared" si="84"/>
        <v>21.73</v>
      </c>
      <c r="AL289" s="884">
        <v>413</v>
      </c>
      <c r="AM289" s="883">
        <f t="shared" si="85"/>
        <v>0</v>
      </c>
      <c r="AN289" s="884">
        <v>441</v>
      </c>
      <c r="AO289" s="883">
        <f t="shared" si="86"/>
        <v>0</v>
      </c>
      <c r="AP289" s="881"/>
      <c r="AQ289" s="881"/>
      <c r="AR289" s="883">
        <v>0</v>
      </c>
      <c r="AS289" s="883">
        <v>0</v>
      </c>
      <c r="AT289" s="883">
        <v>0</v>
      </c>
      <c r="AU289" s="880"/>
      <c r="AV289" s="886"/>
      <c r="AW289" s="880"/>
      <c r="AX289" s="886"/>
      <c r="AY289" s="880"/>
      <c r="AZ289" s="880"/>
      <c r="BA289" s="881"/>
      <c r="BB289" s="881" t="s">
        <v>57</v>
      </c>
      <c r="BC289" s="881"/>
      <c r="BD289" s="881"/>
      <c r="BE289" s="884">
        <f t="shared" si="87"/>
        <v>4</v>
      </c>
      <c r="BF289" s="887" t="str">
        <f t="shared" si="88"/>
        <v>SI</v>
      </c>
      <c r="BG289" s="883">
        <f t="shared" si="89"/>
        <v>21.73</v>
      </c>
      <c r="BH289" s="883">
        <f t="shared" si="90"/>
        <v>0</v>
      </c>
      <c r="BI289" s="883">
        <f t="shared" si="91"/>
        <v>0</v>
      </c>
      <c r="BJ289" s="883">
        <f t="shared" si="92"/>
        <v>0</v>
      </c>
      <c r="BK289" s="883">
        <f t="shared" si="93"/>
        <v>0</v>
      </c>
      <c r="BL289" s="883">
        <f t="shared" si="94"/>
        <v>3.26</v>
      </c>
      <c r="BM289" s="881"/>
      <c r="BN289" s="880"/>
      <c r="BO289" s="882" t="s">
        <v>1579</v>
      </c>
      <c r="BP289" s="882" t="s">
        <v>2286</v>
      </c>
      <c r="BQ289" s="882" t="s">
        <v>2285</v>
      </c>
      <c r="BR289" s="880"/>
      <c r="BS289" s="880"/>
      <c r="BT289" s="880"/>
      <c r="BU289" s="880"/>
      <c r="BV289" s="880"/>
      <c r="BW289" s="883">
        <v>0</v>
      </c>
      <c r="BX289" s="883">
        <v>0</v>
      </c>
      <c r="BY289" s="883">
        <v>0</v>
      </c>
      <c r="BZ289" s="890"/>
      <c r="CA289" s="883">
        <f t="shared" si="95"/>
        <v>0</v>
      </c>
      <c r="CB289" s="880"/>
      <c r="CC289" s="881"/>
      <c r="CD289" s="883"/>
      <c r="CE289" s="883"/>
      <c r="CF289" s="883"/>
      <c r="CG289" s="883"/>
      <c r="CH289" s="883"/>
      <c r="CI289" s="883"/>
      <c r="CJ289" s="883"/>
      <c r="CK289" s="883"/>
      <c r="CL289" s="883"/>
      <c r="CM289" s="883"/>
      <c r="CN289" s="883"/>
      <c r="CO289" s="883"/>
      <c r="CP289" s="883"/>
      <c r="CQ289" s="883"/>
      <c r="CR289" s="883"/>
      <c r="CS289" s="883"/>
      <c r="CT289" s="883"/>
      <c r="CU289" s="883"/>
    </row>
    <row r="290" spans="1:99" x14ac:dyDescent="0.25">
      <c r="A290" s="880" t="s">
        <v>1787</v>
      </c>
      <c r="B290" s="881" t="s">
        <v>1788</v>
      </c>
      <c r="C290" s="880"/>
      <c r="D290" s="880"/>
      <c r="E290" s="884" t="s">
        <v>744</v>
      </c>
      <c r="F290" s="888">
        <v>1</v>
      </c>
      <c r="G290" s="881" t="s">
        <v>1007</v>
      </c>
      <c r="H290" s="881" t="s">
        <v>19</v>
      </c>
      <c r="I290" s="865">
        <v>46142</v>
      </c>
      <c r="J290" s="882" t="s">
        <v>8</v>
      </c>
      <c r="K290" s="880"/>
      <c r="L290" s="880"/>
      <c r="M290" s="883">
        <v>0</v>
      </c>
      <c r="N290" s="883">
        <v>0</v>
      </c>
      <c r="O290" s="883">
        <v>0</v>
      </c>
      <c r="P290" s="883">
        <v>21.73</v>
      </c>
      <c r="Q290" s="883">
        <v>15</v>
      </c>
      <c r="R290" s="883">
        <f t="shared" si="80"/>
        <v>3.26</v>
      </c>
      <c r="S290" s="883">
        <v>0</v>
      </c>
      <c r="T290" s="883">
        <v>5</v>
      </c>
      <c r="U290" s="883">
        <f t="shared" si="81"/>
        <v>0</v>
      </c>
      <c r="V290" s="883">
        <v>0</v>
      </c>
      <c r="W290" s="883">
        <v>8</v>
      </c>
      <c r="X290" s="883">
        <f t="shared" si="82"/>
        <v>0</v>
      </c>
      <c r="Y290" s="883">
        <v>0</v>
      </c>
      <c r="Z290" s="883">
        <v>0</v>
      </c>
      <c r="AA290" s="883">
        <v>0</v>
      </c>
      <c r="AB290" s="883">
        <f t="shared" si="83"/>
        <v>24.99</v>
      </c>
      <c r="AC290" s="883">
        <v>0</v>
      </c>
      <c r="AD290" s="881"/>
      <c r="AE290" s="880"/>
      <c r="AF290" s="883"/>
      <c r="AG290" s="889"/>
      <c r="AH290" s="880"/>
      <c r="AI290" s="880" t="s">
        <v>1241</v>
      </c>
      <c r="AJ290" s="884">
        <v>411</v>
      </c>
      <c r="AK290" s="883">
        <f t="shared" si="84"/>
        <v>21.73</v>
      </c>
      <c r="AL290" s="884">
        <v>413</v>
      </c>
      <c r="AM290" s="883">
        <f t="shared" si="85"/>
        <v>0</v>
      </c>
      <c r="AN290" s="884">
        <v>441</v>
      </c>
      <c r="AO290" s="883">
        <f t="shared" si="86"/>
        <v>0</v>
      </c>
      <c r="AP290" s="881"/>
      <c r="AQ290" s="881"/>
      <c r="AR290" s="883">
        <v>0</v>
      </c>
      <c r="AS290" s="883">
        <v>0</v>
      </c>
      <c r="AT290" s="883">
        <v>0</v>
      </c>
      <c r="AU290" s="880"/>
      <c r="AV290" s="886"/>
      <c r="AW290" s="880"/>
      <c r="AX290" s="886"/>
      <c r="AY290" s="880"/>
      <c r="AZ290" s="880"/>
      <c r="BA290" s="881"/>
      <c r="BB290" s="881" t="s">
        <v>57</v>
      </c>
      <c r="BC290" s="881"/>
      <c r="BD290" s="881"/>
      <c r="BE290" s="884">
        <f t="shared" si="87"/>
        <v>4</v>
      </c>
      <c r="BF290" s="887" t="str">
        <f t="shared" si="88"/>
        <v>SI</v>
      </c>
      <c r="BG290" s="883">
        <f t="shared" si="89"/>
        <v>21.73</v>
      </c>
      <c r="BH290" s="883">
        <f t="shared" si="90"/>
        <v>0</v>
      </c>
      <c r="BI290" s="883">
        <f t="shared" si="91"/>
        <v>0</v>
      </c>
      <c r="BJ290" s="883">
        <f t="shared" si="92"/>
        <v>0</v>
      </c>
      <c r="BK290" s="883">
        <f t="shared" si="93"/>
        <v>0</v>
      </c>
      <c r="BL290" s="883">
        <f t="shared" si="94"/>
        <v>3.26</v>
      </c>
      <c r="BM290" s="881"/>
      <c r="BN290" s="880"/>
      <c r="BO290" s="882" t="s">
        <v>1579</v>
      </c>
      <c r="BP290" s="882" t="s">
        <v>2286</v>
      </c>
      <c r="BQ290" s="882" t="s">
        <v>2285</v>
      </c>
      <c r="BR290" s="880"/>
      <c r="BS290" s="880"/>
      <c r="BT290" s="880"/>
      <c r="BU290" s="880"/>
      <c r="BV290" s="880"/>
      <c r="BW290" s="883">
        <v>0</v>
      </c>
      <c r="BX290" s="883">
        <v>0</v>
      </c>
      <c r="BY290" s="883">
        <v>0</v>
      </c>
      <c r="BZ290" s="890"/>
      <c r="CA290" s="883">
        <f t="shared" si="95"/>
        <v>0</v>
      </c>
      <c r="CB290" s="880"/>
      <c r="CC290" s="881"/>
      <c r="CD290" s="883"/>
      <c r="CE290" s="883"/>
      <c r="CF290" s="883"/>
      <c r="CG290" s="883"/>
      <c r="CH290" s="883"/>
      <c r="CI290" s="883"/>
      <c r="CJ290" s="883"/>
      <c r="CK290" s="883"/>
      <c r="CL290" s="883"/>
      <c r="CM290" s="883"/>
      <c r="CN290" s="883"/>
      <c r="CO290" s="883"/>
      <c r="CP290" s="883"/>
      <c r="CQ290" s="883"/>
      <c r="CR290" s="883"/>
      <c r="CS290" s="883"/>
      <c r="CT290" s="883"/>
      <c r="CU290" s="883"/>
    </row>
    <row r="291" spans="1:99" x14ac:dyDescent="0.25">
      <c r="A291" s="880" t="s">
        <v>1787</v>
      </c>
      <c r="B291" s="881" t="s">
        <v>1788</v>
      </c>
      <c r="C291" s="880"/>
      <c r="D291" s="880"/>
      <c r="E291" s="884" t="s">
        <v>744</v>
      </c>
      <c r="F291" s="888">
        <v>1</v>
      </c>
      <c r="G291" s="881" t="s">
        <v>1007</v>
      </c>
      <c r="H291" s="881" t="s">
        <v>19</v>
      </c>
      <c r="I291" s="865">
        <v>46142</v>
      </c>
      <c r="J291" s="882" t="s">
        <v>8</v>
      </c>
      <c r="K291" s="880"/>
      <c r="L291" s="880"/>
      <c r="M291" s="883">
        <v>0</v>
      </c>
      <c r="N291" s="883">
        <v>0</v>
      </c>
      <c r="O291" s="883">
        <v>0</v>
      </c>
      <c r="P291" s="883">
        <v>21.74</v>
      </c>
      <c r="Q291" s="883">
        <v>15</v>
      </c>
      <c r="R291" s="883">
        <f t="shared" si="80"/>
        <v>3.26</v>
      </c>
      <c r="S291" s="883">
        <v>0</v>
      </c>
      <c r="T291" s="883">
        <v>5</v>
      </c>
      <c r="U291" s="883">
        <f t="shared" si="81"/>
        <v>0</v>
      </c>
      <c r="V291" s="883">
        <v>0</v>
      </c>
      <c r="W291" s="883">
        <v>8</v>
      </c>
      <c r="X291" s="883">
        <f t="shared" si="82"/>
        <v>0</v>
      </c>
      <c r="Y291" s="883">
        <v>0</v>
      </c>
      <c r="Z291" s="883">
        <v>0</v>
      </c>
      <c r="AA291" s="883">
        <v>0</v>
      </c>
      <c r="AB291" s="883">
        <f t="shared" si="83"/>
        <v>25</v>
      </c>
      <c r="AC291" s="883">
        <v>0</v>
      </c>
      <c r="AD291" s="881"/>
      <c r="AE291" s="880"/>
      <c r="AF291" s="883"/>
      <c r="AG291" s="889"/>
      <c r="AH291" s="880"/>
      <c r="AI291" s="880" t="s">
        <v>1241</v>
      </c>
      <c r="AJ291" s="884">
        <v>411</v>
      </c>
      <c r="AK291" s="883">
        <f t="shared" si="84"/>
        <v>21.74</v>
      </c>
      <c r="AL291" s="884">
        <v>413</v>
      </c>
      <c r="AM291" s="883">
        <f t="shared" si="85"/>
        <v>0</v>
      </c>
      <c r="AN291" s="884">
        <v>441</v>
      </c>
      <c r="AO291" s="883">
        <f t="shared" si="86"/>
        <v>0</v>
      </c>
      <c r="AP291" s="881"/>
      <c r="AQ291" s="881"/>
      <c r="AR291" s="883">
        <v>0</v>
      </c>
      <c r="AS291" s="883">
        <v>0</v>
      </c>
      <c r="AT291" s="883">
        <v>0</v>
      </c>
      <c r="AU291" s="880"/>
      <c r="AV291" s="886"/>
      <c r="AW291" s="880"/>
      <c r="AX291" s="886"/>
      <c r="AY291" s="880"/>
      <c r="AZ291" s="880"/>
      <c r="BA291" s="881"/>
      <c r="BB291" s="881" t="s">
        <v>57</v>
      </c>
      <c r="BC291" s="881"/>
      <c r="BD291" s="881"/>
      <c r="BE291" s="884">
        <f t="shared" si="87"/>
        <v>4</v>
      </c>
      <c r="BF291" s="887" t="str">
        <f t="shared" si="88"/>
        <v>SI</v>
      </c>
      <c r="BG291" s="883">
        <f t="shared" si="89"/>
        <v>21.74</v>
      </c>
      <c r="BH291" s="883">
        <f t="shared" si="90"/>
        <v>0</v>
      </c>
      <c r="BI291" s="883">
        <f t="shared" si="91"/>
        <v>0</v>
      </c>
      <c r="BJ291" s="883">
        <f t="shared" si="92"/>
        <v>0</v>
      </c>
      <c r="BK291" s="883">
        <f t="shared" si="93"/>
        <v>0</v>
      </c>
      <c r="BL291" s="883">
        <f t="shared" si="94"/>
        <v>3.26</v>
      </c>
      <c r="BM291" s="881"/>
      <c r="BN291" s="880"/>
      <c r="BO291" s="882" t="s">
        <v>1579</v>
      </c>
      <c r="BP291" s="882" t="s">
        <v>2286</v>
      </c>
      <c r="BQ291" s="882" t="s">
        <v>2285</v>
      </c>
      <c r="BR291" s="880"/>
      <c r="BS291" s="880"/>
      <c r="BT291" s="880"/>
      <c r="BU291" s="880"/>
      <c r="BV291" s="880"/>
      <c r="BW291" s="883">
        <v>0</v>
      </c>
      <c r="BX291" s="883">
        <v>0</v>
      </c>
      <c r="BY291" s="883">
        <v>0</v>
      </c>
      <c r="BZ291" s="890"/>
      <c r="CA291" s="883">
        <f t="shared" si="95"/>
        <v>0</v>
      </c>
      <c r="CB291" s="880"/>
      <c r="CC291" s="881"/>
      <c r="CD291" s="883"/>
      <c r="CE291" s="883"/>
      <c r="CF291" s="883"/>
      <c r="CG291" s="883"/>
      <c r="CH291" s="883"/>
      <c r="CI291" s="883"/>
      <c r="CJ291" s="883"/>
      <c r="CK291" s="883"/>
      <c r="CL291" s="883"/>
      <c r="CM291" s="883"/>
      <c r="CN291" s="883"/>
      <c r="CO291" s="883"/>
      <c r="CP291" s="883"/>
      <c r="CQ291" s="883"/>
      <c r="CR291" s="883"/>
      <c r="CS291" s="883"/>
      <c r="CT291" s="883"/>
      <c r="CU291" s="883"/>
    </row>
    <row r="292" spans="1:99" x14ac:dyDescent="0.25">
      <c r="A292" s="880" t="s">
        <v>1787</v>
      </c>
      <c r="B292" s="881" t="s">
        <v>1788</v>
      </c>
      <c r="C292" s="880"/>
      <c r="D292" s="880"/>
      <c r="E292" s="884" t="s">
        <v>744</v>
      </c>
      <c r="F292" s="888">
        <v>1</v>
      </c>
      <c r="G292" s="881" t="s">
        <v>1007</v>
      </c>
      <c r="H292" s="881" t="s">
        <v>19</v>
      </c>
      <c r="I292" s="865">
        <v>46142</v>
      </c>
      <c r="J292" s="882" t="s">
        <v>8</v>
      </c>
      <c r="K292" s="880"/>
      <c r="L292" s="880"/>
      <c r="M292" s="883">
        <v>0</v>
      </c>
      <c r="N292" s="883">
        <v>0</v>
      </c>
      <c r="O292" s="883">
        <v>0</v>
      </c>
      <c r="P292" s="883">
        <v>17.850000000000001</v>
      </c>
      <c r="Q292" s="883">
        <v>15</v>
      </c>
      <c r="R292" s="883">
        <f t="shared" si="80"/>
        <v>2.68</v>
      </c>
      <c r="S292" s="883">
        <v>0</v>
      </c>
      <c r="T292" s="883">
        <v>5</v>
      </c>
      <c r="U292" s="883">
        <f t="shared" si="81"/>
        <v>0</v>
      </c>
      <c r="V292" s="883">
        <v>0</v>
      </c>
      <c r="W292" s="883">
        <v>8</v>
      </c>
      <c r="X292" s="883">
        <f t="shared" si="82"/>
        <v>0</v>
      </c>
      <c r="Y292" s="883">
        <v>0</v>
      </c>
      <c r="Z292" s="883">
        <v>0</v>
      </c>
      <c r="AA292" s="883">
        <v>0</v>
      </c>
      <c r="AB292" s="883">
        <f t="shared" si="83"/>
        <v>20.53</v>
      </c>
      <c r="AC292" s="883">
        <v>0</v>
      </c>
      <c r="AD292" s="881"/>
      <c r="AE292" s="880"/>
      <c r="AF292" s="883"/>
      <c r="AG292" s="889"/>
      <c r="AH292" s="880"/>
      <c r="AI292" s="880" t="s">
        <v>1241</v>
      </c>
      <c r="AJ292" s="884">
        <v>411</v>
      </c>
      <c r="AK292" s="883">
        <f t="shared" si="84"/>
        <v>17.850000000000001</v>
      </c>
      <c r="AL292" s="884">
        <v>413</v>
      </c>
      <c r="AM292" s="883">
        <f t="shared" si="85"/>
        <v>0</v>
      </c>
      <c r="AN292" s="884">
        <v>441</v>
      </c>
      <c r="AO292" s="883">
        <f t="shared" si="86"/>
        <v>0</v>
      </c>
      <c r="AP292" s="881"/>
      <c r="AQ292" s="881"/>
      <c r="AR292" s="883">
        <v>0</v>
      </c>
      <c r="AS292" s="883">
        <v>0</v>
      </c>
      <c r="AT292" s="883">
        <v>0</v>
      </c>
      <c r="AU292" s="880"/>
      <c r="AV292" s="886"/>
      <c r="AW292" s="880"/>
      <c r="AX292" s="886"/>
      <c r="AY292" s="880"/>
      <c r="AZ292" s="880"/>
      <c r="BA292" s="881"/>
      <c r="BB292" s="881" t="s">
        <v>57</v>
      </c>
      <c r="BC292" s="881"/>
      <c r="BD292" s="881"/>
      <c r="BE292" s="884">
        <f t="shared" si="87"/>
        <v>4</v>
      </c>
      <c r="BF292" s="887" t="str">
        <f t="shared" si="88"/>
        <v>SI</v>
      </c>
      <c r="BG292" s="883">
        <f t="shared" si="89"/>
        <v>17.850000000000001</v>
      </c>
      <c r="BH292" s="883">
        <f t="shared" si="90"/>
        <v>0</v>
      </c>
      <c r="BI292" s="883">
        <f t="shared" si="91"/>
        <v>0</v>
      </c>
      <c r="BJ292" s="883">
        <f t="shared" si="92"/>
        <v>0</v>
      </c>
      <c r="BK292" s="883">
        <f t="shared" si="93"/>
        <v>0</v>
      </c>
      <c r="BL292" s="883">
        <f t="shared" si="94"/>
        <v>2.68</v>
      </c>
      <c r="BM292" s="881"/>
      <c r="BN292" s="880"/>
      <c r="BO292" s="882" t="s">
        <v>1579</v>
      </c>
      <c r="BP292" s="882" t="s">
        <v>2286</v>
      </c>
      <c r="BQ292" s="882" t="s">
        <v>2285</v>
      </c>
      <c r="BR292" s="880"/>
      <c r="BS292" s="880"/>
      <c r="BT292" s="880"/>
      <c r="BU292" s="880"/>
      <c r="BV292" s="880"/>
      <c r="BW292" s="883">
        <v>0</v>
      </c>
      <c r="BX292" s="883">
        <v>0</v>
      </c>
      <c r="BY292" s="883">
        <v>0</v>
      </c>
      <c r="BZ292" s="890"/>
      <c r="CA292" s="883">
        <f t="shared" si="95"/>
        <v>0</v>
      </c>
      <c r="CB292" s="880"/>
      <c r="CC292" s="881"/>
      <c r="CD292" s="883"/>
      <c r="CE292" s="883"/>
      <c r="CF292" s="883"/>
      <c r="CG292" s="883"/>
      <c r="CH292" s="883"/>
      <c r="CI292" s="883"/>
      <c r="CJ292" s="883"/>
      <c r="CK292" s="883"/>
      <c r="CL292" s="883"/>
      <c r="CM292" s="883"/>
      <c r="CN292" s="883"/>
      <c r="CO292" s="883"/>
      <c r="CP292" s="883"/>
      <c r="CQ292" s="883"/>
      <c r="CR292" s="883"/>
      <c r="CS292" s="883"/>
      <c r="CT292" s="883"/>
      <c r="CU292" s="883"/>
    </row>
    <row r="293" spans="1:99" x14ac:dyDescent="0.25">
      <c r="A293" s="880" t="s">
        <v>1787</v>
      </c>
      <c r="B293" s="881" t="s">
        <v>1788</v>
      </c>
      <c r="C293" s="880"/>
      <c r="D293" s="880"/>
      <c r="E293" s="884" t="s">
        <v>744</v>
      </c>
      <c r="F293" s="888">
        <v>1</v>
      </c>
      <c r="G293" s="881" t="s">
        <v>1007</v>
      </c>
      <c r="H293" s="881" t="s">
        <v>19</v>
      </c>
      <c r="I293" s="865">
        <v>46142</v>
      </c>
      <c r="J293" s="882" t="s">
        <v>8</v>
      </c>
      <c r="K293" s="880"/>
      <c r="L293" s="880"/>
      <c r="M293" s="883">
        <v>0</v>
      </c>
      <c r="N293" s="883">
        <v>0</v>
      </c>
      <c r="O293" s="883">
        <v>0</v>
      </c>
      <c r="P293" s="883">
        <v>22.32</v>
      </c>
      <c r="Q293" s="883">
        <v>15</v>
      </c>
      <c r="R293" s="883">
        <f t="shared" si="80"/>
        <v>3.35</v>
      </c>
      <c r="S293" s="883">
        <v>0</v>
      </c>
      <c r="T293" s="883">
        <v>5</v>
      </c>
      <c r="U293" s="883">
        <f t="shared" si="81"/>
        <v>0</v>
      </c>
      <c r="V293" s="883">
        <v>0</v>
      </c>
      <c r="W293" s="883">
        <v>8</v>
      </c>
      <c r="X293" s="883">
        <f t="shared" si="82"/>
        <v>0</v>
      </c>
      <c r="Y293" s="883">
        <v>0</v>
      </c>
      <c r="Z293" s="883">
        <v>0</v>
      </c>
      <c r="AA293" s="883">
        <v>0</v>
      </c>
      <c r="AB293" s="883">
        <f t="shared" si="83"/>
        <v>25.67</v>
      </c>
      <c r="AC293" s="883">
        <v>0</v>
      </c>
      <c r="AD293" s="881"/>
      <c r="AE293" s="880"/>
      <c r="AF293" s="883"/>
      <c r="AG293" s="889"/>
      <c r="AH293" s="880"/>
      <c r="AI293" s="880" t="s">
        <v>1241</v>
      </c>
      <c r="AJ293" s="884">
        <v>411</v>
      </c>
      <c r="AK293" s="883">
        <f t="shared" si="84"/>
        <v>22.32</v>
      </c>
      <c r="AL293" s="884">
        <v>413</v>
      </c>
      <c r="AM293" s="883">
        <f t="shared" si="85"/>
        <v>0</v>
      </c>
      <c r="AN293" s="884">
        <v>441</v>
      </c>
      <c r="AO293" s="883">
        <f t="shared" si="86"/>
        <v>0</v>
      </c>
      <c r="AP293" s="881"/>
      <c r="AQ293" s="881"/>
      <c r="AR293" s="883">
        <v>0</v>
      </c>
      <c r="AS293" s="883">
        <v>0</v>
      </c>
      <c r="AT293" s="883">
        <v>0</v>
      </c>
      <c r="AU293" s="880"/>
      <c r="AV293" s="886"/>
      <c r="AW293" s="880"/>
      <c r="AX293" s="886"/>
      <c r="AY293" s="880"/>
      <c r="AZ293" s="880"/>
      <c r="BA293" s="881"/>
      <c r="BB293" s="881" t="s">
        <v>57</v>
      </c>
      <c r="BC293" s="881"/>
      <c r="BD293" s="881"/>
      <c r="BE293" s="884">
        <f t="shared" si="87"/>
        <v>4</v>
      </c>
      <c r="BF293" s="887" t="str">
        <f t="shared" si="88"/>
        <v>SI</v>
      </c>
      <c r="BG293" s="883">
        <f t="shared" si="89"/>
        <v>22.32</v>
      </c>
      <c r="BH293" s="883">
        <f t="shared" si="90"/>
        <v>0</v>
      </c>
      <c r="BI293" s="883">
        <f t="shared" si="91"/>
        <v>0</v>
      </c>
      <c r="BJ293" s="883">
        <f t="shared" si="92"/>
        <v>0</v>
      </c>
      <c r="BK293" s="883">
        <f t="shared" si="93"/>
        <v>0</v>
      </c>
      <c r="BL293" s="883">
        <f t="shared" si="94"/>
        <v>3.35</v>
      </c>
      <c r="BM293" s="881"/>
      <c r="BN293" s="880"/>
      <c r="BO293" s="882" t="s">
        <v>1579</v>
      </c>
      <c r="BP293" s="882" t="s">
        <v>2286</v>
      </c>
      <c r="BQ293" s="882" t="s">
        <v>2285</v>
      </c>
      <c r="BR293" s="880"/>
      <c r="BS293" s="880"/>
      <c r="BT293" s="880"/>
      <c r="BU293" s="880"/>
      <c r="BV293" s="880"/>
      <c r="BW293" s="883">
        <v>0</v>
      </c>
      <c r="BX293" s="883">
        <v>0</v>
      </c>
      <c r="BY293" s="883">
        <v>0</v>
      </c>
      <c r="BZ293" s="890"/>
      <c r="CA293" s="883">
        <f t="shared" si="95"/>
        <v>0</v>
      </c>
      <c r="CB293" s="880"/>
      <c r="CC293" s="881"/>
      <c r="CD293" s="883"/>
      <c r="CE293" s="883"/>
      <c r="CF293" s="883"/>
      <c r="CG293" s="883"/>
      <c r="CH293" s="883"/>
      <c r="CI293" s="883"/>
      <c r="CJ293" s="883"/>
      <c r="CK293" s="883"/>
      <c r="CL293" s="883"/>
      <c r="CM293" s="883"/>
      <c r="CN293" s="883"/>
      <c r="CO293" s="883"/>
      <c r="CP293" s="883"/>
      <c r="CQ293" s="883"/>
      <c r="CR293" s="883"/>
      <c r="CS293" s="883"/>
      <c r="CT293" s="883"/>
      <c r="CU293" s="883"/>
    </row>
    <row r="294" spans="1:99" x14ac:dyDescent="0.25">
      <c r="A294" s="880" t="s">
        <v>1787</v>
      </c>
      <c r="B294" s="881" t="s">
        <v>1788</v>
      </c>
      <c r="C294" s="880"/>
      <c r="D294" s="880"/>
      <c r="E294" s="884" t="s">
        <v>744</v>
      </c>
      <c r="F294" s="888">
        <v>1</v>
      </c>
      <c r="G294" s="881" t="s">
        <v>1007</v>
      </c>
      <c r="H294" s="881" t="s">
        <v>19</v>
      </c>
      <c r="I294" s="865">
        <v>46142</v>
      </c>
      <c r="J294" s="882" t="s">
        <v>8</v>
      </c>
      <c r="K294" s="880"/>
      <c r="L294" s="880"/>
      <c r="M294" s="883">
        <v>0</v>
      </c>
      <c r="N294" s="883">
        <v>0</v>
      </c>
      <c r="O294" s="883">
        <v>0</v>
      </c>
      <c r="P294" s="883">
        <v>21.74</v>
      </c>
      <c r="Q294" s="883">
        <v>15</v>
      </c>
      <c r="R294" s="883">
        <f t="shared" si="80"/>
        <v>3.26</v>
      </c>
      <c r="S294" s="883">
        <v>0</v>
      </c>
      <c r="T294" s="883">
        <v>5</v>
      </c>
      <c r="U294" s="883">
        <f t="shared" si="81"/>
        <v>0</v>
      </c>
      <c r="V294" s="883">
        <v>0</v>
      </c>
      <c r="W294" s="883">
        <v>8</v>
      </c>
      <c r="X294" s="883">
        <f t="shared" si="82"/>
        <v>0</v>
      </c>
      <c r="Y294" s="883">
        <v>0</v>
      </c>
      <c r="Z294" s="883">
        <v>0</v>
      </c>
      <c r="AA294" s="883">
        <v>0</v>
      </c>
      <c r="AB294" s="883">
        <f t="shared" si="83"/>
        <v>25</v>
      </c>
      <c r="AC294" s="883">
        <v>0</v>
      </c>
      <c r="AD294" s="881"/>
      <c r="AE294" s="880"/>
      <c r="AF294" s="883"/>
      <c r="AG294" s="889"/>
      <c r="AH294" s="880"/>
      <c r="AI294" s="880" t="s">
        <v>1241</v>
      </c>
      <c r="AJ294" s="884">
        <v>411</v>
      </c>
      <c r="AK294" s="883">
        <f t="shared" si="84"/>
        <v>21.74</v>
      </c>
      <c r="AL294" s="884">
        <v>413</v>
      </c>
      <c r="AM294" s="883">
        <f t="shared" si="85"/>
        <v>0</v>
      </c>
      <c r="AN294" s="884">
        <v>441</v>
      </c>
      <c r="AO294" s="883">
        <f t="shared" si="86"/>
        <v>0</v>
      </c>
      <c r="AP294" s="881"/>
      <c r="AQ294" s="881"/>
      <c r="AR294" s="883">
        <v>0</v>
      </c>
      <c r="AS294" s="883">
        <v>0</v>
      </c>
      <c r="AT294" s="883">
        <v>0</v>
      </c>
      <c r="AU294" s="880"/>
      <c r="AV294" s="886"/>
      <c r="AW294" s="880"/>
      <c r="AX294" s="886"/>
      <c r="AY294" s="880"/>
      <c r="AZ294" s="880"/>
      <c r="BA294" s="881"/>
      <c r="BB294" s="881" t="s">
        <v>57</v>
      </c>
      <c r="BC294" s="881"/>
      <c r="BD294" s="881"/>
      <c r="BE294" s="884">
        <f t="shared" si="87"/>
        <v>4</v>
      </c>
      <c r="BF294" s="887" t="str">
        <f t="shared" si="88"/>
        <v>SI</v>
      </c>
      <c r="BG294" s="883">
        <f t="shared" si="89"/>
        <v>21.74</v>
      </c>
      <c r="BH294" s="883">
        <f t="shared" si="90"/>
        <v>0</v>
      </c>
      <c r="BI294" s="883">
        <f t="shared" si="91"/>
        <v>0</v>
      </c>
      <c r="BJ294" s="883">
        <f t="shared" si="92"/>
        <v>0</v>
      </c>
      <c r="BK294" s="883">
        <f t="shared" si="93"/>
        <v>0</v>
      </c>
      <c r="BL294" s="883">
        <f t="shared" si="94"/>
        <v>3.26</v>
      </c>
      <c r="BM294" s="881"/>
      <c r="BN294" s="880"/>
      <c r="BO294" s="882" t="s">
        <v>1579</v>
      </c>
      <c r="BP294" s="882" t="s">
        <v>2286</v>
      </c>
      <c r="BQ294" s="882" t="s">
        <v>2285</v>
      </c>
      <c r="BR294" s="880"/>
      <c r="BS294" s="880"/>
      <c r="BT294" s="880"/>
      <c r="BU294" s="880"/>
      <c r="BV294" s="880"/>
      <c r="BW294" s="883">
        <v>0</v>
      </c>
      <c r="BX294" s="883">
        <v>0</v>
      </c>
      <c r="BY294" s="883">
        <v>0</v>
      </c>
      <c r="BZ294" s="890"/>
      <c r="CA294" s="883">
        <f t="shared" si="95"/>
        <v>0</v>
      </c>
      <c r="CB294" s="880"/>
      <c r="CC294" s="881"/>
      <c r="CD294" s="883"/>
      <c r="CE294" s="883"/>
      <c r="CF294" s="883"/>
      <c r="CG294" s="883"/>
      <c r="CH294" s="883"/>
      <c r="CI294" s="883"/>
      <c r="CJ294" s="883"/>
      <c r="CK294" s="883"/>
      <c r="CL294" s="883"/>
      <c r="CM294" s="883"/>
      <c r="CN294" s="883"/>
      <c r="CO294" s="883"/>
      <c r="CP294" s="883"/>
      <c r="CQ294" s="883"/>
      <c r="CR294" s="883"/>
      <c r="CS294" s="883"/>
      <c r="CT294" s="883"/>
      <c r="CU294" s="883"/>
    </row>
    <row r="295" spans="1:99" x14ac:dyDescent="0.25">
      <c r="A295" s="880" t="s">
        <v>1787</v>
      </c>
      <c r="B295" s="881" t="s">
        <v>1788</v>
      </c>
      <c r="C295" s="880"/>
      <c r="D295" s="880"/>
      <c r="E295" s="884" t="s">
        <v>744</v>
      </c>
      <c r="F295" s="888">
        <v>1</v>
      </c>
      <c r="G295" s="881" t="s">
        <v>1007</v>
      </c>
      <c r="H295" s="881" t="s">
        <v>19</v>
      </c>
      <c r="I295" s="865">
        <v>46142</v>
      </c>
      <c r="J295" s="882" t="s">
        <v>8</v>
      </c>
      <c r="K295" s="880"/>
      <c r="L295" s="880"/>
      <c r="M295" s="883">
        <v>0</v>
      </c>
      <c r="N295" s="883">
        <v>0</v>
      </c>
      <c r="O295" s="883">
        <v>0</v>
      </c>
      <c r="P295" s="883">
        <v>21.74</v>
      </c>
      <c r="Q295" s="883">
        <v>15</v>
      </c>
      <c r="R295" s="883">
        <f t="shared" si="80"/>
        <v>3.26</v>
      </c>
      <c r="S295" s="883">
        <v>0</v>
      </c>
      <c r="T295" s="883">
        <v>5</v>
      </c>
      <c r="U295" s="883">
        <f t="shared" si="81"/>
        <v>0</v>
      </c>
      <c r="V295" s="883">
        <v>0</v>
      </c>
      <c r="W295" s="883">
        <v>8</v>
      </c>
      <c r="X295" s="883">
        <f t="shared" si="82"/>
        <v>0</v>
      </c>
      <c r="Y295" s="883">
        <v>0</v>
      </c>
      <c r="Z295" s="883">
        <v>0</v>
      </c>
      <c r="AA295" s="883">
        <v>0</v>
      </c>
      <c r="AB295" s="883">
        <f t="shared" si="83"/>
        <v>25</v>
      </c>
      <c r="AC295" s="883">
        <v>0</v>
      </c>
      <c r="AD295" s="881"/>
      <c r="AE295" s="880"/>
      <c r="AF295" s="883"/>
      <c r="AG295" s="889"/>
      <c r="AH295" s="880"/>
      <c r="AI295" s="880" t="s">
        <v>1241</v>
      </c>
      <c r="AJ295" s="884">
        <v>411</v>
      </c>
      <c r="AK295" s="883">
        <f t="shared" si="84"/>
        <v>21.74</v>
      </c>
      <c r="AL295" s="884">
        <v>413</v>
      </c>
      <c r="AM295" s="883">
        <f t="shared" si="85"/>
        <v>0</v>
      </c>
      <c r="AN295" s="884">
        <v>441</v>
      </c>
      <c r="AO295" s="883">
        <f t="shared" si="86"/>
        <v>0</v>
      </c>
      <c r="AP295" s="881"/>
      <c r="AQ295" s="881"/>
      <c r="AR295" s="883">
        <v>0</v>
      </c>
      <c r="AS295" s="883">
        <v>0</v>
      </c>
      <c r="AT295" s="883">
        <v>0</v>
      </c>
      <c r="AU295" s="880"/>
      <c r="AV295" s="886"/>
      <c r="AW295" s="880"/>
      <c r="AX295" s="886"/>
      <c r="AY295" s="880"/>
      <c r="AZ295" s="880"/>
      <c r="BA295" s="881"/>
      <c r="BB295" s="881" t="s">
        <v>57</v>
      </c>
      <c r="BC295" s="881"/>
      <c r="BD295" s="881"/>
      <c r="BE295" s="884">
        <f t="shared" si="87"/>
        <v>4</v>
      </c>
      <c r="BF295" s="887" t="str">
        <f t="shared" si="88"/>
        <v>SI</v>
      </c>
      <c r="BG295" s="883">
        <f t="shared" si="89"/>
        <v>21.74</v>
      </c>
      <c r="BH295" s="883">
        <f t="shared" si="90"/>
        <v>0</v>
      </c>
      <c r="BI295" s="883">
        <f t="shared" si="91"/>
        <v>0</v>
      </c>
      <c r="BJ295" s="883">
        <f t="shared" si="92"/>
        <v>0</v>
      </c>
      <c r="BK295" s="883">
        <f t="shared" si="93"/>
        <v>0</v>
      </c>
      <c r="BL295" s="883">
        <f t="shared" si="94"/>
        <v>3.26</v>
      </c>
      <c r="BM295" s="881"/>
      <c r="BN295" s="880"/>
      <c r="BO295" s="882" t="s">
        <v>1579</v>
      </c>
      <c r="BP295" s="882" t="s">
        <v>2286</v>
      </c>
      <c r="BQ295" s="882" t="s">
        <v>2285</v>
      </c>
      <c r="BR295" s="880"/>
      <c r="BS295" s="880"/>
      <c r="BT295" s="880"/>
      <c r="BU295" s="880"/>
      <c r="BV295" s="880"/>
      <c r="BW295" s="883">
        <v>0</v>
      </c>
      <c r="BX295" s="883">
        <v>0</v>
      </c>
      <c r="BY295" s="883">
        <v>0</v>
      </c>
      <c r="BZ295" s="890"/>
      <c r="CA295" s="883">
        <f t="shared" si="95"/>
        <v>0</v>
      </c>
      <c r="CB295" s="880"/>
      <c r="CC295" s="881"/>
      <c r="CD295" s="883"/>
      <c r="CE295" s="883"/>
      <c r="CF295" s="883"/>
      <c r="CG295" s="883"/>
      <c r="CH295" s="883"/>
      <c r="CI295" s="883"/>
      <c r="CJ295" s="883"/>
      <c r="CK295" s="883"/>
      <c r="CL295" s="883"/>
      <c r="CM295" s="883"/>
      <c r="CN295" s="883"/>
      <c r="CO295" s="883"/>
      <c r="CP295" s="883"/>
      <c r="CQ295" s="883"/>
      <c r="CR295" s="883"/>
      <c r="CS295" s="883"/>
      <c r="CT295" s="883"/>
      <c r="CU295" s="883"/>
    </row>
    <row r="296" spans="1:99" x14ac:dyDescent="0.25">
      <c r="A296" s="880" t="s">
        <v>1787</v>
      </c>
      <c r="B296" s="881" t="s">
        <v>1788</v>
      </c>
      <c r="C296" s="880"/>
      <c r="D296" s="880"/>
      <c r="E296" s="884" t="s">
        <v>744</v>
      </c>
      <c r="F296" s="888">
        <v>1</v>
      </c>
      <c r="G296" s="881" t="s">
        <v>1007</v>
      </c>
      <c r="H296" s="881" t="s">
        <v>19</v>
      </c>
      <c r="I296" s="865">
        <v>46142</v>
      </c>
      <c r="J296" s="882" t="s">
        <v>8</v>
      </c>
      <c r="K296" s="880"/>
      <c r="L296" s="880"/>
      <c r="M296" s="883">
        <v>0</v>
      </c>
      <c r="N296" s="883">
        <v>0</v>
      </c>
      <c r="O296" s="883">
        <v>0</v>
      </c>
      <c r="P296" s="883">
        <v>21.74</v>
      </c>
      <c r="Q296" s="883">
        <v>15</v>
      </c>
      <c r="R296" s="883">
        <f t="shared" si="80"/>
        <v>3.26</v>
      </c>
      <c r="S296" s="883">
        <v>0</v>
      </c>
      <c r="T296" s="883">
        <v>5</v>
      </c>
      <c r="U296" s="883">
        <f t="shared" si="81"/>
        <v>0</v>
      </c>
      <c r="V296" s="883">
        <v>0</v>
      </c>
      <c r="W296" s="883">
        <v>8</v>
      </c>
      <c r="X296" s="883">
        <f t="shared" si="82"/>
        <v>0</v>
      </c>
      <c r="Y296" s="883">
        <v>0</v>
      </c>
      <c r="Z296" s="883">
        <v>0</v>
      </c>
      <c r="AA296" s="883">
        <v>0</v>
      </c>
      <c r="AB296" s="883">
        <f t="shared" si="83"/>
        <v>25</v>
      </c>
      <c r="AC296" s="883">
        <v>0</v>
      </c>
      <c r="AD296" s="881"/>
      <c r="AE296" s="880"/>
      <c r="AF296" s="883"/>
      <c r="AG296" s="889"/>
      <c r="AH296" s="880"/>
      <c r="AI296" s="880" t="s">
        <v>1241</v>
      </c>
      <c r="AJ296" s="884">
        <v>411</v>
      </c>
      <c r="AK296" s="883">
        <f t="shared" si="84"/>
        <v>21.74</v>
      </c>
      <c r="AL296" s="884">
        <v>413</v>
      </c>
      <c r="AM296" s="883">
        <f t="shared" si="85"/>
        <v>0</v>
      </c>
      <c r="AN296" s="884">
        <v>441</v>
      </c>
      <c r="AO296" s="883">
        <f t="shared" si="86"/>
        <v>0</v>
      </c>
      <c r="AP296" s="881"/>
      <c r="AQ296" s="881"/>
      <c r="AR296" s="883">
        <v>0</v>
      </c>
      <c r="AS296" s="883">
        <v>0</v>
      </c>
      <c r="AT296" s="883">
        <v>0</v>
      </c>
      <c r="AU296" s="880"/>
      <c r="AV296" s="886"/>
      <c r="AW296" s="880"/>
      <c r="AX296" s="886"/>
      <c r="AY296" s="880"/>
      <c r="AZ296" s="880"/>
      <c r="BA296" s="881"/>
      <c r="BB296" s="881" t="s">
        <v>57</v>
      </c>
      <c r="BC296" s="881"/>
      <c r="BD296" s="881"/>
      <c r="BE296" s="884">
        <f t="shared" si="87"/>
        <v>4</v>
      </c>
      <c r="BF296" s="887" t="str">
        <f t="shared" si="88"/>
        <v>SI</v>
      </c>
      <c r="BG296" s="883">
        <f t="shared" si="89"/>
        <v>21.74</v>
      </c>
      <c r="BH296" s="883">
        <f t="shared" si="90"/>
        <v>0</v>
      </c>
      <c r="BI296" s="883">
        <f t="shared" si="91"/>
        <v>0</v>
      </c>
      <c r="BJ296" s="883">
        <f t="shared" si="92"/>
        <v>0</v>
      </c>
      <c r="BK296" s="883">
        <f t="shared" si="93"/>
        <v>0</v>
      </c>
      <c r="BL296" s="883">
        <f t="shared" si="94"/>
        <v>3.26</v>
      </c>
      <c r="BM296" s="881"/>
      <c r="BN296" s="880"/>
      <c r="BO296" s="882" t="s">
        <v>1579</v>
      </c>
      <c r="BP296" s="882" t="s">
        <v>2286</v>
      </c>
      <c r="BQ296" s="882" t="s">
        <v>2285</v>
      </c>
      <c r="BR296" s="880"/>
      <c r="BS296" s="880"/>
      <c r="BT296" s="880"/>
      <c r="BU296" s="880"/>
      <c r="BV296" s="880"/>
      <c r="BW296" s="883">
        <v>0</v>
      </c>
      <c r="BX296" s="883">
        <v>0</v>
      </c>
      <c r="BY296" s="883">
        <v>0</v>
      </c>
      <c r="BZ296" s="890"/>
      <c r="CA296" s="883">
        <f t="shared" si="95"/>
        <v>0</v>
      </c>
      <c r="CB296" s="880"/>
      <c r="CC296" s="881"/>
      <c r="CD296" s="883"/>
      <c r="CE296" s="883"/>
      <c r="CF296" s="883"/>
      <c r="CG296" s="883"/>
      <c r="CH296" s="883"/>
      <c r="CI296" s="883"/>
      <c r="CJ296" s="883"/>
      <c r="CK296" s="883"/>
      <c r="CL296" s="883"/>
      <c r="CM296" s="883"/>
      <c r="CN296" s="883"/>
      <c r="CO296" s="883"/>
      <c r="CP296" s="883"/>
      <c r="CQ296" s="883"/>
      <c r="CR296" s="883"/>
      <c r="CS296" s="883"/>
      <c r="CT296" s="883"/>
      <c r="CU296" s="883"/>
    </row>
    <row r="297" spans="1:99" x14ac:dyDescent="0.25">
      <c r="A297" s="880" t="s">
        <v>1787</v>
      </c>
      <c r="B297" s="881" t="s">
        <v>1788</v>
      </c>
      <c r="C297" s="880"/>
      <c r="D297" s="880"/>
      <c r="E297" s="884" t="s">
        <v>744</v>
      </c>
      <c r="F297" s="888">
        <v>1</v>
      </c>
      <c r="G297" s="881" t="s">
        <v>1007</v>
      </c>
      <c r="H297" s="881" t="s">
        <v>19</v>
      </c>
      <c r="I297" s="865">
        <v>46142</v>
      </c>
      <c r="J297" s="882" t="s">
        <v>8</v>
      </c>
      <c r="K297" s="880"/>
      <c r="L297" s="880"/>
      <c r="M297" s="883">
        <v>0</v>
      </c>
      <c r="N297" s="883">
        <v>0</v>
      </c>
      <c r="O297" s="883">
        <v>0</v>
      </c>
      <c r="P297" s="883">
        <v>26.08</v>
      </c>
      <c r="Q297" s="883">
        <v>15</v>
      </c>
      <c r="R297" s="883">
        <f t="shared" si="80"/>
        <v>3.91</v>
      </c>
      <c r="S297" s="883">
        <v>0</v>
      </c>
      <c r="T297" s="883">
        <v>5</v>
      </c>
      <c r="U297" s="883">
        <f t="shared" si="81"/>
        <v>0</v>
      </c>
      <c r="V297" s="883">
        <v>0</v>
      </c>
      <c r="W297" s="883">
        <v>8</v>
      </c>
      <c r="X297" s="883">
        <f t="shared" si="82"/>
        <v>0</v>
      </c>
      <c r="Y297" s="883">
        <v>0</v>
      </c>
      <c r="Z297" s="883">
        <v>0</v>
      </c>
      <c r="AA297" s="883">
        <v>0</v>
      </c>
      <c r="AB297" s="883">
        <f t="shared" si="83"/>
        <v>29.99</v>
      </c>
      <c r="AC297" s="883">
        <v>0</v>
      </c>
      <c r="AD297" s="881"/>
      <c r="AE297" s="880"/>
      <c r="AF297" s="883"/>
      <c r="AG297" s="889"/>
      <c r="AH297" s="880"/>
      <c r="AI297" s="880" t="s">
        <v>1241</v>
      </c>
      <c r="AJ297" s="884">
        <v>411</v>
      </c>
      <c r="AK297" s="883">
        <f t="shared" si="84"/>
        <v>26.08</v>
      </c>
      <c r="AL297" s="884">
        <v>413</v>
      </c>
      <c r="AM297" s="883">
        <f t="shared" si="85"/>
        <v>0</v>
      </c>
      <c r="AN297" s="884">
        <v>441</v>
      </c>
      <c r="AO297" s="883">
        <f t="shared" si="86"/>
        <v>0</v>
      </c>
      <c r="AP297" s="881"/>
      <c r="AQ297" s="881"/>
      <c r="AR297" s="883">
        <v>0</v>
      </c>
      <c r="AS297" s="883">
        <v>0</v>
      </c>
      <c r="AT297" s="883">
        <v>0</v>
      </c>
      <c r="AU297" s="880"/>
      <c r="AV297" s="886"/>
      <c r="AW297" s="880"/>
      <c r="AX297" s="886"/>
      <c r="AY297" s="880"/>
      <c r="AZ297" s="880"/>
      <c r="BA297" s="881"/>
      <c r="BB297" s="881" t="s">
        <v>57</v>
      </c>
      <c r="BC297" s="881"/>
      <c r="BD297" s="881"/>
      <c r="BE297" s="884">
        <f t="shared" si="87"/>
        <v>4</v>
      </c>
      <c r="BF297" s="887" t="str">
        <f t="shared" si="88"/>
        <v>SI</v>
      </c>
      <c r="BG297" s="883">
        <f t="shared" si="89"/>
        <v>26.08</v>
      </c>
      <c r="BH297" s="883">
        <f t="shared" si="90"/>
        <v>0</v>
      </c>
      <c r="BI297" s="883">
        <f t="shared" si="91"/>
        <v>0</v>
      </c>
      <c r="BJ297" s="883">
        <f t="shared" si="92"/>
        <v>0</v>
      </c>
      <c r="BK297" s="883">
        <f t="shared" si="93"/>
        <v>0</v>
      </c>
      <c r="BL297" s="883">
        <f t="shared" si="94"/>
        <v>3.91</v>
      </c>
      <c r="BM297" s="881"/>
      <c r="BN297" s="880"/>
      <c r="BO297" s="882" t="s">
        <v>1579</v>
      </c>
      <c r="BP297" s="882" t="s">
        <v>2286</v>
      </c>
      <c r="BQ297" s="882" t="s">
        <v>2285</v>
      </c>
      <c r="BR297" s="880"/>
      <c r="BS297" s="880"/>
      <c r="BT297" s="880"/>
      <c r="BU297" s="880"/>
      <c r="BV297" s="880"/>
      <c r="BW297" s="883">
        <v>0</v>
      </c>
      <c r="BX297" s="883">
        <v>0</v>
      </c>
      <c r="BY297" s="883">
        <v>0</v>
      </c>
      <c r="BZ297" s="890"/>
      <c r="CA297" s="883">
        <f t="shared" si="95"/>
        <v>0</v>
      </c>
      <c r="CB297" s="880"/>
      <c r="CC297" s="881"/>
      <c r="CD297" s="883"/>
      <c r="CE297" s="883"/>
      <c r="CF297" s="883"/>
      <c r="CG297" s="883"/>
      <c r="CH297" s="883"/>
      <c r="CI297" s="883"/>
      <c r="CJ297" s="883"/>
      <c r="CK297" s="883"/>
      <c r="CL297" s="883"/>
      <c r="CM297" s="883"/>
      <c r="CN297" s="883"/>
      <c r="CO297" s="883"/>
      <c r="CP297" s="883"/>
      <c r="CQ297" s="883"/>
      <c r="CR297" s="883"/>
      <c r="CS297" s="883"/>
      <c r="CT297" s="883"/>
      <c r="CU297" s="883"/>
    </row>
    <row r="298" spans="1:99" x14ac:dyDescent="0.25">
      <c r="A298" s="880" t="s">
        <v>1787</v>
      </c>
      <c r="B298" s="881" t="s">
        <v>1788</v>
      </c>
      <c r="C298" s="880"/>
      <c r="D298" s="880"/>
      <c r="E298" s="884" t="s">
        <v>744</v>
      </c>
      <c r="F298" s="888">
        <v>1</v>
      </c>
      <c r="G298" s="881" t="s">
        <v>1007</v>
      </c>
      <c r="H298" s="881" t="s">
        <v>19</v>
      </c>
      <c r="I298" s="865">
        <v>46142</v>
      </c>
      <c r="J298" s="882" t="s">
        <v>8</v>
      </c>
      <c r="K298" s="880"/>
      <c r="L298" s="880"/>
      <c r="M298" s="883">
        <v>0</v>
      </c>
      <c r="N298" s="883">
        <v>0</v>
      </c>
      <c r="O298" s="883">
        <v>0</v>
      </c>
      <c r="P298" s="883">
        <v>34.78</v>
      </c>
      <c r="Q298" s="883">
        <v>15</v>
      </c>
      <c r="R298" s="883">
        <f t="shared" si="80"/>
        <v>5.22</v>
      </c>
      <c r="S298" s="883">
        <v>0</v>
      </c>
      <c r="T298" s="883">
        <v>5</v>
      </c>
      <c r="U298" s="883">
        <f t="shared" si="81"/>
        <v>0</v>
      </c>
      <c r="V298" s="883">
        <v>0</v>
      </c>
      <c r="W298" s="883">
        <v>8</v>
      </c>
      <c r="X298" s="883">
        <f t="shared" si="82"/>
        <v>0</v>
      </c>
      <c r="Y298" s="883">
        <v>0</v>
      </c>
      <c r="Z298" s="883">
        <v>0</v>
      </c>
      <c r="AA298" s="883">
        <v>0</v>
      </c>
      <c r="AB298" s="883">
        <f t="shared" si="83"/>
        <v>40</v>
      </c>
      <c r="AC298" s="883">
        <v>0</v>
      </c>
      <c r="AD298" s="881"/>
      <c r="AE298" s="880"/>
      <c r="AF298" s="883"/>
      <c r="AG298" s="889"/>
      <c r="AH298" s="880"/>
      <c r="AI298" s="880" t="s">
        <v>1241</v>
      </c>
      <c r="AJ298" s="884">
        <v>411</v>
      </c>
      <c r="AK298" s="883">
        <f t="shared" si="84"/>
        <v>34.78</v>
      </c>
      <c r="AL298" s="884">
        <v>413</v>
      </c>
      <c r="AM298" s="883">
        <f t="shared" si="85"/>
        <v>0</v>
      </c>
      <c r="AN298" s="884">
        <v>441</v>
      </c>
      <c r="AO298" s="883">
        <f t="shared" si="86"/>
        <v>0</v>
      </c>
      <c r="AP298" s="881"/>
      <c r="AQ298" s="881"/>
      <c r="AR298" s="883">
        <v>0</v>
      </c>
      <c r="AS298" s="883">
        <v>0</v>
      </c>
      <c r="AT298" s="883">
        <v>0</v>
      </c>
      <c r="AU298" s="880"/>
      <c r="AV298" s="886"/>
      <c r="AW298" s="880"/>
      <c r="AX298" s="886"/>
      <c r="AY298" s="880"/>
      <c r="AZ298" s="880"/>
      <c r="BA298" s="881"/>
      <c r="BB298" s="881" t="s">
        <v>57</v>
      </c>
      <c r="BC298" s="881"/>
      <c r="BD298" s="881"/>
      <c r="BE298" s="884">
        <f t="shared" si="87"/>
        <v>4</v>
      </c>
      <c r="BF298" s="887" t="str">
        <f t="shared" si="88"/>
        <v>SI</v>
      </c>
      <c r="BG298" s="883">
        <f t="shared" si="89"/>
        <v>34.78</v>
      </c>
      <c r="BH298" s="883">
        <f t="shared" si="90"/>
        <v>0</v>
      </c>
      <c r="BI298" s="883">
        <f t="shared" si="91"/>
        <v>0</v>
      </c>
      <c r="BJ298" s="883">
        <f t="shared" si="92"/>
        <v>0</v>
      </c>
      <c r="BK298" s="883">
        <f t="shared" si="93"/>
        <v>0</v>
      </c>
      <c r="BL298" s="883">
        <f t="shared" si="94"/>
        <v>5.22</v>
      </c>
      <c r="BM298" s="881"/>
      <c r="BN298" s="880"/>
      <c r="BO298" s="882" t="s">
        <v>1579</v>
      </c>
      <c r="BP298" s="882" t="s">
        <v>2286</v>
      </c>
      <c r="BQ298" s="882" t="s">
        <v>2285</v>
      </c>
      <c r="BR298" s="880"/>
      <c r="BS298" s="880"/>
      <c r="BT298" s="880"/>
      <c r="BU298" s="880"/>
      <c r="BV298" s="880"/>
      <c r="BW298" s="883">
        <v>0</v>
      </c>
      <c r="BX298" s="883">
        <v>0</v>
      </c>
      <c r="BY298" s="883">
        <v>0</v>
      </c>
      <c r="BZ298" s="890"/>
      <c r="CA298" s="883">
        <f t="shared" si="95"/>
        <v>0</v>
      </c>
      <c r="CB298" s="880"/>
      <c r="CC298" s="881"/>
      <c r="CD298" s="883"/>
      <c r="CE298" s="883"/>
      <c r="CF298" s="883"/>
      <c r="CG298" s="883"/>
      <c r="CH298" s="883"/>
      <c r="CI298" s="883"/>
      <c r="CJ298" s="883"/>
      <c r="CK298" s="883"/>
      <c r="CL298" s="883"/>
      <c r="CM298" s="883"/>
      <c r="CN298" s="883"/>
      <c r="CO298" s="883"/>
      <c r="CP298" s="883"/>
      <c r="CQ298" s="883"/>
      <c r="CR298" s="883"/>
      <c r="CS298" s="883"/>
      <c r="CT298" s="883"/>
      <c r="CU298" s="883"/>
    </row>
    <row r="299" spans="1:99" x14ac:dyDescent="0.25">
      <c r="A299" s="880" t="s">
        <v>1787</v>
      </c>
      <c r="B299" s="881" t="s">
        <v>1788</v>
      </c>
      <c r="C299" s="880"/>
      <c r="D299" s="880"/>
      <c r="E299" s="884" t="s">
        <v>744</v>
      </c>
      <c r="F299" s="888">
        <v>1</v>
      </c>
      <c r="G299" s="881" t="s">
        <v>1007</v>
      </c>
      <c r="H299" s="881" t="s">
        <v>19</v>
      </c>
      <c r="I299" s="865">
        <v>46142</v>
      </c>
      <c r="J299" s="882" t="s">
        <v>8</v>
      </c>
      <c r="K299" s="880"/>
      <c r="L299" s="880"/>
      <c r="M299" s="883">
        <v>0</v>
      </c>
      <c r="N299" s="883">
        <v>0</v>
      </c>
      <c r="O299" s="883">
        <v>0</v>
      </c>
      <c r="P299" s="883">
        <v>26.08</v>
      </c>
      <c r="Q299" s="883">
        <v>15</v>
      </c>
      <c r="R299" s="883">
        <f t="shared" si="80"/>
        <v>3.91</v>
      </c>
      <c r="S299" s="883">
        <v>0</v>
      </c>
      <c r="T299" s="883">
        <v>5</v>
      </c>
      <c r="U299" s="883">
        <f t="shared" si="81"/>
        <v>0</v>
      </c>
      <c r="V299" s="883">
        <v>0</v>
      </c>
      <c r="W299" s="883">
        <v>8</v>
      </c>
      <c r="X299" s="883">
        <f t="shared" si="82"/>
        <v>0</v>
      </c>
      <c r="Y299" s="883">
        <v>0</v>
      </c>
      <c r="Z299" s="883">
        <v>0</v>
      </c>
      <c r="AA299" s="883">
        <v>0</v>
      </c>
      <c r="AB299" s="883">
        <f t="shared" si="83"/>
        <v>29.99</v>
      </c>
      <c r="AC299" s="883">
        <v>0</v>
      </c>
      <c r="AD299" s="881"/>
      <c r="AE299" s="880"/>
      <c r="AF299" s="883"/>
      <c r="AG299" s="889"/>
      <c r="AH299" s="880"/>
      <c r="AI299" s="880" t="s">
        <v>1241</v>
      </c>
      <c r="AJ299" s="884">
        <v>411</v>
      </c>
      <c r="AK299" s="883">
        <f t="shared" si="84"/>
        <v>26.08</v>
      </c>
      <c r="AL299" s="884">
        <v>413</v>
      </c>
      <c r="AM299" s="883">
        <f t="shared" si="85"/>
        <v>0</v>
      </c>
      <c r="AN299" s="884">
        <v>441</v>
      </c>
      <c r="AO299" s="883">
        <f t="shared" si="86"/>
        <v>0</v>
      </c>
      <c r="AP299" s="881"/>
      <c r="AQ299" s="881"/>
      <c r="AR299" s="883">
        <v>0</v>
      </c>
      <c r="AS299" s="883">
        <v>0</v>
      </c>
      <c r="AT299" s="883">
        <v>0</v>
      </c>
      <c r="AU299" s="880"/>
      <c r="AV299" s="886"/>
      <c r="AW299" s="880"/>
      <c r="AX299" s="886"/>
      <c r="AY299" s="880"/>
      <c r="AZ299" s="880"/>
      <c r="BA299" s="881"/>
      <c r="BB299" s="881" t="s">
        <v>57</v>
      </c>
      <c r="BC299" s="881"/>
      <c r="BD299" s="881"/>
      <c r="BE299" s="884">
        <f t="shared" si="87"/>
        <v>4</v>
      </c>
      <c r="BF299" s="887" t="str">
        <f t="shared" si="88"/>
        <v>SI</v>
      </c>
      <c r="BG299" s="883">
        <f t="shared" si="89"/>
        <v>26.08</v>
      </c>
      <c r="BH299" s="883">
        <f t="shared" si="90"/>
        <v>0</v>
      </c>
      <c r="BI299" s="883">
        <f t="shared" si="91"/>
        <v>0</v>
      </c>
      <c r="BJ299" s="883">
        <f t="shared" si="92"/>
        <v>0</v>
      </c>
      <c r="BK299" s="883">
        <f t="shared" si="93"/>
        <v>0</v>
      </c>
      <c r="BL299" s="883">
        <f t="shared" si="94"/>
        <v>3.91</v>
      </c>
      <c r="BM299" s="881"/>
      <c r="BN299" s="880"/>
      <c r="BO299" s="882" t="s">
        <v>1579</v>
      </c>
      <c r="BP299" s="882" t="s">
        <v>2286</v>
      </c>
      <c r="BQ299" s="882" t="s">
        <v>2285</v>
      </c>
      <c r="BR299" s="880"/>
      <c r="BS299" s="880"/>
      <c r="BT299" s="880"/>
      <c r="BU299" s="880"/>
      <c r="BV299" s="880"/>
      <c r="BW299" s="883">
        <v>0</v>
      </c>
      <c r="BX299" s="883">
        <v>0</v>
      </c>
      <c r="BY299" s="883">
        <v>0</v>
      </c>
      <c r="BZ299" s="890"/>
      <c r="CA299" s="883">
        <f t="shared" si="95"/>
        <v>0</v>
      </c>
      <c r="CB299" s="880"/>
      <c r="CC299" s="881"/>
      <c r="CD299" s="883"/>
      <c r="CE299" s="883"/>
      <c r="CF299" s="883"/>
      <c r="CG299" s="883"/>
      <c r="CH299" s="883"/>
      <c r="CI299" s="883"/>
      <c r="CJ299" s="883"/>
      <c r="CK299" s="883"/>
      <c r="CL299" s="883"/>
      <c r="CM299" s="883"/>
      <c r="CN299" s="883"/>
      <c r="CO299" s="883"/>
      <c r="CP299" s="883"/>
      <c r="CQ299" s="883"/>
      <c r="CR299" s="883"/>
      <c r="CS299" s="883"/>
      <c r="CT299" s="883"/>
      <c r="CU299" s="883"/>
    </row>
    <row r="300" spans="1:99" s="939" customFormat="1" x14ac:dyDescent="0.25">
      <c r="A300" s="940" t="s">
        <v>1787</v>
      </c>
      <c r="B300" s="941" t="s">
        <v>1788</v>
      </c>
      <c r="C300" s="940"/>
      <c r="D300" s="940"/>
      <c r="E300" s="942" t="s">
        <v>744</v>
      </c>
      <c r="F300" s="943">
        <v>1</v>
      </c>
      <c r="G300" s="941" t="s">
        <v>1007</v>
      </c>
      <c r="H300" s="941" t="s">
        <v>19</v>
      </c>
      <c r="I300" s="931">
        <v>46142</v>
      </c>
      <c r="J300" s="944" t="s">
        <v>8</v>
      </c>
      <c r="K300" s="940"/>
      <c r="L300" s="940"/>
      <c r="M300" s="945">
        <v>0</v>
      </c>
      <c r="N300" s="945">
        <v>0</v>
      </c>
      <c r="O300" s="945">
        <v>0</v>
      </c>
      <c r="P300" s="945">
        <v>17.39</v>
      </c>
      <c r="Q300" s="945">
        <v>15</v>
      </c>
      <c r="R300" s="945">
        <f t="shared" si="80"/>
        <v>2.61</v>
      </c>
      <c r="S300" s="945">
        <v>0</v>
      </c>
      <c r="T300" s="945">
        <v>5</v>
      </c>
      <c r="U300" s="945">
        <f t="shared" si="81"/>
        <v>0</v>
      </c>
      <c r="V300" s="945">
        <v>0</v>
      </c>
      <c r="W300" s="945">
        <v>8</v>
      </c>
      <c r="X300" s="945">
        <f t="shared" si="82"/>
        <v>0</v>
      </c>
      <c r="Y300" s="945">
        <v>0</v>
      </c>
      <c r="Z300" s="945">
        <v>0</v>
      </c>
      <c r="AA300" s="945">
        <v>0</v>
      </c>
      <c r="AB300" s="945">
        <f t="shared" si="83"/>
        <v>20</v>
      </c>
      <c r="AC300" s="945">
        <v>0</v>
      </c>
      <c r="AD300" s="941"/>
      <c r="AE300" s="940"/>
      <c r="AF300" s="945"/>
      <c r="AG300" s="946"/>
      <c r="AH300" s="940"/>
      <c r="AI300" s="940" t="s">
        <v>1241</v>
      </c>
      <c r="AJ300" s="942">
        <v>411</v>
      </c>
      <c r="AK300" s="945">
        <f t="shared" si="84"/>
        <v>17.39</v>
      </c>
      <c r="AL300" s="942">
        <v>413</v>
      </c>
      <c r="AM300" s="945">
        <f t="shared" si="85"/>
        <v>0</v>
      </c>
      <c r="AN300" s="942">
        <v>441</v>
      </c>
      <c r="AO300" s="945">
        <f t="shared" si="86"/>
        <v>0</v>
      </c>
      <c r="AP300" s="941"/>
      <c r="AQ300" s="941"/>
      <c r="AR300" s="945">
        <v>0</v>
      </c>
      <c r="AS300" s="945">
        <v>0</v>
      </c>
      <c r="AT300" s="945">
        <v>0</v>
      </c>
      <c r="AU300" s="940"/>
      <c r="AV300" s="947"/>
      <c r="AW300" s="940"/>
      <c r="AX300" s="947"/>
      <c r="AY300" s="940"/>
      <c r="AZ300" s="940"/>
      <c r="BA300" s="941"/>
      <c r="BB300" s="941" t="s">
        <v>57</v>
      </c>
      <c r="BC300" s="941"/>
      <c r="BD300" s="941"/>
      <c r="BE300" s="942">
        <f t="shared" si="87"/>
        <v>4</v>
      </c>
      <c r="BF300" s="948" t="str">
        <f t="shared" si="88"/>
        <v>SI</v>
      </c>
      <c r="BG300" s="945">
        <f t="shared" si="89"/>
        <v>17.39</v>
      </c>
      <c r="BH300" s="945">
        <f t="shared" si="90"/>
        <v>0</v>
      </c>
      <c r="BI300" s="945">
        <f t="shared" si="91"/>
        <v>0</v>
      </c>
      <c r="BJ300" s="945">
        <f t="shared" si="92"/>
        <v>0</v>
      </c>
      <c r="BK300" s="945">
        <f t="shared" si="93"/>
        <v>0</v>
      </c>
      <c r="BL300" s="945">
        <f t="shared" si="94"/>
        <v>2.61</v>
      </c>
      <c r="BM300" s="941"/>
      <c r="BN300" s="940"/>
      <c r="BO300" s="944" t="s">
        <v>1579</v>
      </c>
      <c r="BP300" s="944" t="s">
        <v>2286</v>
      </c>
      <c r="BQ300" s="944" t="s">
        <v>2285</v>
      </c>
      <c r="BR300" s="940"/>
      <c r="BS300" s="940"/>
      <c r="BT300" s="940"/>
      <c r="BU300" s="940"/>
      <c r="BV300" s="940"/>
      <c r="BW300" s="945">
        <v>0</v>
      </c>
      <c r="BX300" s="945">
        <v>0</v>
      </c>
      <c r="BY300" s="945">
        <v>0</v>
      </c>
      <c r="BZ300" s="949"/>
      <c r="CA300" s="945">
        <f t="shared" si="95"/>
        <v>0</v>
      </c>
      <c r="CB300" s="940"/>
      <c r="CC300" s="941"/>
      <c r="CD300" s="945"/>
      <c r="CE300" s="945"/>
      <c r="CF300" s="945"/>
      <c r="CG300" s="945"/>
      <c r="CH300" s="945"/>
      <c r="CI300" s="945"/>
      <c r="CJ300" s="945"/>
      <c r="CK300" s="945"/>
      <c r="CL300" s="945"/>
      <c r="CM300" s="945"/>
      <c r="CN300" s="945"/>
      <c r="CO300" s="945"/>
      <c r="CP300" s="945"/>
      <c r="CQ300" s="945"/>
      <c r="CR300" s="945"/>
      <c r="CS300" s="945"/>
      <c r="CT300" s="945"/>
      <c r="CU300" s="945"/>
    </row>
    <row r="301" spans="1:99" x14ac:dyDescent="0.25">
      <c r="A301" s="880" t="s">
        <v>1787</v>
      </c>
      <c r="B301" s="881" t="s">
        <v>1788</v>
      </c>
      <c r="C301" s="880"/>
      <c r="D301" s="880"/>
      <c r="E301" s="884" t="s">
        <v>744</v>
      </c>
      <c r="F301" s="888">
        <v>1</v>
      </c>
      <c r="G301" s="881" t="s">
        <v>1007</v>
      </c>
      <c r="H301" s="881" t="s">
        <v>19</v>
      </c>
      <c r="I301" s="865">
        <v>46142</v>
      </c>
      <c r="J301" s="882" t="s">
        <v>8</v>
      </c>
      <c r="K301" s="880"/>
      <c r="L301" s="880"/>
      <c r="M301" s="883">
        <v>0</v>
      </c>
      <c r="N301" s="883">
        <v>0</v>
      </c>
      <c r="O301" s="883">
        <v>0</v>
      </c>
      <c r="P301" s="883">
        <v>17.86</v>
      </c>
      <c r="Q301" s="883">
        <v>15</v>
      </c>
      <c r="R301" s="883">
        <f t="shared" si="80"/>
        <v>2.68</v>
      </c>
      <c r="S301" s="883">
        <v>0</v>
      </c>
      <c r="T301" s="883">
        <v>5</v>
      </c>
      <c r="U301" s="883">
        <f t="shared" si="81"/>
        <v>0</v>
      </c>
      <c r="V301" s="883">
        <v>0</v>
      </c>
      <c r="W301" s="883">
        <v>8</v>
      </c>
      <c r="X301" s="883">
        <f t="shared" si="82"/>
        <v>0</v>
      </c>
      <c r="Y301" s="883">
        <v>0</v>
      </c>
      <c r="Z301" s="883">
        <v>0</v>
      </c>
      <c r="AA301" s="883">
        <v>0</v>
      </c>
      <c r="AB301" s="883">
        <f t="shared" si="83"/>
        <v>20.54</v>
      </c>
      <c r="AC301" s="883">
        <v>0</v>
      </c>
      <c r="AD301" s="881"/>
      <c r="AE301" s="880"/>
      <c r="AF301" s="883"/>
      <c r="AG301" s="889"/>
      <c r="AH301" s="880"/>
      <c r="AI301" s="880" t="s">
        <v>1241</v>
      </c>
      <c r="AJ301" s="884">
        <v>411</v>
      </c>
      <c r="AK301" s="883">
        <f t="shared" si="84"/>
        <v>17.86</v>
      </c>
      <c r="AL301" s="884">
        <v>413</v>
      </c>
      <c r="AM301" s="883">
        <f t="shared" si="85"/>
        <v>0</v>
      </c>
      <c r="AN301" s="884">
        <v>441</v>
      </c>
      <c r="AO301" s="883">
        <f t="shared" si="86"/>
        <v>0</v>
      </c>
      <c r="AP301" s="881"/>
      <c r="AQ301" s="881"/>
      <c r="AR301" s="883">
        <v>0</v>
      </c>
      <c r="AS301" s="883">
        <v>0</v>
      </c>
      <c r="AT301" s="883">
        <v>0</v>
      </c>
      <c r="AU301" s="880"/>
      <c r="AV301" s="886"/>
      <c r="AW301" s="880"/>
      <c r="AX301" s="886"/>
      <c r="AY301" s="880"/>
      <c r="AZ301" s="880"/>
      <c r="BA301" s="881"/>
      <c r="BB301" s="881" t="s">
        <v>57</v>
      </c>
      <c r="BC301" s="881"/>
      <c r="BD301" s="881"/>
      <c r="BE301" s="884">
        <f t="shared" si="87"/>
        <v>4</v>
      </c>
      <c r="BF301" s="887" t="str">
        <f t="shared" si="88"/>
        <v>SI</v>
      </c>
      <c r="BG301" s="883">
        <f t="shared" si="89"/>
        <v>17.86</v>
      </c>
      <c r="BH301" s="883">
        <f t="shared" si="90"/>
        <v>0</v>
      </c>
      <c r="BI301" s="883">
        <f t="shared" si="91"/>
        <v>0</v>
      </c>
      <c r="BJ301" s="883">
        <f t="shared" si="92"/>
        <v>0</v>
      </c>
      <c r="BK301" s="883">
        <f t="shared" si="93"/>
        <v>0</v>
      </c>
      <c r="BL301" s="883">
        <f t="shared" si="94"/>
        <v>2.68</v>
      </c>
      <c r="BM301" s="881"/>
      <c r="BN301" s="880"/>
      <c r="BO301" s="882" t="s">
        <v>1579</v>
      </c>
      <c r="BP301" s="882" t="s">
        <v>2286</v>
      </c>
      <c r="BQ301" s="882" t="s">
        <v>2285</v>
      </c>
      <c r="BR301" s="880"/>
      <c r="BS301" s="880"/>
      <c r="BT301" s="880"/>
      <c r="BU301" s="880"/>
      <c r="BV301" s="880"/>
      <c r="BW301" s="883">
        <v>0</v>
      </c>
      <c r="BX301" s="883">
        <v>0</v>
      </c>
      <c r="BY301" s="883">
        <v>0</v>
      </c>
      <c r="BZ301" s="890"/>
      <c r="CA301" s="883">
        <f t="shared" si="95"/>
        <v>0</v>
      </c>
      <c r="CB301" s="880"/>
      <c r="CC301" s="881"/>
      <c r="CD301" s="883"/>
      <c r="CE301" s="883"/>
      <c r="CF301" s="883"/>
      <c r="CG301" s="883"/>
      <c r="CH301" s="883"/>
      <c r="CI301" s="883"/>
      <c r="CJ301" s="883"/>
      <c r="CK301" s="883"/>
      <c r="CL301" s="883"/>
      <c r="CM301" s="883"/>
      <c r="CN301" s="883"/>
      <c r="CO301" s="883"/>
      <c r="CP301" s="883"/>
      <c r="CQ301" s="883"/>
      <c r="CR301" s="883"/>
      <c r="CS301" s="883"/>
      <c r="CT301" s="883"/>
      <c r="CU301" s="883"/>
    </row>
    <row r="302" spans="1:99" x14ac:dyDescent="0.25">
      <c r="A302" s="880" t="s">
        <v>1787</v>
      </c>
      <c r="B302" s="881" t="s">
        <v>1788</v>
      </c>
      <c r="C302" s="880"/>
      <c r="D302" s="880"/>
      <c r="E302" s="884" t="s">
        <v>744</v>
      </c>
      <c r="F302" s="888">
        <v>1</v>
      </c>
      <c r="G302" s="881" t="s">
        <v>1007</v>
      </c>
      <c r="H302" s="881" t="s">
        <v>19</v>
      </c>
      <c r="I302" s="865">
        <v>46142</v>
      </c>
      <c r="J302" s="882" t="s">
        <v>8</v>
      </c>
      <c r="K302" s="880"/>
      <c r="L302" s="880"/>
      <c r="M302" s="883">
        <v>0</v>
      </c>
      <c r="N302" s="883">
        <v>0</v>
      </c>
      <c r="O302" s="883">
        <v>0</v>
      </c>
      <c r="P302" s="883">
        <v>17.39</v>
      </c>
      <c r="Q302" s="883">
        <v>15</v>
      </c>
      <c r="R302" s="883">
        <f t="shared" si="80"/>
        <v>2.61</v>
      </c>
      <c r="S302" s="883">
        <v>0</v>
      </c>
      <c r="T302" s="883">
        <v>5</v>
      </c>
      <c r="U302" s="883">
        <f t="shared" si="81"/>
        <v>0</v>
      </c>
      <c r="V302" s="883">
        <v>0</v>
      </c>
      <c r="W302" s="883">
        <v>8</v>
      </c>
      <c r="X302" s="883">
        <f t="shared" si="82"/>
        <v>0</v>
      </c>
      <c r="Y302" s="883">
        <v>0</v>
      </c>
      <c r="Z302" s="883">
        <v>0</v>
      </c>
      <c r="AA302" s="883">
        <v>0</v>
      </c>
      <c r="AB302" s="883">
        <f t="shared" si="83"/>
        <v>20</v>
      </c>
      <c r="AC302" s="883">
        <v>0</v>
      </c>
      <c r="AD302" s="881"/>
      <c r="AE302" s="880"/>
      <c r="AF302" s="883"/>
      <c r="AG302" s="889"/>
      <c r="AH302" s="880"/>
      <c r="AI302" s="880" t="s">
        <v>1241</v>
      </c>
      <c r="AJ302" s="884">
        <v>411</v>
      </c>
      <c r="AK302" s="883">
        <f t="shared" si="84"/>
        <v>17.39</v>
      </c>
      <c r="AL302" s="884">
        <v>413</v>
      </c>
      <c r="AM302" s="883">
        <f t="shared" si="85"/>
        <v>0</v>
      </c>
      <c r="AN302" s="884">
        <v>441</v>
      </c>
      <c r="AO302" s="883">
        <f t="shared" si="86"/>
        <v>0</v>
      </c>
      <c r="AP302" s="881"/>
      <c r="AQ302" s="881"/>
      <c r="AR302" s="883">
        <v>0</v>
      </c>
      <c r="AS302" s="883">
        <v>0</v>
      </c>
      <c r="AT302" s="883">
        <v>0</v>
      </c>
      <c r="AU302" s="880"/>
      <c r="AV302" s="886"/>
      <c r="AW302" s="880"/>
      <c r="AX302" s="886"/>
      <c r="AY302" s="880"/>
      <c r="AZ302" s="880"/>
      <c r="BA302" s="881"/>
      <c r="BB302" s="881" t="s">
        <v>57</v>
      </c>
      <c r="BC302" s="881"/>
      <c r="BD302" s="881"/>
      <c r="BE302" s="884">
        <f t="shared" si="87"/>
        <v>4</v>
      </c>
      <c r="BF302" s="887" t="str">
        <f t="shared" si="88"/>
        <v>SI</v>
      </c>
      <c r="BG302" s="883">
        <f t="shared" si="89"/>
        <v>17.39</v>
      </c>
      <c r="BH302" s="883">
        <f t="shared" si="90"/>
        <v>0</v>
      </c>
      <c r="BI302" s="883">
        <f t="shared" si="91"/>
        <v>0</v>
      </c>
      <c r="BJ302" s="883">
        <f t="shared" si="92"/>
        <v>0</v>
      </c>
      <c r="BK302" s="883">
        <f t="shared" si="93"/>
        <v>0</v>
      </c>
      <c r="BL302" s="883">
        <f t="shared" si="94"/>
        <v>2.61</v>
      </c>
      <c r="BM302" s="881"/>
      <c r="BN302" s="880"/>
      <c r="BO302" s="882" t="s">
        <v>1579</v>
      </c>
      <c r="BP302" s="882" t="s">
        <v>2286</v>
      </c>
      <c r="BQ302" s="882" t="s">
        <v>2285</v>
      </c>
      <c r="BR302" s="880"/>
      <c r="BS302" s="880"/>
      <c r="BT302" s="880"/>
      <c r="BU302" s="880"/>
      <c r="BV302" s="880"/>
      <c r="BW302" s="883">
        <v>0</v>
      </c>
      <c r="BX302" s="883">
        <v>0</v>
      </c>
      <c r="BY302" s="883">
        <v>0</v>
      </c>
      <c r="BZ302" s="890"/>
      <c r="CA302" s="883">
        <f t="shared" si="95"/>
        <v>0</v>
      </c>
      <c r="CB302" s="880"/>
      <c r="CC302" s="881"/>
      <c r="CD302" s="883"/>
      <c r="CE302" s="883"/>
      <c r="CF302" s="883"/>
      <c r="CG302" s="883"/>
      <c r="CH302" s="883"/>
      <c r="CI302" s="883"/>
      <c r="CJ302" s="883"/>
      <c r="CK302" s="883"/>
      <c r="CL302" s="883"/>
      <c r="CM302" s="883"/>
      <c r="CN302" s="883"/>
      <c r="CO302" s="883"/>
      <c r="CP302" s="883"/>
      <c r="CQ302" s="883"/>
      <c r="CR302" s="883"/>
      <c r="CS302" s="883"/>
      <c r="CT302" s="883"/>
      <c r="CU302" s="883"/>
    </row>
    <row r="303" spans="1:99" x14ac:dyDescent="0.25">
      <c r="A303" s="880" t="s">
        <v>1787</v>
      </c>
      <c r="B303" s="881" t="s">
        <v>1788</v>
      </c>
      <c r="C303" s="880"/>
      <c r="D303" s="880"/>
      <c r="E303" s="884" t="s">
        <v>744</v>
      </c>
      <c r="F303" s="888">
        <v>1</v>
      </c>
      <c r="G303" s="881" t="s">
        <v>1007</v>
      </c>
      <c r="H303" s="881" t="s">
        <v>19</v>
      </c>
      <c r="I303" s="865">
        <v>46142</v>
      </c>
      <c r="J303" s="882" t="s">
        <v>8</v>
      </c>
      <c r="K303" s="880"/>
      <c r="L303" s="880"/>
      <c r="M303" s="883">
        <v>0</v>
      </c>
      <c r="N303" s="883">
        <v>0</v>
      </c>
      <c r="O303" s="883">
        <v>0</v>
      </c>
      <c r="P303" s="883">
        <v>17.39</v>
      </c>
      <c r="Q303" s="883">
        <v>15</v>
      </c>
      <c r="R303" s="883">
        <f t="shared" si="80"/>
        <v>2.61</v>
      </c>
      <c r="S303" s="883">
        <v>0</v>
      </c>
      <c r="T303" s="883">
        <v>5</v>
      </c>
      <c r="U303" s="883">
        <f t="shared" si="81"/>
        <v>0</v>
      </c>
      <c r="V303" s="883">
        <v>0</v>
      </c>
      <c r="W303" s="883">
        <v>8</v>
      </c>
      <c r="X303" s="883">
        <f t="shared" si="82"/>
        <v>0</v>
      </c>
      <c r="Y303" s="883">
        <v>0</v>
      </c>
      <c r="Z303" s="883">
        <v>0</v>
      </c>
      <c r="AA303" s="883">
        <v>0</v>
      </c>
      <c r="AB303" s="883">
        <f t="shared" si="83"/>
        <v>20</v>
      </c>
      <c r="AC303" s="883">
        <v>0</v>
      </c>
      <c r="AD303" s="881"/>
      <c r="AE303" s="880"/>
      <c r="AF303" s="883"/>
      <c r="AG303" s="889"/>
      <c r="AH303" s="880"/>
      <c r="AI303" s="880" t="s">
        <v>1241</v>
      </c>
      <c r="AJ303" s="884">
        <v>411</v>
      </c>
      <c r="AK303" s="883">
        <f t="shared" si="84"/>
        <v>17.39</v>
      </c>
      <c r="AL303" s="884">
        <v>413</v>
      </c>
      <c r="AM303" s="883">
        <f t="shared" si="85"/>
        <v>0</v>
      </c>
      <c r="AN303" s="884">
        <v>441</v>
      </c>
      <c r="AO303" s="883">
        <f t="shared" si="86"/>
        <v>0</v>
      </c>
      <c r="AP303" s="881"/>
      <c r="AQ303" s="881"/>
      <c r="AR303" s="883">
        <v>0</v>
      </c>
      <c r="AS303" s="883">
        <v>0</v>
      </c>
      <c r="AT303" s="883">
        <v>0</v>
      </c>
      <c r="AU303" s="880"/>
      <c r="AV303" s="886"/>
      <c r="AW303" s="880"/>
      <c r="AX303" s="886"/>
      <c r="AY303" s="880"/>
      <c r="AZ303" s="880"/>
      <c r="BA303" s="881"/>
      <c r="BB303" s="881" t="s">
        <v>57</v>
      </c>
      <c r="BC303" s="881"/>
      <c r="BD303" s="881"/>
      <c r="BE303" s="884">
        <f t="shared" si="87"/>
        <v>4</v>
      </c>
      <c r="BF303" s="887" t="str">
        <f t="shared" si="88"/>
        <v>SI</v>
      </c>
      <c r="BG303" s="883">
        <f t="shared" si="89"/>
        <v>17.39</v>
      </c>
      <c r="BH303" s="883">
        <f t="shared" si="90"/>
        <v>0</v>
      </c>
      <c r="BI303" s="883">
        <f t="shared" si="91"/>
        <v>0</v>
      </c>
      <c r="BJ303" s="883">
        <f t="shared" si="92"/>
        <v>0</v>
      </c>
      <c r="BK303" s="883">
        <f t="shared" si="93"/>
        <v>0</v>
      </c>
      <c r="BL303" s="883">
        <f t="shared" si="94"/>
        <v>2.61</v>
      </c>
      <c r="BM303" s="881"/>
      <c r="BN303" s="880"/>
      <c r="BO303" s="882" t="s">
        <v>1579</v>
      </c>
      <c r="BP303" s="882" t="s">
        <v>2286</v>
      </c>
      <c r="BQ303" s="882" t="s">
        <v>2285</v>
      </c>
      <c r="BR303" s="880"/>
      <c r="BS303" s="880"/>
      <c r="BT303" s="880"/>
      <c r="BU303" s="880"/>
      <c r="BV303" s="880"/>
      <c r="BW303" s="883">
        <v>0</v>
      </c>
      <c r="BX303" s="883">
        <v>0</v>
      </c>
      <c r="BY303" s="883">
        <v>0</v>
      </c>
      <c r="BZ303" s="890"/>
      <c r="CA303" s="883">
        <f t="shared" si="95"/>
        <v>0</v>
      </c>
      <c r="CB303" s="880"/>
      <c r="CC303" s="881"/>
      <c r="CD303" s="883"/>
      <c r="CE303" s="883"/>
      <c r="CF303" s="883"/>
      <c r="CG303" s="883"/>
      <c r="CH303" s="883"/>
      <c r="CI303" s="883"/>
      <c r="CJ303" s="883"/>
      <c r="CK303" s="883"/>
      <c r="CL303" s="883"/>
      <c r="CM303" s="883"/>
      <c r="CN303" s="883"/>
      <c r="CO303" s="883"/>
      <c r="CP303" s="883"/>
      <c r="CQ303" s="883"/>
      <c r="CR303" s="883"/>
      <c r="CS303" s="883"/>
      <c r="CT303" s="883"/>
      <c r="CU303" s="883"/>
    </row>
    <row r="304" spans="1:99" x14ac:dyDescent="0.25">
      <c r="A304" s="880" t="s">
        <v>1787</v>
      </c>
      <c r="B304" s="881" t="s">
        <v>1788</v>
      </c>
      <c r="C304" s="880"/>
      <c r="D304" s="880"/>
      <c r="E304" s="884" t="s">
        <v>744</v>
      </c>
      <c r="F304" s="888">
        <v>1</v>
      </c>
      <c r="G304" s="881" t="s">
        <v>1007</v>
      </c>
      <c r="H304" s="881" t="s">
        <v>19</v>
      </c>
      <c r="I304" s="865">
        <v>46142</v>
      </c>
      <c r="J304" s="882" t="s">
        <v>8</v>
      </c>
      <c r="K304" s="880"/>
      <c r="L304" s="880"/>
      <c r="M304" s="883">
        <v>0</v>
      </c>
      <c r="N304" s="883">
        <v>0</v>
      </c>
      <c r="O304" s="883">
        <v>0</v>
      </c>
      <c r="P304" s="883">
        <v>17.39</v>
      </c>
      <c r="Q304" s="883">
        <v>15</v>
      </c>
      <c r="R304" s="883">
        <f t="shared" si="80"/>
        <v>2.61</v>
      </c>
      <c r="S304" s="883">
        <v>0</v>
      </c>
      <c r="T304" s="883">
        <v>5</v>
      </c>
      <c r="U304" s="883">
        <f t="shared" si="81"/>
        <v>0</v>
      </c>
      <c r="V304" s="883">
        <v>0</v>
      </c>
      <c r="W304" s="883">
        <v>8</v>
      </c>
      <c r="X304" s="883">
        <f t="shared" si="82"/>
        <v>0</v>
      </c>
      <c r="Y304" s="883">
        <v>0</v>
      </c>
      <c r="Z304" s="883">
        <v>0</v>
      </c>
      <c r="AA304" s="883">
        <v>0</v>
      </c>
      <c r="AB304" s="883">
        <f t="shared" si="83"/>
        <v>20</v>
      </c>
      <c r="AC304" s="883">
        <v>0</v>
      </c>
      <c r="AD304" s="881"/>
      <c r="AE304" s="880"/>
      <c r="AF304" s="883"/>
      <c r="AG304" s="889"/>
      <c r="AH304" s="880"/>
      <c r="AI304" s="880" t="s">
        <v>1241</v>
      </c>
      <c r="AJ304" s="884">
        <v>411</v>
      </c>
      <c r="AK304" s="883">
        <f t="shared" si="84"/>
        <v>17.39</v>
      </c>
      <c r="AL304" s="884">
        <v>413</v>
      </c>
      <c r="AM304" s="883">
        <f t="shared" si="85"/>
        <v>0</v>
      </c>
      <c r="AN304" s="884">
        <v>441</v>
      </c>
      <c r="AO304" s="883">
        <f t="shared" si="86"/>
        <v>0</v>
      </c>
      <c r="AP304" s="881"/>
      <c r="AQ304" s="881"/>
      <c r="AR304" s="883">
        <v>0</v>
      </c>
      <c r="AS304" s="883">
        <v>0</v>
      </c>
      <c r="AT304" s="883">
        <v>0</v>
      </c>
      <c r="AU304" s="880"/>
      <c r="AV304" s="886"/>
      <c r="AW304" s="880"/>
      <c r="AX304" s="886"/>
      <c r="AY304" s="880"/>
      <c r="AZ304" s="880"/>
      <c r="BA304" s="881"/>
      <c r="BB304" s="881" t="s">
        <v>57</v>
      </c>
      <c r="BC304" s="881"/>
      <c r="BD304" s="881"/>
      <c r="BE304" s="884">
        <f t="shared" si="87"/>
        <v>4</v>
      </c>
      <c r="BF304" s="887" t="str">
        <f t="shared" si="88"/>
        <v>SI</v>
      </c>
      <c r="BG304" s="883">
        <f t="shared" si="89"/>
        <v>17.39</v>
      </c>
      <c r="BH304" s="883">
        <f t="shared" si="90"/>
        <v>0</v>
      </c>
      <c r="BI304" s="883">
        <f t="shared" si="91"/>
        <v>0</v>
      </c>
      <c r="BJ304" s="883">
        <f t="shared" si="92"/>
        <v>0</v>
      </c>
      <c r="BK304" s="883">
        <f t="shared" si="93"/>
        <v>0</v>
      </c>
      <c r="BL304" s="883">
        <f t="shared" si="94"/>
        <v>2.61</v>
      </c>
      <c r="BM304" s="881"/>
      <c r="BN304" s="880"/>
      <c r="BO304" s="882" t="s">
        <v>1579</v>
      </c>
      <c r="BP304" s="882" t="s">
        <v>2286</v>
      </c>
      <c r="BQ304" s="882" t="s">
        <v>2285</v>
      </c>
      <c r="BR304" s="880"/>
      <c r="BS304" s="880"/>
      <c r="BT304" s="880"/>
      <c r="BU304" s="880"/>
      <c r="BV304" s="880"/>
      <c r="BW304" s="883">
        <v>0</v>
      </c>
      <c r="BX304" s="883">
        <v>0</v>
      </c>
      <c r="BY304" s="883">
        <v>0</v>
      </c>
      <c r="BZ304" s="890"/>
      <c r="CA304" s="883">
        <f t="shared" si="95"/>
        <v>0</v>
      </c>
      <c r="CB304" s="880"/>
      <c r="CC304" s="881"/>
      <c r="CD304" s="883"/>
      <c r="CE304" s="883"/>
      <c r="CF304" s="883"/>
      <c r="CG304" s="883"/>
      <c r="CH304" s="883"/>
      <c r="CI304" s="883"/>
      <c r="CJ304" s="883"/>
      <c r="CK304" s="883"/>
      <c r="CL304" s="883"/>
      <c r="CM304" s="883"/>
      <c r="CN304" s="883"/>
      <c r="CO304" s="883"/>
      <c r="CP304" s="883"/>
      <c r="CQ304" s="883"/>
      <c r="CR304" s="883"/>
      <c r="CS304" s="883"/>
      <c r="CT304" s="883"/>
      <c r="CU304" s="883"/>
    </row>
    <row r="305" spans="1:99" x14ac:dyDescent="0.25">
      <c r="A305" s="880" t="s">
        <v>1787</v>
      </c>
      <c r="B305" s="881" t="s">
        <v>1788</v>
      </c>
      <c r="C305" s="880"/>
      <c r="D305" s="880"/>
      <c r="E305" s="884" t="s">
        <v>744</v>
      </c>
      <c r="F305" s="888">
        <v>1</v>
      </c>
      <c r="G305" s="881" t="s">
        <v>1007</v>
      </c>
      <c r="H305" s="881" t="s">
        <v>19</v>
      </c>
      <c r="I305" s="865">
        <v>46142</v>
      </c>
      <c r="J305" s="882" t="s">
        <v>8</v>
      </c>
      <c r="K305" s="880"/>
      <c r="L305" s="880"/>
      <c r="M305" s="883">
        <v>0</v>
      </c>
      <c r="N305" s="883">
        <v>0</v>
      </c>
      <c r="O305" s="883">
        <v>0</v>
      </c>
      <c r="P305" s="883">
        <v>17.86</v>
      </c>
      <c r="Q305" s="883">
        <v>15</v>
      </c>
      <c r="R305" s="883">
        <f t="shared" si="80"/>
        <v>2.68</v>
      </c>
      <c r="S305" s="883">
        <v>0</v>
      </c>
      <c r="T305" s="883">
        <v>5</v>
      </c>
      <c r="U305" s="883">
        <f t="shared" si="81"/>
        <v>0</v>
      </c>
      <c r="V305" s="883">
        <v>0</v>
      </c>
      <c r="W305" s="883">
        <v>8</v>
      </c>
      <c r="X305" s="883">
        <f t="shared" si="82"/>
        <v>0</v>
      </c>
      <c r="Y305" s="883">
        <v>0</v>
      </c>
      <c r="Z305" s="883">
        <v>0</v>
      </c>
      <c r="AA305" s="883">
        <v>0</v>
      </c>
      <c r="AB305" s="883">
        <f t="shared" si="83"/>
        <v>20.54</v>
      </c>
      <c r="AC305" s="883">
        <v>0</v>
      </c>
      <c r="AD305" s="881"/>
      <c r="AE305" s="880"/>
      <c r="AF305" s="883"/>
      <c r="AG305" s="889"/>
      <c r="AH305" s="880"/>
      <c r="AI305" s="880" t="s">
        <v>1241</v>
      </c>
      <c r="AJ305" s="884">
        <v>411</v>
      </c>
      <c r="AK305" s="883">
        <f t="shared" si="84"/>
        <v>17.86</v>
      </c>
      <c r="AL305" s="884">
        <v>413</v>
      </c>
      <c r="AM305" s="883">
        <f t="shared" si="85"/>
        <v>0</v>
      </c>
      <c r="AN305" s="884">
        <v>441</v>
      </c>
      <c r="AO305" s="883">
        <f t="shared" si="86"/>
        <v>0</v>
      </c>
      <c r="AP305" s="881"/>
      <c r="AQ305" s="881"/>
      <c r="AR305" s="883">
        <v>0</v>
      </c>
      <c r="AS305" s="883">
        <v>0</v>
      </c>
      <c r="AT305" s="883">
        <v>0</v>
      </c>
      <c r="AU305" s="880"/>
      <c r="AV305" s="886"/>
      <c r="AW305" s="880"/>
      <c r="AX305" s="886"/>
      <c r="AY305" s="880"/>
      <c r="AZ305" s="880"/>
      <c r="BA305" s="881"/>
      <c r="BB305" s="881" t="s">
        <v>57</v>
      </c>
      <c r="BC305" s="881"/>
      <c r="BD305" s="881"/>
      <c r="BE305" s="884">
        <f t="shared" si="87"/>
        <v>4</v>
      </c>
      <c r="BF305" s="887" t="str">
        <f t="shared" si="88"/>
        <v>SI</v>
      </c>
      <c r="BG305" s="883">
        <f t="shared" si="89"/>
        <v>17.86</v>
      </c>
      <c r="BH305" s="883">
        <f t="shared" si="90"/>
        <v>0</v>
      </c>
      <c r="BI305" s="883">
        <f t="shared" si="91"/>
        <v>0</v>
      </c>
      <c r="BJ305" s="883">
        <f t="shared" si="92"/>
        <v>0</v>
      </c>
      <c r="BK305" s="883">
        <f t="shared" si="93"/>
        <v>0</v>
      </c>
      <c r="BL305" s="883">
        <f t="shared" si="94"/>
        <v>2.68</v>
      </c>
      <c r="BM305" s="881"/>
      <c r="BN305" s="880"/>
      <c r="BO305" s="882" t="s">
        <v>1579</v>
      </c>
      <c r="BP305" s="882" t="s">
        <v>2286</v>
      </c>
      <c r="BQ305" s="882" t="s">
        <v>2285</v>
      </c>
      <c r="BR305" s="880"/>
      <c r="BS305" s="880"/>
      <c r="BT305" s="880"/>
      <c r="BU305" s="880"/>
      <c r="BV305" s="880"/>
      <c r="BW305" s="883">
        <v>0</v>
      </c>
      <c r="BX305" s="883">
        <v>0</v>
      </c>
      <c r="BY305" s="883">
        <v>0</v>
      </c>
      <c r="BZ305" s="890"/>
      <c r="CA305" s="883">
        <f t="shared" si="95"/>
        <v>0</v>
      </c>
      <c r="CB305" s="880"/>
      <c r="CC305" s="881"/>
      <c r="CD305" s="883"/>
      <c r="CE305" s="883"/>
      <c r="CF305" s="883"/>
      <c r="CG305" s="883"/>
      <c r="CH305" s="883"/>
      <c r="CI305" s="883"/>
      <c r="CJ305" s="883"/>
      <c r="CK305" s="883"/>
      <c r="CL305" s="883"/>
      <c r="CM305" s="883"/>
      <c r="CN305" s="883"/>
      <c r="CO305" s="883"/>
      <c r="CP305" s="883"/>
      <c r="CQ305" s="883"/>
      <c r="CR305" s="883"/>
      <c r="CS305" s="883"/>
      <c r="CT305" s="883"/>
      <c r="CU305" s="883"/>
    </row>
    <row r="306" spans="1:99" x14ac:dyDescent="0.25">
      <c r="A306" s="880" t="s">
        <v>1787</v>
      </c>
      <c r="B306" s="881" t="s">
        <v>1788</v>
      </c>
      <c r="C306" s="880"/>
      <c r="D306" s="880"/>
      <c r="E306" s="884" t="s">
        <v>744</v>
      </c>
      <c r="F306" s="888">
        <v>1</v>
      </c>
      <c r="G306" s="881" t="s">
        <v>1007</v>
      </c>
      <c r="H306" s="881" t="s">
        <v>19</v>
      </c>
      <c r="I306" s="865">
        <v>46142</v>
      </c>
      <c r="J306" s="882" t="s">
        <v>8</v>
      </c>
      <c r="K306" s="880"/>
      <c r="L306" s="880"/>
      <c r="M306" s="883">
        <v>0</v>
      </c>
      <c r="N306" s="883">
        <v>0</v>
      </c>
      <c r="O306" s="883">
        <v>0</v>
      </c>
      <c r="P306" s="883">
        <v>17.39</v>
      </c>
      <c r="Q306" s="883">
        <v>15</v>
      </c>
      <c r="R306" s="883">
        <f t="shared" si="80"/>
        <v>2.61</v>
      </c>
      <c r="S306" s="883">
        <v>0</v>
      </c>
      <c r="T306" s="883">
        <v>5</v>
      </c>
      <c r="U306" s="883">
        <f t="shared" si="81"/>
        <v>0</v>
      </c>
      <c r="V306" s="883">
        <v>0</v>
      </c>
      <c r="W306" s="883">
        <v>8</v>
      </c>
      <c r="X306" s="883">
        <f t="shared" si="82"/>
        <v>0</v>
      </c>
      <c r="Y306" s="883">
        <v>0</v>
      </c>
      <c r="Z306" s="883">
        <v>0</v>
      </c>
      <c r="AA306" s="883">
        <v>0</v>
      </c>
      <c r="AB306" s="883">
        <f t="shared" si="83"/>
        <v>20</v>
      </c>
      <c r="AC306" s="883">
        <v>0</v>
      </c>
      <c r="AD306" s="881"/>
      <c r="AE306" s="880"/>
      <c r="AF306" s="883"/>
      <c r="AG306" s="889"/>
      <c r="AH306" s="880"/>
      <c r="AI306" s="880" t="s">
        <v>1241</v>
      </c>
      <c r="AJ306" s="884">
        <v>411</v>
      </c>
      <c r="AK306" s="883">
        <f t="shared" si="84"/>
        <v>17.39</v>
      </c>
      <c r="AL306" s="884">
        <v>413</v>
      </c>
      <c r="AM306" s="883">
        <f t="shared" si="85"/>
        <v>0</v>
      </c>
      <c r="AN306" s="884">
        <v>441</v>
      </c>
      <c r="AO306" s="883">
        <f t="shared" si="86"/>
        <v>0</v>
      </c>
      <c r="AP306" s="881"/>
      <c r="AQ306" s="881"/>
      <c r="AR306" s="883">
        <v>0</v>
      </c>
      <c r="AS306" s="883">
        <v>0</v>
      </c>
      <c r="AT306" s="883">
        <v>0</v>
      </c>
      <c r="AU306" s="880"/>
      <c r="AV306" s="886"/>
      <c r="AW306" s="880"/>
      <c r="AX306" s="886"/>
      <c r="AY306" s="880"/>
      <c r="AZ306" s="880"/>
      <c r="BA306" s="881"/>
      <c r="BB306" s="881" t="s">
        <v>57</v>
      </c>
      <c r="BC306" s="881"/>
      <c r="BD306" s="881"/>
      <c r="BE306" s="884">
        <f t="shared" si="87"/>
        <v>4</v>
      </c>
      <c r="BF306" s="887" t="str">
        <f t="shared" si="88"/>
        <v>SI</v>
      </c>
      <c r="BG306" s="883">
        <f t="shared" si="89"/>
        <v>17.39</v>
      </c>
      <c r="BH306" s="883">
        <f t="shared" si="90"/>
        <v>0</v>
      </c>
      <c r="BI306" s="883">
        <f t="shared" si="91"/>
        <v>0</v>
      </c>
      <c r="BJ306" s="883">
        <f t="shared" si="92"/>
        <v>0</v>
      </c>
      <c r="BK306" s="883">
        <f t="shared" si="93"/>
        <v>0</v>
      </c>
      <c r="BL306" s="883">
        <f t="shared" si="94"/>
        <v>2.61</v>
      </c>
      <c r="BM306" s="881"/>
      <c r="BN306" s="880"/>
      <c r="BO306" s="882" t="s">
        <v>1579</v>
      </c>
      <c r="BP306" s="882" t="s">
        <v>2286</v>
      </c>
      <c r="BQ306" s="882" t="s">
        <v>2285</v>
      </c>
      <c r="BR306" s="880"/>
      <c r="BS306" s="880"/>
      <c r="BT306" s="880"/>
      <c r="BU306" s="880"/>
      <c r="BV306" s="880"/>
      <c r="BW306" s="883">
        <v>0</v>
      </c>
      <c r="BX306" s="883">
        <v>0</v>
      </c>
      <c r="BY306" s="883">
        <v>0</v>
      </c>
      <c r="BZ306" s="890"/>
      <c r="CA306" s="883">
        <f t="shared" si="95"/>
        <v>0</v>
      </c>
      <c r="CB306" s="880"/>
      <c r="CC306" s="881"/>
      <c r="CD306" s="883"/>
      <c r="CE306" s="883"/>
      <c r="CF306" s="883"/>
      <c r="CG306" s="883"/>
      <c r="CH306" s="883"/>
      <c r="CI306" s="883"/>
      <c r="CJ306" s="883"/>
      <c r="CK306" s="883"/>
      <c r="CL306" s="883"/>
      <c r="CM306" s="883"/>
      <c r="CN306" s="883"/>
      <c r="CO306" s="883"/>
      <c r="CP306" s="883"/>
      <c r="CQ306" s="883"/>
      <c r="CR306" s="883"/>
      <c r="CS306" s="883"/>
      <c r="CT306" s="883"/>
      <c r="CU306" s="883"/>
    </row>
    <row r="307" spans="1:99" x14ac:dyDescent="0.25">
      <c r="A307" s="880" t="s">
        <v>1787</v>
      </c>
      <c r="B307" s="881" t="s">
        <v>1788</v>
      </c>
      <c r="C307" s="880"/>
      <c r="D307" s="880"/>
      <c r="E307" s="884" t="s">
        <v>744</v>
      </c>
      <c r="F307" s="888">
        <v>1</v>
      </c>
      <c r="G307" s="881" t="s">
        <v>1007</v>
      </c>
      <c r="H307" s="881" t="s">
        <v>19</v>
      </c>
      <c r="I307" s="865">
        <v>46142</v>
      </c>
      <c r="J307" s="882" t="s">
        <v>8</v>
      </c>
      <c r="K307" s="880"/>
      <c r="L307" s="880"/>
      <c r="M307" s="883">
        <v>0</v>
      </c>
      <c r="N307" s="883">
        <v>0</v>
      </c>
      <c r="O307" s="883">
        <v>0</v>
      </c>
      <c r="P307" s="883">
        <v>17.39</v>
      </c>
      <c r="Q307" s="883">
        <v>15</v>
      </c>
      <c r="R307" s="883">
        <f t="shared" si="80"/>
        <v>2.61</v>
      </c>
      <c r="S307" s="883">
        <v>0</v>
      </c>
      <c r="T307" s="883">
        <v>5</v>
      </c>
      <c r="U307" s="883">
        <f t="shared" si="81"/>
        <v>0</v>
      </c>
      <c r="V307" s="883">
        <v>0</v>
      </c>
      <c r="W307" s="883">
        <v>8</v>
      </c>
      <c r="X307" s="883">
        <f t="shared" si="82"/>
        <v>0</v>
      </c>
      <c r="Y307" s="883">
        <v>0</v>
      </c>
      <c r="Z307" s="883">
        <v>0</v>
      </c>
      <c r="AA307" s="883">
        <v>0</v>
      </c>
      <c r="AB307" s="883">
        <f t="shared" si="83"/>
        <v>20</v>
      </c>
      <c r="AC307" s="883">
        <v>0</v>
      </c>
      <c r="AD307" s="881"/>
      <c r="AE307" s="880"/>
      <c r="AF307" s="883"/>
      <c r="AG307" s="889"/>
      <c r="AH307" s="880"/>
      <c r="AI307" s="880" t="s">
        <v>1241</v>
      </c>
      <c r="AJ307" s="884">
        <v>411</v>
      </c>
      <c r="AK307" s="883">
        <f t="shared" si="84"/>
        <v>17.39</v>
      </c>
      <c r="AL307" s="884">
        <v>413</v>
      </c>
      <c r="AM307" s="883">
        <f t="shared" si="85"/>
        <v>0</v>
      </c>
      <c r="AN307" s="884">
        <v>441</v>
      </c>
      <c r="AO307" s="883">
        <f t="shared" si="86"/>
        <v>0</v>
      </c>
      <c r="AP307" s="881"/>
      <c r="AQ307" s="881"/>
      <c r="AR307" s="883">
        <v>0</v>
      </c>
      <c r="AS307" s="883">
        <v>0</v>
      </c>
      <c r="AT307" s="883">
        <v>0</v>
      </c>
      <c r="AU307" s="880"/>
      <c r="AV307" s="886"/>
      <c r="AW307" s="880"/>
      <c r="AX307" s="886"/>
      <c r="AY307" s="880"/>
      <c r="AZ307" s="880"/>
      <c r="BA307" s="881"/>
      <c r="BB307" s="881" t="s">
        <v>57</v>
      </c>
      <c r="BC307" s="881"/>
      <c r="BD307" s="881"/>
      <c r="BE307" s="884">
        <f t="shared" si="87"/>
        <v>4</v>
      </c>
      <c r="BF307" s="887" t="str">
        <f t="shared" si="88"/>
        <v>SI</v>
      </c>
      <c r="BG307" s="883">
        <f t="shared" si="89"/>
        <v>17.39</v>
      </c>
      <c r="BH307" s="883">
        <f t="shared" si="90"/>
        <v>0</v>
      </c>
      <c r="BI307" s="883">
        <f t="shared" si="91"/>
        <v>0</v>
      </c>
      <c r="BJ307" s="883">
        <f t="shared" si="92"/>
        <v>0</v>
      </c>
      <c r="BK307" s="883">
        <f t="shared" si="93"/>
        <v>0</v>
      </c>
      <c r="BL307" s="883">
        <f t="shared" si="94"/>
        <v>2.61</v>
      </c>
      <c r="BM307" s="881"/>
      <c r="BN307" s="880"/>
      <c r="BO307" s="882" t="s">
        <v>1579</v>
      </c>
      <c r="BP307" s="882" t="s">
        <v>2286</v>
      </c>
      <c r="BQ307" s="882" t="s">
        <v>2285</v>
      </c>
      <c r="BR307" s="880"/>
      <c r="BS307" s="880"/>
      <c r="BT307" s="880"/>
      <c r="BU307" s="880"/>
      <c r="BV307" s="880"/>
      <c r="BW307" s="883">
        <v>0</v>
      </c>
      <c r="BX307" s="883">
        <v>0</v>
      </c>
      <c r="BY307" s="883">
        <v>0</v>
      </c>
      <c r="BZ307" s="890"/>
      <c r="CA307" s="883">
        <f t="shared" si="95"/>
        <v>0</v>
      </c>
      <c r="CB307" s="880"/>
      <c r="CC307" s="881"/>
      <c r="CD307" s="883"/>
      <c r="CE307" s="883"/>
      <c r="CF307" s="883"/>
      <c r="CG307" s="883"/>
      <c r="CH307" s="883"/>
      <c r="CI307" s="883"/>
      <c r="CJ307" s="883"/>
      <c r="CK307" s="883"/>
      <c r="CL307" s="883"/>
      <c r="CM307" s="883"/>
      <c r="CN307" s="883"/>
      <c r="CO307" s="883"/>
      <c r="CP307" s="883"/>
      <c r="CQ307" s="883"/>
      <c r="CR307" s="883"/>
      <c r="CS307" s="883"/>
      <c r="CT307" s="883"/>
      <c r="CU307" s="883"/>
    </row>
    <row r="308" spans="1:99" x14ac:dyDescent="0.25">
      <c r="A308" s="880" t="s">
        <v>1787</v>
      </c>
      <c r="B308" s="881" t="s">
        <v>1788</v>
      </c>
      <c r="C308" s="880"/>
      <c r="D308" s="880"/>
      <c r="E308" s="884" t="s">
        <v>744</v>
      </c>
      <c r="F308" s="888">
        <v>1</v>
      </c>
      <c r="G308" s="881" t="s">
        <v>1007</v>
      </c>
      <c r="H308" s="881" t="s">
        <v>19</v>
      </c>
      <c r="I308" s="865">
        <v>46142</v>
      </c>
      <c r="J308" s="882" t="s">
        <v>8</v>
      </c>
      <c r="K308" s="880"/>
      <c r="L308" s="880"/>
      <c r="M308" s="883">
        <v>0</v>
      </c>
      <c r="N308" s="883">
        <v>0</v>
      </c>
      <c r="O308" s="883">
        <v>0</v>
      </c>
      <c r="P308" s="883">
        <v>17.39</v>
      </c>
      <c r="Q308" s="883">
        <v>15</v>
      </c>
      <c r="R308" s="883">
        <f t="shared" si="80"/>
        <v>2.61</v>
      </c>
      <c r="S308" s="883">
        <v>0</v>
      </c>
      <c r="T308" s="883">
        <v>5</v>
      </c>
      <c r="U308" s="883">
        <f t="shared" si="81"/>
        <v>0</v>
      </c>
      <c r="V308" s="883">
        <v>0</v>
      </c>
      <c r="W308" s="883">
        <v>8</v>
      </c>
      <c r="X308" s="883">
        <f t="shared" si="82"/>
        <v>0</v>
      </c>
      <c r="Y308" s="883">
        <v>0</v>
      </c>
      <c r="Z308" s="883">
        <v>0</v>
      </c>
      <c r="AA308" s="883">
        <v>0</v>
      </c>
      <c r="AB308" s="883">
        <f t="shared" si="83"/>
        <v>20</v>
      </c>
      <c r="AC308" s="883">
        <v>0</v>
      </c>
      <c r="AD308" s="881"/>
      <c r="AE308" s="880"/>
      <c r="AF308" s="883"/>
      <c r="AG308" s="889"/>
      <c r="AH308" s="880"/>
      <c r="AI308" s="880" t="s">
        <v>1241</v>
      </c>
      <c r="AJ308" s="884">
        <v>411</v>
      </c>
      <c r="AK308" s="883">
        <f t="shared" si="84"/>
        <v>17.39</v>
      </c>
      <c r="AL308" s="884">
        <v>413</v>
      </c>
      <c r="AM308" s="883">
        <f t="shared" si="85"/>
        <v>0</v>
      </c>
      <c r="AN308" s="884">
        <v>441</v>
      </c>
      <c r="AO308" s="883">
        <f t="shared" si="86"/>
        <v>0</v>
      </c>
      <c r="AP308" s="881"/>
      <c r="AQ308" s="881"/>
      <c r="AR308" s="883">
        <v>0</v>
      </c>
      <c r="AS308" s="883">
        <v>0</v>
      </c>
      <c r="AT308" s="883">
        <v>0</v>
      </c>
      <c r="AU308" s="880"/>
      <c r="AV308" s="886"/>
      <c r="AW308" s="880"/>
      <c r="AX308" s="886"/>
      <c r="AY308" s="880"/>
      <c r="AZ308" s="880"/>
      <c r="BA308" s="881"/>
      <c r="BB308" s="881" t="s">
        <v>57</v>
      </c>
      <c r="BC308" s="881"/>
      <c r="BD308" s="881"/>
      <c r="BE308" s="884">
        <f t="shared" si="87"/>
        <v>4</v>
      </c>
      <c r="BF308" s="887" t="str">
        <f t="shared" si="88"/>
        <v>SI</v>
      </c>
      <c r="BG308" s="883">
        <f t="shared" si="89"/>
        <v>17.39</v>
      </c>
      <c r="BH308" s="883">
        <f t="shared" si="90"/>
        <v>0</v>
      </c>
      <c r="BI308" s="883">
        <f t="shared" si="91"/>
        <v>0</v>
      </c>
      <c r="BJ308" s="883">
        <f t="shared" si="92"/>
        <v>0</v>
      </c>
      <c r="BK308" s="883">
        <f t="shared" si="93"/>
        <v>0</v>
      </c>
      <c r="BL308" s="883">
        <f t="shared" si="94"/>
        <v>2.61</v>
      </c>
      <c r="BM308" s="881"/>
      <c r="BN308" s="880"/>
      <c r="BO308" s="882" t="s">
        <v>1579</v>
      </c>
      <c r="BP308" s="882" t="s">
        <v>2286</v>
      </c>
      <c r="BQ308" s="882" t="s">
        <v>2285</v>
      </c>
      <c r="BR308" s="880"/>
      <c r="BS308" s="880"/>
      <c r="BT308" s="880"/>
      <c r="BU308" s="880"/>
      <c r="BV308" s="880"/>
      <c r="BW308" s="883">
        <v>0</v>
      </c>
      <c r="BX308" s="883">
        <v>0</v>
      </c>
      <c r="BY308" s="883">
        <v>0</v>
      </c>
      <c r="BZ308" s="890"/>
      <c r="CA308" s="883">
        <f t="shared" si="95"/>
        <v>0</v>
      </c>
      <c r="CB308" s="880"/>
      <c r="CC308" s="881"/>
      <c r="CD308" s="883"/>
      <c r="CE308" s="883"/>
      <c r="CF308" s="883"/>
      <c r="CG308" s="883"/>
      <c r="CH308" s="883"/>
      <c r="CI308" s="883"/>
      <c r="CJ308" s="883"/>
      <c r="CK308" s="883"/>
      <c r="CL308" s="883"/>
      <c r="CM308" s="883"/>
      <c r="CN308" s="883"/>
      <c r="CO308" s="883"/>
      <c r="CP308" s="883"/>
      <c r="CQ308" s="883"/>
      <c r="CR308" s="883"/>
      <c r="CS308" s="883"/>
      <c r="CT308" s="883"/>
      <c r="CU308" s="883"/>
    </row>
    <row r="309" spans="1:99" x14ac:dyDescent="0.25">
      <c r="A309" s="880" t="s">
        <v>1787</v>
      </c>
      <c r="B309" s="881" t="s">
        <v>1788</v>
      </c>
      <c r="C309" s="880"/>
      <c r="D309" s="880"/>
      <c r="E309" s="884" t="s">
        <v>744</v>
      </c>
      <c r="F309" s="888">
        <v>1</v>
      </c>
      <c r="G309" s="881" t="s">
        <v>1007</v>
      </c>
      <c r="H309" s="881" t="s">
        <v>19</v>
      </c>
      <c r="I309" s="865">
        <v>46142</v>
      </c>
      <c r="J309" s="882" t="s">
        <v>8</v>
      </c>
      <c r="K309" s="880"/>
      <c r="L309" s="880"/>
      <c r="M309" s="883">
        <v>0</v>
      </c>
      <c r="N309" s="883">
        <v>0</v>
      </c>
      <c r="O309" s="883">
        <v>0</v>
      </c>
      <c r="P309" s="883">
        <v>17.39</v>
      </c>
      <c r="Q309" s="883">
        <v>15</v>
      </c>
      <c r="R309" s="883">
        <f t="shared" si="80"/>
        <v>2.61</v>
      </c>
      <c r="S309" s="883">
        <v>0</v>
      </c>
      <c r="T309" s="883">
        <v>5</v>
      </c>
      <c r="U309" s="883">
        <f t="shared" si="81"/>
        <v>0</v>
      </c>
      <c r="V309" s="883">
        <v>0</v>
      </c>
      <c r="W309" s="883">
        <v>8</v>
      </c>
      <c r="X309" s="883">
        <f t="shared" si="82"/>
        <v>0</v>
      </c>
      <c r="Y309" s="883">
        <v>0</v>
      </c>
      <c r="Z309" s="883">
        <v>0</v>
      </c>
      <c r="AA309" s="883">
        <v>0</v>
      </c>
      <c r="AB309" s="883">
        <f t="shared" si="83"/>
        <v>20</v>
      </c>
      <c r="AC309" s="883">
        <v>0</v>
      </c>
      <c r="AD309" s="881"/>
      <c r="AE309" s="880"/>
      <c r="AF309" s="883"/>
      <c r="AG309" s="889"/>
      <c r="AH309" s="880"/>
      <c r="AI309" s="880" t="s">
        <v>1241</v>
      </c>
      <c r="AJ309" s="884">
        <v>411</v>
      </c>
      <c r="AK309" s="883">
        <f t="shared" si="84"/>
        <v>17.39</v>
      </c>
      <c r="AL309" s="884">
        <v>413</v>
      </c>
      <c r="AM309" s="883">
        <f t="shared" si="85"/>
        <v>0</v>
      </c>
      <c r="AN309" s="884">
        <v>441</v>
      </c>
      <c r="AO309" s="883">
        <f t="shared" si="86"/>
        <v>0</v>
      </c>
      <c r="AP309" s="881"/>
      <c r="AQ309" s="881"/>
      <c r="AR309" s="883">
        <v>0</v>
      </c>
      <c r="AS309" s="883">
        <v>0</v>
      </c>
      <c r="AT309" s="883">
        <v>0</v>
      </c>
      <c r="AU309" s="880"/>
      <c r="AV309" s="886"/>
      <c r="AW309" s="880"/>
      <c r="AX309" s="886"/>
      <c r="AY309" s="880"/>
      <c r="AZ309" s="880"/>
      <c r="BA309" s="881"/>
      <c r="BB309" s="881" t="s">
        <v>57</v>
      </c>
      <c r="BC309" s="881"/>
      <c r="BD309" s="881"/>
      <c r="BE309" s="884">
        <f t="shared" si="87"/>
        <v>4</v>
      </c>
      <c r="BF309" s="887" t="str">
        <f t="shared" si="88"/>
        <v>SI</v>
      </c>
      <c r="BG309" s="883">
        <f t="shared" si="89"/>
        <v>17.39</v>
      </c>
      <c r="BH309" s="883">
        <f t="shared" si="90"/>
        <v>0</v>
      </c>
      <c r="BI309" s="883">
        <f t="shared" si="91"/>
        <v>0</v>
      </c>
      <c r="BJ309" s="883">
        <f t="shared" si="92"/>
        <v>0</v>
      </c>
      <c r="BK309" s="883">
        <f t="shared" si="93"/>
        <v>0</v>
      </c>
      <c r="BL309" s="883">
        <f t="shared" si="94"/>
        <v>2.61</v>
      </c>
      <c r="BM309" s="881"/>
      <c r="BN309" s="880"/>
      <c r="BO309" s="882" t="s">
        <v>1579</v>
      </c>
      <c r="BP309" s="882" t="s">
        <v>2286</v>
      </c>
      <c r="BQ309" s="882" t="s">
        <v>2285</v>
      </c>
      <c r="BR309" s="880"/>
      <c r="BS309" s="880"/>
      <c r="BT309" s="880"/>
      <c r="BU309" s="880"/>
      <c r="BV309" s="880"/>
      <c r="BW309" s="883">
        <v>0</v>
      </c>
      <c r="BX309" s="883">
        <v>0</v>
      </c>
      <c r="BY309" s="883">
        <v>0</v>
      </c>
      <c r="BZ309" s="890"/>
      <c r="CA309" s="883">
        <f t="shared" si="95"/>
        <v>0</v>
      </c>
      <c r="CB309" s="880"/>
      <c r="CC309" s="881"/>
      <c r="CD309" s="883"/>
      <c r="CE309" s="883"/>
      <c r="CF309" s="883"/>
      <c r="CG309" s="883"/>
      <c r="CH309" s="883"/>
      <c r="CI309" s="883"/>
      <c r="CJ309" s="883"/>
      <c r="CK309" s="883"/>
      <c r="CL309" s="883"/>
      <c r="CM309" s="883"/>
      <c r="CN309" s="883"/>
      <c r="CO309" s="883"/>
      <c r="CP309" s="883"/>
      <c r="CQ309" s="883"/>
      <c r="CR309" s="883"/>
      <c r="CS309" s="883"/>
      <c r="CT309" s="883"/>
      <c r="CU309" s="883"/>
    </row>
    <row r="310" spans="1:99" x14ac:dyDescent="0.25">
      <c r="A310" s="880" t="s">
        <v>1787</v>
      </c>
      <c r="B310" s="881" t="s">
        <v>1788</v>
      </c>
      <c r="C310" s="880"/>
      <c r="D310" s="880"/>
      <c r="E310" s="884" t="s">
        <v>744</v>
      </c>
      <c r="F310" s="888">
        <v>1</v>
      </c>
      <c r="G310" s="881" t="s">
        <v>1007</v>
      </c>
      <c r="H310" s="881" t="s">
        <v>19</v>
      </c>
      <c r="I310" s="865">
        <v>46142</v>
      </c>
      <c r="J310" s="882" t="s">
        <v>8</v>
      </c>
      <c r="K310" s="880"/>
      <c r="L310" s="880"/>
      <c r="M310" s="883">
        <v>0</v>
      </c>
      <c r="N310" s="883">
        <v>0</v>
      </c>
      <c r="O310" s="883">
        <v>0</v>
      </c>
      <c r="P310" s="883">
        <v>17.39</v>
      </c>
      <c r="Q310" s="883">
        <v>15</v>
      </c>
      <c r="R310" s="883">
        <f t="shared" si="80"/>
        <v>2.61</v>
      </c>
      <c r="S310" s="883">
        <v>0</v>
      </c>
      <c r="T310" s="883">
        <v>5</v>
      </c>
      <c r="U310" s="883">
        <f t="shared" si="81"/>
        <v>0</v>
      </c>
      <c r="V310" s="883">
        <v>0</v>
      </c>
      <c r="W310" s="883">
        <v>8</v>
      </c>
      <c r="X310" s="883">
        <f t="shared" si="82"/>
        <v>0</v>
      </c>
      <c r="Y310" s="883">
        <v>0</v>
      </c>
      <c r="Z310" s="883">
        <v>0</v>
      </c>
      <c r="AA310" s="883">
        <v>0</v>
      </c>
      <c r="AB310" s="883">
        <f t="shared" si="83"/>
        <v>20</v>
      </c>
      <c r="AC310" s="883">
        <v>0</v>
      </c>
      <c r="AD310" s="881"/>
      <c r="AE310" s="880"/>
      <c r="AF310" s="883"/>
      <c r="AG310" s="889"/>
      <c r="AH310" s="880"/>
      <c r="AI310" s="880" t="s">
        <v>1241</v>
      </c>
      <c r="AJ310" s="884">
        <v>411</v>
      </c>
      <c r="AK310" s="883">
        <f t="shared" si="84"/>
        <v>17.39</v>
      </c>
      <c r="AL310" s="884">
        <v>413</v>
      </c>
      <c r="AM310" s="883">
        <f t="shared" si="85"/>
        <v>0</v>
      </c>
      <c r="AN310" s="884">
        <v>441</v>
      </c>
      <c r="AO310" s="883">
        <f t="shared" si="86"/>
        <v>0</v>
      </c>
      <c r="AP310" s="881"/>
      <c r="AQ310" s="881"/>
      <c r="AR310" s="883">
        <v>0</v>
      </c>
      <c r="AS310" s="883">
        <v>0</v>
      </c>
      <c r="AT310" s="883">
        <v>0</v>
      </c>
      <c r="AU310" s="880"/>
      <c r="AV310" s="886"/>
      <c r="AW310" s="880"/>
      <c r="AX310" s="886"/>
      <c r="AY310" s="880"/>
      <c r="AZ310" s="880"/>
      <c r="BA310" s="881"/>
      <c r="BB310" s="881" t="s">
        <v>57</v>
      </c>
      <c r="BC310" s="881"/>
      <c r="BD310" s="881"/>
      <c r="BE310" s="884">
        <f t="shared" si="87"/>
        <v>4</v>
      </c>
      <c r="BF310" s="887" t="str">
        <f t="shared" si="88"/>
        <v>SI</v>
      </c>
      <c r="BG310" s="883">
        <f t="shared" si="89"/>
        <v>17.39</v>
      </c>
      <c r="BH310" s="883">
        <f t="shared" si="90"/>
        <v>0</v>
      </c>
      <c r="BI310" s="883">
        <f t="shared" si="91"/>
        <v>0</v>
      </c>
      <c r="BJ310" s="883">
        <f t="shared" si="92"/>
        <v>0</v>
      </c>
      <c r="BK310" s="883">
        <f t="shared" si="93"/>
        <v>0</v>
      </c>
      <c r="BL310" s="883">
        <f t="shared" si="94"/>
        <v>2.61</v>
      </c>
      <c r="BM310" s="881"/>
      <c r="BN310" s="880"/>
      <c r="BO310" s="882" t="s">
        <v>1579</v>
      </c>
      <c r="BP310" s="882" t="s">
        <v>2286</v>
      </c>
      <c r="BQ310" s="882" t="s">
        <v>2285</v>
      </c>
      <c r="BR310" s="880"/>
      <c r="BS310" s="880"/>
      <c r="BT310" s="880"/>
      <c r="BU310" s="880"/>
      <c r="BV310" s="880"/>
      <c r="BW310" s="883">
        <v>0</v>
      </c>
      <c r="BX310" s="883">
        <v>0</v>
      </c>
      <c r="BY310" s="883">
        <v>0</v>
      </c>
      <c r="BZ310" s="890"/>
      <c r="CA310" s="883">
        <f t="shared" si="95"/>
        <v>0</v>
      </c>
      <c r="CB310" s="880"/>
      <c r="CC310" s="881"/>
      <c r="CD310" s="883"/>
      <c r="CE310" s="883"/>
      <c r="CF310" s="883"/>
      <c r="CG310" s="883"/>
      <c r="CH310" s="883"/>
      <c r="CI310" s="883"/>
      <c r="CJ310" s="883"/>
      <c r="CK310" s="883"/>
      <c r="CL310" s="883"/>
      <c r="CM310" s="883"/>
      <c r="CN310" s="883"/>
      <c r="CO310" s="883"/>
      <c r="CP310" s="883"/>
      <c r="CQ310" s="883"/>
      <c r="CR310" s="883"/>
      <c r="CS310" s="883"/>
      <c r="CT310" s="883"/>
      <c r="CU310" s="883"/>
    </row>
    <row r="311" spans="1:99" x14ac:dyDescent="0.25">
      <c r="A311" s="880" t="s">
        <v>1787</v>
      </c>
      <c r="B311" s="881" t="s">
        <v>1788</v>
      </c>
      <c r="C311" s="880"/>
      <c r="D311" s="880"/>
      <c r="E311" s="884" t="s">
        <v>744</v>
      </c>
      <c r="F311" s="888">
        <v>1</v>
      </c>
      <c r="G311" s="881" t="s">
        <v>1007</v>
      </c>
      <c r="H311" s="881" t="s">
        <v>19</v>
      </c>
      <c r="I311" s="865">
        <v>46142</v>
      </c>
      <c r="J311" s="882" t="s">
        <v>8</v>
      </c>
      <c r="K311" s="880"/>
      <c r="L311" s="880"/>
      <c r="M311" s="883">
        <v>0</v>
      </c>
      <c r="N311" s="883">
        <v>0</v>
      </c>
      <c r="O311" s="883">
        <v>0</v>
      </c>
      <c r="P311" s="883">
        <v>17.39</v>
      </c>
      <c r="Q311" s="883">
        <v>15</v>
      </c>
      <c r="R311" s="883">
        <f t="shared" si="80"/>
        <v>2.61</v>
      </c>
      <c r="S311" s="883">
        <v>0</v>
      </c>
      <c r="T311" s="883">
        <v>5</v>
      </c>
      <c r="U311" s="883">
        <f t="shared" si="81"/>
        <v>0</v>
      </c>
      <c r="V311" s="883">
        <v>0</v>
      </c>
      <c r="W311" s="883">
        <v>8</v>
      </c>
      <c r="X311" s="883">
        <f t="shared" si="82"/>
        <v>0</v>
      </c>
      <c r="Y311" s="883">
        <v>0</v>
      </c>
      <c r="Z311" s="883">
        <v>0</v>
      </c>
      <c r="AA311" s="883">
        <v>0</v>
      </c>
      <c r="AB311" s="883">
        <f t="shared" si="83"/>
        <v>20</v>
      </c>
      <c r="AC311" s="883">
        <v>0</v>
      </c>
      <c r="AD311" s="881"/>
      <c r="AE311" s="880"/>
      <c r="AF311" s="883"/>
      <c r="AG311" s="889"/>
      <c r="AH311" s="880"/>
      <c r="AI311" s="880" t="s">
        <v>1241</v>
      </c>
      <c r="AJ311" s="884">
        <v>411</v>
      </c>
      <c r="AK311" s="883">
        <f t="shared" si="84"/>
        <v>17.39</v>
      </c>
      <c r="AL311" s="884">
        <v>413</v>
      </c>
      <c r="AM311" s="883">
        <f t="shared" si="85"/>
        <v>0</v>
      </c>
      <c r="AN311" s="884">
        <v>441</v>
      </c>
      <c r="AO311" s="883">
        <f t="shared" si="86"/>
        <v>0</v>
      </c>
      <c r="AP311" s="881"/>
      <c r="AQ311" s="881"/>
      <c r="AR311" s="883">
        <v>0</v>
      </c>
      <c r="AS311" s="883">
        <v>0</v>
      </c>
      <c r="AT311" s="883">
        <v>0</v>
      </c>
      <c r="AU311" s="880"/>
      <c r="AV311" s="886"/>
      <c r="AW311" s="880"/>
      <c r="AX311" s="886"/>
      <c r="AY311" s="880"/>
      <c r="AZ311" s="880"/>
      <c r="BA311" s="881"/>
      <c r="BB311" s="881" t="s">
        <v>57</v>
      </c>
      <c r="BC311" s="881"/>
      <c r="BD311" s="881"/>
      <c r="BE311" s="884">
        <f t="shared" si="87"/>
        <v>4</v>
      </c>
      <c r="BF311" s="887" t="str">
        <f t="shared" si="88"/>
        <v>SI</v>
      </c>
      <c r="BG311" s="883">
        <f t="shared" si="89"/>
        <v>17.39</v>
      </c>
      <c r="BH311" s="883">
        <f t="shared" si="90"/>
        <v>0</v>
      </c>
      <c r="BI311" s="883">
        <f t="shared" si="91"/>
        <v>0</v>
      </c>
      <c r="BJ311" s="883">
        <f t="shared" si="92"/>
        <v>0</v>
      </c>
      <c r="BK311" s="883">
        <f t="shared" si="93"/>
        <v>0</v>
      </c>
      <c r="BL311" s="883">
        <f t="shared" si="94"/>
        <v>2.61</v>
      </c>
      <c r="BM311" s="881"/>
      <c r="BN311" s="880"/>
      <c r="BO311" s="882" t="s">
        <v>1579</v>
      </c>
      <c r="BP311" s="882" t="s">
        <v>2286</v>
      </c>
      <c r="BQ311" s="882" t="s">
        <v>2285</v>
      </c>
      <c r="BR311" s="880"/>
      <c r="BS311" s="880"/>
      <c r="BT311" s="880"/>
      <c r="BU311" s="880"/>
      <c r="BV311" s="880"/>
      <c r="BW311" s="883">
        <v>0</v>
      </c>
      <c r="BX311" s="883">
        <v>0</v>
      </c>
      <c r="BY311" s="883">
        <v>0</v>
      </c>
      <c r="BZ311" s="890"/>
      <c r="CA311" s="883">
        <f t="shared" si="95"/>
        <v>0</v>
      </c>
      <c r="CB311" s="880"/>
      <c r="CC311" s="881"/>
      <c r="CD311" s="883"/>
      <c r="CE311" s="883"/>
      <c r="CF311" s="883"/>
      <c r="CG311" s="883"/>
      <c r="CH311" s="883"/>
      <c r="CI311" s="883"/>
      <c r="CJ311" s="883"/>
      <c r="CK311" s="883"/>
      <c r="CL311" s="883"/>
      <c r="CM311" s="883"/>
      <c r="CN311" s="883"/>
      <c r="CO311" s="883"/>
      <c r="CP311" s="883"/>
      <c r="CQ311" s="883"/>
      <c r="CR311" s="883"/>
      <c r="CS311" s="883"/>
      <c r="CT311" s="883"/>
      <c r="CU311" s="883"/>
    </row>
    <row r="312" spans="1:99" x14ac:dyDescent="0.25">
      <c r="A312" s="880" t="s">
        <v>1787</v>
      </c>
      <c r="B312" s="881" t="s">
        <v>1788</v>
      </c>
      <c r="C312" s="880"/>
      <c r="D312" s="880"/>
      <c r="E312" s="884" t="s">
        <v>744</v>
      </c>
      <c r="F312" s="888">
        <v>1</v>
      </c>
      <c r="G312" s="881" t="s">
        <v>1007</v>
      </c>
      <c r="H312" s="881" t="s">
        <v>19</v>
      </c>
      <c r="I312" s="865">
        <v>46142</v>
      </c>
      <c r="J312" s="882" t="s">
        <v>8</v>
      </c>
      <c r="K312" s="880"/>
      <c r="L312" s="880"/>
      <c r="M312" s="883">
        <v>0</v>
      </c>
      <c r="N312" s="883">
        <v>0</v>
      </c>
      <c r="O312" s="883">
        <v>0</v>
      </c>
      <c r="P312" s="883">
        <v>17.39</v>
      </c>
      <c r="Q312" s="883">
        <v>15</v>
      </c>
      <c r="R312" s="883">
        <f t="shared" si="80"/>
        <v>2.61</v>
      </c>
      <c r="S312" s="883">
        <v>0</v>
      </c>
      <c r="T312" s="883">
        <v>5</v>
      </c>
      <c r="U312" s="883">
        <f t="shared" si="81"/>
        <v>0</v>
      </c>
      <c r="V312" s="883">
        <v>0</v>
      </c>
      <c r="W312" s="883">
        <v>8</v>
      </c>
      <c r="X312" s="883">
        <f t="shared" si="82"/>
        <v>0</v>
      </c>
      <c r="Y312" s="883">
        <v>0</v>
      </c>
      <c r="Z312" s="883">
        <v>0</v>
      </c>
      <c r="AA312" s="883">
        <v>0</v>
      </c>
      <c r="AB312" s="883">
        <f t="shared" si="83"/>
        <v>20</v>
      </c>
      <c r="AC312" s="883">
        <v>0</v>
      </c>
      <c r="AD312" s="881"/>
      <c r="AE312" s="880"/>
      <c r="AF312" s="883"/>
      <c r="AG312" s="889"/>
      <c r="AH312" s="880"/>
      <c r="AI312" s="880" t="s">
        <v>1241</v>
      </c>
      <c r="AJ312" s="884">
        <v>411</v>
      </c>
      <c r="AK312" s="883">
        <f t="shared" si="84"/>
        <v>17.39</v>
      </c>
      <c r="AL312" s="884">
        <v>413</v>
      </c>
      <c r="AM312" s="883">
        <f t="shared" si="85"/>
        <v>0</v>
      </c>
      <c r="AN312" s="884">
        <v>441</v>
      </c>
      <c r="AO312" s="883">
        <f t="shared" si="86"/>
        <v>0</v>
      </c>
      <c r="AP312" s="881"/>
      <c r="AQ312" s="881"/>
      <c r="AR312" s="883">
        <v>0</v>
      </c>
      <c r="AS312" s="883">
        <v>0</v>
      </c>
      <c r="AT312" s="883">
        <v>0</v>
      </c>
      <c r="AU312" s="880"/>
      <c r="AV312" s="886"/>
      <c r="AW312" s="880"/>
      <c r="AX312" s="886"/>
      <c r="AY312" s="880"/>
      <c r="AZ312" s="880"/>
      <c r="BA312" s="881"/>
      <c r="BB312" s="881" t="s">
        <v>57</v>
      </c>
      <c r="BC312" s="881"/>
      <c r="BD312" s="881"/>
      <c r="BE312" s="884">
        <f t="shared" si="87"/>
        <v>4</v>
      </c>
      <c r="BF312" s="887" t="str">
        <f t="shared" si="88"/>
        <v>SI</v>
      </c>
      <c r="BG312" s="883">
        <f t="shared" si="89"/>
        <v>17.39</v>
      </c>
      <c r="BH312" s="883">
        <f t="shared" si="90"/>
        <v>0</v>
      </c>
      <c r="BI312" s="883">
        <f t="shared" si="91"/>
        <v>0</v>
      </c>
      <c r="BJ312" s="883">
        <f t="shared" si="92"/>
        <v>0</v>
      </c>
      <c r="BK312" s="883">
        <f t="shared" si="93"/>
        <v>0</v>
      </c>
      <c r="BL312" s="883">
        <f t="shared" si="94"/>
        <v>2.61</v>
      </c>
      <c r="BM312" s="881"/>
      <c r="BN312" s="880"/>
      <c r="BO312" s="882" t="s">
        <v>1579</v>
      </c>
      <c r="BP312" s="882" t="s">
        <v>2286</v>
      </c>
      <c r="BQ312" s="882" t="s">
        <v>2285</v>
      </c>
      <c r="BR312" s="880"/>
      <c r="BS312" s="880"/>
      <c r="BT312" s="880"/>
      <c r="BU312" s="880"/>
      <c r="BV312" s="880"/>
      <c r="BW312" s="883">
        <v>0</v>
      </c>
      <c r="BX312" s="883">
        <v>0</v>
      </c>
      <c r="BY312" s="883">
        <v>0</v>
      </c>
      <c r="BZ312" s="890"/>
      <c r="CA312" s="883">
        <f t="shared" si="95"/>
        <v>0</v>
      </c>
      <c r="CB312" s="880"/>
      <c r="CC312" s="881"/>
      <c r="CD312" s="883"/>
      <c r="CE312" s="883"/>
      <c r="CF312" s="883"/>
      <c r="CG312" s="883"/>
      <c r="CH312" s="883"/>
      <c r="CI312" s="883"/>
      <c r="CJ312" s="883"/>
      <c r="CK312" s="883"/>
      <c r="CL312" s="883"/>
      <c r="CM312" s="883"/>
      <c r="CN312" s="883"/>
      <c r="CO312" s="883"/>
      <c r="CP312" s="883"/>
      <c r="CQ312" s="883"/>
      <c r="CR312" s="883"/>
      <c r="CS312" s="883"/>
      <c r="CT312" s="883"/>
      <c r="CU312" s="883"/>
    </row>
    <row r="313" spans="1:99" x14ac:dyDescent="0.25">
      <c r="A313" s="880" t="s">
        <v>1787</v>
      </c>
      <c r="B313" s="881" t="s">
        <v>1788</v>
      </c>
      <c r="C313" s="880"/>
      <c r="D313" s="880"/>
      <c r="E313" s="884" t="s">
        <v>744</v>
      </c>
      <c r="F313" s="888">
        <v>1</v>
      </c>
      <c r="G313" s="881" t="s">
        <v>1007</v>
      </c>
      <c r="H313" s="881" t="s">
        <v>19</v>
      </c>
      <c r="I313" s="865">
        <v>46142</v>
      </c>
      <c r="J313" s="882" t="s">
        <v>8</v>
      </c>
      <c r="K313" s="880"/>
      <c r="L313" s="880"/>
      <c r="M313" s="883">
        <v>0</v>
      </c>
      <c r="N313" s="883">
        <v>0</v>
      </c>
      <c r="O313" s="883">
        <v>0</v>
      </c>
      <c r="P313" s="883">
        <v>17.39</v>
      </c>
      <c r="Q313" s="883">
        <v>15</v>
      </c>
      <c r="R313" s="883">
        <f t="shared" si="80"/>
        <v>2.61</v>
      </c>
      <c r="S313" s="883">
        <v>0</v>
      </c>
      <c r="T313" s="883">
        <v>5</v>
      </c>
      <c r="U313" s="883">
        <f t="shared" si="81"/>
        <v>0</v>
      </c>
      <c r="V313" s="883">
        <v>0</v>
      </c>
      <c r="W313" s="883">
        <v>8</v>
      </c>
      <c r="X313" s="883">
        <f t="shared" si="82"/>
        <v>0</v>
      </c>
      <c r="Y313" s="883">
        <v>0</v>
      </c>
      <c r="Z313" s="883">
        <v>0</v>
      </c>
      <c r="AA313" s="883">
        <v>0</v>
      </c>
      <c r="AB313" s="883">
        <f t="shared" si="83"/>
        <v>20</v>
      </c>
      <c r="AC313" s="883">
        <v>0</v>
      </c>
      <c r="AD313" s="881"/>
      <c r="AE313" s="880"/>
      <c r="AF313" s="883"/>
      <c r="AG313" s="889"/>
      <c r="AH313" s="880"/>
      <c r="AI313" s="880" t="s">
        <v>1241</v>
      </c>
      <c r="AJ313" s="884">
        <v>411</v>
      </c>
      <c r="AK313" s="883">
        <f t="shared" si="84"/>
        <v>17.39</v>
      </c>
      <c r="AL313" s="884">
        <v>413</v>
      </c>
      <c r="AM313" s="883">
        <f t="shared" si="85"/>
        <v>0</v>
      </c>
      <c r="AN313" s="884">
        <v>441</v>
      </c>
      <c r="AO313" s="883">
        <f t="shared" si="86"/>
        <v>0</v>
      </c>
      <c r="AP313" s="881"/>
      <c r="AQ313" s="881"/>
      <c r="AR313" s="883">
        <v>0</v>
      </c>
      <c r="AS313" s="883">
        <v>0</v>
      </c>
      <c r="AT313" s="883">
        <v>0</v>
      </c>
      <c r="AU313" s="880"/>
      <c r="AV313" s="886"/>
      <c r="AW313" s="880"/>
      <c r="AX313" s="886"/>
      <c r="AY313" s="880"/>
      <c r="AZ313" s="880"/>
      <c r="BA313" s="881"/>
      <c r="BB313" s="881" t="s">
        <v>57</v>
      </c>
      <c r="BC313" s="881"/>
      <c r="BD313" s="881"/>
      <c r="BE313" s="884">
        <f t="shared" si="87"/>
        <v>4</v>
      </c>
      <c r="BF313" s="887" t="str">
        <f t="shared" si="88"/>
        <v>SI</v>
      </c>
      <c r="BG313" s="883">
        <f t="shared" si="89"/>
        <v>17.39</v>
      </c>
      <c r="BH313" s="883">
        <f t="shared" si="90"/>
        <v>0</v>
      </c>
      <c r="BI313" s="883">
        <f t="shared" si="91"/>
        <v>0</v>
      </c>
      <c r="BJ313" s="883">
        <f t="shared" si="92"/>
        <v>0</v>
      </c>
      <c r="BK313" s="883">
        <f t="shared" si="93"/>
        <v>0</v>
      </c>
      <c r="BL313" s="883">
        <f t="shared" si="94"/>
        <v>2.61</v>
      </c>
      <c r="BM313" s="881"/>
      <c r="BN313" s="880"/>
      <c r="BO313" s="882" t="s">
        <v>1579</v>
      </c>
      <c r="BP313" s="882" t="s">
        <v>2286</v>
      </c>
      <c r="BQ313" s="882" t="s">
        <v>2285</v>
      </c>
      <c r="BR313" s="880"/>
      <c r="BS313" s="880"/>
      <c r="BT313" s="880"/>
      <c r="BU313" s="880"/>
      <c r="BV313" s="880"/>
      <c r="BW313" s="883">
        <v>0</v>
      </c>
      <c r="BX313" s="883">
        <v>0</v>
      </c>
      <c r="BY313" s="883">
        <v>0</v>
      </c>
      <c r="BZ313" s="890"/>
      <c r="CA313" s="883">
        <f t="shared" si="95"/>
        <v>0</v>
      </c>
      <c r="CB313" s="880"/>
      <c r="CC313" s="881"/>
      <c r="CD313" s="883"/>
      <c r="CE313" s="883"/>
      <c r="CF313" s="883"/>
      <c r="CG313" s="883"/>
      <c r="CH313" s="883"/>
      <c r="CI313" s="883"/>
      <c r="CJ313" s="883"/>
      <c r="CK313" s="883"/>
      <c r="CL313" s="883"/>
      <c r="CM313" s="883"/>
      <c r="CN313" s="883"/>
      <c r="CO313" s="883"/>
      <c r="CP313" s="883"/>
      <c r="CQ313" s="883"/>
      <c r="CR313" s="883"/>
      <c r="CS313" s="883"/>
      <c r="CT313" s="883"/>
      <c r="CU313" s="883"/>
    </row>
    <row r="314" spans="1:99" x14ac:dyDescent="0.25">
      <c r="A314" s="880" t="s">
        <v>1787</v>
      </c>
      <c r="B314" s="881" t="s">
        <v>1788</v>
      </c>
      <c r="C314" s="880"/>
      <c r="D314" s="880"/>
      <c r="E314" s="884" t="s">
        <v>744</v>
      </c>
      <c r="F314" s="888">
        <v>1</v>
      </c>
      <c r="G314" s="881" t="s">
        <v>1007</v>
      </c>
      <c r="H314" s="881" t="s">
        <v>19</v>
      </c>
      <c r="I314" s="865">
        <v>46142</v>
      </c>
      <c r="J314" s="882" t="s">
        <v>8</v>
      </c>
      <c r="K314" s="880"/>
      <c r="L314" s="880"/>
      <c r="M314" s="883">
        <v>0</v>
      </c>
      <c r="N314" s="883">
        <v>0</v>
      </c>
      <c r="O314" s="883">
        <v>0</v>
      </c>
      <c r="P314" s="883">
        <v>17.39</v>
      </c>
      <c r="Q314" s="883">
        <v>15</v>
      </c>
      <c r="R314" s="883">
        <f t="shared" si="80"/>
        <v>2.61</v>
      </c>
      <c r="S314" s="883">
        <v>0</v>
      </c>
      <c r="T314" s="883">
        <v>5</v>
      </c>
      <c r="U314" s="883">
        <f t="shared" si="81"/>
        <v>0</v>
      </c>
      <c r="V314" s="883">
        <v>0</v>
      </c>
      <c r="W314" s="883">
        <v>8</v>
      </c>
      <c r="X314" s="883">
        <f t="shared" si="82"/>
        <v>0</v>
      </c>
      <c r="Y314" s="883">
        <v>0</v>
      </c>
      <c r="Z314" s="883">
        <v>0</v>
      </c>
      <c r="AA314" s="883">
        <v>0</v>
      </c>
      <c r="AB314" s="883">
        <f t="shared" si="83"/>
        <v>20</v>
      </c>
      <c r="AC314" s="883">
        <v>0</v>
      </c>
      <c r="AD314" s="881"/>
      <c r="AE314" s="880"/>
      <c r="AF314" s="883"/>
      <c r="AG314" s="889"/>
      <c r="AH314" s="880"/>
      <c r="AI314" s="880" t="s">
        <v>1241</v>
      </c>
      <c r="AJ314" s="884">
        <v>411</v>
      </c>
      <c r="AK314" s="883">
        <f t="shared" si="84"/>
        <v>17.39</v>
      </c>
      <c r="AL314" s="884">
        <v>413</v>
      </c>
      <c r="AM314" s="883">
        <f t="shared" si="85"/>
        <v>0</v>
      </c>
      <c r="AN314" s="884">
        <v>441</v>
      </c>
      <c r="AO314" s="883">
        <f t="shared" si="86"/>
        <v>0</v>
      </c>
      <c r="AP314" s="881"/>
      <c r="AQ314" s="881"/>
      <c r="AR314" s="883">
        <v>0</v>
      </c>
      <c r="AS314" s="883">
        <v>0</v>
      </c>
      <c r="AT314" s="883">
        <v>0</v>
      </c>
      <c r="AU314" s="880"/>
      <c r="AV314" s="886"/>
      <c r="AW314" s="880"/>
      <c r="AX314" s="886"/>
      <c r="AY314" s="880"/>
      <c r="AZ314" s="880"/>
      <c r="BA314" s="881"/>
      <c r="BB314" s="881" t="s">
        <v>57</v>
      </c>
      <c r="BC314" s="881"/>
      <c r="BD314" s="881"/>
      <c r="BE314" s="884">
        <f t="shared" si="87"/>
        <v>4</v>
      </c>
      <c r="BF314" s="887" t="str">
        <f t="shared" si="88"/>
        <v>SI</v>
      </c>
      <c r="BG314" s="883">
        <f t="shared" si="89"/>
        <v>17.39</v>
      </c>
      <c r="BH314" s="883">
        <f t="shared" si="90"/>
        <v>0</v>
      </c>
      <c r="BI314" s="883">
        <f t="shared" si="91"/>
        <v>0</v>
      </c>
      <c r="BJ314" s="883">
        <f t="shared" si="92"/>
        <v>0</v>
      </c>
      <c r="BK314" s="883">
        <f t="shared" si="93"/>
        <v>0</v>
      </c>
      <c r="BL314" s="883">
        <f t="shared" si="94"/>
        <v>2.61</v>
      </c>
      <c r="BM314" s="881"/>
      <c r="BN314" s="880"/>
      <c r="BO314" s="882" t="s">
        <v>1579</v>
      </c>
      <c r="BP314" s="882" t="s">
        <v>2286</v>
      </c>
      <c r="BQ314" s="882" t="s">
        <v>2285</v>
      </c>
      <c r="BR314" s="880"/>
      <c r="BS314" s="880"/>
      <c r="BT314" s="880"/>
      <c r="BU314" s="880"/>
      <c r="BV314" s="880"/>
      <c r="BW314" s="883">
        <v>0</v>
      </c>
      <c r="BX314" s="883">
        <v>0</v>
      </c>
      <c r="BY314" s="883">
        <v>0</v>
      </c>
      <c r="BZ314" s="890"/>
      <c r="CA314" s="883">
        <f t="shared" si="95"/>
        <v>0</v>
      </c>
      <c r="CB314" s="880"/>
      <c r="CC314" s="881"/>
      <c r="CD314" s="883"/>
      <c r="CE314" s="883"/>
      <c r="CF314" s="883"/>
      <c r="CG314" s="883"/>
      <c r="CH314" s="883"/>
      <c r="CI314" s="883"/>
      <c r="CJ314" s="883"/>
      <c r="CK314" s="883"/>
      <c r="CL314" s="883"/>
      <c r="CM314" s="883"/>
      <c r="CN314" s="883"/>
      <c r="CO314" s="883"/>
      <c r="CP314" s="883"/>
      <c r="CQ314" s="883"/>
      <c r="CR314" s="883"/>
      <c r="CS314" s="883"/>
      <c r="CT314" s="883"/>
      <c r="CU314" s="883"/>
    </row>
    <row r="315" spans="1:99" x14ac:dyDescent="0.25">
      <c r="A315" s="880" t="s">
        <v>2876</v>
      </c>
      <c r="B315" s="881" t="s">
        <v>2287</v>
      </c>
      <c r="C315" s="880" t="s">
        <v>2846</v>
      </c>
      <c r="D315" s="880"/>
      <c r="E315" s="884" t="s">
        <v>744</v>
      </c>
      <c r="F315" s="888">
        <v>1</v>
      </c>
      <c r="G315" s="881" t="s">
        <v>1007</v>
      </c>
      <c r="H315" s="881" t="s">
        <v>19</v>
      </c>
      <c r="I315" s="865">
        <v>46142</v>
      </c>
      <c r="J315" s="882" t="s">
        <v>8</v>
      </c>
      <c r="K315" s="880"/>
      <c r="L315" s="880"/>
      <c r="M315" s="883">
        <v>0</v>
      </c>
      <c r="N315" s="883">
        <v>0</v>
      </c>
      <c r="O315" s="883">
        <v>0</v>
      </c>
      <c r="P315" s="883">
        <v>17.39</v>
      </c>
      <c r="Q315" s="883">
        <v>15</v>
      </c>
      <c r="R315" s="883">
        <f t="shared" si="80"/>
        <v>2.61</v>
      </c>
      <c r="S315" s="883">
        <v>0</v>
      </c>
      <c r="T315" s="883">
        <v>5</v>
      </c>
      <c r="U315" s="883">
        <f t="shared" si="81"/>
        <v>0</v>
      </c>
      <c r="V315" s="883">
        <v>0</v>
      </c>
      <c r="W315" s="883">
        <v>8</v>
      </c>
      <c r="X315" s="883">
        <f t="shared" si="82"/>
        <v>0</v>
      </c>
      <c r="Y315" s="883">
        <v>0</v>
      </c>
      <c r="Z315" s="883">
        <v>0</v>
      </c>
      <c r="AA315" s="883">
        <v>0</v>
      </c>
      <c r="AB315" s="883">
        <f t="shared" si="83"/>
        <v>20</v>
      </c>
      <c r="AC315" s="883">
        <v>0</v>
      </c>
      <c r="AD315" s="881"/>
      <c r="AE315" s="880"/>
      <c r="AF315" s="883"/>
      <c r="AG315" s="889"/>
      <c r="AH315" s="880"/>
      <c r="AI315" s="880" t="s">
        <v>1241</v>
      </c>
      <c r="AJ315" s="884">
        <v>411</v>
      </c>
      <c r="AK315" s="883">
        <f t="shared" si="84"/>
        <v>17.39</v>
      </c>
      <c r="AL315" s="884">
        <v>413</v>
      </c>
      <c r="AM315" s="883">
        <f t="shared" si="85"/>
        <v>0</v>
      </c>
      <c r="AN315" s="884">
        <v>441</v>
      </c>
      <c r="AO315" s="883">
        <f t="shared" si="86"/>
        <v>0</v>
      </c>
      <c r="AP315" s="881"/>
      <c r="AQ315" s="881"/>
      <c r="AR315" s="883">
        <v>0</v>
      </c>
      <c r="AS315" s="883">
        <v>0</v>
      </c>
      <c r="AT315" s="883">
        <v>0</v>
      </c>
      <c r="AU315" s="880"/>
      <c r="AV315" s="886"/>
      <c r="AW315" s="880"/>
      <c r="AX315" s="886"/>
      <c r="AY315" s="880"/>
      <c r="AZ315" s="880"/>
      <c r="BA315" s="881"/>
      <c r="BB315" s="881" t="s">
        <v>57</v>
      </c>
      <c r="BC315" s="881"/>
      <c r="BD315" s="881"/>
      <c r="BE315" s="884">
        <f t="shared" si="87"/>
        <v>4</v>
      </c>
      <c r="BF315" s="887" t="str">
        <f t="shared" si="88"/>
        <v>SI</v>
      </c>
      <c r="BG315" s="883">
        <f t="shared" si="89"/>
        <v>17.39</v>
      </c>
      <c r="BH315" s="883">
        <f t="shared" si="90"/>
        <v>0</v>
      </c>
      <c r="BI315" s="883">
        <f t="shared" si="91"/>
        <v>0</v>
      </c>
      <c r="BJ315" s="883">
        <f t="shared" si="92"/>
        <v>0</v>
      </c>
      <c r="BK315" s="883">
        <f t="shared" si="93"/>
        <v>0</v>
      </c>
      <c r="BL315" s="883">
        <f t="shared" si="94"/>
        <v>2.61</v>
      </c>
      <c r="BM315" s="881"/>
      <c r="BN315" s="880"/>
      <c r="BO315" s="882" t="s">
        <v>1579</v>
      </c>
      <c r="BP315" s="882" t="s">
        <v>2286</v>
      </c>
      <c r="BQ315" s="882" t="s">
        <v>2285</v>
      </c>
      <c r="BR315" s="880"/>
      <c r="BS315" s="880"/>
      <c r="BT315" s="880"/>
      <c r="BU315" s="880"/>
      <c r="BV315" s="880"/>
      <c r="BW315" s="883">
        <v>0</v>
      </c>
      <c r="BX315" s="883">
        <v>0</v>
      </c>
      <c r="BY315" s="883">
        <v>0</v>
      </c>
      <c r="BZ315" s="890"/>
      <c r="CA315" s="883">
        <f t="shared" si="95"/>
        <v>0</v>
      </c>
      <c r="CB315" s="880"/>
      <c r="CC315" s="881"/>
      <c r="CD315" s="883"/>
      <c r="CE315" s="883"/>
      <c r="CF315" s="883"/>
      <c r="CG315" s="883"/>
      <c r="CH315" s="883"/>
      <c r="CI315" s="883"/>
      <c r="CJ315" s="883"/>
      <c r="CK315" s="883"/>
      <c r="CL315" s="883"/>
      <c r="CM315" s="883"/>
      <c r="CN315" s="883"/>
      <c r="CO315" s="883"/>
      <c r="CP315" s="883"/>
      <c r="CQ315" s="883"/>
      <c r="CR315" s="883"/>
      <c r="CS315" s="883"/>
      <c r="CT315" s="883"/>
      <c r="CU315" s="883"/>
    </row>
    <row r="316" spans="1:99" x14ac:dyDescent="0.25">
      <c r="A316" s="880" t="s">
        <v>2875</v>
      </c>
      <c r="B316" s="881" t="s">
        <v>2287</v>
      </c>
      <c r="C316" s="880" t="s">
        <v>2668</v>
      </c>
      <c r="D316" s="880"/>
      <c r="E316" s="884" t="s">
        <v>744</v>
      </c>
      <c r="F316" s="888">
        <v>1</v>
      </c>
      <c r="G316" s="881" t="s">
        <v>1007</v>
      </c>
      <c r="H316" s="881" t="s">
        <v>19</v>
      </c>
      <c r="I316" s="865">
        <v>46142</v>
      </c>
      <c r="J316" s="882" t="s">
        <v>8</v>
      </c>
      <c r="K316" s="880"/>
      <c r="L316" s="880"/>
      <c r="M316" s="883">
        <v>0</v>
      </c>
      <c r="N316" s="883">
        <v>0</v>
      </c>
      <c r="O316" s="883">
        <v>0</v>
      </c>
      <c r="P316" s="883">
        <v>17.39</v>
      </c>
      <c r="Q316" s="883">
        <v>15</v>
      </c>
      <c r="R316" s="883">
        <f t="shared" si="80"/>
        <v>2.61</v>
      </c>
      <c r="S316" s="883">
        <v>0</v>
      </c>
      <c r="T316" s="883">
        <v>5</v>
      </c>
      <c r="U316" s="883">
        <f t="shared" si="81"/>
        <v>0</v>
      </c>
      <c r="V316" s="883">
        <v>0</v>
      </c>
      <c r="W316" s="883">
        <v>8</v>
      </c>
      <c r="X316" s="883">
        <f t="shared" si="82"/>
        <v>0</v>
      </c>
      <c r="Y316" s="883">
        <v>0</v>
      </c>
      <c r="Z316" s="883">
        <v>0</v>
      </c>
      <c r="AA316" s="883">
        <v>0</v>
      </c>
      <c r="AB316" s="883">
        <f t="shared" si="83"/>
        <v>20</v>
      </c>
      <c r="AC316" s="883">
        <v>0</v>
      </c>
      <c r="AD316" s="881"/>
      <c r="AE316" s="880"/>
      <c r="AF316" s="883"/>
      <c r="AG316" s="889"/>
      <c r="AH316" s="880"/>
      <c r="AI316" s="880" t="s">
        <v>1241</v>
      </c>
      <c r="AJ316" s="884">
        <v>411</v>
      </c>
      <c r="AK316" s="883">
        <f t="shared" si="84"/>
        <v>17.39</v>
      </c>
      <c r="AL316" s="884">
        <v>413</v>
      </c>
      <c r="AM316" s="883">
        <f t="shared" si="85"/>
        <v>0</v>
      </c>
      <c r="AN316" s="884">
        <v>441</v>
      </c>
      <c r="AO316" s="883">
        <f t="shared" si="86"/>
        <v>0</v>
      </c>
      <c r="AP316" s="881"/>
      <c r="AQ316" s="881"/>
      <c r="AR316" s="883">
        <v>0</v>
      </c>
      <c r="AS316" s="883">
        <v>0</v>
      </c>
      <c r="AT316" s="883">
        <v>0</v>
      </c>
      <c r="AU316" s="880"/>
      <c r="AV316" s="886"/>
      <c r="AW316" s="880"/>
      <c r="AX316" s="886"/>
      <c r="AY316" s="880"/>
      <c r="AZ316" s="880"/>
      <c r="BA316" s="881"/>
      <c r="BB316" s="881" t="s">
        <v>57</v>
      </c>
      <c r="BC316" s="881"/>
      <c r="BD316" s="881"/>
      <c r="BE316" s="884">
        <f t="shared" si="87"/>
        <v>4</v>
      </c>
      <c r="BF316" s="887" t="str">
        <f t="shared" si="88"/>
        <v>SI</v>
      </c>
      <c r="BG316" s="883">
        <f t="shared" si="89"/>
        <v>17.39</v>
      </c>
      <c r="BH316" s="883">
        <f t="shared" si="90"/>
        <v>0</v>
      </c>
      <c r="BI316" s="883">
        <f t="shared" si="91"/>
        <v>0</v>
      </c>
      <c r="BJ316" s="883">
        <f t="shared" si="92"/>
        <v>0</v>
      </c>
      <c r="BK316" s="883">
        <f t="shared" si="93"/>
        <v>0</v>
      </c>
      <c r="BL316" s="883">
        <f t="shared" si="94"/>
        <v>2.61</v>
      </c>
      <c r="BM316" s="881"/>
      <c r="BN316" s="880"/>
      <c r="BO316" s="882" t="s">
        <v>1579</v>
      </c>
      <c r="BP316" s="882" t="s">
        <v>2286</v>
      </c>
      <c r="BQ316" s="882" t="s">
        <v>2285</v>
      </c>
      <c r="BR316" s="880"/>
      <c r="BS316" s="880"/>
      <c r="BT316" s="880"/>
      <c r="BU316" s="880"/>
      <c r="BV316" s="880"/>
      <c r="BW316" s="883">
        <v>0</v>
      </c>
      <c r="BX316" s="883">
        <v>0</v>
      </c>
      <c r="BY316" s="883">
        <v>0</v>
      </c>
      <c r="BZ316" s="890"/>
      <c r="CA316" s="883">
        <f t="shared" si="95"/>
        <v>0</v>
      </c>
      <c r="CB316" s="880"/>
      <c r="CC316" s="881"/>
      <c r="CD316" s="883"/>
      <c r="CE316" s="883"/>
      <c r="CF316" s="883"/>
      <c r="CG316" s="883"/>
      <c r="CH316" s="883"/>
      <c r="CI316" s="883"/>
      <c r="CJ316" s="883"/>
      <c r="CK316" s="883"/>
      <c r="CL316" s="883"/>
      <c r="CM316" s="883"/>
      <c r="CN316" s="883"/>
      <c r="CO316" s="883"/>
      <c r="CP316" s="883"/>
      <c r="CQ316" s="883"/>
      <c r="CR316" s="883"/>
      <c r="CS316" s="883"/>
      <c r="CT316" s="883"/>
      <c r="CU316" s="883"/>
    </row>
    <row r="317" spans="1:99" x14ac:dyDescent="0.25">
      <c r="A317" s="880" t="s">
        <v>1787</v>
      </c>
      <c r="B317" s="881" t="s">
        <v>1788</v>
      </c>
      <c r="C317" s="880"/>
      <c r="D317" s="880"/>
      <c r="E317" s="884" t="s">
        <v>744</v>
      </c>
      <c r="F317" s="888">
        <v>1</v>
      </c>
      <c r="G317" s="881" t="s">
        <v>1007</v>
      </c>
      <c r="H317" s="881" t="s">
        <v>19</v>
      </c>
      <c r="I317" s="865">
        <v>46142</v>
      </c>
      <c r="J317" s="882" t="s">
        <v>8</v>
      </c>
      <c r="K317" s="880"/>
      <c r="L317" s="880"/>
      <c r="M317" s="883">
        <v>0</v>
      </c>
      <c r="N317" s="883">
        <v>0</v>
      </c>
      <c r="O317" s="883">
        <v>0</v>
      </c>
      <c r="P317" s="883">
        <v>17.39</v>
      </c>
      <c r="Q317" s="883">
        <v>15</v>
      </c>
      <c r="R317" s="883">
        <f t="shared" si="80"/>
        <v>2.61</v>
      </c>
      <c r="S317" s="883">
        <v>0</v>
      </c>
      <c r="T317" s="883">
        <v>5</v>
      </c>
      <c r="U317" s="883">
        <f t="shared" si="81"/>
        <v>0</v>
      </c>
      <c r="V317" s="883">
        <v>0</v>
      </c>
      <c r="W317" s="883">
        <v>8</v>
      </c>
      <c r="X317" s="883">
        <f t="shared" si="82"/>
        <v>0</v>
      </c>
      <c r="Y317" s="883">
        <v>0</v>
      </c>
      <c r="Z317" s="883">
        <v>0</v>
      </c>
      <c r="AA317" s="883">
        <v>0</v>
      </c>
      <c r="AB317" s="883">
        <f t="shared" si="83"/>
        <v>20</v>
      </c>
      <c r="AC317" s="883">
        <v>0</v>
      </c>
      <c r="AD317" s="881"/>
      <c r="AE317" s="880"/>
      <c r="AF317" s="883"/>
      <c r="AG317" s="889"/>
      <c r="AH317" s="880"/>
      <c r="AI317" s="880" t="s">
        <v>1241</v>
      </c>
      <c r="AJ317" s="884">
        <v>411</v>
      </c>
      <c r="AK317" s="883">
        <f t="shared" si="84"/>
        <v>17.39</v>
      </c>
      <c r="AL317" s="884">
        <v>413</v>
      </c>
      <c r="AM317" s="883">
        <f t="shared" si="85"/>
        <v>0</v>
      </c>
      <c r="AN317" s="884">
        <v>441</v>
      </c>
      <c r="AO317" s="883">
        <f t="shared" si="86"/>
        <v>0</v>
      </c>
      <c r="AP317" s="881"/>
      <c r="AQ317" s="881"/>
      <c r="AR317" s="883">
        <v>0</v>
      </c>
      <c r="AS317" s="883">
        <v>0</v>
      </c>
      <c r="AT317" s="883">
        <v>0</v>
      </c>
      <c r="AU317" s="880"/>
      <c r="AV317" s="886"/>
      <c r="AW317" s="880"/>
      <c r="AX317" s="886"/>
      <c r="AY317" s="880"/>
      <c r="AZ317" s="880"/>
      <c r="BA317" s="881"/>
      <c r="BB317" s="881" t="s">
        <v>57</v>
      </c>
      <c r="BC317" s="881"/>
      <c r="BD317" s="881"/>
      <c r="BE317" s="884">
        <f t="shared" si="87"/>
        <v>4</v>
      </c>
      <c r="BF317" s="887" t="str">
        <f t="shared" si="88"/>
        <v>SI</v>
      </c>
      <c r="BG317" s="883">
        <f t="shared" si="89"/>
        <v>17.39</v>
      </c>
      <c r="BH317" s="883">
        <f t="shared" si="90"/>
        <v>0</v>
      </c>
      <c r="BI317" s="883">
        <f t="shared" si="91"/>
        <v>0</v>
      </c>
      <c r="BJ317" s="883">
        <f t="shared" si="92"/>
        <v>0</v>
      </c>
      <c r="BK317" s="883">
        <f t="shared" si="93"/>
        <v>0</v>
      </c>
      <c r="BL317" s="883">
        <f t="shared" si="94"/>
        <v>2.61</v>
      </c>
      <c r="BM317" s="881"/>
      <c r="BN317" s="880"/>
      <c r="BO317" s="882" t="s">
        <v>1579</v>
      </c>
      <c r="BP317" s="882" t="s">
        <v>2286</v>
      </c>
      <c r="BQ317" s="882" t="s">
        <v>2285</v>
      </c>
      <c r="BR317" s="880"/>
      <c r="BS317" s="880"/>
      <c r="BT317" s="880"/>
      <c r="BU317" s="880"/>
      <c r="BV317" s="880"/>
      <c r="BW317" s="883">
        <v>0</v>
      </c>
      <c r="BX317" s="883">
        <v>0</v>
      </c>
      <c r="BY317" s="883">
        <v>0</v>
      </c>
      <c r="BZ317" s="890"/>
      <c r="CA317" s="883">
        <f t="shared" si="95"/>
        <v>0</v>
      </c>
      <c r="CB317" s="880"/>
      <c r="CC317" s="881"/>
      <c r="CD317" s="883"/>
      <c r="CE317" s="883"/>
      <c r="CF317" s="883"/>
      <c r="CG317" s="883"/>
      <c r="CH317" s="883"/>
      <c r="CI317" s="883"/>
      <c r="CJ317" s="883"/>
      <c r="CK317" s="883"/>
      <c r="CL317" s="883"/>
      <c r="CM317" s="883"/>
      <c r="CN317" s="883"/>
      <c r="CO317" s="883"/>
      <c r="CP317" s="883"/>
      <c r="CQ317" s="883"/>
      <c r="CR317" s="883"/>
      <c r="CS317" s="883"/>
      <c r="CT317" s="883"/>
      <c r="CU317" s="883"/>
    </row>
    <row r="318" spans="1:99" x14ac:dyDescent="0.25">
      <c r="A318" s="880" t="s">
        <v>1787</v>
      </c>
      <c r="B318" s="881" t="s">
        <v>1788</v>
      </c>
      <c r="C318" s="880"/>
      <c r="D318" s="880"/>
      <c r="E318" s="884" t="s">
        <v>744</v>
      </c>
      <c r="F318" s="888">
        <v>1</v>
      </c>
      <c r="G318" s="881" t="s">
        <v>1007</v>
      </c>
      <c r="H318" s="881" t="s">
        <v>19</v>
      </c>
      <c r="I318" s="865">
        <v>46142</v>
      </c>
      <c r="J318" s="882" t="s">
        <v>8</v>
      </c>
      <c r="K318" s="880"/>
      <c r="L318" s="880"/>
      <c r="M318" s="883">
        <v>0</v>
      </c>
      <c r="N318" s="883">
        <v>0</v>
      </c>
      <c r="O318" s="883">
        <v>0</v>
      </c>
      <c r="P318" s="883">
        <v>17.86</v>
      </c>
      <c r="Q318" s="883">
        <v>15</v>
      </c>
      <c r="R318" s="883">
        <f t="shared" si="80"/>
        <v>2.68</v>
      </c>
      <c r="S318" s="883">
        <v>0</v>
      </c>
      <c r="T318" s="883">
        <v>5</v>
      </c>
      <c r="U318" s="883">
        <f t="shared" si="81"/>
        <v>0</v>
      </c>
      <c r="V318" s="883">
        <v>0</v>
      </c>
      <c r="W318" s="883">
        <v>8</v>
      </c>
      <c r="X318" s="883">
        <f t="shared" si="82"/>
        <v>0</v>
      </c>
      <c r="Y318" s="883">
        <v>0</v>
      </c>
      <c r="Z318" s="883">
        <v>0</v>
      </c>
      <c r="AA318" s="883">
        <v>0</v>
      </c>
      <c r="AB318" s="883">
        <f t="shared" si="83"/>
        <v>20.54</v>
      </c>
      <c r="AC318" s="883">
        <v>0</v>
      </c>
      <c r="AD318" s="881"/>
      <c r="AE318" s="880"/>
      <c r="AF318" s="883"/>
      <c r="AG318" s="889"/>
      <c r="AH318" s="880"/>
      <c r="AI318" s="880" t="s">
        <v>1241</v>
      </c>
      <c r="AJ318" s="884">
        <v>411</v>
      </c>
      <c r="AK318" s="883">
        <f t="shared" si="84"/>
        <v>17.86</v>
      </c>
      <c r="AL318" s="884">
        <v>413</v>
      </c>
      <c r="AM318" s="883">
        <f t="shared" si="85"/>
        <v>0</v>
      </c>
      <c r="AN318" s="884">
        <v>441</v>
      </c>
      <c r="AO318" s="883">
        <f t="shared" si="86"/>
        <v>0</v>
      </c>
      <c r="AP318" s="881"/>
      <c r="AQ318" s="881"/>
      <c r="AR318" s="883">
        <v>0</v>
      </c>
      <c r="AS318" s="883">
        <v>0</v>
      </c>
      <c r="AT318" s="883">
        <v>0</v>
      </c>
      <c r="AU318" s="880"/>
      <c r="AV318" s="886"/>
      <c r="AW318" s="880"/>
      <c r="AX318" s="886"/>
      <c r="AY318" s="880"/>
      <c r="AZ318" s="880"/>
      <c r="BA318" s="881"/>
      <c r="BB318" s="881" t="s">
        <v>57</v>
      </c>
      <c r="BC318" s="881"/>
      <c r="BD318" s="881"/>
      <c r="BE318" s="884">
        <f t="shared" si="87"/>
        <v>4</v>
      </c>
      <c r="BF318" s="887" t="str">
        <f t="shared" si="88"/>
        <v>SI</v>
      </c>
      <c r="BG318" s="883">
        <f t="shared" si="89"/>
        <v>17.86</v>
      </c>
      <c r="BH318" s="883">
        <f t="shared" si="90"/>
        <v>0</v>
      </c>
      <c r="BI318" s="883">
        <f t="shared" si="91"/>
        <v>0</v>
      </c>
      <c r="BJ318" s="883">
        <f t="shared" si="92"/>
        <v>0</v>
      </c>
      <c r="BK318" s="883">
        <f t="shared" si="93"/>
        <v>0</v>
      </c>
      <c r="BL318" s="883">
        <f t="shared" si="94"/>
        <v>2.68</v>
      </c>
      <c r="BM318" s="881"/>
      <c r="BN318" s="880"/>
      <c r="BO318" s="882" t="s">
        <v>1579</v>
      </c>
      <c r="BP318" s="882" t="s">
        <v>2286</v>
      </c>
      <c r="BQ318" s="882" t="s">
        <v>2285</v>
      </c>
      <c r="BR318" s="880"/>
      <c r="BS318" s="880"/>
      <c r="BT318" s="880"/>
      <c r="BU318" s="880"/>
      <c r="BV318" s="880"/>
      <c r="BW318" s="883">
        <v>0</v>
      </c>
      <c r="BX318" s="883">
        <v>0</v>
      </c>
      <c r="BY318" s="883">
        <v>0</v>
      </c>
      <c r="BZ318" s="890"/>
      <c r="CA318" s="883">
        <f t="shared" si="95"/>
        <v>0</v>
      </c>
      <c r="CB318" s="880"/>
      <c r="CC318" s="881"/>
      <c r="CD318" s="883"/>
      <c r="CE318" s="883"/>
      <c r="CF318" s="883"/>
      <c r="CG318" s="883"/>
      <c r="CH318" s="883"/>
      <c r="CI318" s="883"/>
      <c r="CJ318" s="883"/>
      <c r="CK318" s="883"/>
      <c r="CL318" s="883"/>
      <c r="CM318" s="883"/>
      <c r="CN318" s="883"/>
      <c r="CO318" s="883"/>
      <c r="CP318" s="883"/>
      <c r="CQ318" s="883"/>
      <c r="CR318" s="883"/>
      <c r="CS318" s="883"/>
      <c r="CT318" s="883"/>
      <c r="CU318" s="883"/>
    </row>
    <row r="319" spans="1:99" x14ac:dyDescent="0.25">
      <c r="A319" s="880" t="s">
        <v>1787</v>
      </c>
      <c r="B319" s="881" t="s">
        <v>1788</v>
      </c>
      <c r="C319" s="880"/>
      <c r="D319" s="880"/>
      <c r="E319" s="884" t="s">
        <v>744</v>
      </c>
      <c r="F319" s="888">
        <v>1</v>
      </c>
      <c r="G319" s="881" t="s">
        <v>1007</v>
      </c>
      <c r="H319" s="881" t="s">
        <v>19</v>
      </c>
      <c r="I319" s="865">
        <v>46142</v>
      </c>
      <c r="J319" s="882" t="s">
        <v>8</v>
      </c>
      <c r="K319" s="880"/>
      <c r="L319" s="880"/>
      <c r="M319" s="883">
        <v>0</v>
      </c>
      <c r="N319" s="883">
        <v>0</v>
      </c>
      <c r="O319" s="883">
        <v>0</v>
      </c>
      <c r="P319" s="883">
        <v>17.86</v>
      </c>
      <c r="Q319" s="883">
        <v>15</v>
      </c>
      <c r="R319" s="883">
        <f t="shared" si="80"/>
        <v>2.68</v>
      </c>
      <c r="S319" s="883">
        <v>0</v>
      </c>
      <c r="T319" s="883">
        <v>5</v>
      </c>
      <c r="U319" s="883">
        <f t="shared" si="81"/>
        <v>0</v>
      </c>
      <c r="V319" s="883">
        <v>0</v>
      </c>
      <c r="W319" s="883">
        <v>8</v>
      </c>
      <c r="X319" s="883">
        <f t="shared" si="82"/>
        <v>0</v>
      </c>
      <c r="Y319" s="883">
        <v>0</v>
      </c>
      <c r="Z319" s="883">
        <v>0</v>
      </c>
      <c r="AA319" s="883">
        <v>0</v>
      </c>
      <c r="AB319" s="883">
        <f t="shared" si="83"/>
        <v>20.54</v>
      </c>
      <c r="AC319" s="883">
        <v>0</v>
      </c>
      <c r="AD319" s="881"/>
      <c r="AE319" s="880"/>
      <c r="AF319" s="883"/>
      <c r="AG319" s="889"/>
      <c r="AH319" s="880"/>
      <c r="AI319" s="880" t="s">
        <v>1241</v>
      </c>
      <c r="AJ319" s="884">
        <v>411</v>
      </c>
      <c r="AK319" s="883">
        <f t="shared" si="84"/>
        <v>17.86</v>
      </c>
      <c r="AL319" s="884">
        <v>413</v>
      </c>
      <c r="AM319" s="883">
        <f t="shared" si="85"/>
        <v>0</v>
      </c>
      <c r="AN319" s="884">
        <v>441</v>
      </c>
      <c r="AO319" s="883">
        <f t="shared" si="86"/>
        <v>0</v>
      </c>
      <c r="AP319" s="881"/>
      <c r="AQ319" s="881"/>
      <c r="AR319" s="883">
        <v>0</v>
      </c>
      <c r="AS319" s="883">
        <v>0</v>
      </c>
      <c r="AT319" s="883">
        <v>0</v>
      </c>
      <c r="AU319" s="880"/>
      <c r="AV319" s="886"/>
      <c r="AW319" s="880"/>
      <c r="AX319" s="886"/>
      <c r="AY319" s="880"/>
      <c r="AZ319" s="880"/>
      <c r="BA319" s="881"/>
      <c r="BB319" s="881" t="s">
        <v>57</v>
      </c>
      <c r="BC319" s="881"/>
      <c r="BD319" s="881"/>
      <c r="BE319" s="884">
        <f t="shared" si="87"/>
        <v>4</v>
      </c>
      <c r="BF319" s="887" t="str">
        <f t="shared" si="88"/>
        <v>SI</v>
      </c>
      <c r="BG319" s="883">
        <f t="shared" si="89"/>
        <v>17.86</v>
      </c>
      <c r="BH319" s="883">
        <f t="shared" si="90"/>
        <v>0</v>
      </c>
      <c r="BI319" s="883">
        <f t="shared" si="91"/>
        <v>0</v>
      </c>
      <c r="BJ319" s="883">
        <f t="shared" si="92"/>
        <v>0</v>
      </c>
      <c r="BK319" s="883">
        <f t="shared" si="93"/>
        <v>0</v>
      </c>
      <c r="BL319" s="883">
        <f t="shared" si="94"/>
        <v>2.68</v>
      </c>
      <c r="BM319" s="881"/>
      <c r="BN319" s="880"/>
      <c r="BO319" s="882" t="s">
        <v>1579</v>
      </c>
      <c r="BP319" s="882" t="s">
        <v>2286</v>
      </c>
      <c r="BQ319" s="882" t="s">
        <v>2285</v>
      </c>
      <c r="BR319" s="880"/>
      <c r="BS319" s="880"/>
      <c r="BT319" s="880"/>
      <c r="BU319" s="880"/>
      <c r="BV319" s="880"/>
      <c r="BW319" s="883">
        <v>0</v>
      </c>
      <c r="BX319" s="883">
        <v>0</v>
      </c>
      <c r="BY319" s="883">
        <v>0</v>
      </c>
      <c r="BZ319" s="890"/>
      <c r="CA319" s="883">
        <f t="shared" si="95"/>
        <v>0</v>
      </c>
      <c r="CB319" s="880"/>
      <c r="CC319" s="881"/>
      <c r="CD319" s="883"/>
      <c r="CE319" s="883"/>
      <c r="CF319" s="883"/>
      <c r="CG319" s="883"/>
      <c r="CH319" s="883"/>
      <c r="CI319" s="883"/>
      <c r="CJ319" s="883"/>
      <c r="CK319" s="883"/>
      <c r="CL319" s="883"/>
      <c r="CM319" s="883"/>
      <c r="CN319" s="883"/>
      <c r="CO319" s="883"/>
      <c r="CP319" s="883"/>
      <c r="CQ319" s="883"/>
      <c r="CR319" s="883"/>
      <c r="CS319" s="883"/>
      <c r="CT319" s="883"/>
      <c r="CU319" s="883"/>
    </row>
    <row r="320" spans="1:99" x14ac:dyDescent="0.25">
      <c r="A320" s="880" t="s">
        <v>1787</v>
      </c>
      <c r="B320" s="881" t="s">
        <v>1788</v>
      </c>
      <c r="C320" s="880"/>
      <c r="D320" s="880"/>
      <c r="E320" s="884" t="s">
        <v>744</v>
      </c>
      <c r="F320" s="888">
        <v>1</v>
      </c>
      <c r="G320" s="881" t="s">
        <v>1007</v>
      </c>
      <c r="H320" s="881" t="s">
        <v>19</v>
      </c>
      <c r="I320" s="865">
        <v>46142</v>
      </c>
      <c r="J320" s="882" t="s">
        <v>8</v>
      </c>
      <c r="K320" s="880"/>
      <c r="L320" s="880"/>
      <c r="M320" s="883">
        <v>0</v>
      </c>
      <c r="N320" s="883">
        <v>0</v>
      </c>
      <c r="O320" s="883">
        <v>0</v>
      </c>
      <c r="P320" s="883">
        <v>17.850000000000001</v>
      </c>
      <c r="Q320" s="883">
        <v>15</v>
      </c>
      <c r="R320" s="883">
        <f t="shared" si="80"/>
        <v>2.68</v>
      </c>
      <c r="S320" s="883">
        <v>0</v>
      </c>
      <c r="T320" s="883">
        <v>5</v>
      </c>
      <c r="U320" s="883">
        <f t="shared" si="81"/>
        <v>0</v>
      </c>
      <c r="V320" s="883">
        <v>0</v>
      </c>
      <c r="W320" s="883">
        <v>8</v>
      </c>
      <c r="X320" s="883">
        <f t="shared" si="82"/>
        <v>0</v>
      </c>
      <c r="Y320" s="883">
        <v>0</v>
      </c>
      <c r="Z320" s="883">
        <v>0</v>
      </c>
      <c r="AA320" s="883">
        <v>0</v>
      </c>
      <c r="AB320" s="883">
        <f t="shared" si="83"/>
        <v>20.53</v>
      </c>
      <c r="AC320" s="883">
        <v>0</v>
      </c>
      <c r="AD320" s="881"/>
      <c r="AE320" s="880"/>
      <c r="AF320" s="883"/>
      <c r="AG320" s="889"/>
      <c r="AH320" s="880"/>
      <c r="AI320" s="880" t="s">
        <v>1241</v>
      </c>
      <c r="AJ320" s="884">
        <v>411</v>
      </c>
      <c r="AK320" s="883">
        <f t="shared" si="84"/>
        <v>17.850000000000001</v>
      </c>
      <c r="AL320" s="884">
        <v>413</v>
      </c>
      <c r="AM320" s="883">
        <f t="shared" si="85"/>
        <v>0</v>
      </c>
      <c r="AN320" s="884">
        <v>441</v>
      </c>
      <c r="AO320" s="883">
        <f t="shared" si="86"/>
        <v>0</v>
      </c>
      <c r="AP320" s="881"/>
      <c r="AQ320" s="881"/>
      <c r="AR320" s="883">
        <v>0</v>
      </c>
      <c r="AS320" s="883">
        <v>0</v>
      </c>
      <c r="AT320" s="883">
        <v>0</v>
      </c>
      <c r="AU320" s="880"/>
      <c r="AV320" s="886"/>
      <c r="AW320" s="880"/>
      <c r="AX320" s="886"/>
      <c r="AY320" s="880"/>
      <c r="AZ320" s="880"/>
      <c r="BA320" s="881"/>
      <c r="BB320" s="881" t="s">
        <v>57</v>
      </c>
      <c r="BC320" s="881"/>
      <c r="BD320" s="881"/>
      <c r="BE320" s="884">
        <f t="shared" si="87"/>
        <v>4</v>
      </c>
      <c r="BF320" s="887" t="str">
        <f t="shared" si="88"/>
        <v>SI</v>
      </c>
      <c r="BG320" s="883">
        <f t="shared" si="89"/>
        <v>17.850000000000001</v>
      </c>
      <c r="BH320" s="883">
        <f t="shared" si="90"/>
        <v>0</v>
      </c>
      <c r="BI320" s="883">
        <f t="shared" si="91"/>
        <v>0</v>
      </c>
      <c r="BJ320" s="883">
        <f t="shared" si="92"/>
        <v>0</v>
      </c>
      <c r="BK320" s="883">
        <f t="shared" si="93"/>
        <v>0</v>
      </c>
      <c r="BL320" s="883">
        <f t="shared" si="94"/>
        <v>2.68</v>
      </c>
      <c r="BM320" s="881"/>
      <c r="BN320" s="880"/>
      <c r="BO320" s="882" t="s">
        <v>1579</v>
      </c>
      <c r="BP320" s="882" t="s">
        <v>2286</v>
      </c>
      <c r="BQ320" s="882" t="s">
        <v>2285</v>
      </c>
      <c r="BR320" s="880"/>
      <c r="BS320" s="880"/>
      <c r="BT320" s="880"/>
      <c r="BU320" s="880"/>
      <c r="BV320" s="880"/>
      <c r="BW320" s="883">
        <v>0</v>
      </c>
      <c r="BX320" s="883">
        <v>0</v>
      </c>
      <c r="BY320" s="883">
        <v>0</v>
      </c>
      <c r="BZ320" s="890"/>
      <c r="CA320" s="883">
        <f t="shared" si="95"/>
        <v>0</v>
      </c>
      <c r="CB320" s="880"/>
      <c r="CC320" s="881"/>
      <c r="CD320" s="883"/>
      <c r="CE320" s="883"/>
      <c r="CF320" s="883"/>
      <c r="CG320" s="883"/>
      <c r="CH320" s="883"/>
      <c r="CI320" s="883"/>
      <c r="CJ320" s="883"/>
      <c r="CK320" s="883"/>
      <c r="CL320" s="883"/>
      <c r="CM320" s="883"/>
      <c r="CN320" s="883"/>
      <c r="CO320" s="883"/>
      <c r="CP320" s="883"/>
      <c r="CQ320" s="883"/>
      <c r="CR320" s="883"/>
      <c r="CS320" s="883"/>
      <c r="CT320" s="883"/>
      <c r="CU320" s="883"/>
    </row>
    <row r="321" spans="1:99" x14ac:dyDescent="0.25">
      <c r="A321" s="880" t="s">
        <v>1787</v>
      </c>
      <c r="B321" s="881" t="s">
        <v>1788</v>
      </c>
      <c r="C321" s="880"/>
      <c r="D321" s="880"/>
      <c r="E321" s="884" t="s">
        <v>744</v>
      </c>
      <c r="F321" s="888">
        <v>1</v>
      </c>
      <c r="G321" s="881" t="s">
        <v>1007</v>
      </c>
      <c r="H321" s="881" t="s">
        <v>19</v>
      </c>
      <c r="I321" s="865">
        <v>46142</v>
      </c>
      <c r="J321" s="882" t="s">
        <v>8</v>
      </c>
      <c r="K321" s="880"/>
      <c r="L321" s="880"/>
      <c r="M321" s="883">
        <v>0</v>
      </c>
      <c r="N321" s="883">
        <v>0</v>
      </c>
      <c r="O321" s="883">
        <v>0</v>
      </c>
      <c r="P321" s="883">
        <v>17.86</v>
      </c>
      <c r="Q321" s="883">
        <v>15</v>
      </c>
      <c r="R321" s="883">
        <f t="shared" si="80"/>
        <v>2.68</v>
      </c>
      <c r="S321" s="883">
        <v>0</v>
      </c>
      <c r="T321" s="883">
        <v>5</v>
      </c>
      <c r="U321" s="883">
        <f t="shared" si="81"/>
        <v>0</v>
      </c>
      <c r="V321" s="883">
        <v>0</v>
      </c>
      <c r="W321" s="883">
        <v>8</v>
      </c>
      <c r="X321" s="883">
        <f t="shared" si="82"/>
        <v>0</v>
      </c>
      <c r="Y321" s="883">
        <v>0</v>
      </c>
      <c r="Z321" s="883">
        <v>0</v>
      </c>
      <c r="AA321" s="883">
        <v>0</v>
      </c>
      <c r="AB321" s="883">
        <f t="shared" si="83"/>
        <v>20.54</v>
      </c>
      <c r="AC321" s="883">
        <v>0</v>
      </c>
      <c r="AD321" s="881"/>
      <c r="AE321" s="880"/>
      <c r="AF321" s="883"/>
      <c r="AG321" s="889"/>
      <c r="AH321" s="880"/>
      <c r="AI321" s="880" t="s">
        <v>1241</v>
      </c>
      <c r="AJ321" s="884">
        <v>411</v>
      </c>
      <c r="AK321" s="883">
        <f t="shared" si="84"/>
        <v>17.86</v>
      </c>
      <c r="AL321" s="884">
        <v>413</v>
      </c>
      <c r="AM321" s="883">
        <f t="shared" si="85"/>
        <v>0</v>
      </c>
      <c r="AN321" s="884">
        <v>441</v>
      </c>
      <c r="AO321" s="883">
        <f t="shared" si="86"/>
        <v>0</v>
      </c>
      <c r="AP321" s="881"/>
      <c r="AQ321" s="881"/>
      <c r="AR321" s="883">
        <v>0</v>
      </c>
      <c r="AS321" s="883">
        <v>0</v>
      </c>
      <c r="AT321" s="883">
        <v>0</v>
      </c>
      <c r="AU321" s="880"/>
      <c r="AV321" s="886"/>
      <c r="AW321" s="880"/>
      <c r="AX321" s="886"/>
      <c r="AY321" s="880"/>
      <c r="AZ321" s="880"/>
      <c r="BA321" s="881"/>
      <c r="BB321" s="881" t="s">
        <v>57</v>
      </c>
      <c r="BC321" s="881"/>
      <c r="BD321" s="881"/>
      <c r="BE321" s="884">
        <f t="shared" si="87"/>
        <v>4</v>
      </c>
      <c r="BF321" s="887" t="str">
        <f t="shared" si="88"/>
        <v>SI</v>
      </c>
      <c r="BG321" s="883">
        <f t="shared" si="89"/>
        <v>17.86</v>
      </c>
      <c r="BH321" s="883">
        <f t="shared" si="90"/>
        <v>0</v>
      </c>
      <c r="BI321" s="883">
        <f t="shared" si="91"/>
        <v>0</v>
      </c>
      <c r="BJ321" s="883">
        <f t="shared" si="92"/>
        <v>0</v>
      </c>
      <c r="BK321" s="883">
        <f t="shared" si="93"/>
        <v>0</v>
      </c>
      <c r="BL321" s="883">
        <f t="shared" si="94"/>
        <v>2.68</v>
      </c>
      <c r="BM321" s="881"/>
      <c r="BN321" s="880"/>
      <c r="BO321" s="882" t="s">
        <v>1579</v>
      </c>
      <c r="BP321" s="882" t="s">
        <v>2286</v>
      </c>
      <c r="BQ321" s="882" t="s">
        <v>2285</v>
      </c>
      <c r="BR321" s="880"/>
      <c r="BS321" s="880"/>
      <c r="BT321" s="880"/>
      <c r="BU321" s="880"/>
      <c r="BV321" s="880"/>
      <c r="BW321" s="883">
        <v>0</v>
      </c>
      <c r="BX321" s="883">
        <v>0</v>
      </c>
      <c r="BY321" s="883">
        <v>0</v>
      </c>
      <c r="BZ321" s="890"/>
      <c r="CA321" s="883">
        <f t="shared" si="95"/>
        <v>0</v>
      </c>
      <c r="CB321" s="880"/>
      <c r="CC321" s="881"/>
      <c r="CD321" s="883"/>
      <c r="CE321" s="883"/>
      <c r="CF321" s="883"/>
      <c r="CG321" s="883"/>
      <c r="CH321" s="883"/>
      <c r="CI321" s="883"/>
      <c r="CJ321" s="883"/>
      <c r="CK321" s="883"/>
      <c r="CL321" s="883"/>
      <c r="CM321" s="883"/>
      <c r="CN321" s="883"/>
      <c r="CO321" s="883"/>
      <c r="CP321" s="883"/>
      <c r="CQ321" s="883"/>
      <c r="CR321" s="883"/>
      <c r="CS321" s="883"/>
      <c r="CT321" s="883"/>
      <c r="CU321" s="883"/>
    </row>
    <row r="322" spans="1:99" x14ac:dyDescent="0.25">
      <c r="A322" s="880" t="s">
        <v>1787</v>
      </c>
      <c r="B322" s="881" t="s">
        <v>1788</v>
      </c>
      <c r="C322" s="880"/>
      <c r="D322" s="880"/>
      <c r="E322" s="884" t="s">
        <v>744</v>
      </c>
      <c r="F322" s="888">
        <v>1</v>
      </c>
      <c r="G322" s="881" t="s">
        <v>1007</v>
      </c>
      <c r="H322" s="881" t="s">
        <v>19</v>
      </c>
      <c r="I322" s="865">
        <v>46142</v>
      </c>
      <c r="J322" s="882" t="s">
        <v>8</v>
      </c>
      <c r="K322" s="880"/>
      <c r="L322" s="880"/>
      <c r="M322" s="883">
        <v>0</v>
      </c>
      <c r="N322" s="883">
        <v>0</v>
      </c>
      <c r="O322" s="883">
        <v>0</v>
      </c>
      <c r="P322" s="883">
        <v>8.6999999999999993</v>
      </c>
      <c r="Q322" s="883">
        <v>15</v>
      </c>
      <c r="R322" s="883">
        <f t="shared" si="80"/>
        <v>1.31</v>
      </c>
      <c r="S322" s="883">
        <v>0</v>
      </c>
      <c r="T322" s="883">
        <v>5</v>
      </c>
      <c r="U322" s="883">
        <f t="shared" si="81"/>
        <v>0</v>
      </c>
      <c r="V322" s="883">
        <v>0</v>
      </c>
      <c r="W322" s="883">
        <v>8</v>
      </c>
      <c r="X322" s="883">
        <f t="shared" si="82"/>
        <v>0</v>
      </c>
      <c r="Y322" s="883">
        <v>0</v>
      </c>
      <c r="Z322" s="883">
        <v>0</v>
      </c>
      <c r="AA322" s="883">
        <v>0</v>
      </c>
      <c r="AB322" s="883">
        <f t="shared" si="83"/>
        <v>10.01</v>
      </c>
      <c r="AC322" s="883">
        <v>0</v>
      </c>
      <c r="AD322" s="881"/>
      <c r="AE322" s="880"/>
      <c r="AF322" s="883"/>
      <c r="AG322" s="889"/>
      <c r="AH322" s="880"/>
      <c r="AI322" s="880" t="s">
        <v>1241</v>
      </c>
      <c r="AJ322" s="884">
        <v>411</v>
      </c>
      <c r="AK322" s="883">
        <f t="shared" si="84"/>
        <v>8.6999999999999993</v>
      </c>
      <c r="AL322" s="884">
        <v>413</v>
      </c>
      <c r="AM322" s="883">
        <f t="shared" si="85"/>
        <v>0</v>
      </c>
      <c r="AN322" s="884">
        <v>441</v>
      </c>
      <c r="AO322" s="883">
        <f t="shared" si="86"/>
        <v>0</v>
      </c>
      <c r="AP322" s="881"/>
      <c r="AQ322" s="881"/>
      <c r="AR322" s="883">
        <v>0</v>
      </c>
      <c r="AS322" s="883">
        <v>0</v>
      </c>
      <c r="AT322" s="883">
        <v>0</v>
      </c>
      <c r="AU322" s="880"/>
      <c r="AV322" s="886"/>
      <c r="AW322" s="880"/>
      <c r="AX322" s="886"/>
      <c r="AY322" s="880"/>
      <c r="AZ322" s="880"/>
      <c r="BA322" s="881"/>
      <c r="BB322" s="881" t="s">
        <v>57</v>
      </c>
      <c r="BC322" s="881"/>
      <c r="BD322" s="881"/>
      <c r="BE322" s="884">
        <f t="shared" si="87"/>
        <v>4</v>
      </c>
      <c r="BF322" s="887" t="str">
        <f t="shared" si="88"/>
        <v>SI</v>
      </c>
      <c r="BG322" s="883">
        <f t="shared" si="89"/>
        <v>8.6999999999999993</v>
      </c>
      <c r="BH322" s="883">
        <f t="shared" si="90"/>
        <v>0</v>
      </c>
      <c r="BI322" s="883">
        <f t="shared" si="91"/>
        <v>0</v>
      </c>
      <c r="BJ322" s="883">
        <f t="shared" si="92"/>
        <v>0</v>
      </c>
      <c r="BK322" s="883">
        <f t="shared" si="93"/>
        <v>0</v>
      </c>
      <c r="BL322" s="883">
        <f t="shared" si="94"/>
        <v>1.31</v>
      </c>
      <c r="BM322" s="881"/>
      <c r="BN322" s="880"/>
      <c r="BO322" s="882" t="s">
        <v>1579</v>
      </c>
      <c r="BP322" s="882" t="s">
        <v>2286</v>
      </c>
      <c r="BQ322" s="882" t="s">
        <v>2285</v>
      </c>
      <c r="BR322" s="880"/>
      <c r="BS322" s="880"/>
      <c r="BT322" s="880"/>
      <c r="BU322" s="880"/>
      <c r="BV322" s="880"/>
      <c r="BW322" s="883">
        <v>0</v>
      </c>
      <c r="BX322" s="883">
        <v>0</v>
      </c>
      <c r="BY322" s="883">
        <v>0</v>
      </c>
      <c r="BZ322" s="890"/>
      <c r="CA322" s="883">
        <f t="shared" si="95"/>
        <v>0</v>
      </c>
      <c r="CB322" s="880"/>
      <c r="CC322" s="881"/>
      <c r="CD322" s="883"/>
      <c r="CE322" s="883"/>
      <c r="CF322" s="883"/>
      <c r="CG322" s="883"/>
      <c r="CH322" s="883"/>
      <c r="CI322" s="883"/>
      <c r="CJ322" s="883"/>
      <c r="CK322" s="883"/>
      <c r="CL322" s="883"/>
      <c r="CM322" s="883"/>
      <c r="CN322" s="883"/>
      <c r="CO322" s="883"/>
      <c r="CP322" s="883"/>
      <c r="CQ322" s="883"/>
      <c r="CR322" s="883"/>
      <c r="CS322" s="883"/>
      <c r="CT322" s="883"/>
      <c r="CU322" s="883"/>
    </row>
    <row r="323" spans="1:99" x14ac:dyDescent="0.25">
      <c r="A323" s="880" t="s">
        <v>1787</v>
      </c>
      <c r="B323" s="881" t="s">
        <v>1788</v>
      </c>
      <c r="C323" s="880"/>
      <c r="D323" s="880"/>
      <c r="E323" s="884" t="s">
        <v>744</v>
      </c>
      <c r="F323" s="888">
        <v>1</v>
      </c>
      <c r="G323" s="881" t="s">
        <v>1007</v>
      </c>
      <c r="H323" s="881" t="s">
        <v>19</v>
      </c>
      <c r="I323" s="865">
        <v>46142</v>
      </c>
      <c r="J323" s="882" t="s">
        <v>8</v>
      </c>
      <c r="K323" s="880"/>
      <c r="L323" s="880"/>
      <c r="M323" s="883">
        <v>0</v>
      </c>
      <c r="N323" s="883">
        <v>0</v>
      </c>
      <c r="O323" s="883">
        <v>0</v>
      </c>
      <c r="P323" s="883">
        <v>17.39</v>
      </c>
      <c r="Q323" s="883">
        <v>15</v>
      </c>
      <c r="R323" s="883">
        <f t="shared" si="80"/>
        <v>2.61</v>
      </c>
      <c r="S323" s="883">
        <v>0</v>
      </c>
      <c r="T323" s="883">
        <v>5</v>
      </c>
      <c r="U323" s="883">
        <f t="shared" si="81"/>
        <v>0</v>
      </c>
      <c r="V323" s="883">
        <v>0</v>
      </c>
      <c r="W323" s="883">
        <v>8</v>
      </c>
      <c r="X323" s="883">
        <f t="shared" si="82"/>
        <v>0</v>
      </c>
      <c r="Y323" s="883">
        <v>0</v>
      </c>
      <c r="Z323" s="883">
        <v>0</v>
      </c>
      <c r="AA323" s="883">
        <v>0</v>
      </c>
      <c r="AB323" s="883">
        <f t="shared" si="83"/>
        <v>20</v>
      </c>
      <c r="AC323" s="883">
        <v>0</v>
      </c>
      <c r="AD323" s="881"/>
      <c r="AE323" s="880"/>
      <c r="AF323" s="883"/>
      <c r="AG323" s="889"/>
      <c r="AH323" s="880"/>
      <c r="AI323" s="880" t="s">
        <v>1241</v>
      </c>
      <c r="AJ323" s="884">
        <v>411</v>
      </c>
      <c r="AK323" s="883">
        <f t="shared" si="84"/>
        <v>17.39</v>
      </c>
      <c r="AL323" s="884">
        <v>413</v>
      </c>
      <c r="AM323" s="883">
        <f t="shared" si="85"/>
        <v>0</v>
      </c>
      <c r="AN323" s="884">
        <v>441</v>
      </c>
      <c r="AO323" s="883">
        <f t="shared" si="86"/>
        <v>0</v>
      </c>
      <c r="AP323" s="881"/>
      <c r="AQ323" s="881"/>
      <c r="AR323" s="883">
        <v>0</v>
      </c>
      <c r="AS323" s="883">
        <v>0</v>
      </c>
      <c r="AT323" s="883">
        <v>0</v>
      </c>
      <c r="AU323" s="880"/>
      <c r="AV323" s="886"/>
      <c r="AW323" s="880"/>
      <c r="AX323" s="886"/>
      <c r="AY323" s="880"/>
      <c r="AZ323" s="880"/>
      <c r="BA323" s="881"/>
      <c r="BB323" s="881" t="s">
        <v>57</v>
      </c>
      <c r="BC323" s="881"/>
      <c r="BD323" s="881"/>
      <c r="BE323" s="884">
        <f t="shared" si="87"/>
        <v>4</v>
      </c>
      <c r="BF323" s="887" t="str">
        <f t="shared" si="88"/>
        <v>SI</v>
      </c>
      <c r="BG323" s="883">
        <f t="shared" si="89"/>
        <v>17.39</v>
      </c>
      <c r="BH323" s="883">
        <f t="shared" si="90"/>
        <v>0</v>
      </c>
      <c r="BI323" s="883">
        <f t="shared" si="91"/>
        <v>0</v>
      </c>
      <c r="BJ323" s="883">
        <f t="shared" si="92"/>
        <v>0</v>
      </c>
      <c r="BK323" s="883">
        <f t="shared" si="93"/>
        <v>0</v>
      </c>
      <c r="BL323" s="883">
        <f t="shared" si="94"/>
        <v>2.61</v>
      </c>
      <c r="BM323" s="881"/>
      <c r="BN323" s="880"/>
      <c r="BO323" s="882" t="s">
        <v>1579</v>
      </c>
      <c r="BP323" s="882" t="s">
        <v>2286</v>
      </c>
      <c r="BQ323" s="882" t="s">
        <v>2285</v>
      </c>
      <c r="BR323" s="880"/>
      <c r="BS323" s="880"/>
      <c r="BT323" s="880"/>
      <c r="BU323" s="880"/>
      <c r="BV323" s="880"/>
      <c r="BW323" s="883">
        <v>0</v>
      </c>
      <c r="BX323" s="883">
        <v>0</v>
      </c>
      <c r="BY323" s="883">
        <v>0</v>
      </c>
      <c r="BZ323" s="890"/>
      <c r="CA323" s="883">
        <f t="shared" si="95"/>
        <v>0</v>
      </c>
      <c r="CB323" s="880"/>
      <c r="CC323" s="881"/>
      <c r="CD323" s="883"/>
      <c r="CE323" s="883"/>
      <c r="CF323" s="883"/>
      <c r="CG323" s="883"/>
      <c r="CH323" s="883"/>
      <c r="CI323" s="883"/>
      <c r="CJ323" s="883"/>
      <c r="CK323" s="883"/>
      <c r="CL323" s="883"/>
      <c r="CM323" s="883"/>
      <c r="CN323" s="883"/>
      <c r="CO323" s="883"/>
      <c r="CP323" s="883"/>
      <c r="CQ323" s="883"/>
      <c r="CR323" s="883"/>
      <c r="CS323" s="883"/>
      <c r="CT323" s="883"/>
      <c r="CU323" s="883"/>
    </row>
    <row r="324" spans="1:99" x14ac:dyDescent="0.25">
      <c r="A324" s="880" t="s">
        <v>1787</v>
      </c>
      <c r="B324" s="881" t="s">
        <v>1788</v>
      </c>
      <c r="C324" s="880"/>
      <c r="D324" s="880"/>
      <c r="E324" s="884" t="s">
        <v>744</v>
      </c>
      <c r="F324" s="888">
        <v>1</v>
      </c>
      <c r="G324" s="881" t="s">
        <v>1007</v>
      </c>
      <c r="H324" s="881" t="s">
        <v>19</v>
      </c>
      <c r="I324" s="865">
        <v>46142</v>
      </c>
      <c r="J324" s="882" t="s">
        <v>8</v>
      </c>
      <c r="K324" s="880"/>
      <c r="L324" s="880"/>
      <c r="M324" s="883">
        <v>0</v>
      </c>
      <c r="N324" s="883">
        <v>0</v>
      </c>
      <c r="O324" s="883">
        <v>0</v>
      </c>
      <c r="P324" s="883">
        <v>13.39</v>
      </c>
      <c r="Q324" s="883">
        <v>15</v>
      </c>
      <c r="R324" s="883">
        <f t="shared" si="80"/>
        <v>2.0099999999999998</v>
      </c>
      <c r="S324" s="883">
        <v>0</v>
      </c>
      <c r="T324" s="883">
        <v>5</v>
      </c>
      <c r="U324" s="883">
        <f t="shared" si="81"/>
        <v>0</v>
      </c>
      <c r="V324" s="883">
        <v>0</v>
      </c>
      <c r="W324" s="883">
        <v>8</v>
      </c>
      <c r="X324" s="883">
        <f t="shared" si="82"/>
        <v>0</v>
      </c>
      <c r="Y324" s="883">
        <v>0</v>
      </c>
      <c r="Z324" s="883">
        <v>0</v>
      </c>
      <c r="AA324" s="883">
        <v>0</v>
      </c>
      <c r="AB324" s="883">
        <f t="shared" si="83"/>
        <v>15.4</v>
      </c>
      <c r="AC324" s="883">
        <v>0</v>
      </c>
      <c r="AD324" s="881"/>
      <c r="AE324" s="880"/>
      <c r="AF324" s="883"/>
      <c r="AG324" s="889"/>
      <c r="AH324" s="880"/>
      <c r="AI324" s="880" t="s">
        <v>1241</v>
      </c>
      <c r="AJ324" s="884">
        <v>411</v>
      </c>
      <c r="AK324" s="883">
        <f t="shared" si="84"/>
        <v>13.39</v>
      </c>
      <c r="AL324" s="884">
        <v>413</v>
      </c>
      <c r="AM324" s="883">
        <f t="shared" si="85"/>
        <v>0</v>
      </c>
      <c r="AN324" s="884">
        <v>441</v>
      </c>
      <c r="AO324" s="883">
        <f t="shared" si="86"/>
        <v>0</v>
      </c>
      <c r="AP324" s="881"/>
      <c r="AQ324" s="881"/>
      <c r="AR324" s="883">
        <v>0</v>
      </c>
      <c r="AS324" s="883">
        <v>0</v>
      </c>
      <c r="AT324" s="883">
        <v>0</v>
      </c>
      <c r="AU324" s="880"/>
      <c r="AV324" s="886"/>
      <c r="AW324" s="880"/>
      <c r="AX324" s="886"/>
      <c r="AY324" s="880"/>
      <c r="AZ324" s="880"/>
      <c r="BA324" s="881"/>
      <c r="BB324" s="881" t="s">
        <v>57</v>
      </c>
      <c r="BC324" s="881"/>
      <c r="BD324" s="881"/>
      <c r="BE324" s="884">
        <f t="shared" si="87"/>
        <v>4</v>
      </c>
      <c r="BF324" s="887" t="str">
        <f t="shared" si="88"/>
        <v>SI</v>
      </c>
      <c r="BG324" s="883">
        <f t="shared" si="89"/>
        <v>13.39</v>
      </c>
      <c r="BH324" s="883">
        <f t="shared" si="90"/>
        <v>0</v>
      </c>
      <c r="BI324" s="883">
        <f t="shared" si="91"/>
        <v>0</v>
      </c>
      <c r="BJ324" s="883">
        <f t="shared" si="92"/>
        <v>0</v>
      </c>
      <c r="BK324" s="883">
        <f t="shared" si="93"/>
        <v>0</v>
      </c>
      <c r="BL324" s="883">
        <f t="shared" si="94"/>
        <v>2.0099999999999998</v>
      </c>
      <c r="BM324" s="881"/>
      <c r="BN324" s="880"/>
      <c r="BO324" s="882" t="s">
        <v>1579</v>
      </c>
      <c r="BP324" s="882" t="s">
        <v>2286</v>
      </c>
      <c r="BQ324" s="882" t="s">
        <v>2285</v>
      </c>
      <c r="BR324" s="880"/>
      <c r="BS324" s="880"/>
      <c r="BT324" s="880"/>
      <c r="BU324" s="880"/>
      <c r="BV324" s="880"/>
      <c r="BW324" s="883">
        <v>0</v>
      </c>
      <c r="BX324" s="883">
        <v>0</v>
      </c>
      <c r="BY324" s="883">
        <v>0</v>
      </c>
      <c r="BZ324" s="890"/>
      <c r="CA324" s="883">
        <f t="shared" si="95"/>
        <v>0</v>
      </c>
      <c r="CB324" s="880"/>
      <c r="CC324" s="881"/>
      <c r="CD324" s="883"/>
      <c r="CE324" s="883"/>
      <c r="CF324" s="883"/>
      <c r="CG324" s="883"/>
      <c r="CH324" s="883"/>
      <c r="CI324" s="883"/>
      <c r="CJ324" s="883"/>
      <c r="CK324" s="883"/>
      <c r="CL324" s="883"/>
      <c r="CM324" s="883"/>
      <c r="CN324" s="883"/>
      <c r="CO324" s="883"/>
      <c r="CP324" s="883"/>
      <c r="CQ324" s="883"/>
      <c r="CR324" s="883"/>
      <c r="CS324" s="883"/>
      <c r="CT324" s="883"/>
      <c r="CU324" s="883"/>
    </row>
    <row r="325" spans="1:99" x14ac:dyDescent="0.25">
      <c r="A325" s="880" t="s">
        <v>1787</v>
      </c>
      <c r="B325" s="881" t="s">
        <v>1788</v>
      </c>
      <c r="C325" s="880"/>
      <c r="D325" s="880"/>
      <c r="E325" s="884" t="s">
        <v>744</v>
      </c>
      <c r="F325" s="888">
        <v>1</v>
      </c>
      <c r="G325" s="881" t="s">
        <v>1007</v>
      </c>
      <c r="H325" s="881" t="s">
        <v>19</v>
      </c>
      <c r="I325" s="865">
        <v>46142</v>
      </c>
      <c r="J325" s="882" t="s">
        <v>8</v>
      </c>
      <c r="K325" s="880"/>
      <c r="L325" s="880"/>
      <c r="M325" s="883">
        <v>0</v>
      </c>
      <c r="N325" s="883">
        <v>0</v>
      </c>
      <c r="O325" s="883">
        <v>0</v>
      </c>
      <c r="P325" s="883">
        <v>17.850000000000001</v>
      </c>
      <c r="Q325" s="883">
        <v>15</v>
      </c>
      <c r="R325" s="883">
        <f t="shared" si="80"/>
        <v>2.68</v>
      </c>
      <c r="S325" s="883">
        <v>0</v>
      </c>
      <c r="T325" s="883">
        <v>5</v>
      </c>
      <c r="U325" s="883">
        <f t="shared" si="81"/>
        <v>0</v>
      </c>
      <c r="V325" s="883">
        <v>0</v>
      </c>
      <c r="W325" s="883">
        <v>8</v>
      </c>
      <c r="X325" s="883">
        <f t="shared" si="82"/>
        <v>0</v>
      </c>
      <c r="Y325" s="883">
        <v>0</v>
      </c>
      <c r="Z325" s="883">
        <v>0</v>
      </c>
      <c r="AA325" s="883">
        <v>0</v>
      </c>
      <c r="AB325" s="883">
        <f t="shared" si="83"/>
        <v>20.53</v>
      </c>
      <c r="AC325" s="883">
        <v>0</v>
      </c>
      <c r="AD325" s="881"/>
      <c r="AE325" s="880"/>
      <c r="AF325" s="883"/>
      <c r="AG325" s="889"/>
      <c r="AH325" s="880"/>
      <c r="AI325" s="880" t="s">
        <v>1241</v>
      </c>
      <c r="AJ325" s="884">
        <v>411</v>
      </c>
      <c r="AK325" s="883">
        <f t="shared" si="84"/>
        <v>17.850000000000001</v>
      </c>
      <c r="AL325" s="884">
        <v>413</v>
      </c>
      <c r="AM325" s="883">
        <f t="shared" si="85"/>
        <v>0</v>
      </c>
      <c r="AN325" s="884">
        <v>441</v>
      </c>
      <c r="AO325" s="883">
        <f t="shared" si="86"/>
        <v>0</v>
      </c>
      <c r="AP325" s="881"/>
      <c r="AQ325" s="881"/>
      <c r="AR325" s="883">
        <v>0</v>
      </c>
      <c r="AS325" s="883">
        <v>0</v>
      </c>
      <c r="AT325" s="883">
        <v>0</v>
      </c>
      <c r="AU325" s="880"/>
      <c r="AV325" s="886"/>
      <c r="AW325" s="880"/>
      <c r="AX325" s="886"/>
      <c r="AY325" s="880"/>
      <c r="AZ325" s="880"/>
      <c r="BA325" s="881"/>
      <c r="BB325" s="881" t="s">
        <v>57</v>
      </c>
      <c r="BC325" s="881"/>
      <c r="BD325" s="881"/>
      <c r="BE325" s="884">
        <f t="shared" si="87"/>
        <v>4</v>
      </c>
      <c r="BF325" s="887" t="str">
        <f t="shared" si="88"/>
        <v>SI</v>
      </c>
      <c r="BG325" s="883">
        <f t="shared" si="89"/>
        <v>17.850000000000001</v>
      </c>
      <c r="BH325" s="883">
        <f t="shared" si="90"/>
        <v>0</v>
      </c>
      <c r="BI325" s="883">
        <f t="shared" si="91"/>
        <v>0</v>
      </c>
      <c r="BJ325" s="883">
        <f t="shared" si="92"/>
        <v>0</v>
      </c>
      <c r="BK325" s="883">
        <f t="shared" si="93"/>
        <v>0</v>
      </c>
      <c r="BL325" s="883">
        <f t="shared" si="94"/>
        <v>2.68</v>
      </c>
      <c r="BM325" s="881"/>
      <c r="BN325" s="880"/>
      <c r="BO325" s="882" t="s">
        <v>1579</v>
      </c>
      <c r="BP325" s="882" t="s">
        <v>2286</v>
      </c>
      <c r="BQ325" s="882" t="s">
        <v>2285</v>
      </c>
      <c r="BR325" s="880"/>
      <c r="BS325" s="880"/>
      <c r="BT325" s="880"/>
      <c r="BU325" s="880"/>
      <c r="BV325" s="880"/>
      <c r="BW325" s="883">
        <v>0</v>
      </c>
      <c r="BX325" s="883">
        <v>0</v>
      </c>
      <c r="BY325" s="883">
        <v>0</v>
      </c>
      <c r="BZ325" s="890"/>
      <c r="CA325" s="883">
        <f t="shared" si="95"/>
        <v>0</v>
      </c>
      <c r="CB325" s="880"/>
      <c r="CC325" s="881"/>
      <c r="CD325" s="883"/>
      <c r="CE325" s="883"/>
      <c r="CF325" s="883"/>
      <c r="CG325" s="883"/>
      <c r="CH325" s="883"/>
      <c r="CI325" s="883"/>
      <c r="CJ325" s="883"/>
      <c r="CK325" s="883"/>
      <c r="CL325" s="883"/>
      <c r="CM325" s="883"/>
      <c r="CN325" s="883"/>
      <c r="CO325" s="883"/>
      <c r="CP325" s="883"/>
      <c r="CQ325" s="883"/>
      <c r="CR325" s="883"/>
      <c r="CS325" s="883"/>
      <c r="CT325" s="883"/>
      <c r="CU325" s="883"/>
    </row>
    <row r="326" spans="1:99" x14ac:dyDescent="0.25">
      <c r="A326" s="880" t="s">
        <v>1787</v>
      </c>
      <c r="B326" s="881" t="s">
        <v>1788</v>
      </c>
      <c r="C326" s="880"/>
      <c r="D326" s="880"/>
      <c r="E326" s="884" t="s">
        <v>744</v>
      </c>
      <c r="F326" s="888">
        <v>1</v>
      </c>
      <c r="G326" s="881" t="s">
        <v>1007</v>
      </c>
      <c r="H326" s="881" t="s">
        <v>19</v>
      </c>
      <c r="I326" s="865">
        <v>46142</v>
      </c>
      <c r="J326" s="882" t="s">
        <v>8</v>
      </c>
      <c r="K326" s="880"/>
      <c r="L326" s="880"/>
      <c r="M326" s="883">
        <v>0</v>
      </c>
      <c r="N326" s="883">
        <v>0</v>
      </c>
      <c r="O326" s="883">
        <v>0</v>
      </c>
      <c r="P326" s="883">
        <v>17.86</v>
      </c>
      <c r="Q326" s="883">
        <v>15</v>
      </c>
      <c r="R326" s="883">
        <f t="shared" si="80"/>
        <v>2.68</v>
      </c>
      <c r="S326" s="883">
        <v>0</v>
      </c>
      <c r="T326" s="883">
        <v>5</v>
      </c>
      <c r="U326" s="883">
        <f t="shared" si="81"/>
        <v>0</v>
      </c>
      <c r="V326" s="883">
        <v>0</v>
      </c>
      <c r="W326" s="883">
        <v>8</v>
      </c>
      <c r="X326" s="883">
        <f t="shared" si="82"/>
        <v>0</v>
      </c>
      <c r="Y326" s="883">
        <v>0</v>
      </c>
      <c r="Z326" s="883">
        <v>0</v>
      </c>
      <c r="AA326" s="883">
        <v>0</v>
      </c>
      <c r="AB326" s="883">
        <f t="shared" si="83"/>
        <v>20.54</v>
      </c>
      <c r="AC326" s="883">
        <v>0</v>
      </c>
      <c r="AD326" s="881"/>
      <c r="AE326" s="880"/>
      <c r="AF326" s="883"/>
      <c r="AG326" s="889"/>
      <c r="AH326" s="880"/>
      <c r="AI326" s="880" t="s">
        <v>1241</v>
      </c>
      <c r="AJ326" s="884">
        <v>411</v>
      </c>
      <c r="AK326" s="883">
        <f t="shared" si="84"/>
        <v>17.86</v>
      </c>
      <c r="AL326" s="884">
        <v>413</v>
      </c>
      <c r="AM326" s="883">
        <f t="shared" si="85"/>
        <v>0</v>
      </c>
      <c r="AN326" s="884">
        <v>441</v>
      </c>
      <c r="AO326" s="883">
        <f t="shared" si="86"/>
        <v>0</v>
      </c>
      <c r="AP326" s="881"/>
      <c r="AQ326" s="881"/>
      <c r="AR326" s="883">
        <v>0</v>
      </c>
      <c r="AS326" s="883">
        <v>0</v>
      </c>
      <c r="AT326" s="883">
        <v>0</v>
      </c>
      <c r="AU326" s="880"/>
      <c r="AV326" s="886"/>
      <c r="AW326" s="880"/>
      <c r="AX326" s="886"/>
      <c r="AY326" s="880"/>
      <c r="AZ326" s="880"/>
      <c r="BA326" s="881"/>
      <c r="BB326" s="881" t="s">
        <v>57</v>
      </c>
      <c r="BC326" s="881"/>
      <c r="BD326" s="881"/>
      <c r="BE326" s="884">
        <f t="shared" si="87"/>
        <v>4</v>
      </c>
      <c r="BF326" s="887" t="str">
        <f t="shared" si="88"/>
        <v>SI</v>
      </c>
      <c r="BG326" s="883">
        <f t="shared" si="89"/>
        <v>17.86</v>
      </c>
      <c r="BH326" s="883">
        <f t="shared" si="90"/>
        <v>0</v>
      </c>
      <c r="BI326" s="883">
        <f t="shared" si="91"/>
        <v>0</v>
      </c>
      <c r="BJ326" s="883">
        <f t="shared" si="92"/>
        <v>0</v>
      </c>
      <c r="BK326" s="883">
        <f t="shared" si="93"/>
        <v>0</v>
      </c>
      <c r="BL326" s="883">
        <f t="shared" si="94"/>
        <v>2.68</v>
      </c>
      <c r="BM326" s="881"/>
      <c r="BN326" s="880"/>
      <c r="BO326" s="882" t="s">
        <v>1579</v>
      </c>
      <c r="BP326" s="882" t="s">
        <v>2286</v>
      </c>
      <c r="BQ326" s="882" t="s">
        <v>2285</v>
      </c>
      <c r="BR326" s="880"/>
      <c r="BS326" s="880"/>
      <c r="BT326" s="880"/>
      <c r="BU326" s="880"/>
      <c r="BV326" s="880"/>
      <c r="BW326" s="883">
        <v>0</v>
      </c>
      <c r="BX326" s="883">
        <v>0</v>
      </c>
      <c r="BY326" s="883">
        <v>0</v>
      </c>
      <c r="BZ326" s="890"/>
      <c r="CA326" s="883">
        <f t="shared" si="95"/>
        <v>0</v>
      </c>
      <c r="CB326" s="880"/>
      <c r="CC326" s="881"/>
      <c r="CD326" s="883"/>
      <c r="CE326" s="883"/>
      <c r="CF326" s="883"/>
      <c r="CG326" s="883"/>
      <c r="CH326" s="883"/>
      <c r="CI326" s="883"/>
      <c r="CJ326" s="883"/>
      <c r="CK326" s="883"/>
      <c r="CL326" s="883"/>
      <c r="CM326" s="883"/>
      <c r="CN326" s="883"/>
      <c r="CO326" s="883"/>
      <c r="CP326" s="883"/>
      <c r="CQ326" s="883"/>
      <c r="CR326" s="883"/>
      <c r="CS326" s="883"/>
      <c r="CT326" s="883"/>
      <c r="CU326" s="883"/>
    </row>
    <row r="327" spans="1:99" x14ac:dyDescent="0.25">
      <c r="A327" s="880" t="s">
        <v>1787</v>
      </c>
      <c r="B327" s="881" t="s">
        <v>1788</v>
      </c>
      <c r="C327" s="880"/>
      <c r="D327" s="880"/>
      <c r="E327" s="884" t="s">
        <v>744</v>
      </c>
      <c r="F327" s="888">
        <v>1</v>
      </c>
      <c r="G327" s="881" t="s">
        <v>1007</v>
      </c>
      <c r="H327" s="881" t="s">
        <v>19</v>
      </c>
      <c r="I327" s="865">
        <v>46142</v>
      </c>
      <c r="J327" s="882" t="s">
        <v>8</v>
      </c>
      <c r="K327" s="880"/>
      <c r="L327" s="880"/>
      <c r="M327" s="883">
        <v>0</v>
      </c>
      <c r="N327" s="883">
        <v>0</v>
      </c>
      <c r="O327" s="883">
        <v>0</v>
      </c>
      <c r="P327" s="883">
        <v>13.39</v>
      </c>
      <c r="Q327" s="883">
        <v>15</v>
      </c>
      <c r="R327" s="883">
        <f t="shared" si="80"/>
        <v>2.0099999999999998</v>
      </c>
      <c r="S327" s="883">
        <v>0</v>
      </c>
      <c r="T327" s="883">
        <v>5</v>
      </c>
      <c r="U327" s="883">
        <f t="shared" si="81"/>
        <v>0</v>
      </c>
      <c r="V327" s="883">
        <v>0</v>
      </c>
      <c r="W327" s="883">
        <v>8</v>
      </c>
      <c r="X327" s="883">
        <f t="shared" si="82"/>
        <v>0</v>
      </c>
      <c r="Y327" s="883">
        <v>0</v>
      </c>
      <c r="Z327" s="883">
        <v>0</v>
      </c>
      <c r="AA327" s="883">
        <v>0</v>
      </c>
      <c r="AB327" s="883">
        <f t="shared" si="83"/>
        <v>15.4</v>
      </c>
      <c r="AC327" s="883">
        <v>0</v>
      </c>
      <c r="AD327" s="881"/>
      <c r="AE327" s="880"/>
      <c r="AF327" s="883"/>
      <c r="AG327" s="889"/>
      <c r="AH327" s="880"/>
      <c r="AI327" s="880" t="s">
        <v>1241</v>
      </c>
      <c r="AJ327" s="884">
        <v>411</v>
      </c>
      <c r="AK327" s="883">
        <f t="shared" si="84"/>
        <v>13.39</v>
      </c>
      <c r="AL327" s="884">
        <v>413</v>
      </c>
      <c r="AM327" s="883">
        <f t="shared" si="85"/>
        <v>0</v>
      </c>
      <c r="AN327" s="884">
        <v>441</v>
      </c>
      <c r="AO327" s="883">
        <f t="shared" si="86"/>
        <v>0</v>
      </c>
      <c r="AP327" s="881"/>
      <c r="AQ327" s="881"/>
      <c r="AR327" s="883">
        <v>0</v>
      </c>
      <c r="AS327" s="883">
        <v>0</v>
      </c>
      <c r="AT327" s="883">
        <v>0</v>
      </c>
      <c r="AU327" s="880"/>
      <c r="AV327" s="886"/>
      <c r="AW327" s="880"/>
      <c r="AX327" s="886"/>
      <c r="AY327" s="880"/>
      <c r="AZ327" s="880"/>
      <c r="BA327" s="881"/>
      <c r="BB327" s="881" t="s">
        <v>57</v>
      </c>
      <c r="BC327" s="881"/>
      <c r="BD327" s="881"/>
      <c r="BE327" s="884">
        <f t="shared" si="87"/>
        <v>4</v>
      </c>
      <c r="BF327" s="887" t="str">
        <f t="shared" si="88"/>
        <v>SI</v>
      </c>
      <c r="BG327" s="883">
        <f t="shared" si="89"/>
        <v>13.39</v>
      </c>
      <c r="BH327" s="883">
        <f t="shared" si="90"/>
        <v>0</v>
      </c>
      <c r="BI327" s="883">
        <f t="shared" si="91"/>
        <v>0</v>
      </c>
      <c r="BJ327" s="883">
        <f t="shared" si="92"/>
        <v>0</v>
      </c>
      <c r="BK327" s="883">
        <f t="shared" si="93"/>
        <v>0</v>
      </c>
      <c r="BL327" s="883">
        <f t="shared" si="94"/>
        <v>2.0099999999999998</v>
      </c>
      <c r="BM327" s="881"/>
      <c r="BN327" s="880"/>
      <c r="BO327" s="882" t="s">
        <v>1579</v>
      </c>
      <c r="BP327" s="882" t="s">
        <v>2286</v>
      </c>
      <c r="BQ327" s="882" t="s">
        <v>2285</v>
      </c>
      <c r="BR327" s="880"/>
      <c r="BS327" s="880"/>
      <c r="BT327" s="880"/>
      <c r="BU327" s="880"/>
      <c r="BV327" s="880"/>
      <c r="BW327" s="883">
        <v>0</v>
      </c>
      <c r="BX327" s="883">
        <v>0</v>
      </c>
      <c r="BY327" s="883">
        <v>0</v>
      </c>
      <c r="BZ327" s="890"/>
      <c r="CA327" s="883">
        <f t="shared" si="95"/>
        <v>0</v>
      </c>
      <c r="CB327" s="880"/>
      <c r="CC327" s="881"/>
      <c r="CD327" s="883"/>
      <c r="CE327" s="883"/>
      <c r="CF327" s="883"/>
      <c r="CG327" s="883"/>
      <c r="CH327" s="883"/>
      <c r="CI327" s="883"/>
      <c r="CJ327" s="883"/>
      <c r="CK327" s="883"/>
      <c r="CL327" s="883"/>
      <c r="CM327" s="883"/>
      <c r="CN327" s="883"/>
      <c r="CO327" s="883"/>
      <c r="CP327" s="883"/>
      <c r="CQ327" s="883"/>
      <c r="CR327" s="883"/>
      <c r="CS327" s="883"/>
      <c r="CT327" s="883"/>
      <c r="CU327" s="883"/>
    </row>
    <row r="328" spans="1:99" x14ac:dyDescent="0.25">
      <c r="A328" s="880" t="s">
        <v>1787</v>
      </c>
      <c r="B328" s="881" t="s">
        <v>1788</v>
      </c>
      <c r="C328" s="880"/>
      <c r="D328" s="880"/>
      <c r="E328" s="884" t="s">
        <v>744</v>
      </c>
      <c r="F328" s="888">
        <v>1</v>
      </c>
      <c r="G328" s="881" t="s">
        <v>1007</v>
      </c>
      <c r="H328" s="881" t="s">
        <v>19</v>
      </c>
      <c r="I328" s="865">
        <v>46142</v>
      </c>
      <c r="J328" s="882" t="s">
        <v>8</v>
      </c>
      <c r="K328" s="880"/>
      <c r="L328" s="880"/>
      <c r="M328" s="883">
        <v>0</v>
      </c>
      <c r="N328" s="883">
        <v>0</v>
      </c>
      <c r="O328" s="883">
        <v>0</v>
      </c>
      <c r="P328" s="883">
        <v>17.86</v>
      </c>
      <c r="Q328" s="883">
        <v>15</v>
      </c>
      <c r="R328" s="883">
        <f t="shared" si="80"/>
        <v>2.68</v>
      </c>
      <c r="S328" s="883">
        <v>0</v>
      </c>
      <c r="T328" s="883">
        <v>5</v>
      </c>
      <c r="U328" s="883">
        <f t="shared" si="81"/>
        <v>0</v>
      </c>
      <c r="V328" s="883">
        <v>0</v>
      </c>
      <c r="W328" s="883">
        <v>8</v>
      </c>
      <c r="X328" s="883">
        <f t="shared" si="82"/>
        <v>0</v>
      </c>
      <c r="Y328" s="883">
        <v>0</v>
      </c>
      <c r="Z328" s="883">
        <v>0</v>
      </c>
      <c r="AA328" s="883">
        <v>0</v>
      </c>
      <c r="AB328" s="883">
        <f t="shared" si="83"/>
        <v>20.54</v>
      </c>
      <c r="AC328" s="883">
        <v>0</v>
      </c>
      <c r="AD328" s="881"/>
      <c r="AE328" s="880"/>
      <c r="AF328" s="883"/>
      <c r="AG328" s="889"/>
      <c r="AH328" s="880"/>
      <c r="AI328" s="880" t="s">
        <v>1241</v>
      </c>
      <c r="AJ328" s="884">
        <v>411</v>
      </c>
      <c r="AK328" s="883">
        <f t="shared" si="84"/>
        <v>17.86</v>
      </c>
      <c r="AL328" s="884">
        <v>413</v>
      </c>
      <c r="AM328" s="883">
        <f t="shared" si="85"/>
        <v>0</v>
      </c>
      <c r="AN328" s="884">
        <v>441</v>
      </c>
      <c r="AO328" s="883">
        <f t="shared" si="86"/>
        <v>0</v>
      </c>
      <c r="AP328" s="881"/>
      <c r="AQ328" s="881"/>
      <c r="AR328" s="883">
        <v>0</v>
      </c>
      <c r="AS328" s="883">
        <v>0</v>
      </c>
      <c r="AT328" s="883">
        <v>0</v>
      </c>
      <c r="AU328" s="880"/>
      <c r="AV328" s="886"/>
      <c r="AW328" s="880"/>
      <c r="AX328" s="886"/>
      <c r="AY328" s="880"/>
      <c r="AZ328" s="880"/>
      <c r="BA328" s="881"/>
      <c r="BB328" s="881" t="s">
        <v>57</v>
      </c>
      <c r="BC328" s="881"/>
      <c r="BD328" s="881"/>
      <c r="BE328" s="884">
        <f t="shared" si="87"/>
        <v>4</v>
      </c>
      <c r="BF328" s="887" t="str">
        <f t="shared" si="88"/>
        <v>SI</v>
      </c>
      <c r="BG328" s="883">
        <f t="shared" si="89"/>
        <v>17.86</v>
      </c>
      <c r="BH328" s="883">
        <f t="shared" si="90"/>
        <v>0</v>
      </c>
      <c r="BI328" s="883">
        <f t="shared" si="91"/>
        <v>0</v>
      </c>
      <c r="BJ328" s="883">
        <f t="shared" si="92"/>
        <v>0</v>
      </c>
      <c r="BK328" s="883">
        <f t="shared" si="93"/>
        <v>0</v>
      </c>
      <c r="BL328" s="883">
        <f t="shared" si="94"/>
        <v>2.68</v>
      </c>
      <c r="BM328" s="881"/>
      <c r="BN328" s="880"/>
      <c r="BO328" s="882" t="s">
        <v>1579</v>
      </c>
      <c r="BP328" s="882" t="s">
        <v>2286</v>
      </c>
      <c r="BQ328" s="882" t="s">
        <v>2285</v>
      </c>
      <c r="BR328" s="880"/>
      <c r="BS328" s="880"/>
      <c r="BT328" s="880"/>
      <c r="BU328" s="880"/>
      <c r="BV328" s="880"/>
      <c r="BW328" s="883">
        <v>0</v>
      </c>
      <c r="BX328" s="883">
        <v>0</v>
      </c>
      <c r="BY328" s="883">
        <v>0</v>
      </c>
      <c r="BZ328" s="890"/>
      <c r="CA328" s="883">
        <f t="shared" si="95"/>
        <v>0</v>
      </c>
      <c r="CB328" s="880"/>
      <c r="CC328" s="881"/>
      <c r="CD328" s="883"/>
      <c r="CE328" s="883"/>
      <c r="CF328" s="883"/>
      <c r="CG328" s="883"/>
      <c r="CH328" s="883"/>
      <c r="CI328" s="883"/>
      <c r="CJ328" s="883"/>
      <c r="CK328" s="883"/>
      <c r="CL328" s="883"/>
      <c r="CM328" s="883"/>
      <c r="CN328" s="883"/>
      <c r="CO328" s="883"/>
      <c r="CP328" s="883"/>
      <c r="CQ328" s="883"/>
      <c r="CR328" s="883"/>
      <c r="CS328" s="883"/>
      <c r="CT328" s="883"/>
      <c r="CU328" s="883"/>
    </row>
    <row r="329" spans="1:99" x14ac:dyDescent="0.25">
      <c r="A329" s="880" t="s">
        <v>1787</v>
      </c>
      <c r="B329" s="881" t="s">
        <v>1788</v>
      </c>
      <c r="C329" s="880"/>
      <c r="D329" s="880"/>
      <c r="E329" s="884" t="s">
        <v>744</v>
      </c>
      <c r="F329" s="888">
        <v>1</v>
      </c>
      <c r="G329" s="881" t="s">
        <v>1007</v>
      </c>
      <c r="H329" s="881" t="s">
        <v>19</v>
      </c>
      <c r="I329" s="865">
        <v>46142</v>
      </c>
      <c r="J329" s="882" t="s">
        <v>8</v>
      </c>
      <c r="K329" s="880"/>
      <c r="L329" s="880"/>
      <c r="M329" s="883">
        <v>0</v>
      </c>
      <c r="N329" s="883">
        <v>0</v>
      </c>
      <c r="O329" s="883">
        <v>0</v>
      </c>
      <c r="P329" s="883">
        <v>17.39</v>
      </c>
      <c r="Q329" s="883">
        <v>15</v>
      </c>
      <c r="R329" s="883">
        <f t="shared" si="80"/>
        <v>2.61</v>
      </c>
      <c r="S329" s="883">
        <v>0</v>
      </c>
      <c r="T329" s="883">
        <v>5</v>
      </c>
      <c r="U329" s="883">
        <f t="shared" si="81"/>
        <v>0</v>
      </c>
      <c r="V329" s="883">
        <v>0</v>
      </c>
      <c r="W329" s="883">
        <v>8</v>
      </c>
      <c r="X329" s="883">
        <f t="shared" si="82"/>
        <v>0</v>
      </c>
      <c r="Y329" s="883">
        <v>0</v>
      </c>
      <c r="Z329" s="883">
        <v>0</v>
      </c>
      <c r="AA329" s="883">
        <v>0</v>
      </c>
      <c r="AB329" s="883">
        <f t="shared" si="83"/>
        <v>20</v>
      </c>
      <c r="AC329" s="883">
        <v>0</v>
      </c>
      <c r="AD329" s="881"/>
      <c r="AE329" s="880"/>
      <c r="AF329" s="883"/>
      <c r="AG329" s="889"/>
      <c r="AH329" s="880"/>
      <c r="AI329" s="880" t="s">
        <v>1241</v>
      </c>
      <c r="AJ329" s="884">
        <v>411</v>
      </c>
      <c r="AK329" s="883">
        <f t="shared" si="84"/>
        <v>17.39</v>
      </c>
      <c r="AL329" s="884">
        <v>413</v>
      </c>
      <c r="AM329" s="883">
        <f t="shared" si="85"/>
        <v>0</v>
      </c>
      <c r="AN329" s="884">
        <v>441</v>
      </c>
      <c r="AO329" s="883">
        <f t="shared" si="86"/>
        <v>0</v>
      </c>
      <c r="AP329" s="881"/>
      <c r="AQ329" s="881"/>
      <c r="AR329" s="883">
        <v>0</v>
      </c>
      <c r="AS329" s="883">
        <v>0</v>
      </c>
      <c r="AT329" s="883">
        <v>0</v>
      </c>
      <c r="AU329" s="880"/>
      <c r="AV329" s="886"/>
      <c r="AW329" s="880"/>
      <c r="AX329" s="886"/>
      <c r="AY329" s="880"/>
      <c r="AZ329" s="880"/>
      <c r="BA329" s="881"/>
      <c r="BB329" s="881" t="s">
        <v>57</v>
      </c>
      <c r="BC329" s="881"/>
      <c r="BD329" s="881"/>
      <c r="BE329" s="884">
        <f t="shared" si="87"/>
        <v>4</v>
      </c>
      <c r="BF329" s="887" t="str">
        <f t="shared" si="88"/>
        <v>SI</v>
      </c>
      <c r="BG329" s="883">
        <f t="shared" si="89"/>
        <v>17.39</v>
      </c>
      <c r="BH329" s="883">
        <f t="shared" si="90"/>
        <v>0</v>
      </c>
      <c r="BI329" s="883">
        <f t="shared" si="91"/>
        <v>0</v>
      </c>
      <c r="BJ329" s="883">
        <f t="shared" si="92"/>
        <v>0</v>
      </c>
      <c r="BK329" s="883">
        <f t="shared" si="93"/>
        <v>0</v>
      </c>
      <c r="BL329" s="883">
        <f t="shared" si="94"/>
        <v>2.61</v>
      </c>
      <c r="BM329" s="881"/>
      <c r="BN329" s="880"/>
      <c r="BO329" s="882" t="s">
        <v>1579</v>
      </c>
      <c r="BP329" s="882" t="s">
        <v>2286</v>
      </c>
      <c r="BQ329" s="882" t="s">
        <v>2285</v>
      </c>
      <c r="BR329" s="880"/>
      <c r="BS329" s="880"/>
      <c r="BT329" s="880"/>
      <c r="BU329" s="880"/>
      <c r="BV329" s="880"/>
      <c r="BW329" s="883">
        <v>0</v>
      </c>
      <c r="BX329" s="883">
        <v>0</v>
      </c>
      <c r="BY329" s="883">
        <v>0</v>
      </c>
      <c r="BZ329" s="890"/>
      <c r="CA329" s="883">
        <f t="shared" si="95"/>
        <v>0</v>
      </c>
      <c r="CB329" s="880"/>
      <c r="CC329" s="881"/>
      <c r="CD329" s="883"/>
      <c r="CE329" s="883"/>
      <c r="CF329" s="883"/>
      <c r="CG329" s="883"/>
      <c r="CH329" s="883"/>
      <c r="CI329" s="883"/>
      <c r="CJ329" s="883"/>
      <c r="CK329" s="883"/>
      <c r="CL329" s="883"/>
      <c r="CM329" s="883"/>
      <c r="CN329" s="883"/>
      <c r="CO329" s="883"/>
      <c r="CP329" s="883"/>
      <c r="CQ329" s="883"/>
      <c r="CR329" s="883"/>
      <c r="CS329" s="883"/>
      <c r="CT329" s="883"/>
      <c r="CU329" s="883"/>
    </row>
    <row r="330" spans="1:99" x14ac:dyDescent="0.25">
      <c r="A330" s="880" t="s">
        <v>1787</v>
      </c>
      <c r="B330" s="881" t="s">
        <v>1788</v>
      </c>
      <c r="C330" s="880"/>
      <c r="D330" s="880"/>
      <c r="E330" s="884" t="s">
        <v>744</v>
      </c>
      <c r="F330" s="888">
        <v>1</v>
      </c>
      <c r="G330" s="881" t="s">
        <v>1007</v>
      </c>
      <c r="H330" s="881" t="s">
        <v>19</v>
      </c>
      <c r="I330" s="865">
        <v>46142</v>
      </c>
      <c r="J330" s="882" t="s">
        <v>8</v>
      </c>
      <c r="K330" s="880"/>
      <c r="L330" s="880"/>
      <c r="M330" s="883">
        <v>0</v>
      </c>
      <c r="N330" s="883">
        <v>0</v>
      </c>
      <c r="O330" s="883">
        <v>0</v>
      </c>
      <c r="P330" s="883">
        <v>17.39</v>
      </c>
      <c r="Q330" s="883">
        <v>15</v>
      </c>
      <c r="R330" s="883">
        <f t="shared" si="80"/>
        <v>2.61</v>
      </c>
      <c r="S330" s="883">
        <v>0</v>
      </c>
      <c r="T330" s="883">
        <v>5</v>
      </c>
      <c r="U330" s="883">
        <f t="shared" si="81"/>
        <v>0</v>
      </c>
      <c r="V330" s="883">
        <v>0</v>
      </c>
      <c r="W330" s="883">
        <v>8</v>
      </c>
      <c r="X330" s="883">
        <f t="shared" si="82"/>
        <v>0</v>
      </c>
      <c r="Y330" s="883">
        <v>0</v>
      </c>
      <c r="Z330" s="883">
        <v>0</v>
      </c>
      <c r="AA330" s="883">
        <v>0</v>
      </c>
      <c r="AB330" s="883">
        <f t="shared" si="83"/>
        <v>20</v>
      </c>
      <c r="AC330" s="883">
        <v>0</v>
      </c>
      <c r="AD330" s="881"/>
      <c r="AE330" s="880"/>
      <c r="AF330" s="883"/>
      <c r="AG330" s="889"/>
      <c r="AH330" s="880"/>
      <c r="AI330" s="880" t="s">
        <v>1241</v>
      </c>
      <c r="AJ330" s="884">
        <v>411</v>
      </c>
      <c r="AK330" s="883">
        <f t="shared" si="84"/>
        <v>17.39</v>
      </c>
      <c r="AL330" s="884">
        <v>413</v>
      </c>
      <c r="AM330" s="883">
        <f t="shared" si="85"/>
        <v>0</v>
      </c>
      <c r="AN330" s="884">
        <v>441</v>
      </c>
      <c r="AO330" s="883">
        <f t="shared" si="86"/>
        <v>0</v>
      </c>
      <c r="AP330" s="881"/>
      <c r="AQ330" s="881"/>
      <c r="AR330" s="883">
        <v>0</v>
      </c>
      <c r="AS330" s="883">
        <v>0</v>
      </c>
      <c r="AT330" s="883">
        <v>0</v>
      </c>
      <c r="AU330" s="880"/>
      <c r="AV330" s="886"/>
      <c r="AW330" s="880"/>
      <c r="AX330" s="886"/>
      <c r="AY330" s="880"/>
      <c r="AZ330" s="880"/>
      <c r="BA330" s="881"/>
      <c r="BB330" s="881" t="s">
        <v>57</v>
      </c>
      <c r="BC330" s="881"/>
      <c r="BD330" s="881"/>
      <c r="BE330" s="884">
        <f t="shared" si="87"/>
        <v>4</v>
      </c>
      <c r="BF330" s="887" t="str">
        <f t="shared" si="88"/>
        <v>SI</v>
      </c>
      <c r="BG330" s="883">
        <f t="shared" si="89"/>
        <v>17.39</v>
      </c>
      <c r="BH330" s="883">
        <f t="shared" si="90"/>
        <v>0</v>
      </c>
      <c r="BI330" s="883">
        <f t="shared" si="91"/>
        <v>0</v>
      </c>
      <c r="BJ330" s="883">
        <f t="shared" si="92"/>
        <v>0</v>
      </c>
      <c r="BK330" s="883">
        <f t="shared" si="93"/>
        <v>0</v>
      </c>
      <c r="BL330" s="883">
        <f t="shared" si="94"/>
        <v>2.61</v>
      </c>
      <c r="BM330" s="881"/>
      <c r="BN330" s="880"/>
      <c r="BO330" s="882" t="s">
        <v>1579</v>
      </c>
      <c r="BP330" s="882" t="s">
        <v>2286</v>
      </c>
      <c r="BQ330" s="882" t="s">
        <v>2285</v>
      </c>
      <c r="BR330" s="880"/>
      <c r="BS330" s="880"/>
      <c r="BT330" s="880"/>
      <c r="BU330" s="880"/>
      <c r="BV330" s="880"/>
      <c r="BW330" s="883">
        <v>0</v>
      </c>
      <c r="BX330" s="883">
        <v>0</v>
      </c>
      <c r="BY330" s="883">
        <v>0</v>
      </c>
      <c r="BZ330" s="890"/>
      <c r="CA330" s="883">
        <f t="shared" si="95"/>
        <v>0</v>
      </c>
      <c r="CB330" s="880"/>
      <c r="CC330" s="881"/>
      <c r="CD330" s="883"/>
      <c r="CE330" s="883"/>
      <c r="CF330" s="883"/>
      <c r="CG330" s="883"/>
      <c r="CH330" s="883"/>
      <c r="CI330" s="883"/>
      <c r="CJ330" s="883"/>
      <c r="CK330" s="883"/>
      <c r="CL330" s="883"/>
      <c r="CM330" s="883"/>
      <c r="CN330" s="883"/>
      <c r="CO330" s="883"/>
      <c r="CP330" s="883"/>
      <c r="CQ330" s="883"/>
      <c r="CR330" s="883"/>
      <c r="CS330" s="883"/>
      <c r="CT330" s="883"/>
      <c r="CU330" s="883"/>
    </row>
    <row r="331" spans="1:99" x14ac:dyDescent="0.25">
      <c r="A331" s="880" t="s">
        <v>1787</v>
      </c>
      <c r="B331" s="881" t="s">
        <v>1788</v>
      </c>
      <c r="C331" s="880"/>
      <c r="D331" s="880"/>
      <c r="E331" s="884" t="s">
        <v>744</v>
      </c>
      <c r="F331" s="888">
        <v>1</v>
      </c>
      <c r="G331" s="881" t="s">
        <v>1007</v>
      </c>
      <c r="H331" s="881" t="s">
        <v>19</v>
      </c>
      <c r="I331" s="865">
        <v>46142</v>
      </c>
      <c r="J331" s="882" t="s">
        <v>8</v>
      </c>
      <c r="K331" s="880"/>
      <c r="L331" s="880"/>
      <c r="M331" s="883">
        <v>0</v>
      </c>
      <c r="N331" s="883">
        <v>0</v>
      </c>
      <c r="O331" s="883">
        <v>0</v>
      </c>
      <c r="P331" s="883">
        <v>17.39</v>
      </c>
      <c r="Q331" s="883">
        <v>15</v>
      </c>
      <c r="R331" s="883">
        <f t="shared" ref="R331:R394" si="96">ROUND(P331*Q331%,2)</f>
        <v>2.61</v>
      </c>
      <c r="S331" s="883">
        <v>0</v>
      </c>
      <c r="T331" s="883">
        <v>5</v>
      </c>
      <c r="U331" s="883">
        <f t="shared" ref="U331:U394" si="97">ROUND(S331*T331%,2)</f>
        <v>0</v>
      </c>
      <c r="V331" s="883">
        <v>0</v>
      </c>
      <c r="W331" s="883">
        <v>8</v>
      </c>
      <c r="X331" s="883">
        <f t="shared" ref="X331:X394" si="98">ROUND(V331*W331%,2)</f>
        <v>0</v>
      </c>
      <c r="Y331" s="883">
        <v>0</v>
      </c>
      <c r="Z331" s="883">
        <v>0</v>
      </c>
      <c r="AA331" s="883">
        <v>0</v>
      </c>
      <c r="AB331" s="883">
        <f t="shared" ref="AB331:AB394" si="99">ROUND(SUM(M331:P331)+SUM(R331:S331)+SUM(U331:V331)+SUM(X331:AA331),2)</f>
        <v>20</v>
      </c>
      <c r="AC331" s="883">
        <v>0</v>
      </c>
      <c r="AD331" s="881"/>
      <c r="AE331" s="880"/>
      <c r="AF331" s="883"/>
      <c r="AG331" s="889"/>
      <c r="AH331" s="880"/>
      <c r="AI331" s="880" t="s">
        <v>1241</v>
      </c>
      <c r="AJ331" s="884">
        <v>411</v>
      </c>
      <c r="AK331" s="883">
        <f t="shared" ref="AK331:AK394" si="100">IF(OR(AJ331=441,AJ331=444,AJ331=417,AJ331=418),IF(AJ331=441,SUM($M331:$N331)+SUM($Y331:$AA331),SUM($M331:$P331)+$S331+$V331),IF(AND(AJ331&gt;412,AJ331&lt;417),$O331,IF(OR(AJ331=411,AJ331=412),$P331,IF(AJ331=420,$V331,IF(AJ331=435,$S331,0)))))</f>
        <v>17.39</v>
      </c>
      <c r="AL331" s="884">
        <v>413</v>
      </c>
      <c r="AM331" s="883">
        <f t="shared" ref="AM331:AM394" si="101">IF(OR(AL331=441,AL331=444,AL331=417,AL331=418),IF(AL331=441,SUM($M331:$N331)+SUM($Y331:$AA331),SUM($M331:$P331)+$S331+$V331),IF(AND(AL331&gt;412,AL331&lt;417),$O331,IF(OR(AL331=411,AL331=412),$P331,IF(AL331=420,$V331,IF(AL331=435,$S331,0)))))</f>
        <v>0</v>
      </c>
      <c r="AN331" s="884">
        <v>441</v>
      </c>
      <c r="AO331" s="883">
        <f t="shared" ref="AO331:AO394" si="102">IF(OR(AN331=441,AN331=444,AN331=417,AN331=418),IF(AN331=441,SUM($M331:$N331)+SUM($Y331:$AA331),SUM($M331:$P331)+$S331+$V331),IF(AND(AN331&gt;412,AN331&lt;417),$O331,IF(OR(AN331=411,AN331=412),$P331,IF(AN331=420,$V331,IF(AN331=435,$S331,0)))))</f>
        <v>0</v>
      </c>
      <c r="AP331" s="881"/>
      <c r="AQ331" s="881"/>
      <c r="AR331" s="883">
        <v>0</v>
      </c>
      <c r="AS331" s="883">
        <v>0</v>
      </c>
      <c r="AT331" s="883">
        <v>0</v>
      </c>
      <c r="AU331" s="880"/>
      <c r="AV331" s="886"/>
      <c r="AW331" s="880"/>
      <c r="AX331" s="886"/>
      <c r="AY331" s="880"/>
      <c r="AZ331" s="880"/>
      <c r="BA331" s="881"/>
      <c r="BB331" s="881" t="s">
        <v>57</v>
      </c>
      <c r="BC331" s="881"/>
      <c r="BD331" s="881"/>
      <c r="BE331" s="884">
        <f t="shared" ref="BE331:BE394" si="103">IF(ISNUMBER(I331),MONTH(I331),0)</f>
        <v>4</v>
      </c>
      <c r="BF331" s="887" t="str">
        <f t="shared" ref="BF331:BF394" si="104">IF(ISNUMBER(I331),IF(ISERROR(HLOOKUP(MONTH(I331),meses_104,1,0)),"NO","SI"),"NO")</f>
        <v>SI</v>
      </c>
      <c r="BG331" s="883">
        <f t="shared" ref="BG331:BG394" si="105">IF(ISBLANK(H331),0,IF(OR((VALUE(LEFT(H331,2))=4),((LEFT(H331,3))="372")),0,AK331))</f>
        <v>17.39</v>
      </c>
      <c r="BH331" s="883">
        <f t="shared" ref="BH331:BH394" si="106">IF(ISBLANK(H331),0,IF(OR((VALUE(LEFT(H331,2))=4),((LEFT(H331,3))="372")),0,AM331))</f>
        <v>0</v>
      </c>
      <c r="BI331" s="883">
        <f t="shared" ref="BI331:BI394" si="107">IF(ISBLANK(H331),0,IF(OR((VALUE(LEFT(H331,2))=4),((LEFT(H331,3))="372")),0,AO331))</f>
        <v>0</v>
      </c>
      <c r="BJ331" s="883">
        <f t="shared" ref="BJ331:BJ394" si="108">SUM(M331:O331)+SUM(Y331:AA331)</f>
        <v>0</v>
      </c>
      <c r="BK331" s="883">
        <f t="shared" ref="BK331:BK394" si="109">ROUND((IF(AJ331=444,(R331+U331+X331),0)+IF(AL331=444,(R331+U331+X331),0)+IF(AN331=444,(R331+U331+X331),0)),2)</f>
        <v>0</v>
      </c>
      <c r="BL331" s="883">
        <f t="shared" ref="BL331:BL394" si="110">R331+U331+X331-BK331</f>
        <v>2.61</v>
      </c>
      <c r="BM331" s="881"/>
      <c r="BN331" s="880"/>
      <c r="BO331" s="882" t="s">
        <v>1579</v>
      </c>
      <c r="BP331" s="882" t="s">
        <v>2286</v>
      </c>
      <c r="BQ331" s="882" t="s">
        <v>2285</v>
      </c>
      <c r="BR331" s="880"/>
      <c r="BS331" s="880"/>
      <c r="BT331" s="880"/>
      <c r="BU331" s="880"/>
      <c r="BV331" s="880"/>
      <c r="BW331" s="883">
        <v>0</v>
      </c>
      <c r="BX331" s="883">
        <v>0</v>
      </c>
      <c r="BY331" s="883">
        <v>0</v>
      </c>
      <c r="BZ331" s="890"/>
      <c r="CA331" s="883">
        <f t="shared" ref="CA331:CA394" si="111">ROUND((IF(OR(AJ331=413,AJ331=414),AK331,0)+IF(OR(AL331=413,AL331=414),AM331,0)+IF(OR(AN331=413,AN331=414),AO331,0)),2)</f>
        <v>0</v>
      </c>
      <c r="CB331" s="880"/>
      <c r="CC331" s="881"/>
      <c r="CD331" s="883"/>
      <c r="CE331" s="883"/>
      <c r="CF331" s="883"/>
      <c r="CG331" s="883"/>
      <c r="CH331" s="883"/>
      <c r="CI331" s="883"/>
      <c r="CJ331" s="883"/>
      <c r="CK331" s="883"/>
      <c r="CL331" s="883"/>
      <c r="CM331" s="883"/>
      <c r="CN331" s="883"/>
      <c r="CO331" s="883"/>
      <c r="CP331" s="883"/>
      <c r="CQ331" s="883"/>
      <c r="CR331" s="883"/>
      <c r="CS331" s="883"/>
      <c r="CT331" s="883"/>
      <c r="CU331" s="883"/>
    </row>
    <row r="332" spans="1:99" x14ac:dyDescent="0.25">
      <c r="A332" s="880" t="s">
        <v>1787</v>
      </c>
      <c r="B332" s="881" t="s">
        <v>1788</v>
      </c>
      <c r="C332" s="880"/>
      <c r="D332" s="880"/>
      <c r="E332" s="884" t="s">
        <v>744</v>
      </c>
      <c r="F332" s="888">
        <v>1</v>
      </c>
      <c r="G332" s="881" t="s">
        <v>1007</v>
      </c>
      <c r="H332" s="881" t="s">
        <v>19</v>
      </c>
      <c r="I332" s="865">
        <v>46142</v>
      </c>
      <c r="J332" s="882" t="s">
        <v>8</v>
      </c>
      <c r="K332" s="880"/>
      <c r="L332" s="880"/>
      <c r="M332" s="883">
        <v>0</v>
      </c>
      <c r="N332" s="883">
        <v>0</v>
      </c>
      <c r="O332" s="883">
        <v>0</v>
      </c>
      <c r="P332" s="883">
        <v>17.39</v>
      </c>
      <c r="Q332" s="883">
        <v>15</v>
      </c>
      <c r="R332" s="883">
        <f t="shared" si="96"/>
        <v>2.61</v>
      </c>
      <c r="S332" s="883">
        <v>0</v>
      </c>
      <c r="T332" s="883">
        <v>5</v>
      </c>
      <c r="U332" s="883">
        <f t="shared" si="97"/>
        <v>0</v>
      </c>
      <c r="V332" s="883">
        <v>0</v>
      </c>
      <c r="W332" s="883">
        <v>8</v>
      </c>
      <c r="X332" s="883">
        <f t="shared" si="98"/>
        <v>0</v>
      </c>
      <c r="Y332" s="883">
        <v>0</v>
      </c>
      <c r="Z332" s="883">
        <v>0</v>
      </c>
      <c r="AA332" s="883">
        <v>0</v>
      </c>
      <c r="AB332" s="883">
        <f t="shared" si="99"/>
        <v>20</v>
      </c>
      <c r="AC332" s="883">
        <v>0</v>
      </c>
      <c r="AD332" s="881"/>
      <c r="AE332" s="880"/>
      <c r="AF332" s="883"/>
      <c r="AG332" s="889"/>
      <c r="AH332" s="880"/>
      <c r="AI332" s="880" t="s">
        <v>1241</v>
      </c>
      <c r="AJ332" s="884">
        <v>411</v>
      </c>
      <c r="AK332" s="883">
        <f t="shared" si="100"/>
        <v>17.39</v>
      </c>
      <c r="AL332" s="884">
        <v>413</v>
      </c>
      <c r="AM332" s="883">
        <f t="shared" si="101"/>
        <v>0</v>
      </c>
      <c r="AN332" s="884">
        <v>441</v>
      </c>
      <c r="AO332" s="883">
        <f t="shared" si="102"/>
        <v>0</v>
      </c>
      <c r="AP332" s="881"/>
      <c r="AQ332" s="881"/>
      <c r="AR332" s="883">
        <v>0</v>
      </c>
      <c r="AS332" s="883">
        <v>0</v>
      </c>
      <c r="AT332" s="883">
        <v>0</v>
      </c>
      <c r="AU332" s="880"/>
      <c r="AV332" s="886"/>
      <c r="AW332" s="880"/>
      <c r="AX332" s="886"/>
      <c r="AY332" s="880"/>
      <c r="AZ332" s="880"/>
      <c r="BA332" s="881"/>
      <c r="BB332" s="881" t="s">
        <v>57</v>
      </c>
      <c r="BC332" s="881"/>
      <c r="BD332" s="881"/>
      <c r="BE332" s="884">
        <f t="shared" si="103"/>
        <v>4</v>
      </c>
      <c r="BF332" s="887" t="str">
        <f t="shared" si="104"/>
        <v>SI</v>
      </c>
      <c r="BG332" s="883">
        <f t="shared" si="105"/>
        <v>17.39</v>
      </c>
      <c r="BH332" s="883">
        <f t="shared" si="106"/>
        <v>0</v>
      </c>
      <c r="BI332" s="883">
        <f t="shared" si="107"/>
        <v>0</v>
      </c>
      <c r="BJ332" s="883">
        <f t="shared" si="108"/>
        <v>0</v>
      </c>
      <c r="BK332" s="883">
        <f t="shared" si="109"/>
        <v>0</v>
      </c>
      <c r="BL332" s="883">
        <f t="shared" si="110"/>
        <v>2.61</v>
      </c>
      <c r="BM332" s="881"/>
      <c r="BN332" s="880"/>
      <c r="BO332" s="882" t="s">
        <v>1579</v>
      </c>
      <c r="BP332" s="882" t="s">
        <v>2286</v>
      </c>
      <c r="BQ332" s="882" t="s">
        <v>2285</v>
      </c>
      <c r="BR332" s="880"/>
      <c r="BS332" s="880"/>
      <c r="BT332" s="880"/>
      <c r="BU332" s="880"/>
      <c r="BV332" s="880"/>
      <c r="BW332" s="883">
        <v>0</v>
      </c>
      <c r="BX332" s="883">
        <v>0</v>
      </c>
      <c r="BY332" s="883">
        <v>0</v>
      </c>
      <c r="BZ332" s="890"/>
      <c r="CA332" s="883">
        <f t="shared" si="111"/>
        <v>0</v>
      </c>
      <c r="CB332" s="880"/>
      <c r="CC332" s="881"/>
      <c r="CD332" s="883"/>
      <c r="CE332" s="883"/>
      <c r="CF332" s="883"/>
      <c r="CG332" s="883"/>
      <c r="CH332" s="883"/>
      <c r="CI332" s="883"/>
      <c r="CJ332" s="883"/>
      <c r="CK332" s="883"/>
      <c r="CL332" s="883"/>
      <c r="CM332" s="883"/>
      <c r="CN332" s="883"/>
      <c r="CO332" s="883"/>
      <c r="CP332" s="883"/>
      <c r="CQ332" s="883"/>
      <c r="CR332" s="883"/>
      <c r="CS332" s="883"/>
      <c r="CT332" s="883"/>
      <c r="CU332" s="883"/>
    </row>
    <row r="333" spans="1:99" x14ac:dyDescent="0.25">
      <c r="A333" s="880" t="s">
        <v>1787</v>
      </c>
      <c r="B333" s="881" t="s">
        <v>1788</v>
      </c>
      <c r="C333" s="880"/>
      <c r="D333" s="880"/>
      <c r="E333" s="884" t="s">
        <v>744</v>
      </c>
      <c r="F333" s="888">
        <v>1</v>
      </c>
      <c r="G333" s="881" t="s">
        <v>1007</v>
      </c>
      <c r="H333" s="881" t="s">
        <v>19</v>
      </c>
      <c r="I333" s="865">
        <v>46142</v>
      </c>
      <c r="J333" s="882" t="s">
        <v>8</v>
      </c>
      <c r="K333" s="880"/>
      <c r="L333" s="880"/>
      <c r="M333" s="883">
        <v>0</v>
      </c>
      <c r="N333" s="883">
        <v>0</v>
      </c>
      <c r="O333" s="883">
        <v>0</v>
      </c>
      <c r="P333" s="883">
        <v>17.86</v>
      </c>
      <c r="Q333" s="883">
        <v>15</v>
      </c>
      <c r="R333" s="883">
        <f t="shared" si="96"/>
        <v>2.68</v>
      </c>
      <c r="S333" s="883">
        <v>0</v>
      </c>
      <c r="T333" s="883">
        <v>5</v>
      </c>
      <c r="U333" s="883">
        <f t="shared" si="97"/>
        <v>0</v>
      </c>
      <c r="V333" s="883">
        <v>0</v>
      </c>
      <c r="W333" s="883">
        <v>8</v>
      </c>
      <c r="X333" s="883">
        <f t="shared" si="98"/>
        <v>0</v>
      </c>
      <c r="Y333" s="883">
        <v>0</v>
      </c>
      <c r="Z333" s="883">
        <v>0</v>
      </c>
      <c r="AA333" s="883">
        <v>0</v>
      </c>
      <c r="AB333" s="883">
        <f t="shared" si="99"/>
        <v>20.54</v>
      </c>
      <c r="AC333" s="883">
        <v>0</v>
      </c>
      <c r="AD333" s="881"/>
      <c r="AE333" s="880"/>
      <c r="AF333" s="883"/>
      <c r="AG333" s="889"/>
      <c r="AH333" s="880"/>
      <c r="AI333" s="880" t="s">
        <v>1241</v>
      </c>
      <c r="AJ333" s="884">
        <v>411</v>
      </c>
      <c r="AK333" s="883">
        <f t="shared" si="100"/>
        <v>17.86</v>
      </c>
      <c r="AL333" s="884">
        <v>413</v>
      </c>
      <c r="AM333" s="883">
        <f t="shared" si="101"/>
        <v>0</v>
      </c>
      <c r="AN333" s="884">
        <v>441</v>
      </c>
      <c r="AO333" s="883">
        <f t="shared" si="102"/>
        <v>0</v>
      </c>
      <c r="AP333" s="881"/>
      <c r="AQ333" s="881"/>
      <c r="AR333" s="883">
        <v>0</v>
      </c>
      <c r="AS333" s="883">
        <v>0</v>
      </c>
      <c r="AT333" s="883">
        <v>0</v>
      </c>
      <c r="AU333" s="880"/>
      <c r="AV333" s="886"/>
      <c r="AW333" s="880"/>
      <c r="AX333" s="886"/>
      <c r="AY333" s="880"/>
      <c r="AZ333" s="880"/>
      <c r="BA333" s="881"/>
      <c r="BB333" s="881" t="s">
        <v>57</v>
      </c>
      <c r="BC333" s="881"/>
      <c r="BD333" s="881"/>
      <c r="BE333" s="884">
        <f t="shared" si="103"/>
        <v>4</v>
      </c>
      <c r="BF333" s="887" t="str">
        <f t="shared" si="104"/>
        <v>SI</v>
      </c>
      <c r="BG333" s="883">
        <f t="shared" si="105"/>
        <v>17.86</v>
      </c>
      <c r="BH333" s="883">
        <f t="shared" si="106"/>
        <v>0</v>
      </c>
      <c r="BI333" s="883">
        <f t="shared" si="107"/>
        <v>0</v>
      </c>
      <c r="BJ333" s="883">
        <f t="shared" si="108"/>
        <v>0</v>
      </c>
      <c r="BK333" s="883">
        <f t="shared" si="109"/>
        <v>0</v>
      </c>
      <c r="BL333" s="883">
        <f t="shared" si="110"/>
        <v>2.68</v>
      </c>
      <c r="BM333" s="881"/>
      <c r="BN333" s="880"/>
      <c r="BO333" s="882" t="s">
        <v>1579</v>
      </c>
      <c r="BP333" s="882" t="s">
        <v>2286</v>
      </c>
      <c r="BQ333" s="882" t="s">
        <v>2285</v>
      </c>
      <c r="BR333" s="880"/>
      <c r="BS333" s="880"/>
      <c r="BT333" s="880"/>
      <c r="BU333" s="880"/>
      <c r="BV333" s="880"/>
      <c r="BW333" s="883">
        <v>0</v>
      </c>
      <c r="BX333" s="883">
        <v>0</v>
      </c>
      <c r="BY333" s="883">
        <v>0</v>
      </c>
      <c r="BZ333" s="890"/>
      <c r="CA333" s="883">
        <f t="shared" si="111"/>
        <v>0</v>
      </c>
      <c r="CB333" s="880"/>
      <c r="CC333" s="881"/>
      <c r="CD333" s="883"/>
      <c r="CE333" s="883"/>
      <c r="CF333" s="883"/>
      <c r="CG333" s="883"/>
      <c r="CH333" s="883"/>
      <c r="CI333" s="883"/>
      <c r="CJ333" s="883"/>
      <c r="CK333" s="883"/>
      <c r="CL333" s="883"/>
      <c r="CM333" s="883"/>
      <c r="CN333" s="883"/>
      <c r="CO333" s="883"/>
      <c r="CP333" s="883"/>
      <c r="CQ333" s="883"/>
      <c r="CR333" s="883"/>
      <c r="CS333" s="883"/>
      <c r="CT333" s="883"/>
      <c r="CU333" s="883"/>
    </row>
    <row r="334" spans="1:99" x14ac:dyDescent="0.25">
      <c r="A334" s="880" t="s">
        <v>1787</v>
      </c>
      <c r="B334" s="881" t="s">
        <v>1788</v>
      </c>
      <c r="C334" s="880"/>
      <c r="D334" s="880"/>
      <c r="E334" s="884" t="s">
        <v>744</v>
      </c>
      <c r="F334" s="888">
        <v>1</v>
      </c>
      <c r="G334" s="881" t="s">
        <v>1007</v>
      </c>
      <c r="H334" s="881" t="s">
        <v>19</v>
      </c>
      <c r="I334" s="865">
        <v>46142</v>
      </c>
      <c r="J334" s="882" t="s">
        <v>8</v>
      </c>
      <c r="K334" s="880"/>
      <c r="L334" s="880"/>
      <c r="M334" s="883">
        <v>0</v>
      </c>
      <c r="N334" s="883">
        <v>0</v>
      </c>
      <c r="O334" s="883">
        <v>0</v>
      </c>
      <c r="P334" s="883">
        <v>17.39</v>
      </c>
      <c r="Q334" s="883">
        <v>15</v>
      </c>
      <c r="R334" s="883">
        <f t="shared" si="96"/>
        <v>2.61</v>
      </c>
      <c r="S334" s="883">
        <v>0</v>
      </c>
      <c r="T334" s="883">
        <v>5</v>
      </c>
      <c r="U334" s="883">
        <f t="shared" si="97"/>
        <v>0</v>
      </c>
      <c r="V334" s="883">
        <v>0</v>
      </c>
      <c r="W334" s="883">
        <v>8</v>
      </c>
      <c r="X334" s="883">
        <f t="shared" si="98"/>
        <v>0</v>
      </c>
      <c r="Y334" s="883">
        <v>0</v>
      </c>
      <c r="Z334" s="883">
        <v>0</v>
      </c>
      <c r="AA334" s="883">
        <v>0</v>
      </c>
      <c r="AB334" s="883">
        <f t="shared" si="99"/>
        <v>20</v>
      </c>
      <c r="AC334" s="883">
        <v>0</v>
      </c>
      <c r="AD334" s="881"/>
      <c r="AE334" s="880"/>
      <c r="AF334" s="883"/>
      <c r="AG334" s="889"/>
      <c r="AH334" s="880"/>
      <c r="AI334" s="880" t="s">
        <v>1241</v>
      </c>
      <c r="AJ334" s="884">
        <v>411</v>
      </c>
      <c r="AK334" s="883">
        <f t="shared" si="100"/>
        <v>17.39</v>
      </c>
      <c r="AL334" s="884">
        <v>413</v>
      </c>
      <c r="AM334" s="883">
        <f t="shared" si="101"/>
        <v>0</v>
      </c>
      <c r="AN334" s="884">
        <v>441</v>
      </c>
      <c r="AO334" s="883">
        <f t="shared" si="102"/>
        <v>0</v>
      </c>
      <c r="AP334" s="881"/>
      <c r="AQ334" s="881"/>
      <c r="AR334" s="883">
        <v>0</v>
      </c>
      <c r="AS334" s="883">
        <v>0</v>
      </c>
      <c r="AT334" s="883">
        <v>0</v>
      </c>
      <c r="AU334" s="880"/>
      <c r="AV334" s="886"/>
      <c r="AW334" s="880"/>
      <c r="AX334" s="886"/>
      <c r="AY334" s="880"/>
      <c r="AZ334" s="880"/>
      <c r="BA334" s="881"/>
      <c r="BB334" s="881" t="s">
        <v>57</v>
      </c>
      <c r="BC334" s="881"/>
      <c r="BD334" s="881"/>
      <c r="BE334" s="884">
        <f t="shared" si="103"/>
        <v>4</v>
      </c>
      <c r="BF334" s="887" t="str">
        <f t="shared" si="104"/>
        <v>SI</v>
      </c>
      <c r="BG334" s="883">
        <f t="shared" si="105"/>
        <v>17.39</v>
      </c>
      <c r="BH334" s="883">
        <f t="shared" si="106"/>
        <v>0</v>
      </c>
      <c r="BI334" s="883">
        <f t="shared" si="107"/>
        <v>0</v>
      </c>
      <c r="BJ334" s="883">
        <f t="shared" si="108"/>
        <v>0</v>
      </c>
      <c r="BK334" s="883">
        <f t="shared" si="109"/>
        <v>0</v>
      </c>
      <c r="BL334" s="883">
        <f t="shared" si="110"/>
        <v>2.61</v>
      </c>
      <c r="BM334" s="881"/>
      <c r="BN334" s="880"/>
      <c r="BO334" s="882" t="s">
        <v>1579</v>
      </c>
      <c r="BP334" s="882" t="s">
        <v>2286</v>
      </c>
      <c r="BQ334" s="882" t="s">
        <v>2285</v>
      </c>
      <c r="BR334" s="880"/>
      <c r="BS334" s="880"/>
      <c r="BT334" s="880"/>
      <c r="BU334" s="880"/>
      <c r="BV334" s="880"/>
      <c r="BW334" s="883">
        <v>0</v>
      </c>
      <c r="BX334" s="883">
        <v>0</v>
      </c>
      <c r="BY334" s="883">
        <v>0</v>
      </c>
      <c r="BZ334" s="890"/>
      <c r="CA334" s="883">
        <f t="shared" si="111"/>
        <v>0</v>
      </c>
      <c r="CB334" s="880"/>
      <c r="CC334" s="881"/>
      <c r="CD334" s="883"/>
      <c r="CE334" s="883"/>
      <c r="CF334" s="883"/>
      <c r="CG334" s="883"/>
      <c r="CH334" s="883"/>
      <c r="CI334" s="883"/>
      <c r="CJ334" s="883"/>
      <c r="CK334" s="883"/>
      <c r="CL334" s="883"/>
      <c r="CM334" s="883"/>
      <c r="CN334" s="883"/>
      <c r="CO334" s="883"/>
      <c r="CP334" s="883"/>
      <c r="CQ334" s="883"/>
      <c r="CR334" s="883"/>
      <c r="CS334" s="883"/>
      <c r="CT334" s="883"/>
      <c r="CU334" s="883"/>
    </row>
    <row r="335" spans="1:99" x14ac:dyDescent="0.25">
      <c r="A335" s="880" t="s">
        <v>1787</v>
      </c>
      <c r="B335" s="881" t="s">
        <v>1788</v>
      </c>
      <c r="C335" s="880"/>
      <c r="D335" s="880"/>
      <c r="E335" s="884" t="s">
        <v>744</v>
      </c>
      <c r="F335" s="888">
        <v>1</v>
      </c>
      <c r="G335" s="881" t="s">
        <v>1007</v>
      </c>
      <c r="H335" s="881" t="s">
        <v>19</v>
      </c>
      <c r="I335" s="865">
        <v>46142</v>
      </c>
      <c r="J335" s="882" t="s">
        <v>8</v>
      </c>
      <c r="K335" s="880"/>
      <c r="L335" s="880"/>
      <c r="M335" s="883">
        <v>0</v>
      </c>
      <c r="N335" s="883">
        <v>0</v>
      </c>
      <c r="O335" s="883">
        <v>0</v>
      </c>
      <c r="P335" s="883">
        <v>17.850000000000001</v>
      </c>
      <c r="Q335" s="883">
        <v>15</v>
      </c>
      <c r="R335" s="883">
        <f t="shared" si="96"/>
        <v>2.68</v>
      </c>
      <c r="S335" s="883">
        <v>0</v>
      </c>
      <c r="T335" s="883">
        <v>5</v>
      </c>
      <c r="U335" s="883">
        <f t="shared" si="97"/>
        <v>0</v>
      </c>
      <c r="V335" s="883">
        <v>0</v>
      </c>
      <c r="W335" s="883">
        <v>8</v>
      </c>
      <c r="X335" s="883">
        <f t="shared" si="98"/>
        <v>0</v>
      </c>
      <c r="Y335" s="883">
        <v>0</v>
      </c>
      <c r="Z335" s="883">
        <v>0</v>
      </c>
      <c r="AA335" s="883">
        <v>0</v>
      </c>
      <c r="AB335" s="883">
        <f t="shared" si="99"/>
        <v>20.53</v>
      </c>
      <c r="AC335" s="883">
        <v>0</v>
      </c>
      <c r="AD335" s="881"/>
      <c r="AE335" s="880"/>
      <c r="AF335" s="883"/>
      <c r="AG335" s="889"/>
      <c r="AH335" s="880"/>
      <c r="AI335" s="880" t="s">
        <v>1241</v>
      </c>
      <c r="AJ335" s="884">
        <v>411</v>
      </c>
      <c r="AK335" s="883">
        <f t="shared" si="100"/>
        <v>17.850000000000001</v>
      </c>
      <c r="AL335" s="884">
        <v>413</v>
      </c>
      <c r="AM335" s="883">
        <f t="shared" si="101"/>
        <v>0</v>
      </c>
      <c r="AN335" s="884">
        <v>441</v>
      </c>
      <c r="AO335" s="883">
        <f t="shared" si="102"/>
        <v>0</v>
      </c>
      <c r="AP335" s="881"/>
      <c r="AQ335" s="881"/>
      <c r="AR335" s="883">
        <v>0</v>
      </c>
      <c r="AS335" s="883">
        <v>0</v>
      </c>
      <c r="AT335" s="883">
        <v>0</v>
      </c>
      <c r="AU335" s="880"/>
      <c r="AV335" s="886"/>
      <c r="AW335" s="880"/>
      <c r="AX335" s="886"/>
      <c r="AY335" s="880"/>
      <c r="AZ335" s="880"/>
      <c r="BA335" s="881"/>
      <c r="BB335" s="881" t="s">
        <v>57</v>
      </c>
      <c r="BC335" s="881"/>
      <c r="BD335" s="881"/>
      <c r="BE335" s="884">
        <f t="shared" si="103"/>
        <v>4</v>
      </c>
      <c r="BF335" s="887" t="str">
        <f t="shared" si="104"/>
        <v>SI</v>
      </c>
      <c r="BG335" s="883">
        <f t="shared" si="105"/>
        <v>17.850000000000001</v>
      </c>
      <c r="BH335" s="883">
        <f t="shared" si="106"/>
        <v>0</v>
      </c>
      <c r="BI335" s="883">
        <f t="shared" si="107"/>
        <v>0</v>
      </c>
      <c r="BJ335" s="883">
        <f t="shared" si="108"/>
        <v>0</v>
      </c>
      <c r="BK335" s="883">
        <f t="shared" si="109"/>
        <v>0</v>
      </c>
      <c r="BL335" s="883">
        <f t="shared" si="110"/>
        <v>2.68</v>
      </c>
      <c r="BM335" s="881"/>
      <c r="BN335" s="880"/>
      <c r="BO335" s="882" t="s">
        <v>1579</v>
      </c>
      <c r="BP335" s="882" t="s">
        <v>2286</v>
      </c>
      <c r="BQ335" s="882" t="s">
        <v>2285</v>
      </c>
      <c r="BR335" s="880"/>
      <c r="BS335" s="880"/>
      <c r="BT335" s="880"/>
      <c r="BU335" s="880"/>
      <c r="BV335" s="880"/>
      <c r="BW335" s="883">
        <v>0</v>
      </c>
      <c r="BX335" s="883">
        <v>0</v>
      </c>
      <c r="BY335" s="883">
        <v>0</v>
      </c>
      <c r="BZ335" s="890"/>
      <c r="CA335" s="883">
        <f t="shared" si="111"/>
        <v>0</v>
      </c>
      <c r="CB335" s="880"/>
      <c r="CC335" s="881"/>
      <c r="CD335" s="883"/>
      <c r="CE335" s="883"/>
      <c r="CF335" s="883"/>
      <c r="CG335" s="883"/>
      <c r="CH335" s="883"/>
      <c r="CI335" s="883"/>
      <c r="CJ335" s="883"/>
      <c r="CK335" s="883"/>
      <c r="CL335" s="883"/>
      <c r="CM335" s="883"/>
      <c r="CN335" s="883"/>
      <c r="CO335" s="883"/>
      <c r="CP335" s="883"/>
      <c r="CQ335" s="883"/>
      <c r="CR335" s="883"/>
      <c r="CS335" s="883"/>
      <c r="CT335" s="883"/>
      <c r="CU335" s="883"/>
    </row>
    <row r="336" spans="1:99" x14ac:dyDescent="0.25">
      <c r="A336" s="880" t="s">
        <v>1787</v>
      </c>
      <c r="B336" s="881" t="s">
        <v>1788</v>
      </c>
      <c r="C336" s="880"/>
      <c r="D336" s="880"/>
      <c r="E336" s="884" t="s">
        <v>744</v>
      </c>
      <c r="F336" s="888">
        <v>1</v>
      </c>
      <c r="G336" s="881" t="s">
        <v>1007</v>
      </c>
      <c r="H336" s="881" t="s">
        <v>19</v>
      </c>
      <c r="I336" s="865">
        <v>46142</v>
      </c>
      <c r="J336" s="882" t="s">
        <v>8</v>
      </c>
      <c r="K336" s="880"/>
      <c r="L336" s="880"/>
      <c r="M336" s="883">
        <v>0</v>
      </c>
      <c r="N336" s="883">
        <v>0</v>
      </c>
      <c r="O336" s="883">
        <v>0</v>
      </c>
      <c r="P336" s="883">
        <v>17.39</v>
      </c>
      <c r="Q336" s="883">
        <v>15</v>
      </c>
      <c r="R336" s="883">
        <f t="shared" si="96"/>
        <v>2.61</v>
      </c>
      <c r="S336" s="883">
        <v>0</v>
      </c>
      <c r="T336" s="883">
        <v>5</v>
      </c>
      <c r="U336" s="883">
        <f t="shared" si="97"/>
        <v>0</v>
      </c>
      <c r="V336" s="883">
        <v>0</v>
      </c>
      <c r="W336" s="883">
        <v>8</v>
      </c>
      <c r="X336" s="883">
        <f t="shared" si="98"/>
        <v>0</v>
      </c>
      <c r="Y336" s="883">
        <v>0</v>
      </c>
      <c r="Z336" s="883">
        <v>0</v>
      </c>
      <c r="AA336" s="883">
        <v>0</v>
      </c>
      <c r="AB336" s="883">
        <f t="shared" si="99"/>
        <v>20</v>
      </c>
      <c r="AC336" s="883">
        <v>0</v>
      </c>
      <c r="AD336" s="881"/>
      <c r="AE336" s="880"/>
      <c r="AF336" s="883"/>
      <c r="AG336" s="889"/>
      <c r="AH336" s="880"/>
      <c r="AI336" s="880" t="s">
        <v>1241</v>
      </c>
      <c r="AJ336" s="884">
        <v>411</v>
      </c>
      <c r="AK336" s="883">
        <f t="shared" si="100"/>
        <v>17.39</v>
      </c>
      <c r="AL336" s="884">
        <v>413</v>
      </c>
      <c r="AM336" s="883">
        <f t="shared" si="101"/>
        <v>0</v>
      </c>
      <c r="AN336" s="884">
        <v>441</v>
      </c>
      <c r="AO336" s="883">
        <f t="shared" si="102"/>
        <v>0</v>
      </c>
      <c r="AP336" s="881"/>
      <c r="AQ336" s="881"/>
      <c r="AR336" s="883">
        <v>0</v>
      </c>
      <c r="AS336" s="883">
        <v>0</v>
      </c>
      <c r="AT336" s="883">
        <v>0</v>
      </c>
      <c r="AU336" s="880"/>
      <c r="AV336" s="886"/>
      <c r="AW336" s="880"/>
      <c r="AX336" s="886"/>
      <c r="AY336" s="880"/>
      <c r="AZ336" s="880"/>
      <c r="BA336" s="881"/>
      <c r="BB336" s="881" t="s">
        <v>57</v>
      </c>
      <c r="BC336" s="881"/>
      <c r="BD336" s="881"/>
      <c r="BE336" s="884">
        <f t="shared" si="103"/>
        <v>4</v>
      </c>
      <c r="BF336" s="887" t="str">
        <f t="shared" si="104"/>
        <v>SI</v>
      </c>
      <c r="BG336" s="883">
        <f t="shared" si="105"/>
        <v>17.39</v>
      </c>
      <c r="BH336" s="883">
        <f t="shared" si="106"/>
        <v>0</v>
      </c>
      <c r="BI336" s="883">
        <f t="shared" si="107"/>
        <v>0</v>
      </c>
      <c r="BJ336" s="883">
        <f t="shared" si="108"/>
        <v>0</v>
      </c>
      <c r="BK336" s="883">
        <f t="shared" si="109"/>
        <v>0</v>
      </c>
      <c r="BL336" s="883">
        <f t="shared" si="110"/>
        <v>2.61</v>
      </c>
      <c r="BM336" s="881"/>
      <c r="BN336" s="880"/>
      <c r="BO336" s="882" t="s">
        <v>1579</v>
      </c>
      <c r="BP336" s="882" t="s">
        <v>2286</v>
      </c>
      <c r="BQ336" s="882" t="s">
        <v>2285</v>
      </c>
      <c r="BR336" s="880"/>
      <c r="BS336" s="880"/>
      <c r="BT336" s="880"/>
      <c r="BU336" s="880"/>
      <c r="BV336" s="880"/>
      <c r="BW336" s="883">
        <v>0</v>
      </c>
      <c r="BX336" s="883">
        <v>0</v>
      </c>
      <c r="BY336" s="883">
        <v>0</v>
      </c>
      <c r="BZ336" s="890"/>
      <c r="CA336" s="883">
        <f t="shared" si="111"/>
        <v>0</v>
      </c>
      <c r="CB336" s="880"/>
      <c r="CC336" s="881"/>
      <c r="CD336" s="883"/>
      <c r="CE336" s="883"/>
      <c r="CF336" s="883"/>
      <c r="CG336" s="883"/>
      <c r="CH336" s="883"/>
      <c r="CI336" s="883"/>
      <c r="CJ336" s="883"/>
      <c r="CK336" s="883"/>
      <c r="CL336" s="883"/>
      <c r="CM336" s="883"/>
      <c r="CN336" s="883"/>
      <c r="CO336" s="883"/>
      <c r="CP336" s="883"/>
      <c r="CQ336" s="883"/>
      <c r="CR336" s="883"/>
      <c r="CS336" s="883"/>
      <c r="CT336" s="883"/>
      <c r="CU336" s="883"/>
    </row>
    <row r="337" spans="1:99" x14ac:dyDescent="0.25">
      <c r="A337" s="880" t="s">
        <v>1787</v>
      </c>
      <c r="B337" s="881" t="s">
        <v>1788</v>
      </c>
      <c r="C337" s="880"/>
      <c r="D337" s="880"/>
      <c r="E337" s="884" t="s">
        <v>744</v>
      </c>
      <c r="F337" s="888">
        <v>1</v>
      </c>
      <c r="G337" s="881" t="s">
        <v>1007</v>
      </c>
      <c r="H337" s="881" t="s">
        <v>19</v>
      </c>
      <c r="I337" s="865">
        <v>46142</v>
      </c>
      <c r="J337" s="882" t="s">
        <v>8</v>
      </c>
      <c r="K337" s="880"/>
      <c r="L337" s="880"/>
      <c r="M337" s="883">
        <v>0</v>
      </c>
      <c r="N337" s="883">
        <v>0</v>
      </c>
      <c r="O337" s="883">
        <v>0</v>
      </c>
      <c r="P337" s="883">
        <v>17.39</v>
      </c>
      <c r="Q337" s="883">
        <v>15</v>
      </c>
      <c r="R337" s="883">
        <f t="shared" si="96"/>
        <v>2.61</v>
      </c>
      <c r="S337" s="883">
        <v>0</v>
      </c>
      <c r="T337" s="883">
        <v>5</v>
      </c>
      <c r="U337" s="883">
        <f t="shared" si="97"/>
        <v>0</v>
      </c>
      <c r="V337" s="883">
        <v>0</v>
      </c>
      <c r="W337" s="883">
        <v>8</v>
      </c>
      <c r="X337" s="883">
        <f t="shared" si="98"/>
        <v>0</v>
      </c>
      <c r="Y337" s="883">
        <v>0</v>
      </c>
      <c r="Z337" s="883">
        <v>0</v>
      </c>
      <c r="AA337" s="883">
        <v>0</v>
      </c>
      <c r="AB337" s="883">
        <f t="shared" si="99"/>
        <v>20</v>
      </c>
      <c r="AC337" s="883">
        <v>0</v>
      </c>
      <c r="AD337" s="881"/>
      <c r="AE337" s="880"/>
      <c r="AF337" s="883"/>
      <c r="AG337" s="889"/>
      <c r="AH337" s="880"/>
      <c r="AI337" s="880" t="s">
        <v>1241</v>
      </c>
      <c r="AJ337" s="884">
        <v>411</v>
      </c>
      <c r="AK337" s="883">
        <f t="shared" si="100"/>
        <v>17.39</v>
      </c>
      <c r="AL337" s="884">
        <v>413</v>
      </c>
      <c r="AM337" s="883">
        <f t="shared" si="101"/>
        <v>0</v>
      </c>
      <c r="AN337" s="884">
        <v>441</v>
      </c>
      <c r="AO337" s="883">
        <f t="shared" si="102"/>
        <v>0</v>
      </c>
      <c r="AP337" s="881"/>
      <c r="AQ337" s="881"/>
      <c r="AR337" s="883">
        <v>0</v>
      </c>
      <c r="AS337" s="883">
        <v>0</v>
      </c>
      <c r="AT337" s="883">
        <v>0</v>
      </c>
      <c r="AU337" s="880"/>
      <c r="AV337" s="886"/>
      <c r="AW337" s="880"/>
      <c r="AX337" s="886"/>
      <c r="AY337" s="880"/>
      <c r="AZ337" s="880"/>
      <c r="BA337" s="881"/>
      <c r="BB337" s="881" t="s">
        <v>57</v>
      </c>
      <c r="BC337" s="881"/>
      <c r="BD337" s="881"/>
      <c r="BE337" s="884">
        <f t="shared" si="103"/>
        <v>4</v>
      </c>
      <c r="BF337" s="887" t="str">
        <f t="shared" si="104"/>
        <v>SI</v>
      </c>
      <c r="BG337" s="883">
        <f t="shared" si="105"/>
        <v>17.39</v>
      </c>
      <c r="BH337" s="883">
        <f t="shared" si="106"/>
        <v>0</v>
      </c>
      <c r="BI337" s="883">
        <f t="shared" si="107"/>
        <v>0</v>
      </c>
      <c r="BJ337" s="883">
        <f t="shared" si="108"/>
        <v>0</v>
      </c>
      <c r="BK337" s="883">
        <f t="shared" si="109"/>
        <v>0</v>
      </c>
      <c r="BL337" s="883">
        <f t="shared" si="110"/>
        <v>2.61</v>
      </c>
      <c r="BM337" s="881"/>
      <c r="BN337" s="880"/>
      <c r="BO337" s="882" t="s">
        <v>1579</v>
      </c>
      <c r="BP337" s="882" t="s">
        <v>2286</v>
      </c>
      <c r="BQ337" s="882" t="s">
        <v>2285</v>
      </c>
      <c r="BR337" s="880"/>
      <c r="BS337" s="880"/>
      <c r="BT337" s="880"/>
      <c r="BU337" s="880"/>
      <c r="BV337" s="880"/>
      <c r="BW337" s="883">
        <v>0</v>
      </c>
      <c r="BX337" s="883">
        <v>0</v>
      </c>
      <c r="BY337" s="883">
        <v>0</v>
      </c>
      <c r="BZ337" s="890"/>
      <c r="CA337" s="883">
        <f t="shared" si="111"/>
        <v>0</v>
      </c>
      <c r="CB337" s="880"/>
      <c r="CC337" s="881"/>
      <c r="CD337" s="883"/>
      <c r="CE337" s="883"/>
      <c r="CF337" s="883"/>
      <c r="CG337" s="883"/>
      <c r="CH337" s="883"/>
      <c r="CI337" s="883"/>
      <c r="CJ337" s="883"/>
      <c r="CK337" s="883"/>
      <c r="CL337" s="883"/>
      <c r="CM337" s="883"/>
      <c r="CN337" s="883"/>
      <c r="CO337" s="883"/>
      <c r="CP337" s="883"/>
      <c r="CQ337" s="883"/>
      <c r="CR337" s="883"/>
      <c r="CS337" s="883"/>
      <c r="CT337" s="883"/>
      <c r="CU337" s="883"/>
    </row>
    <row r="338" spans="1:99" x14ac:dyDescent="0.25">
      <c r="A338" s="880" t="s">
        <v>1787</v>
      </c>
      <c r="B338" s="881" t="s">
        <v>1788</v>
      </c>
      <c r="C338" s="880"/>
      <c r="D338" s="880"/>
      <c r="E338" s="884" t="s">
        <v>744</v>
      </c>
      <c r="F338" s="888">
        <v>1</v>
      </c>
      <c r="G338" s="881" t="s">
        <v>1007</v>
      </c>
      <c r="H338" s="881" t="s">
        <v>19</v>
      </c>
      <c r="I338" s="865">
        <v>46142</v>
      </c>
      <c r="J338" s="882" t="s">
        <v>8</v>
      </c>
      <c r="K338" s="880"/>
      <c r="L338" s="880"/>
      <c r="M338" s="883">
        <v>0</v>
      </c>
      <c r="N338" s="883">
        <v>0</v>
      </c>
      <c r="O338" s="883">
        <v>0</v>
      </c>
      <c r="P338" s="883">
        <v>17.86</v>
      </c>
      <c r="Q338" s="883">
        <v>15</v>
      </c>
      <c r="R338" s="883">
        <f t="shared" si="96"/>
        <v>2.68</v>
      </c>
      <c r="S338" s="883">
        <v>0</v>
      </c>
      <c r="T338" s="883">
        <v>5</v>
      </c>
      <c r="U338" s="883">
        <f t="shared" si="97"/>
        <v>0</v>
      </c>
      <c r="V338" s="883">
        <v>0</v>
      </c>
      <c r="W338" s="883">
        <v>8</v>
      </c>
      <c r="X338" s="883">
        <f t="shared" si="98"/>
        <v>0</v>
      </c>
      <c r="Y338" s="883">
        <v>0</v>
      </c>
      <c r="Z338" s="883">
        <v>0</v>
      </c>
      <c r="AA338" s="883">
        <v>0</v>
      </c>
      <c r="AB338" s="883">
        <f t="shared" si="99"/>
        <v>20.54</v>
      </c>
      <c r="AC338" s="883">
        <v>0</v>
      </c>
      <c r="AD338" s="881"/>
      <c r="AE338" s="880"/>
      <c r="AF338" s="883"/>
      <c r="AG338" s="889"/>
      <c r="AH338" s="880"/>
      <c r="AI338" s="880" t="s">
        <v>1241</v>
      </c>
      <c r="AJ338" s="884">
        <v>411</v>
      </c>
      <c r="AK338" s="883">
        <f t="shared" si="100"/>
        <v>17.86</v>
      </c>
      <c r="AL338" s="884">
        <v>413</v>
      </c>
      <c r="AM338" s="883">
        <f t="shared" si="101"/>
        <v>0</v>
      </c>
      <c r="AN338" s="884">
        <v>441</v>
      </c>
      <c r="AO338" s="883">
        <f t="shared" si="102"/>
        <v>0</v>
      </c>
      <c r="AP338" s="881"/>
      <c r="AQ338" s="881"/>
      <c r="AR338" s="883">
        <v>0</v>
      </c>
      <c r="AS338" s="883">
        <v>0</v>
      </c>
      <c r="AT338" s="883">
        <v>0</v>
      </c>
      <c r="AU338" s="880"/>
      <c r="AV338" s="886"/>
      <c r="AW338" s="880"/>
      <c r="AX338" s="886"/>
      <c r="AY338" s="880"/>
      <c r="AZ338" s="880"/>
      <c r="BA338" s="881"/>
      <c r="BB338" s="881" t="s">
        <v>57</v>
      </c>
      <c r="BC338" s="881"/>
      <c r="BD338" s="881"/>
      <c r="BE338" s="884">
        <f t="shared" si="103"/>
        <v>4</v>
      </c>
      <c r="BF338" s="887" t="str">
        <f t="shared" si="104"/>
        <v>SI</v>
      </c>
      <c r="BG338" s="883">
        <f t="shared" si="105"/>
        <v>17.86</v>
      </c>
      <c r="BH338" s="883">
        <f t="shared" si="106"/>
        <v>0</v>
      </c>
      <c r="BI338" s="883">
        <f t="shared" si="107"/>
        <v>0</v>
      </c>
      <c r="BJ338" s="883">
        <f t="shared" si="108"/>
        <v>0</v>
      </c>
      <c r="BK338" s="883">
        <f t="shared" si="109"/>
        <v>0</v>
      </c>
      <c r="BL338" s="883">
        <f t="shared" si="110"/>
        <v>2.68</v>
      </c>
      <c r="BM338" s="881"/>
      <c r="BN338" s="880"/>
      <c r="BO338" s="882" t="s">
        <v>1579</v>
      </c>
      <c r="BP338" s="882" t="s">
        <v>2286</v>
      </c>
      <c r="BQ338" s="882" t="s">
        <v>2285</v>
      </c>
      <c r="BR338" s="880"/>
      <c r="BS338" s="880"/>
      <c r="BT338" s="880"/>
      <c r="BU338" s="880"/>
      <c r="BV338" s="880"/>
      <c r="BW338" s="883">
        <v>0</v>
      </c>
      <c r="BX338" s="883">
        <v>0</v>
      </c>
      <c r="BY338" s="883">
        <v>0</v>
      </c>
      <c r="BZ338" s="890"/>
      <c r="CA338" s="883">
        <f t="shared" si="111"/>
        <v>0</v>
      </c>
      <c r="CB338" s="880"/>
      <c r="CC338" s="881"/>
      <c r="CD338" s="883"/>
      <c r="CE338" s="883"/>
      <c r="CF338" s="883"/>
      <c r="CG338" s="883"/>
      <c r="CH338" s="883"/>
      <c r="CI338" s="883"/>
      <c r="CJ338" s="883"/>
      <c r="CK338" s="883"/>
      <c r="CL338" s="883"/>
      <c r="CM338" s="883"/>
      <c r="CN338" s="883"/>
      <c r="CO338" s="883"/>
      <c r="CP338" s="883"/>
      <c r="CQ338" s="883"/>
      <c r="CR338" s="883"/>
      <c r="CS338" s="883"/>
      <c r="CT338" s="883"/>
      <c r="CU338" s="883"/>
    </row>
    <row r="339" spans="1:99" x14ac:dyDescent="0.25">
      <c r="A339" s="880" t="s">
        <v>1787</v>
      </c>
      <c r="B339" s="881" t="s">
        <v>1788</v>
      </c>
      <c r="C339" s="880"/>
      <c r="D339" s="880"/>
      <c r="E339" s="884" t="s">
        <v>744</v>
      </c>
      <c r="F339" s="888">
        <v>1</v>
      </c>
      <c r="G339" s="881" t="s">
        <v>1007</v>
      </c>
      <c r="H339" s="881" t="s">
        <v>19</v>
      </c>
      <c r="I339" s="865">
        <v>46142</v>
      </c>
      <c r="J339" s="882" t="s">
        <v>8</v>
      </c>
      <c r="K339" s="880"/>
      <c r="L339" s="880"/>
      <c r="M339" s="883">
        <v>0</v>
      </c>
      <c r="N339" s="883">
        <v>0</v>
      </c>
      <c r="O339" s="883">
        <v>0</v>
      </c>
      <c r="P339" s="883">
        <v>17.39</v>
      </c>
      <c r="Q339" s="883">
        <v>15</v>
      </c>
      <c r="R339" s="883">
        <f t="shared" si="96"/>
        <v>2.61</v>
      </c>
      <c r="S339" s="883">
        <v>0</v>
      </c>
      <c r="T339" s="883">
        <v>5</v>
      </c>
      <c r="U339" s="883">
        <f t="shared" si="97"/>
        <v>0</v>
      </c>
      <c r="V339" s="883">
        <v>0</v>
      </c>
      <c r="W339" s="883">
        <v>8</v>
      </c>
      <c r="X339" s="883">
        <f t="shared" si="98"/>
        <v>0</v>
      </c>
      <c r="Y339" s="883">
        <v>0</v>
      </c>
      <c r="Z339" s="883">
        <v>0</v>
      </c>
      <c r="AA339" s="883">
        <v>0</v>
      </c>
      <c r="AB339" s="883">
        <f t="shared" si="99"/>
        <v>20</v>
      </c>
      <c r="AC339" s="883">
        <v>0</v>
      </c>
      <c r="AD339" s="881"/>
      <c r="AE339" s="880"/>
      <c r="AF339" s="883"/>
      <c r="AG339" s="889"/>
      <c r="AH339" s="880"/>
      <c r="AI339" s="880" t="s">
        <v>1241</v>
      </c>
      <c r="AJ339" s="884">
        <v>411</v>
      </c>
      <c r="AK339" s="883">
        <f t="shared" si="100"/>
        <v>17.39</v>
      </c>
      <c r="AL339" s="884">
        <v>413</v>
      </c>
      <c r="AM339" s="883">
        <f t="shared" si="101"/>
        <v>0</v>
      </c>
      <c r="AN339" s="884">
        <v>441</v>
      </c>
      <c r="AO339" s="883">
        <f t="shared" si="102"/>
        <v>0</v>
      </c>
      <c r="AP339" s="881"/>
      <c r="AQ339" s="881"/>
      <c r="AR339" s="883">
        <v>0</v>
      </c>
      <c r="AS339" s="883">
        <v>0</v>
      </c>
      <c r="AT339" s="883">
        <v>0</v>
      </c>
      <c r="AU339" s="880"/>
      <c r="AV339" s="886"/>
      <c r="AW339" s="880"/>
      <c r="AX339" s="886"/>
      <c r="AY339" s="880"/>
      <c r="AZ339" s="880"/>
      <c r="BA339" s="881"/>
      <c r="BB339" s="881" t="s">
        <v>57</v>
      </c>
      <c r="BC339" s="881"/>
      <c r="BD339" s="881"/>
      <c r="BE339" s="884">
        <f t="shared" si="103"/>
        <v>4</v>
      </c>
      <c r="BF339" s="887" t="str">
        <f t="shared" si="104"/>
        <v>SI</v>
      </c>
      <c r="BG339" s="883">
        <f t="shared" si="105"/>
        <v>17.39</v>
      </c>
      <c r="BH339" s="883">
        <f t="shared" si="106"/>
        <v>0</v>
      </c>
      <c r="BI339" s="883">
        <f t="shared" si="107"/>
        <v>0</v>
      </c>
      <c r="BJ339" s="883">
        <f t="shared" si="108"/>
        <v>0</v>
      </c>
      <c r="BK339" s="883">
        <f t="shared" si="109"/>
        <v>0</v>
      </c>
      <c r="BL339" s="883">
        <f t="shared" si="110"/>
        <v>2.61</v>
      </c>
      <c r="BM339" s="881"/>
      <c r="BN339" s="880"/>
      <c r="BO339" s="882" t="s">
        <v>1579</v>
      </c>
      <c r="BP339" s="882" t="s">
        <v>2286</v>
      </c>
      <c r="BQ339" s="882" t="s">
        <v>2285</v>
      </c>
      <c r="BR339" s="880"/>
      <c r="BS339" s="880"/>
      <c r="BT339" s="880"/>
      <c r="BU339" s="880"/>
      <c r="BV339" s="880"/>
      <c r="BW339" s="883">
        <v>0</v>
      </c>
      <c r="BX339" s="883">
        <v>0</v>
      </c>
      <c r="BY339" s="883">
        <v>0</v>
      </c>
      <c r="BZ339" s="890"/>
      <c r="CA339" s="883">
        <f t="shared" si="111"/>
        <v>0</v>
      </c>
      <c r="CB339" s="880"/>
      <c r="CC339" s="881"/>
      <c r="CD339" s="883"/>
      <c r="CE339" s="883"/>
      <c r="CF339" s="883"/>
      <c r="CG339" s="883"/>
      <c r="CH339" s="883"/>
      <c r="CI339" s="883"/>
      <c r="CJ339" s="883"/>
      <c r="CK339" s="883"/>
      <c r="CL339" s="883"/>
      <c r="CM339" s="883"/>
      <c r="CN339" s="883"/>
      <c r="CO339" s="883"/>
      <c r="CP339" s="883"/>
      <c r="CQ339" s="883"/>
      <c r="CR339" s="883"/>
      <c r="CS339" s="883"/>
      <c r="CT339" s="883"/>
      <c r="CU339" s="883"/>
    </row>
    <row r="340" spans="1:99" x14ac:dyDescent="0.25">
      <c r="A340" s="880" t="s">
        <v>1787</v>
      </c>
      <c r="B340" s="881" t="s">
        <v>1788</v>
      </c>
      <c r="C340" s="880"/>
      <c r="D340" s="880"/>
      <c r="E340" s="884" t="s">
        <v>744</v>
      </c>
      <c r="F340" s="888">
        <v>1</v>
      </c>
      <c r="G340" s="881" t="s">
        <v>1007</v>
      </c>
      <c r="H340" s="881" t="s">
        <v>19</v>
      </c>
      <c r="I340" s="865">
        <v>46142</v>
      </c>
      <c r="J340" s="882" t="s">
        <v>8</v>
      </c>
      <c r="K340" s="880"/>
      <c r="L340" s="880"/>
      <c r="M340" s="883">
        <v>0</v>
      </c>
      <c r="N340" s="883">
        <v>0</v>
      </c>
      <c r="O340" s="883">
        <v>0</v>
      </c>
      <c r="P340" s="883">
        <v>17.39</v>
      </c>
      <c r="Q340" s="883">
        <v>15</v>
      </c>
      <c r="R340" s="883">
        <f t="shared" si="96"/>
        <v>2.61</v>
      </c>
      <c r="S340" s="883">
        <v>0</v>
      </c>
      <c r="T340" s="883">
        <v>5</v>
      </c>
      <c r="U340" s="883">
        <f t="shared" si="97"/>
        <v>0</v>
      </c>
      <c r="V340" s="883">
        <v>0</v>
      </c>
      <c r="W340" s="883">
        <v>8</v>
      </c>
      <c r="X340" s="883">
        <f t="shared" si="98"/>
        <v>0</v>
      </c>
      <c r="Y340" s="883">
        <v>0</v>
      </c>
      <c r="Z340" s="883">
        <v>0</v>
      </c>
      <c r="AA340" s="883">
        <v>0</v>
      </c>
      <c r="AB340" s="883">
        <f t="shared" si="99"/>
        <v>20</v>
      </c>
      <c r="AC340" s="883">
        <v>0</v>
      </c>
      <c r="AD340" s="881"/>
      <c r="AE340" s="880"/>
      <c r="AF340" s="883"/>
      <c r="AG340" s="889"/>
      <c r="AH340" s="880"/>
      <c r="AI340" s="880" t="s">
        <v>1241</v>
      </c>
      <c r="AJ340" s="884">
        <v>411</v>
      </c>
      <c r="AK340" s="883">
        <f t="shared" si="100"/>
        <v>17.39</v>
      </c>
      <c r="AL340" s="884">
        <v>413</v>
      </c>
      <c r="AM340" s="883">
        <f t="shared" si="101"/>
        <v>0</v>
      </c>
      <c r="AN340" s="884">
        <v>441</v>
      </c>
      <c r="AO340" s="883">
        <f t="shared" si="102"/>
        <v>0</v>
      </c>
      <c r="AP340" s="881"/>
      <c r="AQ340" s="881"/>
      <c r="AR340" s="883">
        <v>0</v>
      </c>
      <c r="AS340" s="883">
        <v>0</v>
      </c>
      <c r="AT340" s="883">
        <v>0</v>
      </c>
      <c r="AU340" s="880"/>
      <c r="AV340" s="886"/>
      <c r="AW340" s="880"/>
      <c r="AX340" s="886"/>
      <c r="AY340" s="880"/>
      <c r="AZ340" s="880"/>
      <c r="BA340" s="881"/>
      <c r="BB340" s="881" t="s">
        <v>57</v>
      </c>
      <c r="BC340" s="881"/>
      <c r="BD340" s="881"/>
      <c r="BE340" s="884">
        <f t="shared" si="103"/>
        <v>4</v>
      </c>
      <c r="BF340" s="887" t="str">
        <f t="shared" si="104"/>
        <v>SI</v>
      </c>
      <c r="BG340" s="883">
        <f t="shared" si="105"/>
        <v>17.39</v>
      </c>
      <c r="BH340" s="883">
        <f t="shared" si="106"/>
        <v>0</v>
      </c>
      <c r="BI340" s="883">
        <f t="shared" si="107"/>
        <v>0</v>
      </c>
      <c r="BJ340" s="883">
        <f t="shared" si="108"/>
        <v>0</v>
      </c>
      <c r="BK340" s="883">
        <f t="shared" si="109"/>
        <v>0</v>
      </c>
      <c r="BL340" s="883">
        <f t="shared" si="110"/>
        <v>2.61</v>
      </c>
      <c r="BM340" s="881"/>
      <c r="BN340" s="880"/>
      <c r="BO340" s="882" t="s">
        <v>1579</v>
      </c>
      <c r="BP340" s="882" t="s">
        <v>2286</v>
      </c>
      <c r="BQ340" s="882" t="s">
        <v>2285</v>
      </c>
      <c r="BR340" s="880"/>
      <c r="BS340" s="880"/>
      <c r="BT340" s="880"/>
      <c r="BU340" s="880"/>
      <c r="BV340" s="880"/>
      <c r="BW340" s="883">
        <v>0</v>
      </c>
      <c r="BX340" s="883">
        <v>0</v>
      </c>
      <c r="BY340" s="883">
        <v>0</v>
      </c>
      <c r="BZ340" s="890"/>
      <c r="CA340" s="883">
        <f t="shared" si="111"/>
        <v>0</v>
      </c>
      <c r="CB340" s="880"/>
      <c r="CC340" s="881"/>
      <c r="CD340" s="883"/>
      <c r="CE340" s="883"/>
      <c r="CF340" s="883"/>
      <c r="CG340" s="883"/>
      <c r="CH340" s="883"/>
      <c r="CI340" s="883"/>
      <c r="CJ340" s="883"/>
      <c r="CK340" s="883"/>
      <c r="CL340" s="883"/>
      <c r="CM340" s="883"/>
      <c r="CN340" s="883"/>
      <c r="CO340" s="883"/>
      <c r="CP340" s="883"/>
      <c r="CQ340" s="883"/>
      <c r="CR340" s="883"/>
      <c r="CS340" s="883"/>
      <c r="CT340" s="883"/>
      <c r="CU340" s="883"/>
    </row>
    <row r="341" spans="1:99" x14ac:dyDescent="0.25">
      <c r="A341" s="880" t="s">
        <v>1787</v>
      </c>
      <c r="B341" s="881" t="s">
        <v>1788</v>
      </c>
      <c r="C341" s="880"/>
      <c r="D341" s="880"/>
      <c r="E341" s="884" t="s">
        <v>744</v>
      </c>
      <c r="F341" s="888">
        <v>1</v>
      </c>
      <c r="G341" s="881" t="s">
        <v>1007</v>
      </c>
      <c r="H341" s="881" t="s">
        <v>19</v>
      </c>
      <c r="I341" s="865">
        <v>46142</v>
      </c>
      <c r="J341" s="882" t="s">
        <v>8</v>
      </c>
      <c r="K341" s="880"/>
      <c r="L341" s="880"/>
      <c r="M341" s="883">
        <v>0</v>
      </c>
      <c r="N341" s="883">
        <v>0</v>
      </c>
      <c r="O341" s="883">
        <v>0</v>
      </c>
      <c r="P341" s="883">
        <v>17.86</v>
      </c>
      <c r="Q341" s="883">
        <v>15</v>
      </c>
      <c r="R341" s="883">
        <f t="shared" si="96"/>
        <v>2.68</v>
      </c>
      <c r="S341" s="883">
        <v>0</v>
      </c>
      <c r="T341" s="883">
        <v>5</v>
      </c>
      <c r="U341" s="883">
        <f t="shared" si="97"/>
        <v>0</v>
      </c>
      <c r="V341" s="883">
        <v>0</v>
      </c>
      <c r="W341" s="883">
        <v>8</v>
      </c>
      <c r="X341" s="883">
        <f t="shared" si="98"/>
        <v>0</v>
      </c>
      <c r="Y341" s="883">
        <v>0</v>
      </c>
      <c r="Z341" s="883">
        <v>0</v>
      </c>
      <c r="AA341" s="883">
        <v>0</v>
      </c>
      <c r="AB341" s="883">
        <f t="shared" si="99"/>
        <v>20.54</v>
      </c>
      <c r="AC341" s="883">
        <v>0</v>
      </c>
      <c r="AD341" s="881"/>
      <c r="AE341" s="880"/>
      <c r="AF341" s="883"/>
      <c r="AG341" s="889"/>
      <c r="AH341" s="880"/>
      <c r="AI341" s="880" t="s">
        <v>1241</v>
      </c>
      <c r="AJ341" s="884">
        <v>411</v>
      </c>
      <c r="AK341" s="883">
        <f t="shared" si="100"/>
        <v>17.86</v>
      </c>
      <c r="AL341" s="884">
        <v>413</v>
      </c>
      <c r="AM341" s="883">
        <f t="shared" si="101"/>
        <v>0</v>
      </c>
      <c r="AN341" s="884">
        <v>441</v>
      </c>
      <c r="AO341" s="883">
        <f t="shared" si="102"/>
        <v>0</v>
      </c>
      <c r="AP341" s="881"/>
      <c r="AQ341" s="881"/>
      <c r="AR341" s="883">
        <v>0</v>
      </c>
      <c r="AS341" s="883">
        <v>0</v>
      </c>
      <c r="AT341" s="883">
        <v>0</v>
      </c>
      <c r="AU341" s="880"/>
      <c r="AV341" s="886"/>
      <c r="AW341" s="880"/>
      <c r="AX341" s="886"/>
      <c r="AY341" s="880"/>
      <c r="AZ341" s="880"/>
      <c r="BA341" s="881"/>
      <c r="BB341" s="881" t="s">
        <v>57</v>
      </c>
      <c r="BC341" s="881"/>
      <c r="BD341" s="881"/>
      <c r="BE341" s="884">
        <f t="shared" si="103"/>
        <v>4</v>
      </c>
      <c r="BF341" s="887" t="str">
        <f t="shared" si="104"/>
        <v>SI</v>
      </c>
      <c r="BG341" s="883">
        <f t="shared" si="105"/>
        <v>17.86</v>
      </c>
      <c r="BH341" s="883">
        <f t="shared" si="106"/>
        <v>0</v>
      </c>
      <c r="BI341" s="883">
        <f t="shared" si="107"/>
        <v>0</v>
      </c>
      <c r="BJ341" s="883">
        <f t="shared" si="108"/>
        <v>0</v>
      </c>
      <c r="BK341" s="883">
        <f t="shared" si="109"/>
        <v>0</v>
      </c>
      <c r="BL341" s="883">
        <f t="shared" si="110"/>
        <v>2.68</v>
      </c>
      <c r="BM341" s="881"/>
      <c r="BN341" s="880"/>
      <c r="BO341" s="882" t="s">
        <v>1579</v>
      </c>
      <c r="BP341" s="882" t="s">
        <v>2286</v>
      </c>
      <c r="BQ341" s="882" t="s">
        <v>2285</v>
      </c>
      <c r="BR341" s="880"/>
      <c r="BS341" s="880"/>
      <c r="BT341" s="880"/>
      <c r="BU341" s="880"/>
      <c r="BV341" s="880"/>
      <c r="BW341" s="883">
        <v>0</v>
      </c>
      <c r="BX341" s="883">
        <v>0</v>
      </c>
      <c r="BY341" s="883">
        <v>0</v>
      </c>
      <c r="BZ341" s="890"/>
      <c r="CA341" s="883">
        <f t="shared" si="111"/>
        <v>0</v>
      </c>
      <c r="CB341" s="880"/>
      <c r="CC341" s="881"/>
      <c r="CD341" s="883"/>
      <c r="CE341" s="883"/>
      <c r="CF341" s="883"/>
      <c r="CG341" s="883"/>
      <c r="CH341" s="883"/>
      <c r="CI341" s="883"/>
      <c r="CJ341" s="883"/>
      <c r="CK341" s="883"/>
      <c r="CL341" s="883"/>
      <c r="CM341" s="883"/>
      <c r="CN341" s="883"/>
      <c r="CO341" s="883"/>
      <c r="CP341" s="883"/>
      <c r="CQ341" s="883"/>
      <c r="CR341" s="883"/>
      <c r="CS341" s="883"/>
      <c r="CT341" s="883"/>
      <c r="CU341" s="883"/>
    </row>
    <row r="342" spans="1:99" x14ac:dyDescent="0.25">
      <c r="A342" s="880" t="s">
        <v>1787</v>
      </c>
      <c r="B342" s="881" t="s">
        <v>1788</v>
      </c>
      <c r="C342" s="880"/>
      <c r="D342" s="880"/>
      <c r="E342" s="884" t="s">
        <v>744</v>
      </c>
      <c r="F342" s="888">
        <v>1</v>
      </c>
      <c r="G342" s="881" t="s">
        <v>1007</v>
      </c>
      <c r="H342" s="881" t="s">
        <v>19</v>
      </c>
      <c r="I342" s="865">
        <v>46142</v>
      </c>
      <c r="J342" s="882" t="s">
        <v>8</v>
      </c>
      <c r="K342" s="880"/>
      <c r="L342" s="880"/>
      <c r="M342" s="883">
        <v>0</v>
      </c>
      <c r="N342" s="883">
        <v>0</v>
      </c>
      <c r="O342" s="883">
        <v>0</v>
      </c>
      <c r="P342" s="883">
        <v>17.86</v>
      </c>
      <c r="Q342" s="883">
        <v>15</v>
      </c>
      <c r="R342" s="883">
        <f t="shared" si="96"/>
        <v>2.68</v>
      </c>
      <c r="S342" s="883">
        <v>0</v>
      </c>
      <c r="T342" s="883">
        <v>5</v>
      </c>
      <c r="U342" s="883">
        <f t="shared" si="97"/>
        <v>0</v>
      </c>
      <c r="V342" s="883">
        <v>0</v>
      </c>
      <c r="W342" s="883">
        <v>8</v>
      </c>
      <c r="X342" s="883">
        <f t="shared" si="98"/>
        <v>0</v>
      </c>
      <c r="Y342" s="883">
        <v>0</v>
      </c>
      <c r="Z342" s="883">
        <v>0</v>
      </c>
      <c r="AA342" s="883">
        <v>0</v>
      </c>
      <c r="AB342" s="883">
        <f t="shared" si="99"/>
        <v>20.54</v>
      </c>
      <c r="AC342" s="883">
        <v>0</v>
      </c>
      <c r="AD342" s="881"/>
      <c r="AE342" s="880"/>
      <c r="AF342" s="883"/>
      <c r="AG342" s="889"/>
      <c r="AH342" s="880"/>
      <c r="AI342" s="880" t="s">
        <v>1241</v>
      </c>
      <c r="AJ342" s="884">
        <v>411</v>
      </c>
      <c r="AK342" s="883">
        <f t="shared" si="100"/>
        <v>17.86</v>
      </c>
      <c r="AL342" s="884">
        <v>413</v>
      </c>
      <c r="AM342" s="883">
        <f t="shared" si="101"/>
        <v>0</v>
      </c>
      <c r="AN342" s="884">
        <v>441</v>
      </c>
      <c r="AO342" s="883">
        <f t="shared" si="102"/>
        <v>0</v>
      </c>
      <c r="AP342" s="881"/>
      <c r="AQ342" s="881"/>
      <c r="AR342" s="883">
        <v>0</v>
      </c>
      <c r="AS342" s="883">
        <v>0</v>
      </c>
      <c r="AT342" s="883">
        <v>0</v>
      </c>
      <c r="AU342" s="880"/>
      <c r="AV342" s="886"/>
      <c r="AW342" s="880"/>
      <c r="AX342" s="886"/>
      <c r="AY342" s="880"/>
      <c r="AZ342" s="880"/>
      <c r="BA342" s="881"/>
      <c r="BB342" s="881" t="s">
        <v>57</v>
      </c>
      <c r="BC342" s="881"/>
      <c r="BD342" s="881"/>
      <c r="BE342" s="884">
        <f t="shared" si="103"/>
        <v>4</v>
      </c>
      <c r="BF342" s="887" t="str">
        <f t="shared" si="104"/>
        <v>SI</v>
      </c>
      <c r="BG342" s="883">
        <f t="shared" si="105"/>
        <v>17.86</v>
      </c>
      <c r="BH342" s="883">
        <f t="shared" si="106"/>
        <v>0</v>
      </c>
      <c r="BI342" s="883">
        <f t="shared" si="107"/>
        <v>0</v>
      </c>
      <c r="BJ342" s="883">
        <f t="shared" si="108"/>
        <v>0</v>
      </c>
      <c r="BK342" s="883">
        <f t="shared" si="109"/>
        <v>0</v>
      </c>
      <c r="BL342" s="883">
        <f t="shared" si="110"/>
        <v>2.68</v>
      </c>
      <c r="BM342" s="881"/>
      <c r="BN342" s="880"/>
      <c r="BO342" s="882" t="s">
        <v>1579</v>
      </c>
      <c r="BP342" s="882" t="s">
        <v>2286</v>
      </c>
      <c r="BQ342" s="882" t="s">
        <v>2285</v>
      </c>
      <c r="BR342" s="880"/>
      <c r="BS342" s="880"/>
      <c r="BT342" s="880"/>
      <c r="BU342" s="880"/>
      <c r="BV342" s="880"/>
      <c r="BW342" s="883">
        <v>0</v>
      </c>
      <c r="BX342" s="883">
        <v>0</v>
      </c>
      <c r="BY342" s="883">
        <v>0</v>
      </c>
      <c r="BZ342" s="890"/>
      <c r="CA342" s="883">
        <f t="shared" si="111"/>
        <v>0</v>
      </c>
      <c r="CB342" s="880"/>
      <c r="CC342" s="881"/>
      <c r="CD342" s="883"/>
      <c r="CE342" s="883"/>
      <c r="CF342" s="883"/>
      <c r="CG342" s="883"/>
      <c r="CH342" s="883"/>
      <c r="CI342" s="883"/>
      <c r="CJ342" s="883"/>
      <c r="CK342" s="883"/>
      <c r="CL342" s="883"/>
      <c r="CM342" s="883"/>
      <c r="CN342" s="883"/>
      <c r="CO342" s="883"/>
      <c r="CP342" s="883"/>
      <c r="CQ342" s="883"/>
      <c r="CR342" s="883"/>
      <c r="CS342" s="883"/>
      <c r="CT342" s="883"/>
      <c r="CU342" s="883"/>
    </row>
    <row r="343" spans="1:99" x14ac:dyDescent="0.25">
      <c r="A343" s="880" t="s">
        <v>1787</v>
      </c>
      <c r="B343" s="881" t="s">
        <v>1788</v>
      </c>
      <c r="C343" s="880"/>
      <c r="D343" s="880"/>
      <c r="E343" s="884" t="s">
        <v>744</v>
      </c>
      <c r="F343" s="888">
        <v>1</v>
      </c>
      <c r="G343" s="881" t="s">
        <v>1007</v>
      </c>
      <c r="H343" s="881" t="s">
        <v>19</v>
      </c>
      <c r="I343" s="865">
        <v>46142</v>
      </c>
      <c r="J343" s="882" t="s">
        <v>8</v>
      </c>
      <c r="K343" s="880"/>
      <c r="L343" s="880"/>
      <c r="M343" s="883">
        <v>0</v>
      </c>
      <c r="N343" s="883">
        <v>0</v>
      </c>
      <c r="O343" s="883">
        <v>0</v>
      </c>
      <c r="P343" s="883">
        <v>17.39</v>
      </c>
      <c r="Q343" s="883">
        <v>15</v>
      </c>
      <c r="R343" s="883">
        <f t="shared" si="96"/>
        <v>2.61</v>
      </c>
      <c r="S343" s="883">
        <v>0</v>
      </c>
      <c r="T343" s="883">
        <v>5</v>
      </c>
      <c r="U343" s="883">
        <f t="shared" si="97"/>
        <v>0</v>
      </c>
      <c r="V343" s="883">
        <v>0</v>
      </c>
      <c r="W343" s="883">
        <v>8</v>
      </c>
      <c r="X343" s="883">
        <f t="shared" si="98"/>
        <v>0</v>
      </c>
      <c r="Y343" s="883">
        <v>0</v>
      </c>
      <c r="Z343" s="883">
        <v>0</v>
      </c>
      <c r="AA343" s="883">
        <v>0</v>
      </c>
      <c r="AB343" s="883">
        <f t="shared" si="99"/>
        <v>20</v>
      </c>
      <c r="AC343" s="883">
        <v>0</v>
      </c>
      <c r="AD343" s="881"/>
      <c r="AE343" s="880"/>
      <c r="AF343" s="883"/>
      <c r="AG343" s="889"/>
      <c r="AH343" s="880"/>
      <c r="AI343" s="880" t="s">
        <v>1241</v>
      </c>
      <c r="AJ343" s="884">
        <v>411</v>
      </c>
      <c r="AK343" s="883">
        <f t="shared" si="100"/>
        <v>17.39</v>
      </c>
      <c r="AL343" s="884">
        <v>413</v>
      </c>
      <c r="AM343" s="883">
        <f t="shared" si="101"/>
        <v>0</v>
      </c>
      <c r="AN343" s="884">
        <v>441</v>
      </c>
      <c r="AO343" s="883">
        <f t="shared" si="102"/>
        <v>0</v>
      </c>
      <c r="AP343" s="881"/>
      <c r="AQ343" s="881"/>
      <c r="AR343" s="883">
        <v>0</v>
      </c>
      <c r="AS343" s="883">
        <v>0</v>
      </c>
      <c r="AT343" s="883">
        <v>0</v>
      </c>
      <c r="AU343" s="880"/>
      <c r="AV343" s="886"/>
      <c r="AW343" s="880"/>
      <c r="AX343" s="886"/>
      <c r="AY343" s="880"/>
      <c r="AZ343" s="880"/>
      <c r="BA343" s="881"/>
      <c r="BB343" s="881" t="s">
        <v>57</v>
      </c>
      <c r="BC343" s="881"/>
      <c r="BD343" s="881"/>
      <c r="BE343" s="884">
        <f t="shared" si="103"/>
        <v>4</v>
      </c>
      <c r="BF343" s="887" t="str">
        <f t="shared" si="104"/>
        <v>SI</v>
      </c>
      <c r="BG343" s="883">
        <f t="shared" si="105"/>
        <v>17.39</v>
      </c>
      <c r="BH343" s="883">
        <f t="shared" si="106"/>
        <v>0</v>
      </c>
      <c r="BI343" s="883">
        <f t="shared" si="107"/>
        <v>0</v>
      </c>
      <c r="BJ343" s="883">
        <f t="shared" si="108"/>
        <v>0</v>
      </c>
      <c r="BK343" s="883">
        <f t="shared" si="109"/>
        <v>0</v>
      </c>
      <c r="BL343" s="883">
        <f t="shared" si="110"/>
        <v>2.61</v>
      </c>
      <c r="BM343" s="881"/>
      <c r="BN343" s="880"/>
      <c r="BO343" s="882" t="s">
        <v>1579</v>
      </c>
      <c r="BP343" s="882" t="s">
        <v>2286</v>
      </c>
      <c r="BQ343" s="882" t="s">
        <v>2285</v>
      </c>
      <c r="BR343" s="880"/>
      <c r="BS343" s="880"/>
      <c r="BT343" s="880"/>
      <c r="BU343" s="880"/>
      <c r="BV343" s="880"/>
      <c r="BW343" s="883">
        <v>0</v>
      </c>
      <c r="BX343" s="883">
        <v>0</v>
      </c>
      <c r="BY343" s="883">
        <v>0</v>
      </c>
      <c r="BZ343" s="890"/>
      <c r="CA343" s="883">
        <f t="shared" si="111"/>
        <v>0</v>
      </c>
      <c r="CB343" s="880"/>
      <c r="CC343" s="881"/>
      <c r="CD343" s="883"/>
      <c r="CE343" s="883"/>
      <c r="CF343" s="883"/>
      <c r="CG343" s="883"/>
      <c r="CH343" s="883"/>
      <c r="CI343" s="883"/>
      <c r="CJ343" s="883"/>
      <c r="CK343" s="883"/>
      <c r="CL343" s="883"/>
      <c r="CM343" s="883"/>
      <c r="CN343" s="883"/>
      <c r="CO343" s="883"/>
      <c r="CP343" s="883"/>
      <c r="CQ343" s="883"/>
      <c r="CR343" s="883"/>
      <c r="CS343" s="883"/>
      <c r="CT343" s="883"/>
      <c r="CU343" s="883"/>
    </row>
    <row r="344" spans="1:99" x14ac:dyDescent="0.25">
      <c r="A344" s="880" t="s">
        <v>1787</v>
      </c>
      <c r="B344" s="881" t="s">
        <v>1788</v>
      </c>
      <c r="C344" s="880"/>
      <c r="D344" s="880"/>
      <c r="E344" s="884" t="s">
        <v>744</v>
      </c>
      <c r="F344" s="888">
        <v>1</v>
      </c>
      <c r="G344" s="881" t="s">
        <v>1007</v>
      </c>
      <c r="H344" s="881" t="s">
        <v>19</v>
      </c>
      <c r="I344" s="865">
        <v>46142</v>
      </c>
      <c r="J344" s="882" t="s">
        <v>8</v>
      </c>
      <c r="K344" s="880"/>
      <c r="L344" s="880"/>
      <c r="M344" s="883">
        <v>0</v>
      </c>
      <c r="N344" s="883">
        <v>0</v>
      </c>
      <c r="O344" s="883">
        <v>0</v>
      </c>
      <c r="P344" s="883">
        <v>17.39</v>
      </c>
      <c r="Q344" s="883">
        <v>15</v>
      </c>
      <c r="R344" s="883">
        <f t="shared" si="96"/>
        <v>2.61</v>
      </c>
      <c r="S344" s="883">
        <v>0</v>
      </c>
      <c r="T344" s="883">
        <v>5</v>
      </c>
      <c r="U344" s="883">
        <f t="shared" si="97"/>
        <v>0</v>
      </c>
      <c r="V344" s="883">
        <v>0</v>
      </c>
      <c r="W344" s="883">
        <v>8</v>
      </c>
      <c r="X344" s="883">
        <f t="shared" si="98"/>
        <v>0</v>
      </c>
      <c r="Y344" s="883">
        <v>0</v>
      </c>
      <c r="Z344" s="883">
        <v>0</v>
      </c>
      <c r="AA344" s="883">
        <v>0</v>
      </c>
      <c r="AB344" s="883">
        <f t="shared" si="99"/>
        <v>20</v>
      </c>
      <c r="AC344" s="883">
        <v>0</v>
      </c>
      <c r="AD344" s="881"/>
      <c r="AE344" s="880"/>
      <c r="AF344" s="883"/>
      <c r="AG344" s="889"/>
      <c r="AH344" s="880"/>
      <c r="AI344" s="880" t="s">
        <v>1241</v>
      </c>
      <c r="AJ344" s="884">
        <v>411</v>
      </c>
      <c r="AK344" s="883">
        <f t="shared" si="100"/>
        <v>17.39</v>
      </c>
      <c r="AL344" s="884">
        <v>413</v>
      </c>
      <c r="AM344" s="883">
        <f t="shared" si="101"/>
        <v>0</v>
      </c>
      <c r="AN344" s="884">
        <v>441</v>
      </c>
      <c r="AO344" s="883">
        <f t="shared" si="102"/>
        <v>0</v>
      </c>
      <c r="AP344" s="881"/>
      <c r="AQ344" s="881"/>
      <c r="AR344" s="883">
        <v>0</v>
      </c>
      <c r="AS344" s="883">
        <v>0</v>
      </c>
      <c r="AT344" s="883">
        <v>0</v>
      </c>
      <c r="AU344" s="880"/>
      <c r="AV344" s="886"/>
      <c r="AW344" s="880"/>
      <c r="AX344" s="886"/>
      <c r="AY344" s="880"/>
      <c r="AZ344" s="880"/>
      <c r="BA344" s="881"/>
      <c r="BB344" s="881" t="s">
        <v>57</v>
      </c>
      <c r="BC344" s="881"/>
      <c r="BD344" s="881"/>
      <c r="BE344" s="884">
        <f t="shared" si="103"/>
        <v>4</v>
      </c>
      <c r="BF344" s="887" t="str">
        <f t="shared" si="104"/>
        <v>SI</v>
      </c>
      <c r="BG344" s="883">
        <f t="shared" si="105"/>
        <v>17.39</v>
      </c>
      <c r="BH344" s="883">
        <f t="shared" si="106"/>
        <v>0</v>
      </c>
      <c r="BI344" s="883">
        <f t="shared" si="107"/>
        <v>0</v>
      </c>
      <c r="BJ344" s="883">
        <f t="shared" si="108"/>
        <v>0</v>
      </c>
      <c r="BK344" s="883">
        <f t="shared" si="109"/>
        <v>0</v>
      </c>
      <c r="BL344" s="883">
        <f t="shared" si="110"/>
        <v>2.61</v>
      </c>
      <c r="BM344" s="881"/>
      <c r="BN344" s="880"/>
      <c r="BO344" s="882" t="s">
        <v>1579</v>
      </c>
      <c r="BP344" s="882" t="s">
        <v>2286</v>
      </c>
      <c r="BQ344" s="882" t="s">
        <v>2285</v>
      </c>
      <c r="BR344" s="880"/>
      <c r="BS344" s="880"/>
      <c r="BT344" s="880"/>
      <c r="BU344" s="880"/>
      <c r="BV344" s="880"/>
      <c r="BW344" s="883">
        <v>0</v>
      </c>
      <c r="BX344" s="883">
        <v>0</v>
      </c>
      <c r="BY344" s="883">
        <v>0</v>
      </c>
      <c r="BZ344" s="890"/>
      <c r="CA344" s="883">
        <f t="shared" si="111"/>
        <v>0</v>
      </c>
      <c r="CB344" s="880"/>
      <c r="CC344" s="881"/>
      <c r="CD344" s="883"/>
      <c r="CE344" s="883"/>
      <c r="CF344" s="883"/>
      <c r="CG344" s="883"/>
      <c r="CH344" s="883"/>
      <c r="CI344" s="883"/>
      <c r="CJ344" s="883"/>
      <c r="CK344" s="883"/>
      <c r="CL344" s="883"/>
      <c r="CM344" s="883"/>
      <c r="CN344" s="883"/>
      <c r="CO344" s="883"/>
      <c r="CP344" s="883"/>
      <c r="CQ344" s="883"/>
      <c r="CR344" s="883"/>
      <c r="CS344" s="883"/>
      <c r="CT344" s="883"/>
      <c r="CU344" s="883"/>
    </row>
    <row r="345" spans="1:99" x14ac:dyDescent="0.25">
      <c r="A345" s="880" t="s">
        <v>1787</v>
      </c>
      <c r="B345" s="881" t="s">
        <v>1788</v>
      </c>
      <c r="C345" s="880"/>
      <c r="D345" s="880"/>
      <c r="E345" s="884" t="s">
        <v>744</v>
      </c>
      <c r="F345" s="888">
        <v>1</v>
      </c>
      <c r="G345" s="881" t="s">
        <v>1007</v>
      </c>
      <c r="H345" s="881" t="s">
        <v>19</v>
      </c>
      <c r="I345" s="865">
        <v>46142</v>
      </c>
      <c r="J345" s="882" t="s">
        <v>8</v>
      </c>
      <c r="K345" s="880"/>
      <c r="L345" s="880"/>
      <c r="M345" s="883">
        <v>0</v>
      </c>
      <c r="N345" s="883">
        <v>0</v>
      </c>
      <c r="O345" s="883">
        <v>0</v>
      </c>
      <c r="P345" s="883">
        <v>17.850000000000001</v>
      </c>
      <c r="Q345" s="883">
        <v>15</v>
      </c>
      <c r="R345" s="883">
        <f t="shared" si="96"/>
        <v>2.68</v>
      </c>
      <c r="S345" s="883">
        <v>0</v>
      </c>
      <c r="T345" s="883">
        <v>5</v>
      </c>
      <c r="U345" s="883">
        <f t="shared" si="97"/>
        <v>0</v>
      </c>
      <c r="V345" s="883">
        <v>0</v>
      </c>
      <c r="W345" s="883">
        <v>8</v>
      </c>
      <c r="X345" s="883">
        <f t="shared" si="98"/>
        <v>0</v>
      </c>
      <c r="Y345" s="883">
        <v>0</v>
      </c>
      <c r="Z345" s="883">
        <v>0</v>
      </c>
      <c r="AA345" s="883">
        <v>0</v>
      </c>
      <c r="AB345" s="883">
        <f t="shared" si="99"/>
        <v>20.53</v>
      </c>
      <c r="AC345" s="883">
        <v>0</v>
      </c>
      <c r="AD345" s="881"/>
      <c r="AE345" s="880"/>
      <c r="AF345" s="883"/>
      <c r="AG345" s="889"/>
      <c r="AH345" s="880"/>
      <c r="AI345" s="880" t="s">
        <v>1241</v>
      </c>
      <c r="AJ345" s="884">
        <v>411</v>
      </c>
      <c r="AK345" s="883">
        <f t="shared" si="100"/>
        <v>17.850000000000001</v>
      </c>
      <c r="AL345" s="884">
        <v>413</v>
      </c>
      <c r="AM345" s="883">
        <f t="shared" si="101"/>
        <v>0</v>
      </c>
      <c r="AN345" s="884">
        <v>441</v>
      </c>
      <c r="AO345" s="883">
        <f t="shared" si="102"/>
        <v>0</v>
      </c>
      <c r="AP345" s="881"/>
      <c r="AQ345" s="881"/>
      <c r="AR345" s="883">
        <v>0</v>
      </c>
      <c r="AS345" s="883">
        <v>0</v>
      </c>
      <c r="AT345" s="883">
        <v>0</v>
      </c>
      <c r="AU345" s="880"/>
      <c r="AV345" s="886"/>
      <c r="AW345" s="880"/>
      <c r="AX345" s="886"/>
      <c r="AY345" s="880"/>
      <c r="AZ345" s="880"/>
      <c r="BA345" s="881"/>
      <c r="BB345" s="881" t="s">
        <v>57</v>
      </c>
      <c r="BC345" s="881"/>
      <c r="BD345" s="881"/>
      <c r="BE345" s="884">
        <f t="shared" si="103"/>
        <v>4</v>
      </c>
      <c r="BF345" s="887" t="str">
        <f t="shared" si="104"/>
        <v>SI</v>
      </c>
      <c r="BG345" s="883">
        <f t="shared" si="105"/>
        <v>17.850000000000001</v>
      </c>
      <c r="BH345" s="883">
        <f t="shared" si="106"/>
        <v>0</v>
      </c>
      <c r="BI345" s="883">
        <f t="shared" si="107"/>
        <v>0</v>
      </c>
      <c r="BJ345" s="883">
        <f t="shared" si="108"/>
        <v>0</v>
      </c>
      <c r="BK345" s="883">
        <f t="shared" si="109"/>
        <v>0</v>
      </c>
      <c r="BL345" s="883">
        <f t="shared" si="110"/>
        <v>2.68</v>
      </c>
      <c r="BM345" s="881"/>
      <c r="BN345" s="880"/>
      <c r="BO345" s="882" t="s">
        <v>1579</v>
      </c>
      <c r="BP345" s="882" t="s">
        <v>2286</v>
      </c>
      <c r="BQ345" s="882" t="s">
        <v>2285</v>
      </c>
      <c r="BR345" s="880"/>
      <c r="BS345" s="880"/>
      <c r="BT345" s="880"/>
      <c r="BU345" s="880"/>
      <c r="BV345" s="880"/>
      <c r="BW345" s="883">
        <v>0</v>
      </c>
      <c r="BX345" s="883">
        <v>0</v>
      </c>
      <c r="BY345" s="883">
        <v>0</v>
      </c>
      <c r="BZ345" s="890"/>
      <c r="CA345" s="883">
        <f t="shared" si="111"/>
        <v>0</v>
      </c>
      <c r="CB345" s="880"/>
      <c r="CC345" s="881"/>
      <c r="CD345" s="883"/>
      <c r="CE345" s="883"/>
      <c r="CF345" s="883"/>
      <c r="CG345" s="883"/>
      <c r="CH345" s="883"/>
      <c r="CI345" s="883"/>
      <c r="CJ345" s="883"/>
      <c r="CK345" s="883"/>
      <c r="CL345" s="883"/>
      <c r="CM345" s="883"/>
      <c r="CN345" s="883"/>
      <c r="CO345" s="883"/>
      <c r="CP345" s="883"/>
      <c r="CQ345" s="883"/>
      <c r="CR345" s="883"/>
      <c r="CS345" s="883"/>
      <c r="CT345" s="883"/>
      <c r="CU345" s="883"/>
    </row>
    <row r="346" spans="1:99" x14ac:dyDescent="0.25">
      <c r="A346" s="880" t="s">
        <v>1787</v>
      </c>
      <c r="B346" s="881" t="s">
        <v>1788</v>
      </c>
      <c r="C346" s="880"/>
      <c r="D346" s="880"/>
      <c r="E346" s="884" t="s">
        <v>744</v>
      </c>
      <c r="F346" s="888">
        <v>1</v>
      </c>
      <c r="G346" s="881" t="s">
        <v>1007</v>
      </c>
      <c r="H346" s="881" t="s">
        <v>19</v>
      </c>
      <c r="I346" s="865">
        <v>46142</v>
      </c>
      <c r="J346" s="882" t="s">
        <v>8</v>
      </c>
      <c r="K346" s="880"/>
      <c r="L346" s="880"/>
      <c r="M346" s="883">
        <v>0</v>
      </c>
      <c r="N346" s="883">
        <v>0</v>
      </c>
      <c r="O346" s="883">
        <v>0</v>
      </c>
      <c r="P346" s="883">
        <v>17.39</v>
      </c>
      <c r="Q346" s="883">
        <v>15</v>
      </c>
      <c r="R346" s="883">
        <f t="shared" si="96"/>
        <v>2.61</v>
      </c>
      <c r="S346" s="883">
        <v>0</v>
      </c>
      <c r="T346" s="883">
        <v>5</v>
      </c>
      <c r="U346" s="883">
        <f t="shared" si="97"/>
        <v>0</v>
      </c>
      <c r="V346" s="883">
        <v>0</v>
      </c>
      <c r="W346" s="883">
        <v>8</v>
      </c>
      <c r="X346" s="883">
        <f t="shared" si="98"/>
        <v>0</v>
      </c>
      <c r="Y346" s="883">
        <v>0</v>
      </c>
      <c r="Z346" s="883">
        <v>0</v>
      </c>
      <c r="AA346" s="883">
        <v>0</v>
      </c>
      <c r="AB346" s="883">
        <f t="shared" si="99"/>
        <v>20</v>
      </c>
      <c r="AC346" s="883">
        <v>0</v>
      </c>
      <c r="AD346" s="881"/>
      <c r="AE346" s="880"/>
      <c r="AF346" s="883"/>
      <c r="AG346" s="889"/>
      <c r="AH346" s="880"/>
      <c r="AI346" s="880" t="s">
        <v>1241</v>
      </c>
      <c r="AJ346" s="884">
        <v>411</v>
      </c>
      <c r="AK346" s="883">
        <f t="shared" si="100"/>
        <v>17.39</v>
      </c>
      <c r="AL346" s="884">
        <v>413</v>
      </c>
      <c r="AM346" s="883">
        <f t="shared" si="101"/>
        <v>0</v>
      </c>
      <c r="AN346" s="884">
        <v>441</v>
      </c>
      <c r="AO346" s="883">
        <f t="shared" si="102"/>
        <v>0</v>
      </c>
      <c r="AP346" s="881"/>
      <c r="AQ346" s="881"/>
      <c r="AR346" s="883">
        <v>0</v>
      </c>
      <c r="AS346" s="883">
        <v>0</v>
      </c>
      <c r="AT346" s="883">
        <v>0</v>
      </c>
      <c r="AU346" s="880"/>
      <c r="AV346" s="886"/>
      <c r="AW346" s="880"/>
      <c r="AX346" s="886"/>
      <c r="AY346" s="880"/>
      <c r="AZ346" s="880"/>
      <c r="BA346" s="881"/>
      <c r="BB346" s="881" t="s">
        <v>57</v>
      </c>
      <c r="BC346" s="881"/>
      <c r="BD346" s="881"/>
      <c r="BE346" s="884">
        <f t="shared" si="103"/>
        <v>4</v>
      </c>
      <c r="BF346" s="887" t="str">
        <f t="shared" si="104"/>
        <v>SI</v>
      </c>
      <c r="BG346" s="883">
        <f t="shared" si="105"/>
        <v>17.39</v>
      </c>
      <c r="BH346" s="883">
        <f t="shared" si="106"/>
        <v>0</v>
      </c>
      <c r="BI346" s="883">
        <f t="shared" si="107"/>
        <v>0</v>
      </c>
      <c r="BJ346" s="883">
        <f t="shared" si="108"/>
        <v>0</v>
      </c>
      <c r="BK346" s="883">
        <f t="shared" si="109"/>
        <v>0</v>
      </c>
      <c r="BL346" s="883">
        <f t="shared" si="110"/>
        <v>2.61</v>
      </c>
      <c r="BM346" s="881"/>
      <c r="BN346" s="880"/>
      <c r="BO346" s="882" t="s">
        <v>1579</v>
      </c>
      <c r="BP346" s="882" t="s">
        <v>2286</v>
      </c>
      <c r="BQ346" s="882" t="s">
        <v>2285</v>
      </c>
      <c r="BR346" s="880"/>
      <c r="BS346" s="880"/>
      <c r="BT346" s="880"/>
      <c r="BU346" s="880"/>
      <c r="BV346" s="880"/>
      <c r="BW346" s="883">
        <v>0</v>
      </c>
      <c r="BX346" s="883">
        <v>0</v>
      </c>
      <c r="BY346" s="883">
        <v>0</v>
      </c>
      <c r="BZ346" s="890"/>
      <c r="CA346" s="883">
        <f t="shared" si="111"/>
        <v>0</v>
      </c>
      <c r="CB346" s="880"/>
      <c r="CC346" s="881"/>
      <c r="CD346" s="883"/>
      <c r="CE346" s="883"/>
      <c r="CF346" s="883"/>
      <c r="CG346" s="883"/>
      <c r="CH346" s="883"/>
      <c r="CI346" s="883"/>
      <c r="CJ346" s="883"/>
      <c r="CK346" s="883"/>
      <c r="CL346" s="883"/>
      <c r="CM346" s="883"/>
      <c r="CN346" s="883"/>
      <c r="CO346" s="883"/>
      <c r="CP346" s="883"/>
      <c r="CQ346" s="883"/>
      <c r="CR346" s="883"/>
      <c r="CS346" s="883"/>
      <c r="CT346" s="883"/>
      <c r="CU346" s="883"/>
    </row>
    <row r="347" spans="1:99" x14ac:dyDescent="0.25">
      <c r="A347" s="880" t="s">
        <v>1787</v>
      </c>
      <c r="B347" s="881" t="s">
        <v>1788</v>
      </c>
      <c r="C347" s="880"/>
      <c r="D347" s="880"/>
      <c r="E347" s="884" t="s">
        <v>744</v>
      </c>
      <c r="F347" s="888">
        <v>1</v>
      </c>
      <c r="G347" s="881" t="s">
        <v>1007</v>
      </c>
      <c r="H347" s="881" t="s">
        <v>19</v>
      </c>
      <c r="I347" s="865">
        <v>46142</v>
      </c>
      <c r="J347" s="882" t="s">
        <v>8</v>
      </c>
      <c r="K347" s="880"/>
      <c r="L347" s="880"/>
      <c r="M347" s="883">
        <v>0</v>
      </c>
      <c r="N347" s="883">
        <v>0</v>
      </c>
      <c r="O347" s="883">
        <v>0</v>
      </c>
      <c r="P347" s="883">
        <v>17.86</v>
      </c>
      <c r="Q347" s="883">
        <v>15</v>
      </c>
      <c r="R347" s="883">
        <f t="shared" si="96"/>
        <v>2.68</v>
      </c>
      <c r="S347" s="883">
        <v>0</v>
      </c>
      <c r="T347" s="883">
        <v>5</v>
      </c>
      <c r="U347" s="883">
        <f t="shared" si="97"/>
        <v>0</v>
      </c>
      <c r="V347" s="883">
        <v>0</v>
      </c>
      <c r="W347" s="883">
        <v>8</v>
      </c>
      <c r="X347" s="883">
        <f t="shared" si="98"/>
        <v>0</v>
      </c>
      <c r="Y347" s="883">
        <v>0</v>
      </c>
      <c r="Z347" s="883">
        <v>0</v>
      </c>
      <c r="AA347" s="883">
        <v>0</v>
      </c>
      <c r="AB347" s="883">
        <f t="shared" si="99"/>
        <v>20.54</v>
      </c>
      <c r="AC347" s="883">
        <v>0</v>
      </c>
      <c r="AD347" s="881"/>
      <c r="AE347" s="880"/>
      <c r="AF347" s="883"/>
      <c r="AG347" s="889"/>
      <c r="AH347" s="880"/>
      <c r="AI347" s="880" t="s">
        <v>1241</v>
      </c>
      <c r="AJ347" s="884">
        <v>411</v>
      </c>
      <c r="AK347" s="883">
        <f t="shared" si="100"/>
        <v>17.86</v>
      </c>
      <c r="AL347" s="884">
        <v>413</v>
      </c>
      <c r="AM347" s="883">
        <f t="shared" si="101"/>
        <v>0</v>
      </c>
      <c r="AN347" s="884">
        <v>441</v>
      </c>
      <c r="AO347" s="883">
        <f t="shared" si="102"/>
        <v>0</v>
      </c>
      <c r="AP347" s="881"/>
      <c r="AQ347" s="881"/>
      <c r="AR347" s="883">
        <v>0</v>
      </c>
      <c r="AS347" s="883">
        <v>0</v>
      </c>
      <c r="AT347" s="883">
        <v>0</v>
      </c>
      <c r="AU347" s="880"/>
      <c r="AV347" s="886"/>
      <c r="AW347" s="880"/>
      <c r="AX347" s="886"/>
      <c r="AY347" s="880"/>
      <c r="AZ347" s="880"/>
      <c r="BA347" s="881"/>
      <c r="BB347" s="881" t="s">
        <v>57</v>
      </c>
      <c r="BC347" s="881"/>
      <c r="BD347" s="881"/>
      <c r="BE347" s="884">
        <f t="shared" si="103"/>
        <v>4</v>
      </c>
      <c r="BF347" s="887" t="str">
        <f t="shared" si="104"/>
        <v>SI</v>
      </c>
      <c r="BG347" s="883">
        <f t="shared" si="105"/>
        <v>17.86</v>
      </c>
      <c r="BH347" s="883">
        <f t="shared" si="106"/>
        <v>0</v>
      </c>
      <c r="BI347" s="883">
        <f t="shared" si="107"/>
        <v>0</v>
      </c>
      <c r="BJ347" s="883">
        <f t="shared" si="108"/>
        <v>0</v>
      </c>
      <c r="BK347" s="883">
        <f t="shared" si="109"/>
        <v>0</v>
      </c>
      <c r="BL347" s="883">
        <f t="shared" si="110"/>
        <v>2.68</v>
      </c>
      <c r="BM347" s="881"/>
      <c r="BN347" s="880"/>
      <c r="BO347" s="882" t="s">
        <v>1579</v>
      </c>
      <c r="BP347" s="882" t="s">
        <v>2286</v>
      </c>
      <c r="BQ347" s="882" t="s">
        <v>2285</v>
      </c>
      <c r="BR347" s="880"/>
      <c r="BS347" s="880"/>
      <c r="BT347" s="880"/>
      <c r="BU347" s="880"/>
      <c r="BV347" s="880"/>
      <c r="BW347" s="883">
        <v>0</v>
      </c>
      <c r="BX347" s="883">
        <v>0</v>
      </c>
      <c r="BY347" s="883">
        <v>0</v>
      </c>
      <c r="BZ347" s="890"/>
      <c r="CA347" s="883">
        <f t="shared" si="111"/>
        <v>0</v>
      </c>
      <c r="CB347" s="880"/>
      <c r="CC347" s="881"/>
      <c r="CD347" s="883"/>
      <c r="CE347" s="883"/>
      <c r="CF347" s="883"/>
      <c r="CG347" s="883"/>
      <c r="CH347" s="883"/>
      <c r="CI347" s="883"/>
      <c r="CJ347" s="883"/>
      <c r="CK347" s="883"/>
      <c r="CL347" s="883"/>
      <c r="CM347" s="883"/>
      <c r="CN347" s="883"/>
      <c r="CO347" s="883"/>
      <c r="CP347" s="883"/>
      <c r="CQ347" s="883"/>
      <c r="CR347" s="883"/>
      <c r="CS347" s="883"/>
      <c r="CT347" s="883"/>
      <c r="CU347" s="883"/>
    </row>
    <row r="348" spans="1:99" x14ac:dyDescent="0.25">
      <c r="A348" s="880" t="s">
        <v>1787</v>
      </c>
      <c r="B348" s="881" t="s">
        <v>1788</v>
      </c>
      <c r="C348" s="880"/>
      <c r="D348" s="880"/>
      <c r="E348" s="884" t="s">
        <v>744</v>
      </c>
      <c r="F348" s="888">
        <v>1</v>
      </c>
      <c r="G348" s="881" t="s">
        <v>1007</v>
      </c>
      <c r="H348" s="881" t="s">
        <v>19</v>
      </c>
      <c r="I348" s="865">
        <v>46142</v>
      </c>
      <c r="J348" s="882" t="s">
        <v>8</v>
      </c>
      <c r="K348" s="880"/>
      <c r="L348" s="880"/>
      <c r="M348" s="883">
        <v>0</v>
      </c>
      <c r="N348" s="883">
        <v>0</v>
      </c>
      <c r="O348" s="883">
        <v>0</v>
      </c>
      <c r="P348" s="883">
        <v>17.850000000000001</v>
      </c>
      <c r="Q348" s="883">
        <v>15</v>
      </c>
      <c r="R348" s="883">
        <f t="shared" si="96"/>
        <v>2.68</v>
      </c>
      <c r="S348" s="883">
        <v>0</v>
      </c>
      <c r="T348" s="883">
        <v>5</v>
      </c>
      <c r="U348" s="883">
        <f t="shared" si="97"/>
        <v>0</v>
      </c>
      <c r="V348" s="883">
        <v>0</v>
      </c>
      <c r="W348" s="883">
        <v>8</v>
      </c>
      <c r="X348" s="883">
        <f t="shared" si="98"/>
        <v>0</v>
      </c>
      <c r="Y348" s="883">
        <v>0</v>
      </c>
      <c r="Z348" s="883">
        <v>0</v>
      </c>
      <c r="AA348" s="883">
        <v>0</v>
      </c>
      <c r="AB348" s="883">
        <f t="shared" si="99"/>
        <v>20.53</v>
      </c>
      <c r="AC348" s="883">
        <v>0</v>
      </c>
      <c r="AD348" s="881"/>
      <c r="AE348" s="880"/>
      <c r="AF348" s="883"/>
      <c r="AG348" s="889"/>
      <c r="AH348" s="880"/>
      <c r="AI348" s="880" t="s">
        <v>1241</v>
      </c>
      <c r="AJ348" s="884">
        <v>411</v>
      </c>
      <c r="AK348" s="883">
        <f t="shared" si="100"/>
        <v>17.850000000000001</v>
      </c>
      <c r="AL348" s="884">
        <v>413</v>
      </c>
      <c r="AM348" s="883">
        <f t="shared" si="101"/>
        <v>0</v>
      </c>
      <c r="AN348" s="884">
        <v>441</v>
      </c>
      <c r="AO348" s="883">
        <f t="shared" si="102"/>
        <v>0</v>
      </c>
      <c r="AP348" s="881"/>
      <c r="AQ348" s="881"/>
      <c r="AR348" s="883">
        <v>0</v>
      </c>
      <c r="AS348" s="883">
        <v>0</v>
      </c>
      <c r="AT348" s="883">
        <v>0</v>
      </c>
      <c r="AU348" s="880"/>
      <c r="AV348" s="886"/>
      <c r="AW348" s="880"/>
      <c r="AX348" s="886"/>
      <c r="AY348" s="880"/>
      <c r="AZ348" s="880"/>
      <c r="BA348" s="881"/>
      <c r="BB348" s="881" t="s">
        <v>57</v>
      </c>
      <c r="BC348" s="881"/>
      <c r="BD348" s="881"/>
      <c r="BE348" s="884">
        <f t="shared" si="103"/>
        <v>4</v>
      </c>
      <c r="BF348" s="887" t="str">
        <f t="shared" si="104"/>
        <v>SI</v>
      </c>
      <c r="BG348" s="883">
        <f t="shared" si="105"/>
        <v>17.850000000000001</v>
      </c>
      <c r="BH348" s="883">
        <f t="shared" si="106"/>
        <v>0</v>
      </c>
      <c r="BI348" s="883">
        <f t="shared" si="107"/>
        <v>0</v>
      </c>
      <c r="BJ348" s="883">
        <f t="shared" si="108"/>
        <v>0</v>
      </c>
      <c r="BK348" s="883">
        <f t="shared" si="109"/>
        <v>0</v>
      </c>
      <c r="BL348" s="883">
        <f t="shared" si="110"/>
        <v>2.68</v>
      </c>
      <c r="BM348" s="881"/>
      <c r="BN348" s="880"/>
      <c r="BO348" s="882" t="s">
        <v>1579</v>
      </c>
      <c r="BP348" s="882" t="s">
        <v>2286</v>
      </c>
      <c r="BQ348" s="882" t="s">
        <v>2285</v>
      </c>
      <c r="BR348" s="880"/>
      <c r="BS348" s="880"/>
      <c r="BT348" s="880"/>
      <c r="BU348" s="880"/>
      <c r="BV348" s="880"/>
      <c r="BW348" s="883">
        <v>0</v>
      </c>
      <c r="BX348" s="883">
        <v>0</v>
      </c>
      <c r="BY348" s="883">
        <v>0</v>
      </c>
      <c r="BZ348" s="890"/>
      <c r="CA348" s="883">
        <f t="shared" si="111"/>
        <v>0</v>
      </c>
      <c r="CB348" s="880"/>
      <c r="CC348" s="881"/>
      <c r="CD348" s="883"/>
      <c r="CE348" s="883"/>
      <c r="CF348" s="883"/>
      <c r="CG348" s="883"/>
      <c r="CH348" s="883"/>
      <c r="CI348" s="883"/>
      <c r="CJ348" s="883"/>
      <c r="CK348" s="883"/>
      <c r="CL348" s="883"/>
      <c r="CM348" s="883"/>
      <c r="CN348" s="883"/>
      <c r="CO348" s="883"/>
      <c r="CP348" s="883"/>
      <c r="CQ348" s="883"/>
      <c r="CR348" s="883"/>
      <c r="CS348" s="883"/>
      <c r="CT348" s="883"/>
      <c r="CU348" s="883"/>
    </row>
    <row r="349" spans="1:99" x14ac:dyDescent="0.25">
      <c r="A349" s="880" t="s">
        <v>1787</v>
      </c>
      <c r="B349" s="881" t="s">
        <v>1788</v>
      </c>
      <c r="C349" s="880"/>
      <c r="D349" s="880"/>
      <c r="E349" s="884" t="s">
        <v>744</v>
      </c>
      <c r="F349" s="888">
        <v>1</v>
      </c>
      <c r="G349" s="881" t="s">
        <v>1007</v>
      </c>
      <c r="H349" s="881" t="s">
        <v>19</v>
      </c>
      <c r="I349" s="865">
        <v>46142</v>
      </c>
      <c r="J349" s="882" t="s">
        <v>8</v>
      </c>
      <c r="K349" s="880"/>
      <c r="L349" s="880"/>
      <c r="M349" s="883">
        <v>0</v>
      </c>
      <c r="N349" s="883">
        <v>0</v>
      </c>
      <c r="O349" s="883">
        <v>0</v>
      </c>
      <c r="P349" s="883">
        <v>17.39</v>
      </c>
      <c r="Q349" s="883">
        <v>15</v>
      </c>
      <c r="R349" s="883">
        <f t="shared" si="96"/>
        <v>2.61</v>
      </c>
      <c r="S349" s="883">
        <v>0</v>
      </c>
      <c r="T349" s="883">
        <v>5</v>
      </c>
      <c r="U349" s="883">
        <f t="shared" si="97"/>
        <v>0</v>
      </c>
      <c r="V349" s="883">
        <v>0</v>
      </c>
      <c r="W349" s="883">
        <v>8</v>
      </c>
      <c r="X349" s="883">
        <f t="shared" si="98"/>
        <v>0</v>
      </c>
      <c r="Y349" s="883">
        <v>0</v>
      </c>
      <c r="Z349" s="883">
        <v>0</v>
      </c>
      <c r="AA349" s="883">
        <v>0</v>
      </c>
      <c r="AB349" s="883">
        <f t="shared" si="99"/>
        <v>20</v>
      </c>
      <c r="AC349" s="883">
        <v>0</v>
      </c>
      <c r="AD349" s="881"/>
      <c r="AE349" s="880"/>
      <c r="AF349" s="883"/>
      <c r="AG349" s="889"/>
      <c r="AH349" s="880"/>
      <c r="AI349" s="880" t="s">
        <v>1241</v>
      </c>
      <c r="AJ349" s="884">
        <v>411</v>
      </c>
      <c r="AK349" s="883">
        <f t="shared" si="100"/>
        <v>17.39</v>
      </c>
      <c r="AL349" s="884">
        <v>413</v>
      </c>
      <c r="AM349" s="883">
        <f t="shared" si="101"/>
        <v>0</v>
      </c>
      <c r="AN349" s="884">
        <v>441</v>
      </c>
      <c r="AO349" s="883">
        <f t="shared" si="102"/>
        <v>0</v>
      </c>
      <c r="AP349" s="881"/>
      <c r="AQ349" s="881"/>
      <c r="AR349" s="883">
        <v>0</v>
      </c>
      <c r="AS349" s="883">
        <v>0</v>
      </c>
      <c r="AT349" s="883">
        <v>0</v>
      </c>
      <c r="AU349" s="880"/>
      <c r="AV349" s="886"/>
      <c r="AW349" s="880"/>
      <c r="AX349" s="886"/>
      <c r="AY349" s="880"/>
      <c r="AZ349" s="880"/>
      <c r="BA349" s="881"/>
      <c r="BB349" s="881" t="s">
        <v>57</v>
      </c>
      <c r="BC349" s="881"/>
      <c r="BD349" s="881"/>
      <c r="BE349" s="884">
        <f t="shared" si="103"/>
        <v>4</v>
      </c>
      <c r="BF349" s="887" t="str">
        <f t="shared" si="104"/>
        <v>SI</v>
      </c>
      <c r="BG349" s="883">
        <f t="shared" si="105"/>
        <v>17.39</v>
      </c>
      <c r="BH349" s="883">
        <f t="shared" si="106"/>
        <v>0</v>
      </c>
      <c r="BI349" s="883">
        <f t="shared" si="107"/>
        <v>0</v>
      </c>
      <c r="BJ349" s="883">
        <f t="shared" si="108"/>
        <v>0</v>
      </c>
      <c r="BK349" s="883">
        <f t="shared" si="109"/>
        <v>0</v>
      </c>
      <c r="BL349" s="883">
        <f t="shared" si="110"/>
        <v>2.61</v>
      </c>
      <c r="BM349" s="881"/>
      <c r="BN349" s="880"/>
      <c r="BO349" s="882" t="s">
        <v>1579</v>
      </c>
      <c r="BP349" s="882" t="s">
        <v>2286</v>
      </c>
      <c r="BQ349" s="882" t="s">
        <v>2285</v>
      </c>
      <c r="BR349" s="880"/>
      <c r="BS349" s="880"/>
      <c r="BT349" s="880"/>
      <c r="BU349" s="880"/>
      <c r="BV349" s="880"/>
      <c r="BW349" s="883">
        <v>0</v>
      </c>
      <c r="BX349" s="883">
        <v>0</v>
      </c>
      <c r="BY349" s="883">
        <v>0</v>
      </c>
      <c r="BZ349" s="890"/>
      <c r="CA349" s="883">
        <f t="shared" si="111"/>
        <v>0</v>
      </c>
      <c r="CB349" s="880"/>
      <c r="CC349" s="881"/>
      <c r="CD349" s="883"/>
      <c r="CE349" s="883"/>
      <c r="CF349" s="883"/>
      <c r="CG349" s="883"/>
      <c r="CH349" s="883"/>
      <c r="CI349" s="883"/>
      <c r="CJ349" s="883"/>
      <c r="CK349" s="883"/>
      <c r="CL349" s="883"/>
      <c r="CM349" s="883"/>
      <c r="CN349" s="883"/>
      <c r="CO349" s="883"/>
      <c r="CP349" s="883"/>
      <c r="CQ349" s="883"/>
      <c r="CR349" s="883"/>
      <c r="CS349" s="883"/>
      <c r="CT349" s="883"/>
      <c r="CU349" s="883"/>
    </row>
    <row r="350" spans="1:99" x14ac:dyDescent="0.25">
      <c r="A350" s="880" t="s">
        <v>1787</v>
      </c>
      <c r="B350" s="881" t="s">
        <v>1788</v>
      </c>
      <c r="C350" s="880"/>
      <c r="D350" s="880"/>
      <c r="E350" s="884" t="s">
        <v>744</v>
      </c>
      <c r="F350" s="888">
        <v>1</v>
      </c>
      <c r="G350" s="881" t="s">
        <v>1007</v>
      </c>
      <c r="H350" s="881" t="s">
        <v>19</v>
      </c>
      <c r="I350" s="865">
        <v>46142</v>
      </c>
      <c r="J350" s="882" t="s">
        <v>8</v>
      </c>
      <c r="K350" s="880"/>
      <c r="L350" s="880"/>
      <c r="M350" s="883">
        <v>0</v>
      </c>
      <c r="N350" s="883">
        <v>0</v>
      </c>
      <c r="O350" s="883">
        <v>0</v>
      </c>
      <c r="P350" s="883">
        <v>17.39</v>
      </c>
      <c r="Q350" s="883">
        <v>15</v>
      </c>
      <c r="R350" s="883">
        <f t="shared" si="96"/>
        <v>2.61</v>
      </c>
      <c r="S350" s="883">
        <v>0</v>
      </c>
      <c r="T350" s="883">
        <v>5</v>
      </c>
      <c r="U350" s="883">
        <f t="shared" si="97"/>
        <v>0</v>
      </c>
      <c r="V350" s="883">
        <v>0</v>
      </c>
      <c r="W350" s="883">
        <v>8</v>
      </c>
      <c r="X350" s="883">
        <f t="shared" si="98"/>
        <v>0</v>
      </c>
      <c r="Y350" s="883">
        <v>0</v>
      </c>
      <c r="Z350" s="883">
        <v>0</v>
      </c>
      <c r="AA350" s="883">
        <v>0</v>
      </c>
      <c r="AB350" s="883">
        <f t="shared" si="99"/>
        <v>20</v>
      </c>
      <c r="AC350" s="883">
        <v>0</v>
      </c>
      <c r="AD350" s="881"/>
      <c r="AE350" s="880"/>
      <c r="AF350" s="883"/>
      <c r="AG350" s="889"/>
      <c r="AH350" s="880"/>
      <c r="AI350" s="880" t="s">
        <v>1241</v>
      </c>
      <c r="AJ350" s="884">
        <v>411</v>
      </c>
      <c r="AK350" s="883">
        <f t="shared" si="100"/>
        <v>17.39</v>
      </c>
      <c r="AL350" s="884">
        <v>413</v>
      </c>
      <c r="AM350" s="883">
        <f t="shared" si="101"/>
        <v>0</v>
      </c>
      <c r="AN350" s="884">
        <v>441</v>
      </c>
      <c r="AO350" s="883">
        <f t="shared" si="102"/>
        <v>0</v>
      </c>
      <c r="AP350" s="881"/>
      <c r="AQ350" s="881"/>
      <c r="AR350" s="883">
        <v>0</v>
      </c>
      <c r="AS350" s="883">
        <v>0</v>
      </c>
      <c r="AT350" s="883">
        <v>0</v>
      </c>
      <c r="AU350" s="880"/>
      <c r="AV350" s="886"/>
      <c r="AW350" s="880"/>
      <c r="AX350" s="886"/>
      <c r="AY350" s="880"/>
      <c r="AZ350" s="880"/>
      <c r="BA350" s="881"/>
      <c r="BB350" s="881" t="s">
        <v>57</v>
      </c>
      <c r="BC350" s="881"/>
      <c r="BD350" s="881"/>
      <c r="BE350" s="884">
        <f t="shared" si="103"/>
        <v>4</v>
      </c>
      <c r="BF350" s="887" t="str">
        <f t="shared" si="104"/>
        <v>SI</v>
      </c>
      <c r="BG350" s="883">
        <f t="shared" si="105"/>
        <v>17.39</v>
      </c>
      <c r="BH350" s="883">
        <f t="shared" si="106"/>
        <v>0</v>
      </c>
      <c r="BI350" s="883">
        <f t="shared" si="107"/>
        <v>0</v>
      </c>
      <c r="BJ350" s="883">
        <f t="shared" si="108"/>
        <v>0</v>
      </c>
      <c r="BK350" s="883">
        <f t="shared" si="109"/>
        <v>0</v>
      </c>
      <c r="BL350" s="883">
        <f t="shared" si="110"/>
        <v>2.61</v>
      </c>
      <c r="BM350" s="881"/>
      <c r="BN350" s="880"/>
      <c r="BO350" s="882" t="s">
        <v>1579</v>
      </c>
      <c r="BP350" s="882" t="s">
        <v>2286</v>
      </c>
      <c r="BQ350" s="882" t="s">
        <v>2285</v>
      </c>
      <c r="BR350" s="880"/>
      <c r="BS350" s="880"/>
      <c r="BT350" s="880"/>
      <c r="BU350" s="880"/>
      <c r="BV350" s="880"/>
      <c r="BW350" s="883">
        <v>0</v>
      </c>
      <c r="BX350" s="883">
        <v>0</v>
      </c>
      <c r="BY350" s="883">
        <v>0</v>
      </c>
      <c r="BZ350" s="890"/>
      <c r="CA350" s="883">
        <f t="shared" si="111"/>
        <v>0</v>
      </c>
      <c r="CB350" s="880"/>
      <c r="CC350" s="881"/>
      <c r="CD350" s="883"/>
      <c r="CE350" s="883"/>
      <c r="CF350" s="883"/>
      <c r="CG350" s="883"/>
      <c r="CH350" s="883"/>
      <c r="CI350" s="883"/>
      <c r="CJ350" s="883"/>
      <c r="CK350" s="883"/>
      <c r="CL350" s="883"/>
      <c r="CM350" s="883"/>
      <c r="CN350" s="883"/>
      <c r="CO350" s="883"/>
      <c r="CP350" s="883"/>
      <c r="CQ350" s="883"/>
      <c r="CR350" s="883"/>
      <c r="CS350" s="883"/>
      <c r="CT350" s="883"/>
      <c r="CU350" s="883"/>
    </row>
    <row r="351" spans="1:99" x14ac:dyDescent="0.25">
      <c r="A351" s="880" t="s">
        <v>1787</v>
      </c>
      <c r="B351" s="881" t="s">
        <v>1788</v>
      </c>
      <c r="C351" s="880"/>
      <c r="D351" s="880"/>
      <c r="E351" s="884" t="s">
        <v>744</v>
      </c>
      <c r="F351" s="888">
        <v>1</v>
      </c>
      <c r="G351" s="881" t="s">
        <v>1007</v>
      </c>
      <c r="H351" s="881" t="s">
        <v>19</v>
      </c>
      <c r="I351" s="865">
        <v>46142</v>
      </c>
      <c r="J351" s="882" t="s">
        <v>8</v>
      </c>
      <c r="K351" s="880"/>
      <c r="L351" s="880"/>
      <c r="M351" s="883">
        <v>0</v>
      </c>
      <c r="N351" s="883">
        <v>0</v>
      </c>
      <c r="O351" s="883">
        <v>0</v>
      </c>
      <c r="P351" s="883">
        <v>17.39</v>
      </c>
      <c r="Q351" s="883">
        <v>15</v>
      </c>
      <c r="R351" s="883">
        <f t="shared" si="96"/>
        <v>2.61</v>
      </c>
      <c r="S351" s="883">
        <v>0</v>
      </c>
      <c r="T351" s="883">
        <v>5</v>
      </c>
      <c r="U351" s="883">
        <f t="shared" si="97"/>
        <v>0</v>
      </c>
      <c r="V351" s="883">
        <v>0</v>
      </c>
      <c r="W351" s="883">
        <v>8</v>
      </c>
      <c r="X351" s="883">
        <f t="shared" si="98"/>
        <v>0</v>
      </c>
      <c r="Y351" s="883">
        <v>0</v>
      </c>
      <c r="Z351" s="883">
        <v>0</v>
      </c>
      <c r="AA351" s="883">
        <v>0</v>
      </c>
      <c r="AB351" s="883">
        <f t="shared" si="99"/>
        <v>20</v>
      </c>
      <c r="AC351" s="883">
        <v>0</v>
      </c>
      <c r="AD351" s="881"/>
      <c r="AE351" s="880"/>
      <c r="AF351" s="883"/>
      <c r="AG351" s="889"/>
      <c r="AH351" s="880"/>
      <c r="AI351" s="880" t="s">
        <v>1241</v>
      </c>
      <c r="AJ351" s="884">
        <v>411</v>
      </c>
      <c r="AK351" s="883">
        <f t="shared" si="100"/>
        <v>17.39</v>
      </c>
      <c r="AL351" s="884">
        <v>413</v>
      </c>
      <c r="AM351" s="883">
        <f t="shared" si="101"/>
        <v>0</v>
      </c>
      <c r="AN351" s="884">
        <v>441</v>
      </c>
      <c r="AO351" s="883">
        <f t="shared" si="102"/>
        <v>0</v>
      </c>
      <c r="AP351" s="881"/>
      <c r="AQ351" s="881"/>
      <c r="AR351" s="883">
        <v>0</v>
      </c>
      <c r="AS351" s="883">
        <v>0</v>
      </c>
      <c r="AT351" s="883">
        <v>0</v>
      </c>
      <c r="AU351" s="880"/>
      <c r="AV351" s="886"/>
      <c r="AW351" s="880"/>
      <c r="AX351" s="886"/>
      <c r="AY351" s="880"/>
      <c r="AZ351" s="880"/>
      <c r="BA351" s="881"/>
      <c r="BB351" s="881" t="s">
        <v>57</v>
      </c>
      <c r="BC351" s="881"/>
      <c r="BD351" s="881"/>
      <c r="BE351" s="884">
        <f t="shared" si="103"/>
        <v>4</v>
      </c>
      <c r="BF351" s="887" t="str">
        <f t="shared" si="104"/>
        <v>SI</v>
      </c>
      <c r="BG351" s="883">
        <f t="shared" si="105"/>
        <v>17.39</v>
      </c>
      <c r="BH351" s="883">
        <f t="shared" si="106"/>
        <v>0</v>
      </c>
      <c r="BI351" s="883">
        <f t="shared" si="107"/>
        <v>0</v>
      </c>
      <c r="BJ351" s="883">
        <f t="shared" si="108"/>
        <v>0</v>
      </c>
      <c r="BK351" s="883">
        <f t="shared" si="109"/>
        <v>0</v>
      </c>
      <c r="BL351" s="883">
        <f t="shared" si="110"/>
        <v>2.61</v>
      </c>
      <c r="BM351" s="881"/>
      <c r="BN351" s="880"/>
      <c r="BO351" s="882" t="s">
        <v>1579</v>
      </c>
      <c r="BP351" s="882" t="s">
        <v>2286</v>
      </c>
      <c r="BQ351" s="882" t="s">
        <v>2285</v>
      </c>
      <c r="BR351" s="880"/>
      <c r="BS351" s="880"/>
      <c r="BT351" s="880"/>
      <c r="BU351" s="880"/>
      <c r="BV351" s="880"/>
      <c r="BW351" s="883">
        <v>0</v>
      </c>
      <c r="BX351" s="883">
        <v>0</v>
      </c>
      <c r="BY351" s="883">
        <v>0</v>
      </c>
      <c r="BZ351" s="890"/>
      <c r="CA351" s="883">
        <f t="shared" si="111"/>
        <v>0</v>
      </c>
      <c r="CB351" s="880"/>
      <c r="CC351" s="881"/>
      <c r="CD351" s="883"/>
      <c r="CE351" s="883"/>
      <c r="CF351" s="883"/>
      <c r="CG351" s="883"/>
      <c r="CH351" s="883"/>
      <c r="CI351" s="883"/>
      <c r="CJ351" s="883"/>
      <c r="CK351" s="883"/>
      <c r="CL351" s="883"/>
      <c r="CM351" s="883"/>
      <c r="CN351" s="883"/>
      <c r="CO351" s="883"/>
      <c r="CP351" s="883"/>
      <c r="CQ351" s="883"/>
      <c r="CR351" s="883"/>
      <c r="CS351" s="883"/>
      <c r="CT351" s="883"/>
      <c r="CU351" s="883"/>
    </row>
    <row r="352" spans="1:99" x14ac:dyDescent="0.25">
      <c r="A352" s="880" t="s">
        <v>1787</v>
      </c>
      <c r="B352" s="881" t="s">
        <v>1788</v>
      </c>
      <c r="C352" s="880"/>
      <c r="D352" s="880"/>
      <c r="E352" s="884" t="s">
        <v>744</v>
      </c>
      <c r="F352" s="888">
        <v>1</v>
      </c>
      <c r="G352" s="881" t="s">
        <v>1007</v>
      </c>
      <c r="H352" s="881" t="s">
        <v>19</v>
      </c>
      <c r="I352" s="865">
        <v>46142</v>
      </c>
      <c r="J352" s="882" t="s">
        <v>8</v>
      </c>
      <c r="K352" s="880"/>
      <c r="L352" s="880"/>
      <c r="M352" s="883">
        <v>0</v>
      </c>
      <c r="N352" s="883">
        <v>0</v>
      </c>
      <c r="O352" s="883">
        <v>0</v>
      </c>
      <c r="P352" s="883">
        <v>17.86</v>
      </c>
      <c r="Q352" s="883">
        <v>15</v>
      </c>
      <c r="R352" s="883">
        <f t="shared" si="96"/>
        <v>2.68</v>
      </c>
      <c r="S352" s="883">
        <v>0</v>
      </c>
      <c r="T352" s="883">
        <v>5</v>
      </c>
      <c r="U352" s="883">
        <f t="shared" si="97"/>
        <v>0</v>
      </c>
      <c r="V352" s="883">
        <v>0</v>
      </c>
      <c r="W352" s="883">
        <v>8</v>
      </c>
      <c r="X352" s="883">
        <f t="shared" si="98"/>
        <v>0</v>
      </c>
      <c r="Y352" s="883">
        <v>0</v>
      </c>
      <c r="Z352" s="883">
        <v>0</v>
      </c>
      <c r="AA352" s="883">
        <v>0</v>
      </c>
      <c r="AB352" s="883">
        <f t="shared" si="99"/>
        <v>20.54</v>
      </c>
      <c r="AC352" s="883">
        <v>0</v>
      </c>
      <c r="AD352" s="881"/>
      <c r="AE352" s="880"/>
      <c r="AF352" s="883"/>
      <c r="AG352" s="889"/>
      <c r="AH352" s="880"/>
      <c r="AI352" s="880" t="s">
        <v>1241</v>
      </c>
      <c r="AJ352" s="884">
        <v>411</v>
      </c>
      <c r="AK352" s="883">
        <f t="shared" si="100"/>
        <v>17.86</v>
      </c>
      <c r="AL352" s="884">
        <v>413</v>
      </c>
      <c r="AM352" s="883">
        <f t="shared" si="101"/>
        <v>0</v>
      </c>
      <c r="AN352" s="884">
        <v>441</v>
      </c>
      <c r="AO352" s="883">
        <f t="shared" si="102"/>
        <v>0</v>
      </c>
      <c r="AP352" s="881"/>
      <c r="AQ352" s="881"/>
      <c r="AR352" s="883">
        <v>0</v>
      </c>
      <c r="AS352" s="883">
        <v>0</v>
      </c>
      <c r="AT352" s="883">
        <v>0</v>
      </c>
      <c r="AU352" s="880"/>
      <c r="AV352" s="886"/>
      <c r="AW352" s="880"/>
      <c r="AX352" s="886"/>
      <c r="AY352" s="880"/>
      <c r="AZ352" s="880"/>
      <c r="BA352" s="881"/>
      <c r="BB352" s="881" t="s">
        <v>57</v>
      </c>
      <c r="BC352" s="881"/>
      <c r="BD352" s="881"/>
      <c r="BE352" s="884">
        <f t="shared" si="103"/>
        <v>4</v>
      </c>
      <c r="BF352" s="887" t="str">
        <f t="shared" si="104"/>
        <v>SI</v>
      </c>
      <c r="BG352" s="883">
        <f t="shared" si="105"/>
        <v>17.86</v>
      </c>
      <c r="BH352" s="883">
        <f t="shared" si="106"/>
        <v>0</v>
      </c>
      <c r="BI352" s="883">
        <f t="shared" si="107"/>
        <v>0</v>
      </c>
      <c r="BJ352" s="883">
        <f t="shared" si="108"/>
        <v>0</v>
      </c>
      <c r="BK352" s="883">
        <f t="shared" si="109"/>
        <v>0</v>
      </c>
      <c r="BL352" s="883">
        <f t="shared" si="110"/>
        <v>2.68</v>
      </c>
      <c r="BM352" s="881"/>
      <c r="BN352" s="880"/>
      <c r="BO352" s="882" t="s">
        <v>1579</v>
      </c>
      <c r="BP352" s="882" t="s">
        <v>2286</v>
      </c>
      <c r="BQ352" s="882" t="s">
        <v>2285</v>
      </c>
      <c r="BR352" s="880"/>
      <c r="BS352" s="880"/>
      <c r="BT352" s="880"/>
      <c r="BU352" s="880"/>
      <c r="BV352" s="880"/>
      <c r="BW352" s="883">
        <v>0</v>
      </c>
      <c r="BX352" s="883">
        <v>0</v>
      </c>
      <c r="BY352" s="883">
        <v>0</v>
      </c>
      <c r="BZ352" s="890"/>
      <c r="CA352" s="883">
        <f t="shared" si="111"/>
        <v>0</v>
      </c>
      <c r="CB352" s="880"/>
      <c r="CC352" s="881"/>
      <c r="CD352" s="883"/>
      <c r="CE352" s="883"/>
      <c r="CF352" s="883"/>
      <c r="CG352" s="883"/>
      <c r="CH352" s="883"/>
      <c r="CI352" s="883"/>
      <c r="CJ352" s="883"/>
      <c r="CK352" s="883"/>
      <c r="CL352" s="883"/>
      <c r="CM352" s="883"/>
      <c r="CN352" s="883"/>
      <c r="CO352" s="883"/>
      <c r="CP352" s="883"/>
      <c r="CQ352" s="883"/>
      <c r="CR352" s="883"/>
      <c r="CS352" s="883"/>
      <c r="CT352" s="883"/>
      <c r="CU352" s="883"/>
    </row>
    <row r="353" spans="1:99" x14ac:dyDescent="0.25">
      <c r="A353" s="880" t="s">
        <v>1787</v>
      </c>
      <c r="B353" s="881" t="s">
        <v>1788</v>
      </c>
      <c r="C353" s="880"/>
      <c r="D353" s="880"/>
      <c r="E353" s="884" t="s">
        <v>744</v>
      </c>
      <c r="F353" s="888">
        <v>1</v>
      </c>
      <c r="G353" s="881" t="s">
        <v>1007</v>
      </c>
      <c r="H353" s="881" t="s">
        <v>19</v>
      </c>
      <c r="I353" s="865">
        <v>46142</v>
      </c>
      <c r="J353" s="882" t="s">
        <v>8</v>
      </c>
      <c r="K353" s="880"/>
      <c r="L353" s="880"/>
      <c r="M353" s="883">
        <v>0</v>
      </c>
      <c r="N353" s="883">
        <v>0</v>
      </c>
      <c r="O353" s="883">
        <v>0</v>
      </c>
      <c r="P353" s="883">
        <v>17.39</v>
      </c>
      <c r="Q353" s="883">
        <v>15</v>
      </c>
      <c r="R353" s="883">
        <f t="shared" si="96"/>
        <v>2.61</v>
      </c>
      <c r="S353" s="883">
        <v>0</v>
      </c>
      <c r="T353" s="883">
        <v>5</v>
      </c>
      <c r="U353" s="883">
        <f t="shared" si="97"/>
        <v>0</v>
      </c>
      <c r="V353" s="883">
        <v>0</v>
      </c>
      <c r="W353" s="883">
        <v>8</v>
      </c>
      <c r="X353" s="883">
        <f t="shared" si="98"/>
        <v>0</v>
      </c>
      <c r="Y353" s="883">
        <v>0</v>
      </c>
      <c r="Z353" s="883">
        <v>0</v>
      </c>
      <c r="AA353" s="883">
        <v>0</v>
      </c>
      <c r="AB353" s="883">
        <f t="shared" si="99"/>
        <v>20</v>
      </c>
      <c r="AC353" s="883">
        <v>0</v>
      </c>
      <c r="AD353" s="881"/>
      <c r="AE353" s="880"/>
      <c r="AF353" s="883"/>
      <c r="AG353" s="889"/>
      <c r="AH353" s="880"/>
      <c r="AI353" s="880" t="s">
        <v>1241</v>
      </c>
      <c r="AJ353" s="884">
        <v>411</v>
      </c>
      <c r="AK353" s="883">
        <f t="shared" si="100"/>
        <v>17.39</v>
      </c>
      <c r="AL353" s="884">
        <v>413</v>
      </c>
      <c r="AM353" s="883">
        <f t="shared" si="101"/>
        <v>0</v>
      </c>
      <c r="AN353" s="884">
        <v>441</v>
      </c>
      <c r="AO353" s="883">
        <f t="shared" si="102"/>
        <v>0</v>
      </c>
      <c r="AP353" s="881"/>
      <c r="AQ353" s="881"/>
      <c r="AR353" s="883">
        <v>0</v>
      </c>
      <c r="AS353" s="883">
        <v>0</v>
      </c>
      <c r="AT353" s="883">
        <v>0</v>
      </c>
      <c r="AU353" s="880"/>
      <c r="AV353" s="886"/>
      <c r="AW353" s="880"/>
      <c r="AX353" s="886"/>
      <c r="AY353" s="880"/>
      <c r="AZ353" s="880"/>
      <c r="BA353" s="881"/>
      <c r="BB353" s="881" t="s">
        <v>57</v>
      </c>
      <c r="BC353" s="881"/>
      <c r="BD353" s="881"/>
      <c r="BE353" s="884">
        <f t="shared" si="103"/>
        <v>4</v>
      </c>
      <c r="BF353" s="887" t="str">
        <f t="shared" si="104"/>
        <v>SI</v>
      </c>
      <c r="BG353" s="883">
        <f t="shared" si="105"/>
        <v>17.39</v>
      </c>
      <c r="BH353" s="883">
        <f t="shared" si="106"/>
        <v>0</v>
      </c>
      <c r="BI353" s="883">
        <f t="shared" si="107"/>
        <v>0</v>
      </c>
      <c r="BJ353" s="883">
        <f t="shared" si="108"/>
        <v>0</v>
      </c>
      <c r="BK353" s="883">
        <f t="shared" si="109"/>
        <v>0</v>
      </c>
      <c r="BL353" s="883">
        <f t="shared" si="110"/>
        <v>2.61</v>
      </c>
      <c r="BM353" s="881"/>
      <c r="BN353" s="880"/>
      <c r="BO353" s="882" t="s">
        <v>1579</v>
      </c>
      <c r="BP353" s="882" t="s">
        <v>2286</v>
      </c>
      <c r="BQ353" s="882" t="s">
        <v>2285</v>
      </c>
      <c r="BR353" s="880"/>
      <c r="BS353" s="880"/>
      <c r="BT353" s="880"/>
      <c r="BU353" s="880"/>
      <c r="BV353" s="880"/>
      <c r="BW353" s="883">
        <v>0</v>
      </c>
      <c r="BX353" s="883">
        <v>0</v>
      </c>
      <c r="BY353" s="883">
        <v>0</v>
      </c>
      <c r="BZ353" s="890"/>
      <c r="CA353" s="883">
        <f t="shared" si="111"/>
        <v>0</v>
      </c>
      <c r="CB353" s="880"/>
      <c r="CC353" s="881"/>
      <c r="CD353" s="883"/>
      <c r="CE353" s="883"/>
      <c r="CF353" s="883"/>
      <c r="CG353" s="883"/>
      <c r="CH353" s="883"/>
      <c r="CI353" s="883"/>
      <c r="CJ353" s="883"/>
      <c r="CK353" s="883"/>
      <c r="CL353" s="883"/>
      <c r="CM353" s="883"/>
      <c r="CN353" s="883"/>
      <c r="CO353" s="883"/>
      <c r="CP353" s="883"/>
      <c r="CQ353" s="883"/>
      <c r="CR353" s="883"/>
      <c r="CS353" s="883"/>
      <c r="CT353" s="883"/>
      <c r="CU353" s="883"/>
    </row>
    <row r="354" spans="1:99" x14ac:dyDescent="0.25">
      <c r="A354" s="880" t="s">
        <v>1787</v>
      </c>
      <c r="B354" s="881" t="s">
        <v>1788</v>
      </c>
      <c r="C354" s="880"/>
      <c r="D354" s="880"/>
      <c r="E354" s="884" t="s">
        <v>744</v>
      </c>
      <c r="F354" s="888">
        <v>1</v>
      </c>
      <c r="G354" s="881" t="s">
        <v>1007</v>
      </c>
      <c r="H354" s="881" t="s">
        <v>19</v>
      </c>
      <c r="I354" s="865">
        <v>46142</v>
      </c>
      <c r="J354" s="882" t="s">
        <v>8</v>
      </c>
      <c r="K354" s="880"/>
      <c r="L354" s="880"/>
      <c r="M354" s="883">
        <v>0</v>
      </c>
      <c r="N354" s="883">
        <v>0</v>
      </c>
      <c r="O354" s="883">
        <v>0</v>
      </c>
      <c r="P354" s="883">
        <v>17.39</v>
      </c>
      <c r="Q354" s="883">
        <v>15</v>
      </c>
      <c r="R354" s="883">
        <f t="shared" si="96"/>
        <v>2.61</v>
      </c>
      <c r="S354" s="883">
        <v>0</v>
      </c>
      <c r="T354" s="883">
        <v>5</v>
      </c>
      <c r="U354" s="883">
        <f t="shared" si="97"/>
        <v>0</v>
      </c>
      <c r="V354" s="883">
        <v>0</v>
      </c>
      <c r="W354" s="883">
        <v>8</v>
      </c>
      <c r="X354" s="883">
        <f t="shared" si="98"/>
        <v>0</v>
      </c>
      <c r="Y354" s="883">
        <v>0</v>
      </c>
      <c r="Z354" s="883">
        <v>0</v>
      </c>
      <c r="AA354" s="883">
        <v>0</v>
      </c>
      <c r="AB354" s="883">
        <f t="shared" si="99"/>
        <v>20</v>
      </c>
      <c r="AC354" s="883">
        <v>0</v>
      </c>
      <c r="AD354" s="881"/>
      <c r="AE354" s="880"/>
      <c r="AF354" s="883"/>
      <c r="AG354" s="889"/>
      <c r="AH354" s="880"/>
      <c r="AI354" s="880" t="s">
        <v>1241</v>
      </c>
      <c r="AJ354" s="884">
        <v>411</v>
      </c>
      <c r="AK354" s="883">
        <f t="shared" si="100"/>
        <v>17.39</v>
      </c>
      <c r="AL354" s="884">
        <v>413</v>
      </c>
      <c r="AM354" s="883">
        <f t="shared" si="101"/>
        <v>0</v>
      </c>
      <c r="AN354" s="884">
        <v>441</v>
      </c>
      <c r="AO354" s="883">
        <f t="shared" si="102"/>
        <v>0</v>
      </c>
      <c r="AP354" s="881"/>
      <c r="AQ354" s="881"/>
      <c r="AR354" s="883">
        <v>0</v>
      </c>
      <c r="AS354" s="883">
        <v>0</v>
      </c>
      <c r="AT354" s="883">
        <v>0</v>
      </c>
      <c r="AU354" s="880"/>
      <c r="AV354" s="886"/>
      <c r="AW354" s="880"/>
      <c r="AX354" s="886"/>
      <c r="AY354" s="880"/>
      <c r="AZ354" s="880"/>
      <c r="BA354" s="881"/>
      <c r="BB354" s="881" t="s">
        <v>57</v>
      </c>
      <c r="BC354" s="881"/>
      <c r="BD354" s="881"/>
      <c r="BE354" s="884">
        <f t="shared" si="103"/>
        <v>4</v>
      </c>
      <c r="BF354" s="887" t="str">
        <f t="shared" si="104"/>
        <v>SI</v>
      </c>
      <c r="BG354" s="883">
        <f t="shared" si="105"/>
        <v>17.39</v>
      </c>
      <c r="BH354" s="883">
        <f t="shared" si="106"/>
        <v>0</v>
      </c>
      <c r="BI354" s="883">
        <f t="shared" si="107"/>
        <v>0</v>
      </c>
      <c r="BJ354" s="883">
        <f t="shared" si="108"/>
        <v>0</v>
      </c>
      <c r="BK354" s="883">
        <f t="shared" si="109"/>
        <v>0</v>
      </c>
      <c r="BL354" s="883">
        <f t="shared" si="110"/>
        <v>2.61</v>
      </c>
      <c r="BM354" s="881"/>
      <c r="BN354" s="880"/>
      <c r="BO354" s="882" t="s">
        <v>1579</v>
      </c>
      <c r="BP354" s="882" t="s">
        <v>2286</v>
      </c>
      <c r="BQ354" s="882" t="s">
        <v>2285</v>
      </c>
      <c r="BR354" s="880"/>
      <c r="BS354" s="880"/>
      <c r="BT354" s="880"/>
      <c r="BU354" s="880"/>
      <c r="BV354" s="880"/>
      <c r="BW354" s="883">
        <v>0</v>
      </c>
      <c r="BX354" s="883">
        <v>0</v>
      </c>
      <c r="BY354" s="883">
        <v>0</v>
      </c>
      <c r="BZ354" s="890"/>
      <c r="CA354" s="883">
        <f t="shared" si="111"/>
        <v>0</v>
      </c>
      <c r="CB354" s="880"/>
      <c r="CC354" s="881"/>
      <c r="CD354" s="883"/>
      <c r="CE354" s="883"/>
      <c r="CF354" s="883"/>
      <c r="CG354" s="883"/>
      <c r="CH354" s="883"/>
      <c r="CI354" s="883"/>
      <c r="CJ354" s="883"/>
      <c r="CK354" s="883"/>
      <c r="CL354" s="883"/>
      <c r="CM354" s="883"/>
      <c r="CN354" s="883"/>
      <c r="CO354" s="883"/>
      <c r="CP354" s="883"/>
      <c r="CQ354" s="883"/>
      <c r="CR354" s="883"/>
      <c r="CS354" s="883"/>
      <c r="CT354" s="883"/>
      <c r="CU354" s="883"/>
    </row>
    <row r="355" spans="1:99" x14ac:dyDescent="0.25">
      <c r="A355" s="880" t="s">
        <v>1787</v>
      </c>
      <c r="B355" s="881" t="s">
        <v>1788</v>
      </c>
      <c r="C355" s="880"/>
      <c r="D355" s="880"/>
      <c r="E355" s="884" t="s">
        <v>744</v>
      </c>
      <c r="F355" s="888">
        <v>1</v>
      </c>
      <c r="G355" s="881" t="s">
        <v>1007</v>
      </c>
      <c r="H355" s="881" t="s">
        <v>19</v>
      </c>
      <c r="I355" s="865">
        <v>46142</v>
      </c>
      <c r="J355" s="882" t="s">
        <v>8</v>
      </c>
      <c r="K355" s="880"/>
      <c r="L355" s="880"/>
      <c r="M355" s="883">
        <v>0</v>
      </c>
      <c r="N355" s="883">
        <v>0</v>
      </c>
      <c r="O355" s="883">
        <v>0</v>
      </c>
      <c r="P355" s="883">
        <v>17.39</v>
      </c>
      <c r="Q355" s="883">
        <v>15</v>
      </c>
      <c r="R355" s="883">
        <f t="shared" si="96"/>
        <v>2.61</v>
      </c>
      <c r="S355" s="883">
        <v>0</v>
      </c>
      <c r="T355" s="883">
        <v>5</v>
      </c>
      <c r="U355" s="883">
        <f t="shared" si="97"/>
        <v>0</v>
      </c>
      <c r="V355" s="883">
        <v>0</v>
      </c>
      <c r="W355" s="883">
        <v>8</v>
      </c>
      <c r="X355" s="883">
        <f t="shared" si="98"/>
        <v>0</v>
      </c>
      <c r="Y355" s="883">
        <v>0</v>
      </c>
      <c r="Z355" s="883">
        <v>0</v>
      </c>
      <c r="AA355" s="883">
        <v>0</v>
      </c>
      <c r="AB355" s="883">
        <f t="shared" si="99"/>
        <v>20</v>
      </c>
      <c r="AC355" s="883">
        <v>0</v>
      </c>
      <c r="AD355" s="881"/>
      <c r="AE355" s="880"/>
      <c r="AF355" s="883"/>
      <c r="AG355" s="889"/>
      <c r="AH355" s="880"/>
      <c r="AI355" s="880" t="s">
        <v>1241</v>
      </c>
      <c r="AJ355" s="884">
        <v>411</v>
      </c>
      <c r="AK355" s="883">
        <f t="shared" si="100"/>
        <v>17.39</v>
      </c>
      <c r="AL355" s="884">
        <v>413</v>
      </c>
      <c r="AM355" s="883">
        <f t="shared" si="101"/>
        <v>0</v>
      </c>
      <c r="AN355" s="884">
        <v>441</v>
      </c>
      <c r="AO355" s="883">
        <f t="shared" si="102"/>
        <v>0</v>
      </c>
      <c r="AP355" s="881"/>
      <c r="AQ355" s="881"/>
      <c r="AR355" s="883">
        <v>0</v>
      </c>
      <c r="AS355" s="883">
        <v>0</v>
      </c>
      <c r="AT355" s="883">
        <v>0</v>
      </c>
      <c r="AU355" s="880"/>
      <c r="AV355" s="886"/>
      <c r="AW355" s="880"/>
      <c r="AX355" s="886"/>
      <c r="AY355" s="880"/>
      <c r="AZ355" s="880"/>
      <c r="BA355" s="881"/>
      <c r="BB355" s="881" t="s">
        <v>57</v>
      </c>
      <c r="BC355" s="881"/>
      <c r="BD355" s="881"/>
      <c r="BE355" s="884">
        <f t="shared" si="103"/>
        <v>4</v>
      </c>
      <c r="BF355" s="887" t="str">
        <f t="shared" si="104"/>
        <v>SI</v>
      </c>
      <c r="BG355" s="883">
        <f t="shared" si="105"/>
        <v>17.39</v>
      </c>
      <c r="BH355" s="883">
        <f t="shared" si="106"/>
        <v>0</v>
      </c>
      <c r="BI355" s="883">
        <f t="shared" si="107"/>
        <v>0</v>
      </c>
      <c r="BJ355" s="883">
        <f t="shared" si="108"/>
        <v>0</v>
      </c>
      <c r="BK355" s="883">
        <f t="shared" si="109"/>
        <v>0</v>
      </c>
      <c r="BL355" s="883">
        <f t="shared" si="110"/>
        <v>2.61</v>
      </c>
      <c r="BM355" s="881"/>
      <c r="BN355" s="880"/>
      <c r="BO355" s="882" t="s">
        <v>1579</v>
      </c>
      <c r="BP355" s="882" t="s">
        <v>2286</v>
      </c>
      <c r="BQ355" s="882" t="s">
        <v>2285</v>
      </c>
      <c r="BR355" s="880"/>
      <c r="BS355" s="880"/>
      <c r="BT355" s="880"/>
      <c r="BU355" s="880"/>
      <c r="BV355" s="880"/>
      <c r="BW355" s="883">
        <v>0</v>
      </c>
      <c r="BX355" s="883">
        <v>0</v>
      </c>
      <c r="BY355" s="883">
        <v>0</v>
      </c>
      <c r="BZ355" s="890"/>
      <c r="CA355" s="883">
        <f t="shared" si="111"/>
        <v>0</v>
      </c>
      <c r="CB355" s="880"/>
      <c r="CC355" s="881"/>
      <c r="CD355" s="883"/>
      <c r="CE355" s="883"/>
      <c r="CF355" s="883"/>
      <c r="CG355" s="883"/>
      <c r="CH355" s="883"/>
      <c r="CI355" s="883"/>
      <c r="CJ355" s="883"/>
      <c r="CK355" s="883"/>
      <c r="CL355" s="883"/>
      <c r="CM355" s="883"/>
      <c r="CN355" s="883"/>
      <c r="CO355" s="883"/>
      <c r="CP355" s="883"/>
      <c r="CQ355" s="883"/>
      <c r="CR355" s="883"/>
      <c r="CS355" s="883"/>
      <c r="CT355" s="883"/>
      <c r="CU355" s="883"/>
    </row>
    <row r="356" spans="1:99" x14ac:dyDescent="0.25">
      <c r="A356" s="880" t="s">
        <v>1787</v>
      </c>
      <c r="B356" s="881" t="s">
        <v>1788</v>
      </c>
      <c r="C356" s="880"/>
      <c r="D356" s="880"/>
      <c r="E356" s="884" t="s">
        <v>744</v>
      </c>
      <c r="F356" s="888">
        <v>1</v>
      </c>
      <c r="G356" s="881" t="s">
        <v>1007</v>
      </c>
      <c r="H356" s="881" t="s">
        <v>19</v>
      </c>
      <c r="I356" s="865">
        <v>46142</v>
      </c>
      <c r="J356" s="882" t="s">
        <v>8</v>
      </c>
      <c r="K356" s="880"/>
      <c r="L356" s="880"/>
      <c r="M356" s="883">
        <v>0</v>
      </c>
      <c r="N356" s="883">
        <v>0</v>
      </c>
      <c r="O356" s="883">
        <v>0</v>
      </c>
      <c r="P356" s="883">
        <v>17.850000000000001</v>
      </c>
      <c r="Q356" s="883">
        <v>15</v>
      </c>
      <c r="R356" s="883">
        <f t="shared" si="96"/>
        <v>2.68</v>
      </c>
      <c r="S356" s="883">
        <v>0</v>
      </c>
      <c r="T356" s="883">
        <v>5</v>
      </c>
      <c r="U356" s="883">
        <f t="shared" si="97"/>
        <v>0</v>
      </c>
      <c r="V356" s="883">
        <v>0</v>
      </c>
      <c r="W356" s="883">
        <v>8</v>
      </c>
      <c r="X356" s="883">
        <f t="shared" si="98"/>
        <v>0</v>
      </c>
      <c r="Y356" s="883">
        <v>0</v>
      </c>
      <c r="Z356" s="883">
        <v>0</v>
      </c>
      <c r="AA356" s="883">
        <v>0</v>
      </c>
      <c r="AB356" s="883">
        <f t="shared" si="99"/>
        <v>20.53</v>
      </c>
      <c r="AC356" s="883">
        <v>0</v>
      </c>
      <c r="AD356" s="881"/>
      <c r="AE356" s="880"/>
      <c r="AF356" s="883"/>
      <c r="AG356" s="889"/>
      <c r="AH356" s="880"/>
      <c r="AI356" s="880" t="s">
        <v>1241</v>
      </c>
      <c r="AJ356" s="884">
        <v>411</v>
      </c>
      <c r="AK356" s="883">
        <f t="shared" si="100"/>
        <v>17.850000000000001</v>
      </c>
      <c r="AL356" s="884">
        <v>413</v>
      </c>
      <c r="AM356" s="883">
        <f t="shared" si="101"/>
        <v>0</v>
      </c>
      <c r="AN356" s="884">
        <v>441</v>
      </c>
      <c r="AO356" s="883">
        <f t="shared" si="102"/>
        <v>0</v>
      </c>
      <c r="AP356" s="881"/>
      <c r="AQ356" s="881"/>
      <c r="AR356" s="883">
        <v>0</v>
      </c>
      <c r="AS356" s="883">
        <v>0</v>
      </c>
      <c r="AT356" s="883">
        <v>0</v>
      </c>
      <c r="AU356" s="880"/>
      <c r="AV356" s="886"/>
      <c r="AW356" s="880"/>
      <c r="AX356" s="886"/>
      <c r="AY356" s="880"/>
      <c r="AZ356" s="880"/>
      <c r="BA356" s="881"/>
      <c r="BB356" s="881" t="s">
        <v>57</v>
      </c>
      <c r="BC356" s="881"/>
      <c r="BD356" s="881"/>
      <c r="BE356" s="884">
        <f t="shared" si="103"/>
        <v>4</v>
      </c>
      <c r="BF356" s="887" t="str">
        <f t="shared" si="104"/>
        <v>SI</v>
      </c>
      <c r="BG356" s="883">
        <f t="shared" si="105"/>
        <v>17.850000000000001</v>
      </c>
      <c r="BH356" s="883">
        <f t="shared" si="106"/>
        <v>0</v>
      </c>
      <c r="BI356" s="883">
        <f t="shared" si="107"/>
        <v>0</v>
      </c>
      <c r="BJ356" s="883">
        <f t="shared" si="108"/>
        <v>0</v>
      </c>
      <c r="BK356" s="883">
        <f t="shared" si="109"/>
        <v>0</v>
      </c>
      <c r="BL356" s="883">
        <f t="shared" si="110"/>
        <v>2.68</v>
      </c>
      <c r="BM356" s="881"/>
      <c r="BN356" s="880"/>
      <c r="BO356" s="882" t="s">
        <v>1579</v>
      </c>
      <c r="BP356" s="882" t="s">
        <v>2286</v>
      </c>
      <c r="BQ356" s="882" t="s">
        <v>2285</v>
      </c>
      <c r="BR356" s="880"/>
      <c r="BS356" s="880"/>
      <c r="BT356" s="880"/>
      <c r="BU356" s="880"/>
      <c r="BV356" s="880"/>
      <c r="BW356" s="883">
        <v>0</v>
      </c>
      <c r="BX356" s="883">
        <v>0</v>
      </c>
      <c r="BY356" s="883">
        <v>0</v>
      </c>
      <c r="BZ356" s="890"/>
      <c r="CA356" s="883">
        <f t="shared" si="111"/>
        <v>0</v>
      </c>
      <c r="CB356" s="880"/>
      <c r="CC356" s="881"/>
      <c r="CD356" s="883"/>
      <c r="CE356" s="883"/>
      <c r="CF356" s="883"/>
      <c r="CG356" s="883"/>
      <c r="CH356" s="883"/>
      <c r="CI356" s="883"/>
      <c r="CJ356" s="883"/>
      <c r="CK356" s="883"/>
      <c r="CL356" s="883"/>
      <c r="CM356" s="883"/>
      <c r="CN356" s="883"/>
      <c r="CO356" s="883"/>
      <c r="CP356" s="883"/>
      <c r="CQ356" s="883"/>
      <c r="CR356" s="883"/>
      <c r="CS356" s="883"/>
      <c r="CT356" s="883"/>
      <c r="CU356" s="883"/>
    </row>
    <row r="357" spans="1:99" x14ac:dyDescent="0.25">
      <c r="A357" s="880" t="s">
        <v>1787</v>
      </c>
      <c r="B357" s="881" t="s">
        <v>1788</v>
      </c>
      <c r="C357" s="880"/>
      <c r="D357" s="880"/>
      <c r="E357" s="884" t="s">
        <v>744</v>
      </c>
      <c r="F357" s="888">
        <v>1</v>
      </c>
      <c r="G357" s="881" t="s">
        <v>1007</v>
      </c>
      <c r="H357" s="881" t="s">
        <v>19</v>
      </c>
      <c r="I357" s="865">
        <v>46142</v>
      </c>
      <c r="J357" s="882" t="s">
        <v>8</v>
      </c>
      <c r="K357" s="880"/>
      <c r="L357" s="880"/>
      <c r="M357" s="883">
        <v>0</v>
      </c>
      <c r="N357" s="883">
        <v>0</v>
      </c>
      <c r="O357" s="883">
        <v>0</v>
      </c>
      <c r="P357" s="883">
        <v>17.39</v>
      </c>
      <c r="Q357" s="883">
        <v>15</v>
      </c>
      <c r="R357" s="883">
        <f t="shared" si="96"/>
        <v>2.61</v>
      </c>
      <c r="S357" s="883">
        <v>0</v>
      </c>
      <c r="T357" s="883">
        <v>5</v>
      </c>
      <c r="U357" s="883">
        <f t="shared" si="97"/>
        <v>0</v>
      </c>
      <c r="V357" s="883">
        <v>0</v>
      </c>
      <c r="W357" s="883">
        <v>8</v>
      </c>
      <c r="X357" s="883">
        <f t="shared" si="98"/>
        <v>0</v>
      </c>
      <c r="Y357" s="883">
        <v>0</v>
      </c>
      <c r="Z357" s="883">
        <v>0</v>
      </c>
      <c r="AA357" s="883">
        <v>0</v>
      </c>
      <c r="AB357" s="883">
        <f t="shared" si="99"/>
        <v>20</v>
      </c>
      <c r="AC357" s="883">
        <v>0</v>
      </c>
      <c r="AD357" s="881"/>
      <c r="AE357" s="880"/>
      <c r="AF357" s="883"/>
      <c r="AG357" s="889"/>
      <c r="AH357" s="880"/>
      <c r="AI357" s="880" t="s">
        <v>1241</v>
      </c>
      <c r="AJ357" s="884">
        <v>411</v>
      </c>
      <c r="AK357" s="883">
        <f t="shared" si="100"/>
        <v>17.39</v>
      </c>
      <c r="AL357" s="884">
        <v>413</v>
      </c>
      <c r="AM357" s="883">
        <f t="shared" si="101"/>
        <v>0</v>
      </c>
      <c r="AN357" s="884">
        <v>441</v>
      </c>
      <c r="AO357" s="883">
        <f t="shared" si="102"/>
        <v>0</v>
      </c>
      <c r="AP357" s="881"/>
      <c r="AQ357" s="881"/>
      <c r="AR357" s="883">
        <v>0</v>
      </c>
      <c r="AS357" s="883">
        <v>0</v>
      </c>
      <c r="AT357" s="883">
        <v>0</v>
      </c>
      <c r="AU357" s="880"/>
      <c r="AV357" s="886"/>
      <c r="AW357" s="880"/>
      <c r="AX357" s="886"/>
      <c r="AY357" s="880"/>
      <c r="AZ357" s="880"/>
      <c r="BA357" s="881"/>
      <c r="BB357" s="881" t="s">
        <v>57</v>
      </c>
      <c r="BC357" s="881"/>
      <c r="BD357" s="881"/>
      <c r="BE357" s="884">
        <f t="shared" si="103"/>
        <v>4</v>
      </c>
      <c r="BF357" s="887" t="str">
        <f t="shared" si="104"/>
        <v>SI</v>
      </c>
      <c r="BG357" s="883">
        <f t="shared" si="105"/>
        <v>17.39</v>
      </c>
      <c r="BH357" s="883">
        <f t="shared" si="106"/>
        <v>0</v>
      </c>
      <c r="BI357" s="883">
        <f t="shared" si="107"/>
        <v>0</v>
      </c>
      <c r="BJ357" s="883">
        <f t="shared" si="108"/>
        <v>0</v>
      </c>
      <c r="BK357" s="883">
        <f t="shared" si="109"/>
        <v>0</v>
      </c>
      <c r="BL357" s="883">
        <f t="shared" si="110"/>
        <v>2.61</v>
      </c>
      <c r="BM357" s="881"/>
      <c r="BN357" s="880"/>
      <c r="BO357" s="882" t="s">
        <v>1579</v>
      </c>
      <c r="BP357" s="882" t="s">
        <v>2286</v>
      </c>
      <c r="BQ357" s="882" t="s">
        <v>2285</v>
      </c>
      <c r="BR357" s="880"/>
      <c r="BS357" s="880"/>
      <c r="BT357" s="880"/>
      <c r="BU357" s="880"/>
      <c r="BV357" s="880"/>
      <c r="BW357" s="883">
        <v>0</v>
      </c>
      <c r="BX357" s="883">
        <v>0</v>
      </c>
      <c r="BY357" s="883">
        <v>0</v>
      </c>
      <c r="BZ357" s="890"/>
      <c r="CA357" s="883">
        <f t="shared" si="111"/>
        <v>0</v>
      </c>
      <c r="CB357" s="880"/>
      <c r="CC357" s="881"/>
      <c r="CD357" s="883"/>
      <c r="CE357" s="883"/>
      <c r="CF357" s="883"/>
      <c r="CG357" s="883"/>
      <c r="CH357" s="883"/>
      <c r="CI357" s="883"/>
      <c r="CJ357" s="883"/>
      <c r="CK357" s="883"/>
      <c r="CL357" s="883"/>
      <c r="CM357" s="883"/>
      <c r="CN357" s="883"/>
      <c r="CO357" s="883"/>
      <c r="CP357" s="883"/>
      <c r="CQ357" s="883"/>
      <c r="CR357" s="883"/>
      <c r="CS357" s="883"/>
      <c r="CT357" s="883"/>
      <c r="CU357" s="883"/>
    </row>
    <row r="358" spans="1:99" x14ac:dyDescent="0.25">
      <c r="A358" s="880" t="s">
        <v>1787</v>
      </c>
      <c r="B358" s="881" t="s">
        <v>1788</v>
      </c>
      <c r="C358" s="880"/>
      <c r="D358" s="880"/>
      <c r="E358" s="884" t="s">
        <v>744</v>
      </c>
      <c r="F358" s="888">
        <v>1</v>
      </c>
      <c r="G358" s="881" t="s">
        <v>1007</v>
      </c>
      <c r="H358" s="881" t="s">
        <v>19</v>
      </c>
      <c r="I358" s="865">
        <v>46142</v>
      </c>
      <c r="J358" s="882" t="s">
        <v>8</v>
      </c>
      <c r="K358" s="880"/>
      <c r="L358" s="880"/>
      <c r="M358" s="883">
        <v>0</v>
      </c>
      <c r="N358" s="883">
        <v>0</v>
      </c>
      <c r="O358" s="883">
        <v>0</v>
      </c>
      <c r="P358" s="883">
        <v>17.39</v>
      </c>
      <c r="Q358" s="883">
        <v>15</v>
      </c>
      <c r="R358" s="883">
        <f t="shared" si="96"/>
        <v>2.61</v>
      </c>
      <c r="S358" s="883">
        <v>0</v>
      </c>
      <c r="T358" s="883">
        <v>5</v>
      </c>
      <c r="U358" s="883">
        <f t="shared" si="97"/>
        <v>0</v>
      </c>
      <c r="V358" s="883">
        <v>0</v>
      </c>
      <c r="W358" s="883">
        <v>8</v>
      </c>
      <c r="X358" s="883">
        <f t="shared" si="98"/>
        <v>0</v>
      </c>
      <c r="Y358" s="883">
        <v>0</v>
      </c>
      <c r="Z358" s="883">
        <v>0</v>
      </c>
      <c r="AA358" s="883">
        <v>0</v>
      </c>
      <c r="AB358" s="883">
        <f t="shared" si="99"/>
        <v>20</v>
      </c>
      <c r="AC358" s="883">
        <v>0</v>
      </c>
      <c r="AD358" s="881"/>
      <c r="AE358" s="880"/>
      <c r="AF358" s="883"/>
      <c r="AG358" s="889"/>
      <c r="AH358" s="880"/>
      <c r="AI358" s="880" t="s">
        <v>1241</v>
      </c>
      <c r="AJ358" s="884">
        <v>411</v>
      </c>
      <c r="AK358" s="883">
        <f t="shared" si="100"/>
        <v>17.39</v>
      </c>
      <c r="AL358" s="884">
        <v>413</v>
      </c>
      <c r="AM358" s="883">
        <f t="shared" si="101"/>
        <v>0</v>
      </c>
      <c r="AN358" s="884">
        <v>441</v>
      </c>
      <c r="AO358" s="883">
        <f t="shared" si="102"/>
        <v>0</v>
      </c>
      <c r="AP358" s="881"/>
      <c r="AQ358" s="881"/>
      <c r="AR358" s="883">
        <v>0</v>
      </c>
      <c r="AS358" s="883">
        <v>0</v>
      </c>
      <c r="AT358" s="883">
        <v>0</v>
      </c>
      <c r="AU358" s="880"/>
      <c r="AV358" s="886"/>
      <c r="AW358" s="880"/>
      <c r="AX358" s="886"/>
      <c r="AY358" s="880"/>
      <c r="AZ358" s="880"/>
      <c r="BA358" s="881"/>
      <c r="BB358" s="881" t="s">
        <v>57</v>
      </c>
      <c r="BC358" s="881"/>
      <c r="BD358" s="881"/>
      <c r="BE358" s="884">
        <f t="shared" si="103"/>
        <v>4</v>
      </c>
      <c r="BF358" s="887" t="str">
        <f t="shared" si="104"/>
        <v>SI</v>
      </c>
      <c r="BG358" s="883">
        <f t="shared" si="105"/>
        <v>17.39</v>
      </c>
      <c r="BH358" s="883">
        <f t="shared" si="106"/>
        <v>0</v>
      </c>
      <c r="BI358" s="883">
        <f t="shared" si="107"/>
        <v>0</v>
      </c>
      <c r="BJ358" s="883">
        <f t="shared" si="108"/>
        <v>0</v>
      </c>
      <c r="BK358" s="883">
        <f t="shared" si="109"/>
        <v>0</v>
      </c>
      <c r="BL358" s="883">
        <f t="shared" si="110"/>
        <v>2.61</v>
      </c>
      <c r="BM358" s="881"/>
      <c r="BN358" s="880"/>
      <c r="BO358" s="882" t="s">
        <v>1579</v>
      </c>
      <c r="BP358" s="882" t="s">
        <v>2286</v>
      </c>
      <c r="BQ358" s="882" t="s">
        <v>2285</v>
      </c>
      <c r="BR358" s="880"/>
      <c r="BS358" s="880"/>
      <c r="BT358" s="880"/>
      <c r="BU358" s="880"/>
      <c r="BV358" s="880"/>
      <c r="BW358" s="883">
        <v>0</v>
      </c>
      <c r="BX358" s="883">
        <v>0</v>
      </c>
      <c r="BY358" s="883">
        <v>0</v>
      </c>
      <c r="BZ358" s="890"/>
      <c r="CA358" s="883">
        <f t="shared" si="111"/>
        <v>0</v>
      </c>
      <c r="CB358" s="880"/>
      <c r="CC358" s="881"/>
      <c r="CD358" s="883"/>
      <c r="CE358" s="883"/>
      <c r="CF358" s="883"/>
      <c r="CG358" s="883"/>
      <c r="CH358" s="883"/>
      <c r="CI358" s="883"/>
      <c r="CJ358" s="883"/>
      <c r="CK358" s="883"/>
      <c r="CL358" s="883"/>
      <c r="CM358" s="883"/>
      <c r="CN358" s="883"/>
      <c r="CO358" s="883"/>
      <c r="CP358" s="883"/>
      <c r="CQ358" s="883"/>
      <c r="CR358" s="883"/>
      <c r="CS358" s="883"/>
      <c r="CT358" s="883"/>
      <c r="CU358" s="883"/>
    </row>
    <row r="359" spans="1:99" x14ac:dyDescent="0.25">
      <c r="A359" s="880" t="s">
        <v>1787</v>
      </c>
      <c r="B359" s="881" t="s">
        <v>1788</v>
      </c>
      <c r="C359" s="880"/>
      <c r="D359" s="880"/>
      <c r="E359" s="884" t="s">
        <v>744</v>
      </c>
      <c r="F359" s="888">
        <v>1</v>
      </c>
      <c r="G359" s="881" t="s">
        <v>1007</v>
      </c>
      <c r="H359" s="881" t="s">
        <v>19</v>
      </c>
      <c r="I359" s="865">
        <v>46142</v>
      </c>
      <c r="J359" s="882" t="s">
        <v>8</v>
      </c>
      <c r="K359" s="880"/>
      <c r="L359" s="880"/>
      <c r="M359" s="883">
        <v>0</v>
      </c>
      <c r="N359" s="883">
        <v>0</v>
      </c>
      <c r="O359" s="883">
        <v>0</v>
      </c>
      <c r="P359" s="883">
        <v>17.86</v>
      </c>
      <c r="Q359" s="883">
        <v>15</v>
      </c>
      <c r="R359" s="883">
        <f t="shared" si="96"/>
        <v>2.68</v>
      </c>
      <c r="S359" s="883">
        <v>0</v>
      </c>
      <c r="T359" s="883">
        <v>5</v>
      </c>
      <c r="U359" s="883">
        <f t="shared" si="97"/>
        <v>0</v>
      </c>
      <c r="V359" s="883">
        <v>0</v>
      </c>
      <c r="W359" s="883">
        <v>8</v>
      </c>
      <c r="X359" s="883">
        <f t="shared" si="98"/>
        <v>0</v>
      </c>
      <c r="Y359" s="883">
        <v>0</v>
      </c>
      <c r="Z359" s="883">
        <v>0</v>
      </c>
      <c r="AA359" s="883">
        <v>0</v>
      </c>
      <c r="AB359" s="883">
        <f t="shared" si="99"/>
        <v>20.54</v>
      </c>
      <c r="AC359" s="883">
        <v>0</v>
      </c>
      <c r="AD359" s="881"/>
      <c r="AE359" s="880"/>
      <c r="AF359" s="883"/>
      <c r="AG359" s="889"/>
      <c r="AH359" s="880"/>
      <c r="AI359" s="880" t="s">
        <v>1241</v>
      </c>
      <c r="AJ359" s="884">
        <v>411</v>
      </c>
      <c r="AK359" s="883">
        <f t="shared" si="100"/>
        <v>17.86</v>
      </c>
      <c r="AL359" s="884">
        <v>413</v>
      </c>
      <c r="AM359" s="883">
        <f t="shared" si="101"/>
        <v>0</v>
      </c>
      <c r="AN359" s="884">
        <v>441</v>
      </c>
      <c r="AO359" s="883">
        <f t="shared" si="102"/>
        <v>0</v>
      </c>
      <c r="AP359" s="881"/>
      <c r="AQ359" s="881"/>
      <c r="AR359" s="883">
        <v>0</v>
      </c>
      <c r="AS359" s="883">
        <v>0</v>
      </c>
      <c r="AT359" s="883">
        <v>0</v>
      </c>
      <c r="AU359" s="880"/>
      <c r="AV359" s="886"/>
      <c r="AW359" s="880"/>
      <c r="AX359" s="886"/>
      <c r="AY359" s="880"/>
      <c r="AZ359" s="880"/>
      <c r="BA359" s="881"/>
      <c r="BB359" s="881" t="s">
        <v>57</v>
      </c>
      <c r="BC359" s="881"/>
      <c r="BD359" s="881"/>
      <c r="BE359" s="884">
        <f t="shared" si="103"/>
        <v>4</v>
      </c>
      <c r="BF359" s="887" t="str">
        <f t="shared" si="104"/>
        <v>SI</v>
      </c>
      <c r="BG359" s="883">
        <f t="shared" si="105"/>
        <v>17.86</v>
      </c>
      <c r="BH359" s="883">
        <f t="shared" si="106"/>
        <v>0</v>
      </c>
      <c r="BI359" s="883">
        <f t="shared" si="107"/>
        <v>0</v>
      </c>
      <c r="BJ359" s="883">
        <f t="shared" si="108"/>
        <v>0</v>
      </c>
      <c r="BK359" s="883">
        <f t="shared" si="109"/>
        <v>0</v>
      </c>
      <c r="BL359" s="883">
        <f t="shared" si="110"/>
        <v>2.68</v>
      </c>
      <c r="BM359" s="881"/>
      <c r="BN359" s="880"/>
      <c r="BO359" s="882" t="s">
        <v>1579</v>
      </c>
      <c r="BP359" s="882" t="s">
        <v>2286</v>
      </c>
      <c r="BQ359" s="882" t="s">
        <v>2285</v>
      </c>
      <c r="BR359" s="880"/>
      <c r="BS359" s="880"/>
      <c r="BT359" s="880"/>
      <c r="BU359" s="880"/>
      <c r="BV359" s="880"/>
      <c r="BW359" s="883">
        <v>0</v>
      </c>
      <c r="BX359" s="883">
        <v>0</v>
      </c>
      <c r="BY359" s="883">
        <v>0</v>
      </c>
      <c r="BZ359" s="890"/>
      <c r="CA359" s="883">
        <f t="shared" si="111"/>
        <v>0</v>
      </c>
      <c r="CB359" s="880"/>
      <c r="CC359" s="881"/>
      <c r="CD359" s="883"/>
      <c r="CE359" s="883"/>
      <c r="CF359" s="883"/>
      <c r="CG359" s="883"/>
      <c r="CH359" s="883"/>
      <c r="CI359" s="883"/>
      <c r="CJ359" s="883"/>
      <c r="CK359" s="883"/>
      <c r="CL359" s="883"/>
      <c r="CM359" s="883"/>
      <c r="CN359" s="883"/>
      <c r="CO359" s="883"/>
      <c r="CP359" s="883"/>
      <c r="CQ359" s="883"/>
      <c r="CR359" s="883"/>
      <c r="CS359" s="883"/>
      <c r="CT359" s="883"/>
      <c r="CU359" s="883"/>
    </row>
    <row r="360" spans="1:99" x14ac:dyDescent="0.25">
      <c r="A360" s="880" t="s">
        <v>1787</v>
      </c>
      <c r="B360" s="881" t="s">
        <v>1788</v>
      </c>
      <c r="C360" s="880"/>
      <c r="D360" s="880"/>
      <c r="E360" s="884" t="s">
        <v>744</v>
      </c>
      <c r="F360" s="888">
        <v>1</v>
      </c>
      <c r="G360" s="881" t="s">
        <v>1007</v>
      </c>
      <c r="H360" s="881" t="s">
        <v>19</v>
      </c>
      <c r="I360" s="865">
        <v>46142</v>
      </c>
      <c r="J360" s="882" t="s">
        <v>8</v>
      </c>
      <c r="K360" s="880"/>
      <c r="L360" s="880"/>
      <c r="M360" s="883">
        <v>0</v>
      </c>
      <c r="N360" s="883">
        <v>0</v>
      </c>
      <c r="O360" s="883">
        <v>0</v>
      </c>
      <c r="P360" s="883">
        <v>13.04</v>
      </c>
      <c r="Q360" s="883">
        <v>15</v>
      </c>
      <c r="R360" s="883">
        <f t="shared" si="96"/>
        <v>1.96</v>
      </c>
      <c r="S360" s="883">
        <v>0</v>
      </c>
      <c r="T360" s="883">
        <v>5</v>
      </c>
      <c r="U360" s="883">
        <f t="shared" si="97"/>
        <v>0</v>
      </c>
      <c r="V360" s="883">
        <v>0</v>
      </c>
      <c r="W360" s="883">
        <v>8</v>
      </c>
      <c r="X360" s="883">
        <f t="shared" si="98"/>
        <v>0</v>
      </c>
      <c r="Y360" s="883">
        <v>0</v>
      </c>
      <c r="Z360" s="883">
        <v>0</v>
      </c>
      <c r="AA360" s="883">
        <v>0</v>
      </c>
      <c r="AB360" s="883">
        <f t="shared" si="99"/>
        <v>15</v>
      </c>
      <c r="AC360" s="883">
        <v>0</v>
      </c>
      <c r="AD360" s="881"/>
      <c r="AE360" s="880"/>
      <c r="AF360" s="883"/>
      <c r="AG360" s="889"/>
      <c r="AH360" s="880"/>
      <c r="AI360" s="880" t="s">
        <v>1241</v>
      </c>
      <c r="AJ360" s="884">
        <v>411</v>
      </c>
      <c r="AK360" s="883">
        <f t="shared" si="100"/>
        <v>13.04</v>
      </c>
      <c r="AL360" s="884">
        <v>413</v>
      </c>
      <c r="AM360" s="883">
        <f t="shared" si="101"/>
        <v>0</v>
      </c>
      <c r="AN360" s="884">
        <v>441</v>
      </c>
      <c r="AO360" s="883">
        <f t="shared" si="102"/>
        <v>0</v>
      </c>
      <c r="AP360" s="881"/>
      <c r="AQ360" s="881"/>
      <c r="AR360" s="883">
        <v>0</v>
      </c>
      <c r="AS360" s="883">
        <v>0</v>
      </c>
      <c r="AT360" s="883">
        <v>0</v>
      </c>
      <c r="AU360" s="880"/>
      <c r="AV360" s="886"/>
      <c r="AW360" s="880"/>
      <c r="AX360" s="886"/>
      <c r="AY360" s="880"/>
      <c r="AZ360" s="880"/>
      <c r="BA360" s="881"/>
      <c r="BB360" s="881" t="s">
        <v>57</v>
      </c>
      <c r="BC360" s="881"/>
      <c r="BD360" s="881"/>
      <c r="BE360" s="884">
        <f t="shared" si="103"/>
        <v>4</v>
      </c>
      <c r="BF360" s="887" t="str">
        <f t="shared" si="104"/>
        <v>SI</v>
      </c>
      <c r="BG360" s="883">
        <f t="shared" si="105"/>
        <v>13.04</v>
      </c>
      <c r="BH360" s="883">
        <f t="shared" si="106"/>
        <v>0</v>
      </c>
      <c r="BI360" s="883">
        <f t="shared" si="107"/>
        <v>0</v>
      </c>
      <c r="BJ360" s="883">
        <f t="shared" si="108"/>
        <v>0</v>
      </c>
      <c r="BK360" s="883">
        <f t="shared" si="109"/>
        <v>0</v>
      </c>
      <c r="BL360" s="883">
        <f t="shared" si="110"/>
        <v>1.96</v>
      </c>
      <c r="BM360" s="881"/>
      <c r="BN360" s="880"/>
      <c r="BO360" s="882" t="s">
        <v>1579</v>
      </c>
      <c r="BP360" s="882" t="s">
        <v>2286</v>
      </c>
      <c r="BQ360" s="882" t="s">
        <v>2285</v>
      </c>
      <c r="BR360" s="880"/>
      <c r="BS360" s="880"/>
      <c r="BT360" s="880"/>
      <c r="BU360" s="880"/>
      <c r="BV360" s="880"/>
      <c r="BW360" s="883">
        <v>0</v>
      </c>
      <c r="BX360" s="883">
        <v>0</v>
      </c>
      <c r="BY360" s="883">
        <v>0</v>
      </c>
      <c r="BZ360" s="890"/>
      <c r="CA360" s="883">
        <f t="shared" si="111"/>
        <v>0</v>
      </c>
      <c r="CB360" s="880"/>
      <c r="CC360" s="881"/>
      <c r="CD360" s="883"/>
      <c r="CE360" s="883"/>
      <c r="CF360" s="883"/>
      <c r="CG360" s="883"/>
      <c r="CH360" s="883"/>
      <c r="CI360" s="883"/>
      <c r="CJ360" s="883"/>
      <c r="CK360" s="883"/>
      <c r="CL360" s="883"/>
      <c r="CM360" s="883"/>
      <c r="CN360" s="883"/>
      <c r="CO360" s="883"/>
      <c r="CP360" s="883"/>
      <c r="CQ360" s="883"/>
      <c r="CR360" s="883"/>
      <c r="CS360" s="883"/>
      <c r="CT360" s="883"/>
      <c r="CU360" s="883"/>
    </row>
    <row r="361" spans="1:99" x14ac:dyDescent="0.25">
      <c r="A361" s="880" t="s">
        <v>1787</v>
      </c>
      <c r="B361" s="881" t="s">
        <v>1788</v>
      </c>
      <c r="C361" s="880"/>
      <c r="D361" s="880"/>
      <c r="E361" s="884" t="s">
        <v>744</v>
      </c>
      <c r="F361" s="888">
        <v>1</v>
      </c>
      <c r="G361" s="881" t="s">
        <v>1007</v>
      </c>
      <c r="H361" s="881" t="s">
        <v>19</v>
      </c>
      <c r="I361" s="865">
        <v>46142</v>
      </c>
      <c r="J361" s="882" t="s">
        <v>8</v>
      </c>
      <c r="K361" s="880"/>
      <c r="L361" s="880"/>
      <c r="M361" s="883">
        <v>0</v>
      </c>
      <c r="N361" s="883">
        <v>0</v>
      </c>
      <c r="O361" s="883">
        <v>0</v>
      </c>
      <c r="P361" s="883">
        <v>17.39</v>
      </c>
      <c r="Q361" s="883">
        <v>15</v>
      </c>
      <c r="R361" s="883">
        <f t="shared" si="96"/>
        <v>2.61</v>
      </c>
      <c r="S361" s="883">
        <v>0</v>
      </c>
      <c r="T361" s="883">
        <v>5</v>
      </c>
      <c r="U361" s="883">
        <f t="shared" si="97"/>
        <v>0</v>
      </c>
      <c r="V361" s="883">
        <v>0</v>
      </c>
      <c r="W361" s="883">
        <v>8</v>
      </c>
      <c r="X361" s="883">
        <f t="shared" si="98"/>
        <v>0</v>
      </c>
      <c r="Y361" s="883">
        <v>0</v>
      </c>
      <c r="Z361" s="883">
        <v>0</v>
      </c>
      <c r="AA361" s="883">
        <v>0</v>
      </c>
      <c r="AB361" s="883">
        <f t="shared" si="99"/>
        <v>20</v>
      </c>
      <c r="AC361" s="883">
        <v>0</v>
      </c>
      <c r="AD361" s="881"/>
      <c r="AE361" s="880"/>
      <c r="AF361" s="883"/>
      <c r="AG361" s="889"/>
      <c r="AH361" s="880"/>
      <c r="AI361" s="880" t="s">
        <v>1241</v>
      </c>
      <c r="AJ361" s="884">
        <v>411</v>
      </c>
      <c r="AK361" s="883">
        <f t="shared" si="100"/>
        <v>17.39</v>
      </c>
      <c r="AL361" s="884">
        <v>413</v>
      </c>
      <c r="AM361" s="883">
        <f t="shared" si="101"/>
        <v>0</v>
      </c>
      <c r="AN361" s="884">
        <v>441</v>
      </c>
      <c r="AO361" s="883">
        <f t="shared" si="102"/>
        <v>0</v>
      </c>
      <c r="AP361" s="881"/>
      <c r="AQ361" s="881"/>
      <c r="AR361" s="883">
        <v>0</v>
      </c>
      <c r="AS361" s="883">
        <v>0</v>
      </c>
      <c r="AT361" s="883">
        <v>0</v>
      </c>
      <c r="AU361" s="880"/>
      <c r="AV361" s="886"/>
      <c r="AW361" s="880"/>
      <c r="AX361" s="886"/>
      <c r="AY361" s="880"/>
      <c r="AZ361" s="880"/>
      <c r="BA361" s="881"/>
      <c r="BB361" s="881" t="s">
        <v>57</v>
      </c>
      <c r="BC361" s="881"/>
      <c r="BD361" s="881"/>
      <c r="BE361" s="884">
        <f t="shared" si="103"/>
        <v>4</v>
      </c>
      <c r="BF361" s="887" t="str">
        <f t="shared" si="104"/>
        <v>SI</v>
      </c>
      <c r="BG361" s="883">
        <f t="shared" si="105"/>
        <v>17.39</v>
      </c>
      <c r="BH361" s="883">
        <f t="shared" si="106"/>
        <v>0</v>
      </c>
      <c r="BI361" s="883">
        <f t="shared" si="107"/>
        <v>0</v>
      </c>
      <c r="BJ361" s="883">
        <f t="shared" si="108"/>
        <v>0</v>
      </c>
      <c r="BK361" s="883">
        <f t="shared" si="109"/>
        <v>0</v>
      </c>
      <c r="BL361" s="883">
        <f t="shared" si="110"/>
        <v>2.61</v>
      </c>
      <c r="BM361" s="881"/>
      <c r="BN361" s="880"/>
      <c r="BO361" s="882" t="s">
        <v>1579</v>
      </c>
      <c r="BP361" s="882" t="s">
        <v>2286</v>
      </c>
      <c r="BQ361" s="882" t="s">
        <v>2285</v>
      </c>
      <c r="BR361" s="880"/>
      <c r="BS361" s="880"/>
      <c r="BT361" s="880"/>
      <c r="BU361" s="880"/>
      <c r="BV361" s="880"/>
      <c r="BW361" s="883">
        <v>0</v>
      </c>
      <c r="BX361" s="883">
        <v>0</v>
      </c>
      <c r="BY361" s="883">
        <v>0</v>
      </c>
      <c r="BZ361" s="890"/>
      <c r="CA361" s="883">
        <f t="shared" si="111"/>
        <v>0</v>
      </c>
      <c r="CB361" s="880"/>
      <c r="CC361" s="881"/>
      <c r="CD361" s="883"/>
      <c r="CE361" s="883"/>
      <c r="CF361" s="883"/>
      <c r="CG361" s="883"/>
      <c r="CH361" s="883"/>
      <c r="CI361" s="883"/>
      <c r="CJ361" s="883"/>
      <c r="CK361" s="883"/>
      <c r="CL361" s="883"/>
      <c r="CM361" s="883"/>
      <c r="CN361" s="883"/>
      <c r="CO361" s="883"/>
      <c r="CP361" s="883"/>
      <c r="CQ361" s="883"/>
      <c r="CR361" s="883"/>
      <c r="CS361" s="883"/>
      <c r="CT361" s="883"/>
      <c r="CU361" s="883"/>
    </row>
    <row r="362" spans="1:99" x14ac:dyDescent="0.25">
      <c r="A362" s="880" t="s">
        <v>1787</v>
      </c>
      <c r="B362" s="881" t="s">
        <v>1788</v>
      </c>
      <c r="C362" s="880"/>
      <c r="D362" s="880"/>
      <c r="E362" s="884" t="s">
        <v>744</v>
      </c>
      <c r="F362" s="888">
        <v>1</v>
      </c>
      <c r="G362" s="881" t="s">
        <v>1007</v>
      </c>
      <c r="H362" s="881" t="s">
        <v>19</v>
      </c>
      <c r="I362" s="865">
        <v>46142</v>
      </c>
      <c r="J362" s="882" t="s">
        <v>8</v>
      </c>
      <c r="K362" s="880"/>
      <c r="L362" s="880"/>
      <c r="M362" s="883">
        <v>0</v>
      </c>
      <c r="N362" s="883">
        <v>0</v>
      </c>
      <c r="O362" s="883">
        <v>0</v>
      </c>
      <c r="P362" s="883">
        <v>17.86</v>
      </c>
      <c r="Q362" s="883">
        <v>15</v>
      </c>
      <c r="R362" s="883">
        <f t="shared" si="96"/>
        <v>2.68</v>
      </c>
      <c r="S362" s="883">
        <v>0</v>
      </c>
      <c r="T362" s="883">
        <v>5</v>
      </c>
      <c r="U362" s="883">
        <f t="shared" si="97"/>
        <v>0</v>
      </c>
      <c r="V362" s="883">
        <v>0</v>
      </c>
      <c r="W362" s="883">
        <v>8</v>
      </c>
      <c r="X362" s="883">
        <f t="shared" si="98"/>
        <v>0</v>
      </c>
      <c r="Y362" s="883">
        <v>0</v>
      </c>
      <c r="Z362" s="883">
        <v>0</v>
      </c>
      <c r="AA362" s="883">
        <v>0</v>
      </c>
      <c r="AB362" s="883">
        <f t="shared" si="99"/>
        <v>20.54</v>
      </c>
      <c r="AC362" s="883">
        <v>0</v>
      </c>
      <c r="AD362" s="881"/>
      <c r="AE362" s="880"/>
      <c r="AF362" s="883"/>
      <c r="AG362" s="889"/>
      <c r="AH362" s="880"/>
      <c r="AI362" s="880" t="s">
        <v>1241</v>
      </c>
      <c r="AJ362" s="884">
        <v>411</v>
      </c>
      <c r="AK362" s="883">
        <f t="shared" si="100"/>
        <v>17.86</v>
      </c>
      <c r="AL362" s="884">
        <v>413</v>
      </c>
      <c r="AM362" s="883">
        <f t="shared" si="101"/>
        <v>0</v>
      </c>
      <c r="AN362" s="884">
        <v>441</v>
      </c>
      <c r="AO362" s="883">
        <f t="shared" si="102"/>
        <v>0</v>
      </c>
      <c r="AP362" s="881"/>
      <c r="AQ362" s="881"/>
      <c r="AR362" s="883">
        <v>0</v>
      </c>
      <c r="AS362" s="883">
        <v>0</v>
      </c>
      <c r="AT362" s="883">
        <v>0</v>
      </c>
      <c r="AU362" s="880"/>
      <c r="AV362" s="886"/>
      <c r="AW362" s="880"/>
      <c r="AX362" s="886"/>
      <c r="AY362" s="880"/>
      <c r="AZ362" s="880"/>
      <c r="BA362" s="881"/>
      <c r="BB362" s="881" t="s">
        <v>57</v>
      </c>
      <c r="BC362" s="881"/>
      <c r="BD362" s="881"/>
      <c r="BE362" s="884">
        <f t="shared" si="103"/>
        <v>4</v>
      </c>
      <c r="BF362" s="887" t="str">
        <f t="shared" si="104"/>
        <v>SI</v>
      </c>
      <c r="BG362" s="883">
        <f t="shared" si="105"/>
        <v>17.86</v>
      </c>
      <c r="BH362" s="883">
        <f t="shared" si="106"/>
        <v>0</v>
      </c>
      <c r="BI362" s="883">
        <f t="shared" si="107"/>
        <v>0</v>
      </c>
      <c r="BJ362" s="883">
        <f t="shared" si="108"/>
        <v>0</v>
      </c>
      <c r="BK362" s="883">
        <f t="shared" si="109"/>
        <v>0</v>
      </c>
      <c r="BL362" s="883">
        <f t="shared" si="110"/>
        <v>2.68</v>
      </c>
      <c r="BM362" s="881"/>
      <c r="BN362" s="880"/>
      <c r="BO362" s="882" t="s">
        <v>1579</v>
      </c>
      <c r="BP362" s="882" t="s">
        <v>2286</v>
      </c>
      <c r="BQ362" s="882" t="s">
        <v>2285</v>
      </c>
      <c r="BR362" s="880"/>
      <c r="BS362" s="880"/>
      <c r="BT362" s="880"/>
      <c r="BU362" s="880"/>
      <c r="BV362" s="880"/>
      <c r="BW362" s="883">
        <v>0</v>
      </c>
      <c r="BX362" s="883">
        <v>0</v>
      </c>
      <c r="BY362" s="883">
        <v>0</v>
      </c>
      <c r="BZ362" s="890"/>
      <c r="CA362" s="883">
        <f t="shared" si="111"/>
        <v>0</v>
      </c>
      <c r="CB362" s="880"/>
      <c r="CC362" s="881"/>
      <c r="CD362" s="883"/>
      <c r="CE362" s="883"/>
      <c r="CF362" s="883"/>
      <c r="CG362" s="883"/>
      <c r="CH362" s="883"/>
      <c r="CI362" s="883"/>
      <c r="CJ362" s="883"/>
      <c r="CK362" s="883"/>
      <c r="CL362" s="883"/>
      <c r="CM362" s="883"/>
      <c r="CN362" s="883"/>
      <c r="CO362" s="883"/>
      <c r="CP362" s="883"/>
      <c r="CQ362" s="883"/>
      <c r="CR362" s="883"/>
      <c r="CS362" s="883"/>
      <c r="CT362" s="883"/>
      <c r="CU362" s="883"/>
    </row>
    <row r="363" spans="1:99" x14ac:dyDescent="0.25">
      <c r="A363" s="880" t="s">
        <v>1787</v>
      </c>
      <c r="B363" s="881" t="s">
        <v>1788</v>
      </c>
      <c r="C363" s="880"/>
      <c r="D363" s="880"/>
      <c r="E363" s="884" t="s">
        <v>744</v>
      </c>
      <c r="F363" s="888">
        <v>1</v>
      </c>
      <c r="G363" s="881" t="s">
        <v>1007</v>
      </c>
      <c r="H363" s="881" t="s">
        <v>19</v>
      </c>
      <c r="I363" s="865">
        <v>46142</v>
      </c>
      <c r="J363" s="882" t="s">
        <v>8</v>
      </c>
      <c r="K363" s="880"/>
      <c r="L363" s="880"/>
      <c r="M363" s="883">
        <v>0</v>
      </c>
      <c r="N363" s="883">
        <v>0</v>
      </c>
      <c r="O363" s="883">
        <v>0</v>
      </c>
      <c r="P363" s="883">
        <v>17.39</v>
      </c>
      <c r="Q363" s="883">
        <v>15</v>
      </c>
      <c r="R363" s="883">
        <f t="shared" si="96"/>
        <v>2.61</v>
      </c>
      <c r="S363" s="883">
        <v>0</v>
      </c>
      <c r="T363" s="883">
        <v>5</v>
      </c>
      <c r="U363" s="883">
        <f t="shared" si="97"/>
        <v>0</v>
      </c>
      <c r="V363" s="883">
        <v>0</v>
      </c>
      <c r="W363" s="883">
        <v>8</v>
      </c>
      <c r="X363" s="883">
        <f t="shared" si="98"/>
        <v>0</v>
      </c>
      <c r="Y363" s="883">
        <v>0</v>
      </c>
      <c r="Z363" s="883">
        <v>0</v>
      </c>
      <c r="AA363" s="883">
        <v>0</v>
      </c>
      <c r="AB363" s="883">
        <f t="shared" si="99"/>
        <v>20</v>
      </c>
      <c r="AC363" s="883">
        <v>0</v>
      </c>
      <c r="AD363" s="881"/>
      <c r="AE363" s="880"/>
      <c r="AF363" s="883"/>
      <c r="AG363" s="889"/>
      <c r="AH363" s="880"/>
      <c r="AI363" s="880" t="s">
        <v>1241</v>
      </c>
      <c r="AJ363" s="884">
        <v>411</v>
      </c>
      <c r="AK363" s="883">
        <f t="shared" si="100"/>
        <v>17.39</v>
      </c>
      <c r="AL363" s="884">
        <v>413</v>
      </c>
      <c r="AM363" s="883">
        <f t="shared" si="101"/>
        <v>0</v>
      </c>
      <c r="AN363" s="884">
        <v>441</v>
      </c>
      <c r="AO363" s="883">
        <f t="shared" si="102"/>
        <v>0</v>
      </c>
      <c r="AP363" s="881"/>
      <c r="AQ363" s="881"/>
      <c r="AR363" s="883">
        <v>0</v>
      </c>
      <c r="AS363" s="883">
        <v>0</v>
      </c>
      <c r="AT363" s="883">
        <v>0</v>
      </c>
      <c r="AU363" s="880"/>
      <c r="AV363" s="886"/>
      <c r="AW363" s="880"/>
      <c r="AX363" s="886"/>
      <c r="AY363" s="880"/>
      <c r="AZ363" s="880"/>
      <c r="BA363" s="881"/>
      <c r="BB363" s="881" t="s">
        <v>57</v>
      </c>
      <c r="BC363" s="881"/>
      <c r="BD363" s="881"/>
      <c r="BE363" s="884">
        <f t="shared" si="103"/>
        <v>4</v>
      </c>
      <c r="BF363" s="887" t="str">
        <f t="shared" si="104"/>
        <v>SI</v>
      </c>
      <c r="BG363" s="883">
        <f t="shared" si="105"/>
        <v>17.39</v>
      </c>
      <c r="BH363" s="883">
        <f t="shared" si="106"/>
        <v>0</v>
      </c>
      <c r="BI363" s="883">
        <f t="shared" si="107"/>
        <v>0</v>
      </c>
      <c r="BJ363" s="883">
        <f t="shared" si="108"/>
        <v>0</v>
      </c>
      <c r="BK363" s="883">
        <f t="shared" si="109"/>
        <v>0</v>
      </c>
      <c r="BL363" s="883">
        <f t="shared" si="110"/>
        <v>2.61</v>
      </c>
      <c r="BM363" s="881"/>
      <c r="BN363" s="880"/>
      <c r="BO363" s="882" t="s">
        <v>1579</v>
      </c>
      <c r="BP363" s="882" t="s">
        <v>2286</v>
      </c>
      <c r="BQ363" s="882" t="s">
        <v>2285</v>
      </c>
      <c r="BR363" s="880"/>
      <c r="BS363" s="880"/>
      <c r="BT363" s="880"/>
      <c r="BU363" s="880"/>
      <c r="BV363" s="880"/>
      <c r="BW363" s="883">
        <v>0</v>
      </c>
      <c r="BX363" s="883">
        <v>0</v>
      </c>
      <c r="BY363" s="883">
        <v>0</v>
      </c>
      <c r="BZ363" s="890"/>
      <c r="CA363" s="883">
        <f t="shared" si="111"/>
        <v>0</v>
      </c>
      <c r="CB363" s="880"/>
      <c r="CC363" s="881"/>
      <c r="CD363" s="883"/>
      <c r="CE363" s="883"/>
      <c r="CF363" s="883"/>
      <c r="CG363" s="883"/>
      <c r="CH363" s="883"/>
      <c r="CI363" s="883"/>
      <c r="CJ363" s="883"/>
      <c r="CK363" s="883"/>
      <c r="CL363" s="883"/>
      <c r="CM363" s="883"/>
      <c r="CN363" s="883"/>
      <c r="CO363" s="883"/>
      <c r="CP363" s="883"/>
      <c r="CQ363" s="883"/>
      <c r="CR363" s="883"/>
      <c r="CS363" s="883"/>
      <c r="CT363" s="883"/>
      <c r="CU363" s="883"/>
    </row>
    <row r="364" spans="1:99" x14ac:dyDescent="0.25">
      <c r="A364" s="880" t="s">
        <v>1787</v>
      </c>
      <c r="B364" s="881" t="s">
        <v>1788</v>
      </c>
      <c r="C364" s="880"/>
      <c r="D364" s="880"/>
      <c r="E364" s="884" t="s">
        <v>744</v>
      </c>
      <c r="F364" s="888">
        <v>1</v>
      </c>
      <c r="G364" s="881" t="s">
        <v>1007</v>
      </c>
      <c r="H364" s="881" t="s">
        <v>19</v>
      </c>
      <c r="I364" s="865">
        <v>46142</v>
      </c>
      <c r="J364" s="882" t="s">
        <v>8</v>
      </c>
      <c r="K364" s="880"/>
      <c r="L364" s="880"/>
      <c r="M364" s="883">
        <v>0</v>
      </c>
      <c r="N364" s="883">
        <v>0</v>
      </c>
      <c r="O364" s="883">
        <v>0</v>
      </c>
      <c r="P364" s="883">
        <v>17.39</v>
      </c>
      <c r="Q364" s="883">
        <v>15</v>
      </c>
      <c r="R364" s="883">
        <f t="shared" si="96"/>
        <v>2.61</v>
      </c>
      <c r="S364" s="883">
        <v>0</v>
      </c>
      <c r="T364" s="883">
        <v>5</v>
      </c>
      <c r="U364" s="883">
        <f t="shared" si="97"/>
        <v>0</v>
      </c>
      <c r="V364" s="883">
        <v>0</v>
      </c>
      <c r="W364" s="883">
        <v>8</v>
      </c>
      <c r="X364" s="883">
        <f t="shared" si="98"/>
        <v>0</v>
      </c>
      <c r="Y364" s="883">
        <v>0</v>
      </c>
      <c r="Z364" s="883">
        <v>0</v>
      </c>
      <c r="AA364" s="883">
        <v>0</v>
      </c>
      <c r="AB364" s="883">
        <f t="shared" si="99"/>
        <v>20</v>
      </c>
      <c r="AC364" s="883">
        <v>0</v>
      </c>
      <c r="AD364" s="881"/>
      <c r="AE364" s="880"/>
      <c r="AF364" s="883"/>
      <c r="AG364" s="889"/>
      <c r="AH364" s="880"/>
      <c r="AI364" s="880" t="s">
        <v>1241</v>
      </c>
      <c r="AJ364" s="884">
        <v>411</v>
      </c>
      <c r="AK364" s="883">
        <f t="shared" si="100"/>
        <v>17.39</v>
      </c>
      <c r="AL364" s="884">
        <v>413</v>
      </c>
      <c r="AM364" s="883">
        <f t="shared" si="101"/>
        <v>0</v>
      </c>
      <c r="AN364" s="884">
        <v>441</v>
      </c>
      <c r="AO364" s="883">
        <f t="shared" si="102"/>
        <v>0</v>
      </c>
      <c r="AP364" s="881"/>
      <c r="AQ364" s="881"/>
      <c r="AR364" s="883">
        <v>0</v>
      </c>
      <c r="AS364" s="883">
        <v>0</v>
      </c>
      <c r="AT364" s="883">
        <v>0</v>
      </c>
      <c r="AU364" s="880"/>
      <c r="AV364" s="886"/>
      <c r="AW364" s="880"/>
      <c r="AX364" s="886"/>
      <c r="AY364" s="880"/>
      <c r="AZ364" s="880"/>
      <c r="BA364" s="881"/>
      <c r="BB364" s="881" t="s">
        <v>57</v>
      </c>
      <c r="BC364" s="881"/>
      <c r="BD364" s="881"/>
      <c r="BE364" s="884">
        <f t="shared" si="103"/>
        <v>4</v>
      </c>
      <c r="BF364" s="887" t="str">
        <f t="shared" si="104"/>
        <v>SI</v>
      </c>
      <c r="BG364" s="883">
        <f t="shared" si="105"/>
        <v>17.39</v>
      </c>
      <c r="BH364" s="883">
        <f t="shared" si="106"/>
        <v>0</v>
      </c>
      <c r="BI364" s="883">
        <f t="shared" si="107"/>
        <v>0</v>
      </c>
      <c r="BJ364" s="883">
        <f t="shared" si="108"/>
        <v>0</v>
      </c>
      <c r="BK364" s="883">
        <f t="shared" si="109"/>
        <v>0</v>
      </c>
      <c r="BL364" s="883">
        <f t="shared" si="110"/>
        <v>2.61</v>
      </c>
      <c r="BM364" s="881"/>
      <c r="BN364" s="880"/>
      <c r="BO364" s="882" t="s">
        <v>1579</v>
      </c>
      <c r="BP364" s="882" t="s">
        <v>2286</v>
      </c>
      <c r="BQ364" s="882" t="s">
        <v>2285</v>
      </c>
      <c r="BR364" s="880"/>
      <c r="BS364" s="880"/>
      <c r="BT364" s="880"/>
      <c r="BU364" s="880"/>
      <c r="BV364" s="880"/>
      <c r="BW364" s="883">
        <v>0</v>
      </c>
      <c r="BX364" s="883">
        <v>0</v>
      </c>
      <c r="BY364" s="883">
        <v>0</v>
      </c>
      <c r="BZ364" s="890"/>
      <c r="CA364" s="883">
        <f t="shared" si="111"/>
        <v>0</v>
      </c>
      <c r="CB364" s="880"/>
      <c r="CC364" s="881"/>
      <c r="CD364" s="883"/>
      <c r="CE364" s="883"/>
      <c r="CF364" s="883"/>
      <c r="CG364" s="883"/>
      <c r="CH364" s="883"/>
      <c r="CI364" s="883"/>
      <c r="CJ364" s="883"/>
      <c r="CK364" s="883"/>
      <c r="CL364" s="883"/>
      <c r="CM364" s="883"/>
      <c r="CN364" s="883"/>
      <c r="CO364" s="883"/>
      <c r="CP364" s="883"/>
      <c r="CQ364" s="883"/>
      <c r="CR364" s="883"/>
      <c r="CS364" s="883"/>
      <c r="CT364" s="883"/>
      <c r="CU364" s="883"/>
    </row>
    <row r="365" spans="1:99" x14ac:dyDescent="0.25">
      <c r="A365" s="880" t="s">
        <v>1787</v>
      </c>
      <c r="B365" s="881" t="s">
        <v>1788</v>
      </c>
      <c r="C365" s="880"/>
      <c r="D365" s="880"/>
      <c r="E365" s="884" t="s">
        <v>744</v>
      </c>
      <c r="F365" s="888">
        <v>1</v>
      </c>
      <c r="G365" s="881" t="s">
        <v>1007</v>
      </c>
      <c r="H365" s="881" t="s">
        <v>19</v>
      </c>
      <c r="I365" s="865">
        <v>46142</v>
      </c>
      <c r="J365" s="882" t="s">
        <v>8</v>
      </c>
      <c r="K365" s="880"/>
      <c r="L365" s="880"/>
      <c r="M365" s="883">
        <v>0</v>
      </c>
      <c r="N365" s="883">
        <v>0</v>
      </c>
      <c r="O365" s="883">
        <v>0</v>
      </c>
      <c r="P365" s="883">
        <v>17.39</v>
      </c>
      <c r="Q365" s="883">
        <v>15</v>
      </c>
      <c r="R365" s="883">
        <f t="shared" si="96"/>
        <v>2.61</v>
      </c>
      <c r="S365" s="883">
        <v>0</v>
      </c>
      <c r="T365" s="883">
        <v>5</v>
      </c>
      <c r="U365" s="883">
        <f t="shared" si="97"/>
        <v>0</v>
      </c>
      <c r="V365" s="883">
        <v>0</v>
      </c>
      <c r="W365" s="883">
        <v>8</v>
      </c>
      <c r="X365" s="883">
        <f t="shared" si="98"/>
        <v>0</v>
      </c>
      <c r="Y365" s="883">
        <v>0</v>
      </c>
      <c r="Z365" s="883">
        <v>0</v>
      </c>
      <c r="AA365" s="883">
        <v>0</v>
      </c>
      <c r="AB365" s="883">
        <f t="shared" si="99"/>
        <v>20</v>
      </c>
      <c r="AC365" s="883">
        <v>0</v>
      </c>
      <c r="AD365" s="881"/>
      <c r="AE365" s="880"/>
      <c r="AF365" s="883"/>
      <c r="AG365" s="889"/>
      <c r="AH365" s="880"/>
      <c r="AI365" s="880" t="s">
        <v>1241</v>
      </c>
      <c r="AJ365" s="884">
        <v>411</v>
      </c>
      <c r="AK365" s="883">
        <f t="shared" si="100"/>
        <v>17.39</v>
      </c>
      <c r="AL365" s="884">
        <v>413</v>
      </c>
      <c r="AM365" s="883">
        <f t="shared" si="101"/>
        <v>0</v>
      </c>
      <c r="AN365" s="884">
        <v>441</v>
      </c>
      <c r="AO365" s="883">
        <f t="shared" si="102"/>
        <v>0</v>
      </c>
      <c r="AP365" s="881"/>
      <c r="AQ365" s="881"/>
      <c r="AR365" s="883">
        <v>0</v>
      </c>
      <c r="AS365" s="883">
        <v>0</v>
      </c>
      <c r="AT365" s="883">
        <v>0</v>
      </c>
      <c r="AU365" s="880"/>
      <c r="AV365" s="886"/>
      <c r="AW365" s="880"/>
      <c r="AX365" s="886"/>
      <c r="AY365" s="880"/>
      <c r="AZ365" s="880"/>
      <c r="BA365" s="881"/>
      <c r="BB365" s="881" t="s">
        <v>57</v>
      </c>
      <c r="BC365" s="881"/>
      <c r="BD365" s="881"/>
      <c r="BE365" s="884">
        <f t="shared" si="103"/>
        <v>4</v>
      </c>
      <c r="BF365" s="887" t="str">
        <f t="shared" si="104"/>
        <v>SI</v>
      </c>
      <c r="BG365" s="883">
        <f t="shared" si="105"/>
        <v>17.39</v>
      </c>
      <c r="BH365" s="883">
        <f t="shared" si="106"/>
        <v>0</v>
      </c>
      <c r="BI365" s="883">
        <f t="shared" si="107"/>
        <v>0</v>
      </c>
      <c r="BJ365" s="883">
        <f t="shared" si="108"/>
        <v>0</v>
      </c>
      <c r="BK365" s="883">
        <f t="shared" si="109"/>
        <v>0</v>
      </c>
      <c r="BL365" s="883">
        <f t="shared" si="110"/>
        <v>2.61</v>
      </c>
      <c r="BM365" s="881"/>
      <c r="BN365" s="880"/>
      <c r="BO365" s="882" t="s">
        <v>1579</v>
      </c>
      <c r="BP365" s="882" t="s">
        <v>2286</v>
      </c>
      <c r="BQ365" s="882" t="s">
        <v>2285</v>
      </c>
      <c r="BR365" s="880"/>
      <c r="BS365" s="880"/>
      <c r="BT365" s="880"/>
      <c r="BU365" s="880"/>
      <c r="BV365" s="880"/>
      <c r="BW365" s="883">
        <v>0</v>
      </c>
      <c r="BX365" s="883">
        <v>0</v>
      </c>
      <c r="BY365" s="883">
        <v>0</v>
      </c>
      <c r="BZ365" s="890"/>
      <c r="CA365" s="883">
        <f t="shared" si="111"/>
        <v>0</v>
      </c>
      <c r="CB365" s="880"/>
      <c r="CC365" s="881"/>
      <c r="CD365" s="883"/>
      <c r="CE365" s="883"/>
      <c r="CF365" s="883"/>
      <c r="CG365" s="883"/>
      <c r="CH365" s="883"/>
      <c r="CI365" s="883"/>
      <c r="CJ365" s="883"/>
      <c r="CK365" s="883"/>
      <c r="CL365" s="883"/>
      <c r="CM365" s="883"/>
      <c r="CN365" s="883"/>
      <c r="CO365" s="883"/>
      <c r="CP365" s="883"/>
      <c r="CQ365" s="883"/>
      <c r="CR365" s="883"/>
      <c r="CS365" s="883"/>
      <c r="CT365" s="883"/>
      <c r="CU365" s="883"/>
    </row>
    <row r="366" spans="1:99" x14ac:dyDescent="0.25">
      <c r="A366" s="880" t="s">
        <v>1787</v>
      </c>
      <c r="B366" s="881" t="s">
        <v>1788</v>
      </c>
      <c r="C366" s="880"/>
      <c r="D366" s="880"/>
      <c r="E366" s="884" t="s">
        <v>744</v>
      </c>
      <c r="F366" s="888">
        <v>1</v>
      </c>
      <c r="G366" s="881" t="s">
        <v>1007</v>
      </c>
      <c r="H366" s="881" t="s">
        <v>19</v>
      </c>
      <c r="I366" s="865">
        <v>46142</v>
      </c>
      <c r="J366" s="882" t="s">
        <v>8</v>
      </c>
      <c r="K366" s="880"/>
      <c r="L366" s="880"/>
      <c r="M366" s="883">
        <v>0</v>
      </c>
      <c r="N366" s="883">
        <v>0</v>
      </c>
      <c r="O366" s="883">
        <v>0</v>
      </c>
      <c r="P366" s="883">
        <v>17.850000000000001</v>
      </c>
      <c r="Q366" s="883">
        <v>15</v>
      </c>
      <c r="R366" s="883">
        <f t="shared" si="96"/>
        <v>2.68</v>
      </c>
      <c r="S366" s="883">
        <v>0</v>
      </c>
      <c r="T366" s="883">
        <v>5</v>
      </c>
      <c r="U366" s="883">
        <f t="shared" si="97"/>
        <v>0</v>
      </c>
      <c r="V366" s="883">
        <v>0</v>
      </c>
      <c r="W366" s="883">
        <v>8</v>
      </c>
      <c r="X366" s="883">
        <f t="shared" si="98"/>
        <v>0</v>
      </c>
      <c r="Y366" s="883">
        <v>0</v>
      </c>
      <c r="Z366" s="883">
        <v>0</v>
      </c>
      <c r="AA366" s="883">
        <v>0</v>
      </c>
      <c r="AB366" s="883">
        <f t="shared" si="99"/>
        <v>20.53</v>
      </c>
      <c r="AC366" s="883">
        <v>0</v>
      </c>
      <c r="AD366" s="881"/>
      <c r="AE366" s="880"/>
      <c r="AF366" s="883"/>
      <c r="AG366" s="889"/>
      <c r="AH366" s="880"/>
      <c r="AI366" s="880" t="s">
        <v>1241</v>
      </c>
      <c r="AJ366" s="884">
        <v>411</v>
      </c>
      <c r="AK366" s="883">
        <f t="shared" si="100"/>
        <v>17.850000000000001</v>
      </c>
      <c r="AL366" s="884">
        <v>413</v>
      </c>
      <c r="AM366" s="883">
        <f t="shared" si="101"/>
        <v>0</v>
      </c>
      <c r="AN366" s="884">
        <v>441</v>
      </c>
      <c r="AO366" s="883">
        <f t="shared" si="102"/>
        <v>0</v>
      </c>
      <c r="AP366" s="881"/>
      <c r="AQ366" s="881"/>
      <c r="AR366" s="883">
        <v>0</v>
      </c>
      <c r="AS366" s="883">
        <v>0</v>
      </c>
      <c r="AT366" s="883">
        <v>0</v>
      </c>
      <c r="AU366" s="880"/>
      <c r="AV366" s="886"/>
      <c r="AW366" s="880"/>
      <c r="AX366" s="886"/>
      <c r="AY366" s="880"/>
      <c r="AZ366" s="880"/>
      <c r="BA366" s="881"/>
      <c r="BB366" s="881" t="s">
        <v>57</v>
      </c>
      <c r="BC366" s="881"/>
      <c r="BD366" s="881"/>
      <c r="BE366" s="884">
        <f t="shared" si="103"/>
        <v>4</v>
      </c>
      <c r="BF366" s="887" t="str">
        <f t="shared" si="104"/>
        <v>SI</v>
      </c>
      <c r="BG366" s="883">
        <f t="shared" si="105"/>
        <v>17.850000000000001</v>
      </c>
      <c r="BH366" s="883">
        <f t="shared" si="106"/>
        <v>0</v>
      </c>
      <c r="BI366" s="883">
        <f t="shared" si="107"/>
        <v>0</v>
      </c>
      <c r="BJ366" s="883">
        <f t="shared" si="108"/>
        <v>0</v>
      </c>
      <c r="BK366" s="883">
        <f t="shared" si="109"/>
        <v>0</v>
      </c>
      <c r="BL366" s="883">
        <f t="shared" si="110"/>
        <v>2.68</v>
      </c>
      <c r="BM366" s="881"/>
      <c r="BN366" s="880"/>
      <c r="BO366" s="882" t="s">
        <v>1579</v>
      </c>
      <c r="BP366" s="882" t="s">
        <v>2286</v>
      </c>
      <c r="BQ366" s="882" t="s">
        <v>2285</v>
      </c>
      <c r="BR366" s="880"/>
      <c r="BS366" s="880"/>
      <c r="BT366" s="880"/>
      <c r="BU366" s="880"/>
      <c r="BV366" s="880"/>
      <c r="BW366" s="883">
        <v>0</v>
      </c>
      <c r="BX366" s="883">
        <v>0</v>
      </c>
      <c r="BY366" s="883">
        <v>0</v>
      </c>
      <c r="BZ366" s="890"/>
      <c r="CA366" s="883">
        <f t="shared" si="111"/>
        <v>0</v>
      </c>
      <c r="CB366" s="880"/>
      <c r="CC366" s="881"/>
      <c r="CD366" s="883"/>
      <c r="CE366" s="883"/>
      <c r="CF366" s="883"/>
      <c r="CG366" s="883"/>
      <c r="CH366" s="883"/>
      <c r="CI366" s="883"/>
      <c r="CJ366" s="883"/>
      <c r="CK366" s="883"/>
      <c r="CL366" s="883"/>
      <c r="CM366" s="883"/>
      <c r="CN366" s="883"/>
      <c r="CO366" s="883"/>
      <c r="CP366" s="883"/>
      <c r="CQ366" s="883"/>
      <c r="CR366" s="883"/>
      <c r="CS366" s="883"/>
      <c r="CT366" s="883"/>
      <c r="CU366" s="883"/>
    </row>
    <row r="367" spans="1:99" x14ac:dyDescent="0.25">
      <c r="A367" s="880" t="s">
        <v>1787</v>
      </c>
      <c r="B367" s="881" t="s">
        <v>1788</v>
      </c>
      <c r="C367" s="880"/>
      <c r="D367" s="880"/>
      <c r="E367" s="884" t="s">
        <v>744</v>
      </c>
      <c r="F367" s="888">
        <v>1</v>
      </c>
      <c r="G367" s="881" t="s">
        <v>1007</v>
      </c>
      <c r="H367" s="881" t="s">
        <v>19</v>
      </c>
      <c r="I367" s="865">
        <v>46142</v>
      </c>
      <c r="J367" s="882" t="s">
        <v>8</v>
      </c>
      <c r="K367" s="880"/>
      <c r="L367" s="880"/>
      <c r="M367" s="883">
        <v>0</v>
      </c>
      <c r="N367" s="883">
        <v>0</v>
      </c>
      <c r="O367" s="883">
        <v>0</v>
      </c>
      <c r="P367" s="883">
        <v>17.39</v>
      </c>
      <c r="Q367" s="883">
        <v>15</v>
      </c>
      <c r="R367" s="883">
        <f t="shared" si="96"/>
        <v>2.61</v>
      </c>
      <c r="S367" s="883">
        <v>0</v>
      </c>
      <c r="T367" s="883">
        <v>5</v>
      </c>
      <c r="U367" s="883">
        <f t="shared" si="97"/>
        <v>0</v>
      </c>
      <c r="V367" s="883">
        <v>0</v>
      </c>
      <c r="W367" s="883">
        <v>8</v>
      </c>
      <c r="X367" s="883">
        <f t="shared" si="98"/>
        <v>0</v>
      </c>
      <c r="Y367" s="883">
        <v>0</v>
      </c>
      <c r="Z367" s="883">
        <v>0</v>
      </c>
      <c r="AA367" s="883">
        <v>0</v>
      </c>
      <c r="AB367" s="883">
        <f t="shared" si="99"/>
        <v>20</v>
      </c>
      <c r="AC367" s="883">
        <v>0</v>
      </c>
      <c r="AD367" s="881"/>
      <c r="AE367" s="880"/>
      <c r="AF367" s="883"/>
      <c r="AG367" s="889"/>
      <c r="AH367" s="880"/>
      <c r="AI367" s="880" t="s">
        <v>1241</v>
      </c>
      <c r="AJ367" s="884">
        <v>411</v>
      </c>
      <c r="AK367" s="883">
        <f t="shared" si="100"/>
        <v>17.39</v>
      </c>
      <c r="AL367" s="884">
        <v>413</v>
      </c>
      <c r="AM367" s="883">
        <f t="shared" si="101"/>
        <v>0</v>
      </c>
      <c r="AN367" s="884">
        <v>441</v>
      </c>
      <c r="AO367" s="883">
        <f t="shared" si="102"/>
        <v>0</v>
      </c>
      <c r="AP367" s="881"/>
      <c r="AQ367" s="881"/>
      <c r="AR367" s="883">
        <v>0</v>
      </c>
      <c r="AS367" s="883">
        <v>0</v>
      </c>
      <c r="AT367" s="883">
        <v>0</v>
      </c>
      <c r="AU367" s="880"/>
      <c r="AV367" s="886"/>
      <c r="AW367" s="880"/>
      <c r="AX367" s="886"/>
      <c r="AY367" s="880"/>
      <c r="AZ367" s="880"/>
      <c r="BA367" s="881"/>
      <c r="BB367" s="881" t="s">
        <v>57</v>
      </c>
      <c r="BC367" s="881"/>
      <c r="BD367" s="881"/>
      <c r="BE367" s="884">
        <f t="shared" si="103"/>
        <v>4</v>
      </c>
      <c r="BF367" s="887" t="str">
        <f t="shared" si="104"/>
        <v>SI</v>
      </c>
      <c r="BG367" s="883">
        <f t="shared" si="105"/>
        <v>17.39</v>
      </c>
      <c r="BH367" s="883">
        <f t="shared" si="106"/>
        <v>0</v>
      </c>
      <c r="BI367" s="883">
        <f t="shared" si="107"/>
        <v>0</v>
      </c>
      <c r="BJ367" s="883">
        <f t="shared" si="108"/>
        <v>0</v>
      </c>
      <c r="BK367" s="883">
        <f t="shared" si="109"/>
        <v>0</v>
      </c>
      <c r="BL367" s="883">
        <f t="shared" si="110"/>
        <v>2.61</v>
      </c>
      <c r="BM367" s="881"/>
      <c r="BN367" s="880"/>
      <c r="BO367" s="882" t="s">
        <v>1579</v>
      </c>
      <c r="BP367" s="882" t="s">
        <v>2286</v>
      </c>
      <c r="BQ367" s="882" t="s">
        <v>2285</v>
      </c>
      <c r="BR367" s="880"/>
      <c r="BS367" s="880"/>
      <c r="BT367" s="880"/>
      <c r="BU367" s="880"/>
      <c r="BV367" s="880"/>
      <c r="BW367" s="883">
        <v>0</v>
      </c>
      <c r="BX367" s="883">
        <v>0</v>
      </c>
      <c r="BY367" s="883">
        <v>0</v>
      </c>
      <c r="BZ367" s="890"/>
      <c r="CA367" s="883">
        <f t="shared" si="111"/>
        <v>0</v>
      </c>
      <c r="CB367" s="880"/>
      <c r="CC367" s="881"/>
      <c r="CD367" s="883"/>
      <c r="CE367" s="883"/>
      <c r="CF367" s="883"/>
      <c r="CG367" s="883"/>
      <c r="CH367" s="883"/>
      <c r="CI367" s="883"/>
      <c r="CJ367" s="883"/>
      <c r="CK367" s="883"/>
      <c r="CL367" s="883"/>
      <c r="CM367" s="883"/>
      <c r="CN367" s="883"/>
      <c r="CO367" s="883"/>
      <c r="CP367" s="883"/>
      <c r="CQ367" s="883"/>
      <c r="CR367" s="883"/>
      <c r="CS367" s="883"/>
      <c r="CT367" s="883"/>
      <c r="CU367" s="883"/>
    </row>
    <row r="368" spans="1:99" x14ac:dyDescent="0.25">
      <c r="A368" s="880" t="s">
        <v>1787</v>
      </c>
      <c r="B368" s="881" t="s">
        <v>1788</v>
      </c>
      <c r="C368" s="880"/>
      <c r="D368" s="880"/>
      <c r="E368" s="884" t="s">
        <v>744</v>
      </c>
      <c r="F368" s="888">
        <v>1</v>
      </c>
      <c r="G368" s="881" t="s">
        <v>1007</v>
      </c>
      <c r="H368" s="881" t="s">
        <v>19</v>
      </c>
      <c r="I368" s="865">
        <v>46142</v>
      </c>
      <c r="J368" s="882" t="s">
        <v>8</v>
      </c>
      <c r="K368" s="880"/>
      <c r="L368" s="880"/>
      <c r="M368" s="883">
        <v>0</v>
      </c>
      <c r="N368" s="883">
        <v>0</v>
      </c>
      <c r="O368" s="883">
        <v>0</v>
      </c>
      <c r="P368" s="883">
        <v>17.39</v>
      </c>
      <c r="Q368" s="883">
        <v>15</v>
      </c>
      <c r="R368" s="883">
        <f t="shared" si="96"/>
        <v>2.61</v>
      </c>
      <c r="S368" s="883">
        <v>0</v>
      </c>
      <c r="T368" s="883">
        <v>5</v>
      </c>
      <c r="U368" s="883">
        <f t="shared" si="97"/>
        <v>0</v>
      </c>
      <c r="V368" s="883">
        <v>0</v>
      </c>
      <c r="W368" s="883">
        <v>8</v>
      </c>
      <c r="X368" s="883">
        <f t="shared" si="98"/>
        <v>0</v>
      </c>
      <c r="Y368" s="883">
        <v>0</v>
      </c>
      <c r="Z368" s="883">
        <v>0</v>
      </c>
      <c r="AA368" s="883">
        <v>0</v>
      </c>
      <c r="AB368" s="883">
        <f t="shared" si="99"/>
        <v>20</v>
      </c>
      <c r="AC368" s="883">
        <v>0</v>
      </c>
      <c r="AD368" s="881"/>
      <c r="AE368" s="880"/>
      <c r="AF368" s="883"/>
      <c r="AG368" s="889"/>
      <c r="AH368" s="880"/>
      <c r="AI368" s="880" t="s">
        <v>1241</v>
      </c>
      <c r="AJ368" s="884">
        <v>411</v>
      </c>
      <c r="AK368" s="883">
        <f t="shared" si="100"/>
        <v>17.39</v>
      </c>
      <c r="AL368" s="884">
        <v>413</v>
      </c>
      <c r="AM368" s="883">
        <f t="shared" si="101"/>
        <v>0</v>
      </c>
      <c r="AN368" s="884">
        <v>441</v>
      </c>
      <c r="AO368" s="883">
        <f t="shared" si="102"/>
        <v>0</v>
      </c>
      <c r="AP368" s="881"/>
      <c r="AQ368" s="881"/>
      <c r="AR368" s="883">
        <v>0</v>
      </c>
      <c r="AS368" s="883">
        <v>0</v>
      </c>
      <c r="AT368" s="883">
        <v>0</v>
      </c>
      <c r="AU368" s="880"/>
      <c r="AV368" s="886"/>
      <c r="AW368" s="880"/>
      <c r="AX368" s="886"/>
      <c r="AY368" s="880"/>
      <c r="AZ368" s="880"/>
      <c r="BA368" s="881"/>
      <c r="BB368" s="881" t="s">
        <v>57</v>
      </c>
      <c r="BC368" s="881"/>
      <c r="BD368" s="881"/>
      <c r="BE368" s="884">
        <f t="shared" si="103"/>
        <v>4</v>
      </c>
      <c r="BF368" s="887" t="str">
        <f t="shared" si="104"/>
        <v>SI</v>
      </c>
      <c r="BG368" s="883">
        <f t="shared" si="105"/>
        <v>17.39</v>
      </c>
      <c r="BH368" s="883">
        <f t="shared" si="106"/>
        <v>0</v>
      </c>
      <c r="BI368" s="883">
        <f t="shared" si="107"/>
        <v>0</v>
      </c>
      <c r="BJ368" s="883">
        <f t="shared" si="108"/>
        <v>0</v>
      </c>
      <c r="BK368" s="883">
        <f t="shared" si="109"/>
        <v>0</v>
      </c>
      <c r="BL368" s="883">
        <f t="shared" si="110"/>
        <v>2.61</v>
      </c>
      <c r="BM368" s="881"/>
      <c r="BN368" s="880"/>
      <c r="BO368" s="882" t="s">
        <v>1579</v>
      </c>
      <c r="BP368" s="882" t="s">
        <v>2286</v>
      </c>
      <c r="BQ368" s="882" t="s">
        <v>2285</v>
      </c>
      <c r="BR368" s="880"/>
      <c r="BS368" s="880"/>
      <c r="BT368" s="880"/>
      <c r="BU368" s="880"/>
      <c r="BV368" s="880"/>
      <c r="BW368" s="883">
        <v>0</v>
      </c>
      <c r="BX368" s="883">
        <v>0</v>
      </c>
      <c r="BY368" s="883">
        <v>0</v>
      </c>
      <c r="BZ368" s="890"/>
      <c r="CA368" s="883">
        <f t="shared" si="111"/>
        <v>0</v>
      </c>
      <c r="CB368" s="880"/>
      <c r="CC368" s="881"/>
      <c r="CD368" s="883"/>
      <c r="CE368" s="883"/>
      <c r="CF368" s="883"/>
      <c r="CG368" s="883"/>
      <c r="CH368" s="883"/>
      <c r="CI368" s="883"/>
      <c r="CJ368" s="883"/>
      <c r="CK368" s="883"/>
      <c r="CL368" s="883"/>
      <c r="CM368" s="883"/>
      <c r="CN368" s="883"/>
      <c r="CO368" s="883"/>
      <c r="CP368" s="883"/>
      <c r="CQ368" s="883"/>
      <c r="CR368" s="883"/>
      <c r="CS368" s="883"/>
      <c r="CT368" s="883"/>
      <c r="CU368" s="883"/>
    </row>
    <row r="369" spans="1:99" x14ac:dyDescent="0.25">
      <c r="A369" s="880" t="s">
        <v>1787</v>
      </c>
      <c r="B369" s="881" t="s">
        <v>1788</v>
      </c>
      <c r="C369" s="880"/>
      <c r="D369" s="880"/>
      <c r="E369" s="884" t="s">
        <v>744</v>
      </c>
      <c r="F369" s="888">
        <v>1</v>
      </c>
      <c r="G369" s="881" t="s">
        <v>1007</v>
      </c>
      <c r="H369" s="881" t="s">
        <v>19</v>
      </c>
      <c r="I369" s="865">
        <v>46142</v>
      </c>
      <c r="J369" s="882" t="s">
        <v>8</v>
      </c>
      <c r="K369" s="880"/>
      <c r="L369" s="880"/>
      <c r="M369" s="883">
        <v>0</v>
      </c>
      <c r="N369" s="883">
        <v>0</v>
      </c>
      <c r="O369" s="883">
        <v>0</v>
      </c>
      <c r="P369" s="883">
        <v>17.86</v>
      </c>
      <c r="Q369" s="883">
        <v>15</v>
      </c>
      <c r="R369" s="883">
        <f t="shared" si="96"/>
        <v>2.68</v>
      </c>
      <c r="S369" s="883">
        <v>0</v>
      </c>
      <c r="T369" s="883">
        <v>5</v>
      </c>
      <c r="U369" s="883">
        <f t="shared" si="97"/>
        <v>0</v>
      </c>
      <c r="V369" s="883">
        <v>0</v>
      </c>
      <c r="W369" s="883">
        <v>8</v>
      </c>
      <c r="X369" s="883">
        <f t="shared" si="98"/>
        <v>0</v>
      </c>
      <c r="Y369" s="883">
        <v>0</v>
      </c>
      <c r="Z369" s="883">
        <v>0</v>
      </c>
      <c r="AA369" s="883">
        <v>0</v>
      </c>
      <c r="AB369" s="883">
        <f t="shared" si="99"/>
        <v>20.54</v>
      </c>
      <c r="AC369" s="883">
        <v>0</v>
      </c>
      <c r="AD369" s="881"/>
      <c r="AE369" s="880"/>
      <c r="AF369" s="883"/>
      <c r="AG369" s="889"/>
      <c r="AH369" s="880"/>
      <c r="AI369" s="880" t="s">
        <v>1241</v>
      </c>
      <c r="AJ369" s="884">
        <v>411</v>
      </c>
      <c r="AK369" s="883">
        <f t="shared" si="100"/>
        <v>17.86</v>
      </c>
      <c r="AL369" s="884">
        <v>413</v>
      </c>
      <c r="AM369" s="883">
        <f t="shared" si="101"/>
        <v>0</v>
      </c>
      <c r="AN369" s="884">
        <v>441</v>
      </c>
      <c r="AO369" s="883">
        <f t="shared" si="102"/>
        <v>0</v>
      </c>
      <c r="AP369" s="881"/>
      <c r="AQ369" s="881"/>
      <c r="AR369" s="883">
        <v>0</v>
      </c>
      <c r="AS369" s="883">
        <v>0</v>
      </c>
      <c r="AT369" s="883">
        <v>0</v>
      </c>
      <c r="AU369" s="880"/>
      <c r="AV369" s="886"/>
      <c r="AW369" s="880"/>
      <c r="AX369" s="886"/>
      <c r="AY369" s="880"/>
      <c r="AZ369" s="880"/>
      <c r="BA369" s="881"/>
      <c r="BB369" s="881" t="s">
        <v>57</v>
      </c>
      <c r="BC369" s="881"/>
      <c r="BD369" s="881"/>
      <c r="BE369" s="884">
        <f t="shared" si="103"/>
        <v>4</v>
      </c>
      <c r="BF369" s="887" t="str">
        <f t="shared" si="104"/>
        <v>SI</v>
      </c>
      <c r="BG369" s="883">
        <f t="shared" si="105"/>
        <v>17.86</v>
      </c>
      <c r="BH369" s="883">
        <f t="shared" si="106"/>
        <v>0</v>
      </c>
      <c r="BI369" s="883">
        <f t="shared" si="107"/>
        <v>0</v>
      </c>
      <c r="BJ369" s="883">
        <f t="shared" si="108"/>
        <v>0</v>
      </c>
      <c r="BK369" s="883">
        <f t="shared" si="109"/>
        <v>0</v>
      </c>
      <c r="BL369" s="883">
        <f t="shared" si="110"/>
        <v>2.68</v>
      </c>
      <c r="BM369" s="881"/>
      <c r="BN369" s="880"/>
      <c r="BO369" s="882" t="s">
        <v>1579</v>
      </c>
      <c r="BP369" s="882" t="s">
        <v>2286</v>
      </c>
      <c r="BQ369" s="882" t="s">
        <v>2285</v>
      </c>
      <c r="BR369" s="880"/>
      <c r="BS369" s="880"/>
      <c r="BT369" s="880"/>
      <c r="BU369" s="880"/>
      <c r="BV369" s="880"/>
      <c r="BW369" s="883">
        <v>0</v>
      </c>
      <c r="BX369" s="883">
        <v>0</v>
      </c>
      <c r="BY369" s="883">
        <v>0</v>
      </c>
      <c r="BZ369" s="890"/>
      <c r="CA369" s="883">
        <f t="shared" si="111"/>
        <v>0</v>
      </c>
      <c r="CB369" s="880"/>
      <c r="CC369" s="881"/>
      <c r="CD369" s="883"/>
      <c r="CE369" s="883"/>
      <c r="CF369" s="883"/>
      <c r="CG369" s="883"/>
      <c r="CH369" s="883"/>
      <c r="CI369" s="883"/>
      <c r="CJ369" s="883"/>
      <c r="CK369" s="883"/>
      <c r="CL369" s="883"/>
      <c r="CM369" s="883"/>
      <c r="CN369" s="883"/>
      <c r="CO369" s="883"/>
      <c r="CP369" s="883"/>
      <c r="CQ369" s="883"/>
      <c r="CR369" s="883"/>
      <c r="CS369" s="883"/>
      <c r="CT369" s="883"/>
      <c r="CU369" s="883"/>
    </row>
    <row r="370" spans="1:99" x14ac:dyDescent="0.25">
      <c r="A370" s="880" t="s">
        <v>1787</v>
      </c>
      <c r="B370" s="881" t="s">
        <v>1788</v>
      </c>
      <c r="C370" s="880"/>
      <c r="D370" s="880"/>
      <c r="E370" s="884" t="s">
        <v>744</v>
      </c>
      <c r="F370" s="888">
        <v>1</v>
      </c>
      <c r="G370" s="881" t="s">
        <v>1007</v>
      </c>
      <c r="H370" s="881" t="s">
        <v>19</v>
      </c>
      <c r="I370" s="865">
        <v>46142</v>
      </c>
      <c r="J370" s="882" t="s">
        <v>8</v>
      </c>
      <c r="K370" s="880"/>
      <c r="L370" s="880"/>
      <c r="M370" s="883">
        <v>0</v>
      </c>
      <c r="N370" s="883">
        <v>0</v>
      </c>
      <c r="O370" s="883">
        <v>0</v>
      </c>
      <c r="P370" s="883">
        <v>17.39</v>
      </c>
      <c r="Q370" s="883">
        <v>15</v>
      </c>
      <c r="R370" s="883">
        <f t="shared" si="96"/>
        <v>2.61</v>
      </c>
      <c r="S370" s="883">
        <v>0</v>
      </c>
      <c r="T370" s="883">
        <v>5</v>
      </c>
      <c r="U370" s="883">
        <f t="shared" si="97"/>
        <v>0</v>
      </c>
      <c r="V370" s="883">
        <v>0</v>
      </c>
      <c r="W370" s="883">
        <v>8</v>
      </c>
      <c r="X370" s="883">
        <f t="shared" si="98"/>
        <v>0</v>
      </c>
      <c r="Y370" s="883">
        <v>0</v>
      </c>
      <c r="Z370" s="883">
        <v>0</v>
      </c>
      <c r="AA370" s="883">
        <v>0</v>
      </c>
      <c r="AB370" s="883">
        <f t="shared" si="99"/>
        <v>20</v>
      </c>
      <c r="AC370" s="883">
        <v>0</v>
      </c>
      <c r="AD370" s="881"/>
      <c r="AE370" s="880"/>
      <c r="AF370" s="883"/>
      <c r="AG370" s="889"/>
      <c r="AH370" s="880"/>
      <c r="AI370" s="880" t="s">
        <v>1241</v>
      </c>
      <c r="AJ370" s="884">
        <v>411</v>
      </c>
      <c r="AK370" s="883">
        <f t="shared" si="100"/>
        <v>17.39</v>
      </c>
      <c r="AL370" s="884">
        <v>413</v>
      </c>
      <c r="AM370" s="883">
        <f t="shared" si="101"/>
        <v>0</v>
      </c>
      <c r="AN370" s="884">
        <v>441</v>
      </c>
      <c r="AO370" s="883">
        <f t="shared" si="102"/>
        <v>0</v>
      </c>
      <c r="AP370" s="881"/>
      <c r="AQ370" s="881"/>
      <c r="AR370" s="883">
        <v>0</v>
      </c>
      <c r="AS370" s="883">
        <v>0</v>
      </c>
      <c r="AT370" s="883">
        <v>0</v>
      </c>
      <c r="AU370" s="880"/>
      <c r="AV370" s="886"/>
      <c r="AW370" s="880"/>
      <c r="AX370" s="886"/>
      <c r="AY370" s="880"/>
      <c r="AZ370" s="880"/>
      <c r="BA370" s="881"/>
      <c r="BB370" s="881" t="s">
        <v>57</v>
      </c>
      <c r="BC370" s="881"/>
      <c r="BD370" s="881"/>
      <c r="BE370" s="884">
        <f t="shared" si="103"/>
        <v>4</v>
      </c>
      <c r="BF370" s="887" t="str">
        <f t="shared" si="104"/>
        <v>SI</v>
      </c>
      <c r="BG370" s="883">
        <f t="shared" si="105"/>
        <v>17.39</v>
      </c>
      <c r="BH370" s="883">
        <f t="shared" si="106"/>
        <v>0</v>
      </c>
      <c r="BI370" s="883">
        <f t="shared" si="107"/>
        <v>0</v>
      </c>
      <c r="BJ370" s="883">
        <f t="shared" si="108"/>
        <v>0</v>
      </c>
      <c r="BK370" s="883">
        <f t="shared" si="109"/>
        <v>0</v>
      </c>
      <c r="BL370" s="883">
        <f t="shared" si="110"/>
        <v>2.61</v>
      </c>
      <c r="BM370" s="881"/>
      <c r="BN370" s="880"/>
      <c r="BO370" s="882" t="s">
        <v>1579</v>
      </c>
      <c r="BP370" s="882" t="s">
        <v>2286</v>
      </c>
      <c r="BQ370" s="882" t="s">
        <v>2285</v>
      </c>
      <c r="BR370" s="880"/>
      <c r="BS370" s="880"/>
      <c r="BT370" s="880"/>
      <c r="BU370" s="880"/>
      <c r="BV370" s="880"/>
      <c r="BW370" s="883">
        <v>0</v>
      </c>
      <c r="BX370" s="883">
        <v>0</v>
      </c>
      <c r="BY370" s="883">
        <v>0</v>
      </c>
      <c r="BZ370" s="890"/>
      <c r="CA370" s="883">
        <f t="shared" si="111"/>
        <v>0</v>
      </c>
      <c r="CB370" s="880"/>
      <c r="CC370" s="881"/>
      <c r="CD370" s="883"/>
      <c r="CE370" s="883"/>
      <c r="CF370" s="883"/>
      <c r="CG370" s="883"/>
      <c r="CH370" s="883"/>
      <c r="CI370" s="883"/>
      <c r="CJ370" s="883"/>
      <c r="CK370" s="883"/>
      <c r="CL370" s="883"/>
      <c r="CM370" s="883"/>
      <c r="CN370" s="883"/>
      <c r="CO370" s="883"/>
      <c r="CP370" s="883"/>
      <c r="CQ370" s="883"/>
      <c r="CR370" s="883"/>
      <c r="CS370" s="883"/>
      <c r="CT370" s="883"/>
      <c r="CU370" s="883"/>
    </row>
    <row r="371" spans="1:99" x14ac:dyDescent="0.25">
      <c r="A371" s="880" t="s">
        <v>1787</v>
      </c>
      <c r="B371" s="881" t="s">
        <v>1788</v>
      </c>
      <c r="C371" s="880"/>
      <c r="D371" s="880"/>
      <c r="E371" s="884" t="s">
        <v>744</v>
      </c>
      <c r="F371" s="888">
        <v>1</v>
      </c>
      <c r="G371" s="881" t="s">
        <v>1007</v>
      </c>
      <c r="H371" s="881" t="s">
        <v>19</v>
      </c>
      <c r="I371" s="865">
        <v>46142</v>
      </c>
      <c r="J371" s="882" t="s">
        <v>8</v>
      </c>
      <c r="K371" s="880"/>
      <c r="L371" s="880"/>
      <c r="M371" s="883">
        <v>0</v>
      </c>
      <c r="N371" s="883">
        <v>0</v>
      </c>
      <c r="O371" s="883">
        <v>0</v>
      </c>
      <c r="P371" s="883">
        <v>17.39</v>
      </c>
      <c r="Q371" s="883">
        <v>15</v>
      </c>
      <c r="R371" s="883">
        <f t="shared" si="96"/>
        <v>2.61</v>
      </c>
      <c r="S371" s="883">
        <v>0</v>
      </c>
      <c r="T371" s="883">
        <v>5</v>
      </c>
      <c r="U371" s="883">
        <f t="shared" si="97"/>
        <v>0</v>
      </c>
      <c r="V371" s="883">
        <v>0</v>
      </c>
      <c r="W371" s="883">
        <v>8</v>
      </c>
      <c r="X371" s="883">
        <f t="shared" si="98"/>
        <v>0</v>
      </c>
      <c r="Y371" s="883">
        <v>0</v>
      </c>
      <c r="Z371" s="883">
        <v>0</v>
      </c>
      <c r="AA371" s="883">
        <v>0</v>
      </c>
      <c r="AB371" s="883">
        <f t="shared" si="99"/>
        <v>20</v>
      </c>
      <c r="AC371" s="883">
        <v>0</v>
      </c>
      <c r="AD371" s="881"/>
      <c r="AE371" s="880"/>
      <c r="AF371" s="883"/>
      <c r="AG371" s="889"/>
      <c r="AH371" s="880"/>
      <c r="AI371" s="880" t="s">
        <v>1241</v>
      </c>
      <c r="AJ371" s="884">
        <v>411</v>
      </c>
      <c r="AK371" s="883">
        <f t="shared" si="100"/>
        <v>17.39</v>
      </c>
      <c r="AL371" s="884">
        <v>413</v>
      </c>
      <c r="AM371" s="883">
        <f t="shared" si="101"/>
        <v>0</v>
      </c>
      <c r="AN371" s="884">
        <v>441</v>
      </c>
      <c r="AO371" s="883">
        <f t="shared" si="102"/>
        <v>0</v>
      </c>
      <c r="AP371" s="881"/>
      <c r="AQ371" s="881"/>
      <c r="AR371" s="883">
        <v>0</v>
      </c>
      <c r="AS371" s="883">
        <v>0</v>
      </c>
      <c r="AT371" s="883">
        <v>0</v>
      </c>
      <c r="AU371" s="880"/>
      <c r="AV371" s="886"/>
      <c r="AW371" s="880"/>
      <c r="AX371" s="886"/>
      <c r="AY371" s="880"/>
      <c r="AZ371" s="880"/>
      <c r="BA371" s="881"/>
      <c r="BB371" s="881" t="s">
        <v>57</v>
      </c>
      <c r="BC371" s="881"/>
      <c r="BD371" s="881"/>
      <c r="BE371" s="884">
        <f t="shared" si="103"/>
        <v>4</v>
      </c>
      <c r="BF371" s="887" t="str">
        <f t="shared" si="104"/>
        <v>SI</v>
      </c>
      <c r="BG371" s="883">
        <f t="shared" si="105"/>
        <v>17.39</v>
      </c>
      <c r="BH371" s="883">
        <f t="shared" si="106"/>
        <v>0</v>
      </c>
      <c r="BI371" s="883">
        <f t="shared" si="107"/>
        <v>0</v>
      </c>
      <c r="BJ371" s="883">
        <f t="shared" si="108"/>
        <v>0</v>
      </c>
      <c r="BK371" s="883">
        <f t="shared" si="109"/>
        <v>0</v>
      </c>
      <c r="BL371" s="883">
        <f t="shared" si="110"/>
        <v>2.61</v>
      </c>
      <c r="BM371" s="881"/>
      <c r="BN371" s="880"/>
      <c r="BO371" s="882" t="s">
        <v>1579</v>
      </c>
      <c r="BP371" s="882" t="s">
        <v>2286</v>
      </c>
      <c r="BQ371" s="882" t="s">
        <v>2285</v>
      </c>
      <c r="BR371" s="880"/>
      <c r="BS371" s="880"/>
      <c r="BT371" s="880"/>
      <c r="BU371" s="880"/>
      <c r="BV371" s="880"/>
      <c r="BW371" s="883">
        <v>0</v>
      </c>
      <c r="BX371" s="883">
        <v>0</v>
      </c>
      <c r="BY371" s="883">
        <v>0</v>
      </c>
      <c r="BZ371" s="890"/>
      <c r="CA371" s="883">
        <f t="shared" si="111"/>
        <v>0</v>
      </c>
      <c r="CB371" s="880"/>
      <c r="CC371" s="881"/>
      <c r="CD371" s="883"/>
      <c r="CE371" s="883"/>
      <c r="CF371" s="883"/>
      <c r="CG371" s="883"/>
      <c r="CH371" s="883"/>
      <c r="CI371" s="883"/>
      <c r="CJ371" s="883"/>
      <c r="CK371" s="883"/>
      <c r="CL371" s="883"/>
      <c r="CM371" s="883"/>
      <c r="CN371" s="883"/>
      <c r="CO371" s="883"/>
      <c r="CP371" s="883"/>
      <c r="CQ371" s="883"/>
      <c r="CR371" s="883"/>
      <c r="CS371" s="883"/>
      <c r="CT371" s="883"/>
      <c r="CU371" s="883"/>
    </row>
    <row r="372" spans="1:99" x14ac:dyDescent="0.25">
      <c r="A372" s="880" t="s">
        <v>1787</v>
      </c>
      <c r="B372" s="881" t="s">
        <v>1788</v>
      </c>
      <c r="C372" s="880"/>
      <c r="D372" s="880"/>
      <c r="E372" s="884" t="s">
        <v>744</v>
      </c>
      <c r="F372" s="888">
        <v>1</v>
      </c>
      <c r="G372" s="881" t="s">
        <v>1007</v>
      </c>
      <c r="H372" s="881" t="s">
        <v>19</v>
      </c>
      <c r="I372" s="865">
        <v>46142</v>
      </c>
      <c r="J372" s="882" t="s">
        <v>8</v>
      </c>
      <c r="K372" s="880"/>
      <c r="L372" s="880"/>
      <c r="M372" s="883">
        <v>0</v>
      </c>
      <c r="N372" s="883">
        <v>0</v>
      </c>
      <c r="O372" s="883">
        <v>0</v>
      </c>
      <c r="P372" s="883">
        <v>17.39</v>
      </c>
      <c r="Q372" s="883">
        <v>15</v>
      </c>
      <c r="R372" s="883">
        <f t="shared" si="96"/>
        <v>2.61</v>
      </c>
      <c r="S372" s="883">
        <v>0</v>
      </c>
      <c r="T372" s="883">
        <v>5</v>
      </c>
      <c r="U372" s="883">
        <f t="shared" si="97"/>
        <v>0</v>
      </c>
      <c r="V372" s="883">
        <v>0</v>
      </c>
      <c r="W372" s="883">
        <v>8</v>
      </c>
      <c r="X372" s="883">
        <f t="shared" si="98"/>
        <v>0</v>
      </c>
      <c r="Y372" s="883">
        <v>0</v>
      </c>
      <c r="Z372" s="883">
        <v>0</v>
      </c>
      <c r="AA372" s="883">
        <v>0</v>
      </c>
      <c r="AB372" s="883">
        <f t="shared" si="99"/>
        <v>20</v>
      </c>
      <c r="AC372" s="883">
        <v>0</v>
      </c>
      <c r="AD372" s="881"/>
      <c r="AE372" s="880"/>
      <c r="AF372" s="883"/>
      <c r="AG372" s="889"/>
      <c r="AH372" s="880"/>
      <c r="AI372" s="880" t="s">
        <v>1241</v>
      </c>
      <c r="AJ372" s="884">
        <v>411</v>
      </c>
      <c r="AK372" s="883">
        <f t="shared" si="100"/>
        <v>17.39</v>
      </c>
      <c r="AL372" s="884">
        <v>413</v>
      </c>
      <c r="AM372" s="883">
        <f t="shared" si="101"/>
        <v>0</v>
      </c>
      <c r="AN372" s="884">
        <v>441</v>
      </c>
      <c r="AO372" s="883">
        <f t="shared" si="102"/>
        <v>0</v>
      </c>
      <c r="AP372" s="881"/>
      <c r="AQ372" s="881"/>
      <c r="AR372" s="883">
        <v>0</v>
      </c>
      <c r="AS372" s="883">
        <v>0</v>
      </c>
      <c r="AT372" s="883">
        <v>0</v>
      </c>
      <c r="AU372" s="880"/>
      <c r="AV372" s="886"/>
      <c r="AW372" s="880"/>
      <c r="AX372" s="886"/>
      <c r="AY372" s="880"/>
      <c r="AZ372" s="880"/>
      <c r="BA372" s="881"/>
      <c r="BB372" s="881" t="s">
        <v>57</v>
      </c>
      <c r="BC372" s="881"/>
      <c r="BD372" s="881"/>
      <c r="BE372" s="884">
        <f t="shared" si="103"/>
        <v>4</v>
      </c>
      <c r="BF372" s="887" t="str">
        <f t="shared" si="104"/>
        <v>SI</v>
      </c>
      <c r="BG372" s="883">
        <f t="shared" si="105"/>
        <v>17.39</v>
      </c>
      <c r="BH372" s="883">
        <f t="shared" si="106"/>
        <v>0</v>
      </c>
      <c r="BI372" s="883">
        <f t="shared" si="107"/>
        <v>0</v>
      </c>
      <c r="BJ372" s="883">
        <f t="shared" si="108"/>
        <v>0</v>
      </c>
      <c r="BK372" s="883">
        <f t="shared" si="109"/>
        <v>0</v>
      </c>
      <c r="BL372" s="883">
        <f t="shared" si="110"/>
        <v>2.61</v>
      </c>
      <c r="BM372" s="881"/>
      <c r="BN372" s="880"/>
      <c r="BO372" s="882" t="s">
        <v>1579</v>
      </c>
      <c r="BP372" s="882" t="s">
        <v>2286</v>
      </c>
      <c r="BQ372" s="882" t="s">
        <v>2285</v>
      </c>
      <c r="BR372" s="880"/>
      <c r="BS372" s="880"/>
      <c r="BT372" s="880"/>
      <c r="BU372" s="880"/>
      <c r="BV372" s="880"/>
      <c r="BW372" s="883">
        <v>0</v>
      </c>
      <c r="BX372" s="883">
        <v>0</v>
      </c>
      <c r="BY372" s="883">
        <v>0</v>
      </c>
      <c r="BZ372" s="890"/>
      <c r="CA372" s="883">
        <f t="shared" si="111"/>
        <v>0</v>
      </c>
      <c r="CB372" s="880"/>
      <c r="CC372" s="881"/>
      <c r="CD372" s="883"/>
      <c r="CE372" s="883"/>
      <c r="CF372" s="883"/>
      <c r="CG372" s="883"/>
      <c r="CH372" s="883"/>
      <c r="CI372" s="883"/>
      <c r="CJ372" s="883"/>
      <c r="CK372" s="883"/>
      <c r="CL372" s="883"/>
      <c r="CM372" s="883"/>
      <c r="CN372" s="883"/>
      <c r="CO372" s="883"/>
      <c r="CP372" s="883"/>
      <c r="CQ372" s="883"/>
      <c r="CR372" s="883"/>
      <c r="CS372" s="883"/>
      <c r="CT372" s="883"/>
      <c r="CU372" s="883"/>
    </row>
    <row r="373" spans="1:99" x14ac:dyDescent="0.25">
      <c r="A373" s="880" t="s">
        <v>1787</v>
      </c>
      <c r="B373" s="881" t="s">
        <v>1788</v>
      </c>
      <c r="C373" s="880"/>
      <c r="D373" s="880"/>
      <c r="E373" s="884" t="s">
        <v>744</v>
      </c>
      <c r="F373" s="888">
        <v>1</v>
      </c>
      <c r="G373" s="881" t="s">
        <v>1007</v>
      </c>
      <c r="H373" s="881" t="s">
        <v>19</v>
      </c>
      <c r="I373" s="865">
        <v>46142</v>
      </c>
      <c r="J373" s="882" t="s">
        <v>8</v>
      </c>
      <c r="K373" s="880"/>
      <c r="L373" s="880"/>
      <c r="M373" s="883">
        <v>0</v>
      </c>
      <c r="N373" s="883">
        <v>0</v>
      </c>
      <c r="O373" s="883">
        <v>0</v>
      </c>
      <c r="P373" s="883">
        <v>17.86</v>
      </c>
      <c r="Q373" s="883">
        <v>15</v>
      </c>
      <c r="R373" s="883">
        <f t="shared" si="96"/>
        <v>2.68</v>
      </c>
      <c r="S373" s="883">
        <v>0</v>
      </c>
      <c r="T373" s="883">
        <v>5</v>
      </c>
      <c r="U373" s="883">
        <f t="shared" si="97"/>
        <v>0</v>
      </c>
      <c r="V373" s="883">
        <v>0</v>
      </c>
      <c r="W373" s="883">
        <v>8</v>
      </c>
      <c r="X373" s="883">
        <f t="shared" si="98"/>
        <v>0</v>
      </c>
      <c r="Y373" s="883">
        <v>0</v>
      </c>
      <c r="Z373" s="883">
        <v>0</v>
      </c>
      <c r="AA373" s="883">
        <v>0</v>
      </c>
      <c r="AB373" s="883">
        <f t="shared" si="99"/>
        <v>20.54</v>
      </c>
      <c r="AC373" s="883">
        <v>0</v>
      </c>
      <c r="AD373" s="881"/>
      <c r="AE373" s="880"/>
      <c r="AF373" s="883"/>
      <c r="AG373" s="889"/>
      <c r="AH373" s="880"/>
      <c r="AI373" s="880" t="s">
        <v>1241</v>
      </c>
      <c r="AJ373" s="884">
        <v>411</v>
      </c>
      <c r="AK373" s="883">
        <f t="shared" si="100"/>
        <v>17.86</v>
      </c>
      <c r="AL373" s="884">
        <v>413</v>
      </c>
      <c r="AM373" s="883">
        <f t="shared" si="101"/>
        <v>0</v>
      </c>
      <c r="AN373" s="884">
        <v>441</v>
      </c>
      <c r="AO373" s="883">
        <f t="shared" si="102"/>
        <v>0</v>
      </c>
      <c r="AP373" s="881"/>
      <c r="AQ373" s="881"/>
      <c r="AR373" s="883">
        <v>0</v>
      </c>
      <c r="AS373" s="883">
        <v>0</v>
      </c>
      <c r="AT373" s="883">
        <v>0</v>
      </c>
      <c r="AU373" s="880"/>
      <c r="AV373" s="886"/>
      <c r="AW373" s="880"/>
      <c r="AX373" s="886"/>
      <c r="AY373" s="880"/>
      <c r="AZ373" s="880"/>
      <c r="BA373" s="881"/>
      <c r="BB373" s="881" t="s">
        <v>57</v>
      </c>
      <c r="BC373" s="881"/>
      <c r="BD373" s="881"/>
      <c r="BE373" s="884">
        <f t="shared" si="103"/>
        <v>4</v>
      </c>
      <c r="BF373" s="887" t="str">
        <f t="shared" si="104"/>
        <v>SI</v>
      </c>
      <c r="BG373" s="883">
        <f t="shared" si="105"/>
        <v>17.86</v>
      </c>
      <c r="BH373" s="883">
        <f t="shared" si="106"/>
        <v>0</v>
      </c>
      <c r="BI373" s="883">
        <f t="shared" si="107"/>
        <v>0</v>
      </c>
      <c r="BJ373" s="883">
        <f t="shared" si="108"/>
        <v>0</v>
      </c>
      <c r="BK373" s="883">
        <f t="shared" si="109"/>
        <v>0</v>
      </c>
      <c r="BL373" s="883">
        <f t="shared" si="110"/>
        <v>2.68</v>
      </c>
      <c r="BM373" s="881"/>
      <c r="BN373" s="880"/>
      <c r="BO373" s="882" t="s">
        <v>1579</v>
      </c>
      <c r="BP373" s="882" t="s">
        <v>2286</v>
      </c>
      <c r="BQ373" s="882" t="s">
        <v>2285</v>
      </c>
      <c r="BR373" s="880"/>
      <c r="BS373" s="880"/>
      <c r="BT373" s="880"/>
      <c r="BU373" s="880"/>
      <c r="BV373" s="880"/>
      <c r="BW373" s="883">
        <v>0</v>
      </c>
      <c r="BX373" s="883">
        <v>0</v>
      </c>
      <c r="BY373" s="883">
        <v>0</v>
      </c>
      <c r="BZ373" s="890"/>
      <c r="CA373" s="883">
        <f t="shared" si="111"/>
        <v>0</v>
      </c>
      <c r="CB373" s="880"/>
      <c r="CC373" s="881"/>
      <c r="CD373" s="883"/>
      <c r="CE373" s="883"/>
      <c r="CF373" s="883"/>
      <c r="CG373" s="883"/>
      <c r="CH373" s="883"/>
      <c r="CI373" s="883"/>
      <c r="CJ373" s="883"/>
      <c r="CK373" s="883"/>
      <c r="CL373" s="883"/>
      <c r="CM373" s="883"/>
      <c r="CN373" s="883"/>
      <c r="CO373" s="883"/>
      <c r="CP373" s="883"/>
      <c r="CQ373" s="883"/>
      <c r="CR373" s="883"/>
      <c r="CS373" s="883"/>
      <c r="CT373" s="883"/>
      <c r="CU373" s="883"/>
    </row>
    <row r="374" spans="1:99" x14ac:dyDescent="0.25">
      <c r="A374" s="880" t="s">
        <v>1787</v>
      </c>
      <c r="B374" s="881" t="s">
        <v>1788</v>
      </c>
      <c r="C374" s="880"/>
      <c r="D374" s="880"/>
      <c r="E374" s="884" t="s">
        <v>744</v>
      </c>
      <c r="F374" s="888">
        <v>1</v>
      </c>
      <c r="G374" s="881" t="s">
        <v>1007</v>
      </c>
      <c r="H374" s="881" t="s">
        <v>19</v>
      </c>
      <c r="I374" s="865">
        <v>46142</v>
      </c>
      <c r="J374" s="882" t="s">
        <v>8</v>
      </c>
      <c r="K374" s="880"/>
      <c r="L374" s="880"/>
      <c r="M374" s="883">
        <v>0</v>
      </c>
      <c r="N374" s="883">
        <v>0</v>
      </c>
      <c r="O374" s="883">
        <v>0</v>
      </c>
      <c r="P374" s="883">
        <v>17.39</v>
      </c>
      <c r="Q374" s="883">
        <v>15</v>
      </c>
      <c r="R374" s="883">
        <f t="shared" si="96"/>
        <v>2.61</v>
      </c>
      <c r="S374" s="883">
        <v>0</v>
      </c>
      <c r="T374" s="883">
        <v>5</v>
      </c>
      <c r="U374" s="883">
        <f t="shared" si="97"/>
        <v>0</v>
      </c>
      <c r="V374" s="883">
        <v>0</v>
      </c>
      <c r="W374" s="883">
        <v>8</v>
      </c>
      <c r="X374" s="883">
        <f t="shared" si="98"/>
        <v>0</v>
      </c>
      <c r="Y374" s="883">
        <v>0</v>
      </c>
      <c r="Z374" s="883">
        <v>0</v>
      </c>
      <c r="AA374" s="883">
        <v>0</v>
      </c>
      <c r="AB374" s="883">
        <f t="shared" si="99"/>
        <v>20</v>
      </c>
      <c r="AC374" s="883">
        <v>0</v>
      </c>
      <c r="AD374" s="881"/>
      <c r="AE374" s="880"/>
      <c r="AF374" s="883"/>
      <c r="AG374" s="889"/>
      <c r="AH374" s="880"/>
      <c r="AI374" s="880" t="s">
        <v>1241</v>
      </c>
      <c r="AJ374" s="884">
        <v>411</v>
      </c>
      <c r="AK374" s="883">
        <f t="shared" si="100"/>
        <v>17.39</v>
      </c>
      <c r="AL374" s="884">
        <v>413</v>
      </c>
      <c r="AM374" s="883">
        <f t="shared" si="101"/>
        <v>0</v>
      </c>
      <c r="AN374" s="884">
        <v>441</v>
      </c>
      <c r="AO374" s="883">
        <f t="shared" si="102"/>
        <v>0</v>
      </c>
      <c r="AP374" s="881"/>
      <c r="AQ374" s="881"/>
      <c r="AR374" s="883">
        <v>0</v>
      </c>
      <c r="AS374" s="883">
        <v>0</v>
      </c>
      <c r="AT374" s="883">
        <v>0</v>
      </c>
      <c r="AU374" s="880"/>
      <c r="AV374" s="886"/>
      <c r="AW374" s="880"/>
      <c r="AX374" s="886"/>
      <c r="AY374" s="880"/>
      <c r="AZ374" s="880"/>
      <c r="BA374" s="881"/>
      <c r="BB374" s="881" t="s">
        <v>57</v>
      </c>
      <c r="BC374" s="881"/>
      <c r="BD374" s="881"/>
      <c r="BE374" s="884">
        <f t="shared" si="103"/>
        <v>4</v>
      </c>
      <c r="BF374" s="887" t="str">
        <f t="shared" si="104"/>
        <v>SI</v>
      </c>
      <c r="BG374" s="883">
        <f t="shared" si="105"/>
        <v>17.39</v>
      </c>
      <c r="BH374" s="883">
        <f t="shared" si="106"/>
        <v>0</v>
      </c>
      <c r="BI374" s="883">
        <f t="shared" si="107"/>
        <v>0</v>
      </c>
      <c r="BJ374" s="883">
        <f t="shared" si="108"/>
        <v>0</v>
      </c>
      <c r="BK374" s="883">
        <f t="shared" si="109"/>
        <v>0</v>
      </c>
      <c r="BL374" s="883">
        <f t="shared" si="110"/>
        <v>2.61</v>
      </c>
      <c r="BM374" s="881"/>
      <c r="BN374" s="880"/>
      <c r="BO374" s="882" t="s">
        <v>1579</v>
      </c>
      <c r="BP374" s="882" t="s">
        <v>2286</v>
      </c>
      <c r="BQ374" s="882" t="s">
        <v>2285</v>
      </c>
      <c r="BR374" s="880"/>
      <c r="BS374" s="880"/>
      <c r="BT374" s="880"/>
      <c r="BU374" s="880"/>
      <c r="BV374" s="880"/>
      <c r="BW374" s="883">
        <v>0</v>
      </c>
      <c r="BX374" s="883">
        <v>0</v>
      </c>
      <c r="BY374" s="883">
        <v>0</v>
      </c>
      <c r="BZ374" s="890"/>
      <c r="CA374" s="883">
        <f t="shared" si="111"/>
        <v>0</v>
      </c>
      <c r="CB374" s="880"/>
      <c r="CC374" s="881"/>
      <c r="CD374" s="883"/>
      <c r="CE374" s="883"/>
      <c r="CF374" s="883"/>
      <c r="CG374" s="883"/>
      <c r="CH374" s="883"/>
      <c r="CI374" s="883"/>
      <c r="CJ374" s="883"/>
      <c r="CK374" s="883"/>
      <c r="CL374" s="883"/>
      <c r="CM374" s="883"/>
      <c r="CN374" s="883"/>
      <c r="CO374" s="883"/>
      <c r="CP374" s="883"/>
      <c r="CQ374" s="883"/>
      <c r="CR374" s="883"/>
      <c r="CS374" s="883"/>
      <c r="CT374" s="883"/>
      <c r="CU374" s="883"/>
    </row>
    <row r="375" spans="1:99" x14ac:dyDescent="0.25">
      <c r="A375" s="880" t="s">
        <v>1787</v>
      </c>
      <c r="B375" s="881" t="s">
        <v>1788</v>
      </c>
      <c r="C375" s="880"/>
      <c r="D375" s="880"/>
      <c r="E375" s="884" t="s">
        <v>744</v>
      </c>
      <c r="F375" s="888">
        <v>1</v>
      </c>
      <c r="G375" s="881" t="s">
        <v>1007</v>
      </c>
      <c r="H375" s="881" t="s">
        <v>19</v>
      </c>
      <c r="I375" s="865">
        <v>46142</v>
      </c>
      <c r="J375" s="882" t="s">
        <v>8</v>
      </c>
      <c r="K375" s="880"/>
      <c r="L375" s="880"/>
      <c r="M375" s="883">
        <v>0</v>
      </c>
      <c r="N375" s="883">
        <v>0</v>
      </c>
      <c r="O375" s="883">
        <v>0</v>
      </c>
      <c r="P375" s="883">
        <v>17.39</v>
      </c>
      <c r="Q375" s="883">
        <v>15</v>
      </c>
      <c r="R375" s="883">
        <f t="shared" si="96"/>
        <v>2.61</v>
      </c>
      <c r="S375" s="883">
        <v>0</v>
      </c>
      <c r="T375" s="883">
        <v>5</v>
      </c>
      <c r="U375" s="883">
        <f t="shared" si="97"/>
        <v>0</v>
      </c>
      <c r="V375" s="883">
        <v>0</v>
      </c>
      <c r="W375" s="883">
        <v>8</v>
      </c>
      <c r="X375" s="883">
        <f t="shared" si="98"/>
        <v>0</v>
      </c>
      <c r="Y375" s="883">
        <v>0</v>
      </c>
      <c r="Z375" s="883">
        <v>0</v>
      </c>
      <c r="AA375" s="883">
        <v>0</v>
      </c>
      <c r="AB375" s="883">
        <f t="shared" si="99"/>
        <v>20</v>
      </c>
      <c r="AC375" s="883">
        <v>0</v>
      </c>
      <c r="AD375" s="881"/>
      <c r="AE375" s="880"/>
      <c r="AF375" s="883"/>
      <c r="AG375" s="889"/>
      <c r="AH375" s="880"/>
      <c r="AI375" s="880" t="s">
        <v>1241</v>
      </c>
      <c r="AJ375" s="884">
        <v>411</v>
      </c>
      <c r="AK375" s="883">
        <f t="shared" si="100"/>
        <v>17.39</v>
      </c>
      <c r="AL375" s="884">
        <v>413</v>
      </c>
      <c r="AM375" s="883">
        <f t="shared" si="101"/>
        <v>0</v>
      </c>
      <c r="AN375" s="884">
        <v>441</v>
      </c>
      <c r="AO375" s="883">
        <f t="shared" si="102"/>
        <v>0</v>
      </c>
      <c r="AP375" s="881"/>
      <c r="AQ375" s="881"/>
      <c r="AR375" s="883">
        <v>0</v>
      </c>
      <c r="AS375" s="883">
        <v>0</v>
      </c>
      <c r="AT375" s="883">
        <v>0</v>
      </c>
      <c r="AU375" s="880"/>
      <c r="AV375" s="886"/>
      <c r="AW375" s="880"/>
      <c r="AX375" s="886"/>
      <c r="AY375" s="880"/>
      <c r="AZ375" s="880"/>
      <c r="BA375" s="881"/>
      <c r="BB375" s="881" t="s">
        <v>57</v>
      </c>
      <c r="BC375" s="881"/>
      <c r="BD375" s="881"/>
      <c r="BE375" s="884">
        <f t="shared" si="103"/>
        <v>4</v>
      </c>
      <c r="BF375" s="887" t="str">
        <f t="shared" si="104"/>
        <v>SI</v>
      </c>
      <c r="BG375" s="883">
        <f t="shared" si="105"/>
        <v>17.39</v>
      </c>
      <c r="BH375" s="883">
        <f t="shared" si="106"/>
        <v>0</v>
      </c>
      <c r="BI375" s="883">
        <f t="shared" si="107"/>
        <v>0</v>
      </c>
      <c r="BJ375" s="883">
        <f t="shared" si="108"/>
        <v>0</v>
      </c>
      <c r="BK375" s="883">
        <f t="shared" si="109"/>
        <v>0</v>
      </c>
      <c r="BL375" s="883">
        <f t="shared" si="110"/>
        <v>2.61</v>
      </c>
      <c r="BM375" s="881"/>
      <c r="BN375" s="880"/>
      <c r="BO375" s="882" t="s">
        <v>1579</v>
      </c>
      <c r="BP375" s="882" t="s">
        <v>2286</v>
      </c>
      <c r="BQ375" s="882" t="s">
        <v>2285</v>
      </c>
      <c r="BR375" s="880"/>
      <c r="BS375" s="880"/>
      <c r="BT375" s="880"/>
      <c r="BU375" s="880"/>
      <c r="BV375" s="880"/>
      <c r="BW375" s="883">
        <v>0</v>
      </c>
      <c r="BX375" s="883">
        <v>0</v>
      </c>
      <c r="BY375" s="883">
        <v>0</v>
      </c>
      <c r="BZ375" s="890"/>
      <c r="CA375" s="883">
        <f t="shared" si="111"/>
        <v>0</v>
      </c>
      <c r="CB375" s="880"/>
      <c r="CC375" s="881"/>
      <c r="CD375" s="883"/>
      <c r="CE375" s="883"/>
      <c r="CF375" s="883"/>
      <c r="CG375" s="883"/>
      <c r="CH375" s="883"/>
      <c r="CI375" s="883"/>
      <c r="CJ375" s="883"/>
      <c r="CK375" s="883"/>
      <c r="CL375" s="883"/>
      <c r="CM375" s="883"/>
      <c r="CN375" s="883"/>
      <c r="CO375" s="883"/>
      <c r="CP375" s="883"/>
      <c r="CQ375" s="883"/>
      <c r="CR375" s="883"/>
      <c r="CS375" s="883"/>
      <c r="CT375" s="883"/>
      <c r="CU375" s="883"/>
    </row>
    <row r="376" spans="1:99" x14ac:dyDescent="0.25">
      <c r="A376" s="880" t="s">
        <v>1787</v>
      </c>
      <c r="B376" s="881" t="s">
        <v>1788</v>
      </c>
      <c r="C376" s="880"/>
      <c r="D376" s="880"/>
      <c r="E376" s="884" t="s">
        <v>744</v>
      </c>
      <c r="F376" s="888">
        <v>1</v>
      </c>
      <c r="G376" s="881" t="s">
        <v>1007</v>
      </c>
      <c r="H376" s="881" t="s">
        <v>19</v>
      </c>
      <c r="I376" s="865">
        <v>46142</v>
      </c>
      <c r="J376" s="882" t="s">
        <v>8</v>
      </c>
      <c r="K376" s="880"/>
      <c r="L376" s="880"/>
      <c r="M376" s="883">
        <v>0</v>
      </c>
      <c r="N376" s="883">
        <v>0</v>
      </c>
      <c r="O376" s="883">
        <v>0</v>
      </c>
      <c r="P376" s="883">
        <v>8.6999999999999993</v>
      </c>
      <c r="Q376" s="883">
        <v>15</v>
      </c>
      <c r="R376" s="883">
        <f t="shared" si="96"/>
        <v>1.31</v>
      </c>
      <c r="S376" s="883">
        <v>0</v>
      </c>
      <c r="T376" s="883">
        <v>5</v>
      </c>
      <c r="U376" s="883">
        <f t="shared" si="97"/>
        <v>0</v>
      </c>
      <c r="V376" s="883">
        <v>0</v>
      </c>
      <c r="W376" s="883">
        <v>8</v>
      </c>
      <c r="X376" s="883">
        <f t="shared" si="98"/>
        <v>0</v>
      </c>
      <c r="Y376" s="883">
        <v>0</v>
      </c>
      <c r="Z376" s="883">
        <v>0</v>
      </c>
      <c r="AA376" s="883">
        <v>0</v>
      </c>
      <c r="AB376" s="883">
        <f t="shared" si="99"/>
        <v>10.01</v>
      </c>
      <c r="AC376" s="883">
        <v>0</v>
      </c>
      <c r="AD376" s="881"/>
      <c r="AE376" s="880"/>
      <c r="AF376" s="883"/>
      <c r="AG376" s="889"/>
      <c r="AH376" s="880"/>
      <c r="AI376" s="880" t="s">
        <v>1241</v>
      </c>
      <c r="AJ376" s="884">
        <v>411</v>
      </c>
      <c r="AK376" s="883">
        <f t="shared" si="100"/>
        <v>8.6999999999999993</v>
      </c>
      <c r="AL376" s="884">
        <v>413</v>
      </c>
      <c r="AM376" s="883">
        <f t="shared" si="101"/>
        <v>0</v>
      </c>
      <c r="AN376" s="884">
        <v>441</v>
      </c>
      <c r="AO376" s="883">
        <f t="shared" si="102"/>
        <v>0</v>
      </c>
      <c r="AP376" s="881"/>
      <c r="AQ376" s="881"/>
      <c r="AR376" s="883">
        <v>0</v>
      </c>
      <c r="AS376" s="883">
        <v>0</v>
      </c>
      <c r="AT376" s="883">
        <v>0</v>
      </c>
      <c r="AU376" s="880"/>
      <c r="AV376" s="886"/>
      <c r="AW376" s="880"/>
      <c r="AX376" s="886"/>
      <c r="AY376" s="880"/>
      <c r="AZ376" s="880"/>
      <c r="BA376" s="881"/>
      <c r="BB376" s="881" t="s">
        <v>57</v>
      </c>
      <c r="BC376" s="881"/>
      <c r="BD376" s="881"/>
      <c r="BE376" s="884">
        <f t="shared" si="103"/>
        <v>4</v>
      </c>
      <c r="BF376" s="887" t="str">
        <f t="shared" si="104"/>
        <v>SI</v>
      </c>
      <c r="BG376" s="883">
        <f t="shared" si="105"/>
        <v>8.6999999999999993</v>
      </c>
      <c r="BH376" s="883">
        <f t="shared" si="106"/>
        <v>0</v>
      </c>
      <c r="BI376" s="883">
        <f t="shared" si="107"/>
        <v>0</v>
      </c>
      <c r="BJ376" s="883">
        <f t="shared" si="108"/>
        <v>0</v>
      </c>
      <c r="BK376" s="883">
        <f t="shared" si="109"/>
        <v>0</v>
      </c>
      <c r="BL376" s="883">
        <f t="shared" si="110"/>
        <v>1.31</v>
      </c>
      <c r="BM376" s="881"/>
      <c r="BN376" s="880"/>
      <c r="BO376" s="882" t="s">
        <v>1579</v>
      </c>
      <c r="BP376" s="882" t="s">
        <v>2286</v>
      </c>
      <c r="BQ376" s="882" t="s">
        <v>2285</v>
      </c>
      <c r="BR376" s="880"/>
      <c r="BS376" s="880"/>
      <c r="BT376" s="880"/>
      <c r="BU376" s="880"/>
      <c r="BV376" s="880"/>
      <c r="BW376" s="883">
        <v>0</v>
      </c>
      <c r="BX376" s="883">
        <v>0</v>
      </c>
      <c r="BY376" s="883">
        <v>0</v>
      </c>
      <c r="BZ376" s="890"/>
      <c r="CA376" s="883">
        <f t="shared" si="111"/>
        <v>0</v>
      </c>
      <c r="CB376" s="880"/>
      <c r="CC376" s="881"/>
      <c r="CD376" s="883"/>
      <c r="CE376" s="883"/>
      <c r="CF376" s="883"/>
      <c r="CG376" s="883"/>
      <c r="CH376" s="883"/>
      <c r="CI376" s="883"/>
      <c r="CJ376" s="883"/>
      <c r="CK376" s="883"/>
      <c r="CL376" s="883"/>
      <c r="CM376" s="883"/>
      <c r="CN376" s="883"/>
      <c r="CO376" s="883"/>
      <c r="CP376" s="883"/>
      <c r="CQ376" s="883"/>
      <c r="CR376" s="883"/>
      <c r="CS376" s="883"/>
      <c r="CT376" s="883"/>
      <c r="CU376" s="883"/>
    </row>
    <row r="377" spans="1:99" x14ac:dyDescent="0.25">
      <c r="A377" s="880" t="s">
        <v>1787</v>
      </c>
      <c r="B377" s="881" t="s">
        <v>1788</v>
      </c>
      <c r="C377" s="880"/>
      <c r="D377" s="880"/>
      <c r="E377" s="884" t="s">
        <v>744</v>
      </c>
      <c r="F377" s="888">
        <v>1</v>
      </c>
      <c r="G377" s="881" t="s">
        <v>1007</v>
      </c>
      <c r="H377" s="881" t="s">
        <v>19</v>
      </c>
      <c r="I377" s="865">
        <v>46142</v>
      </c>
      <c r="J377" s="882" t="s">
        <v>8</v>
      </c>
      <c r="K377" s="880"/>
      <c r="L377" s="880"/>
      <c r="M377" s="883">
        <v>0</v>
      </c>
      <c r="N377" s="883">
        <v>0</v>
      </c>
      <c r="O377" s="883">
        <v>0</v>
      </c>
      <c r="P377" s="883">
        <v>17.850000000000001</v>
      </c>
      <c r="Q377" s="883">
        <v>15</v>
      </c>
      <c r="R377" s="883">
        <f t="shared" si="96"/>
        <v>2.68</v>
      </c>
      <c r="S377" s="883">
        <v>0</v>
      </c>
      <c r="T377" s="883">
        <v>5</v>
      </c>
      <c r="U377" s="883">
        <f t="shared" si="97"/>
        <v>0</v>
      </c>
      <c r="V377" s="883">
        <v>0</v>
      </c>
      <c r="W377" s="883">
        <v>8</v>
      </c>
      <c r="X377" s="883">
        <f t="shared" si="98"/>
        <v>0</v>
      </c>
      <c r="Y377" s="883">
        <v>0</v>
      </c>
      <c r="Z377" s="883">
        <v>0</v>
      </c>
      <c r="AA377" s="883">
        <v>0</v>
      </c>
      <c r="AB377" s="883">
        <f t="shared" si="99"/>
        <v>20.53</v>
      </c>
      <c r="AC377" s="883">
        <v>0</v>
      </c>
      <c r="AD377" s="881"/>
      <c r="AE377" s="880"/>
      <c r="AF377" s="883"/>
      <c r="AG377" s="889"/>
      <c r="AH377" s="880"/>
      <c r="AI377" s="880" t="s">
        <v>1241</v>
      </c>
      <c r="AJ377" s="884">
        <v>411</v>
      </c>
      <c r="AK377" s="883">
        <f t="shared" si="100"/>
        <v>17.850000000000001</v>
      </c>
      <c r="AL377" s="884">
        <v>413</v>
      </c>
      <c r="AM377" s="883">
        <f t="shared" si="101"/>
        <v>0</v>
      </c>
      <c r="AN377" s="884">
        <v>441</v>
      </c>
      <c r="AO377" s="883">
        <f t="shared" si="102"/>
        <v>0</v>
      </c>
      <c r="AP377" s="881"/>
      <c r="AQ377" s="881"/>
      <c r="AR377" s="883">
        <v>0</v>
      </c>
      <c r="AS377" s="883">
        <v>0</v>
      </c>
      <c r="AT377" s="883">
        <v>0</v>
      </c>
      <c r="AU377" s="880"/>
      <c r="AV377" s="886"/>
      <c r="AW377" s="880"/>
      <c r="AX377" s="886"/>
      <c r="AY377" s="880"/>
      <c r="AZ377" s="880"/>
      <c r="BA377" s="881"/>
      <c r="BB377" s="881" t="s">
        <v>57</v>
      </c>
      <c r="BC377" s="881"/>
      <c r="BD377" s="881"/>
      <c r="BE377" s="884">
        <f t="shared" si="103"/>
        <v>4</v>
      </c>
      <c r="BF377" s="887" t="str">
        <f t="shared" si="104"/>
        <v>SI</v>
      </c>
      <c r="BG377" s="883">
        <f t="shared" si="105"/>
        <v>17.850000000000001</v>
      </c>
      <c r="BH377" s="883">
        <f t="shared" si="106"/>
        <v>0</v>
      </c>
      <c r="BI377" s="883">
        <f t="shared" si="107"/>
        <v>0</v>
      </c>
      <c r="BJ377" s="883">
        <f t="shared" si="108"/>
        <v>0</v>
      </c>
      <c r="BK377" s="883">
        <f t="shared" si="109"/>
        <v>0</v>
      </c>
      <c r="BL377" s="883">
        <f t="shared" si="110"/>
        <v>2.68</v>
      </c>
      <c r="BM377" s="881"/>
      <c r="BN377" s="880"/>
      <c r="BO377" s="882" t="s">
        <v>1579</v>
      </c>
      <c r="BP377" s="882" t="s">
        <v>2286</v>
      </c>
      <c r="BQ377" s="882" t="s">
        <v>2285</v>
      </c>
      <c r="BR377" s="880"/>
      <c r="BS377" s="880"/>
      <c r="BT377" s="880"/>
      <c r="BU377" s="880"/>
      <c r="BV377" s="880"/>
      <c r="BW377" s="883">
        <v>0</v>
      </c>
      <c r="BX377" s="883">
        <v>0</v>
      </c>
      <c r="BY377" s="883">
        <v>0</v>
      </c>
      <c r="BZ377" s="890"/>
      <c r="CA377" s="883">
        <f t="shared" si="111"/>
        <v>0</v>
      </c>
      <c r="CB377" s="880"/>
      <c r="CC377" s="881"/>
      <c r="CD377" s="883"/>
      <c r="CE377" s="883"/>
      <c r="CF377" s="883"/>
      <c r="CG377" s="883"/>
      <c r="CH377" s="883"/>
      <c r="CI377" s="883"/>
      <c r="CJ377" s="883"/>
      <c r="CK377" s="883"/>
      <c r="CL377" s="883"/>
      <c r="CM377" s="883"/>
      <c r="CN377" s="883"/>
      <c r="CO377" s="883"/>
      <c r="CP377" s="883"/>
      <c r="CQ377" s="883"/>
      <c r="CR377" s="883"/>
      <c r="CS377" s="883"/>
      <c r="CT377" s="883"/>
      <c r="CU377" s="883"/>
    </row>
    <row r="378" spans="1:99" x14ac:dyDescent="0.25">
      <c r="A378" s="880" t="s">
        <v>1787</v>
      </c>
      <c r="B378" s="881" t="s">
        <v>1788</v>
      </c>
      <c r="C378" s="880"/>
      <c r="D378" s="880"/>
      <c r="E378" s="884" t="s">
        <v>744</v>
      </c>
      <c r="F378" s="888">
        <v>1</v>
      </c>
      <c r="G378" s="881" t="s">
        <v>1007</v>
      </c>
      <c r="H378" s="881" t="s">
        <v>19</v>
      </c>
      <c r="I378" s="865">
        <v>46142</v>
      </c>
      <c r="J378" s="882" t="s">
        <v>8</v>
      </c>
      <c r="K378" s="880"/>
      <c r="L378" s="880"/>
      <c r="M378" s="883">
        <v>0</v>
      </c>
      <c r="N378" s="883">
        <v>0</v>
      </c>
      <c r="O378" s="883">
        <v>0</v>
      </c>
      <c r="P378" s="883">
        <v>17.39</v>
      </c>
      <c r="Q378" s="883">
        <v>15</v>
      </c>
      <c r="R378" s="883">
        <f t="shared" si="96"/>
        <v>2.61</v>
      </c>
      <c r="S378" s="883">
        <v>0</v>
      </c>
      <c r="T378" s="883">
        <v>5</v>
      </c>
      <c r="U378" s="883">
        <f t="shared" si="97"/>
        <v>0</v>
      </c>
      <c r="V378" s="883">
        <v>0</v>
      </c>
      <c r="W378" s="883">
        <v>8</v>
      </c>
      <c r="X378" s="883">
        <f t="shared" si="98"/>
        <v>0</v>
      </c>
      <c r="Y378" s="883">
        <v>0</v>
      </c>
      <c r="Z378" s="883">
        <v>0</v>
      </c>
      <c r="AA378" s="883">
        <v>0</v>
      </c>
      <c r="AB378" s="883">
        <f t="shared" si="99"/>
        <v>20</v>
      </c>
      <c r="AC378" s="883">
        <v>0</v>
      </c>
      <c r="AD378" s="881"/>
      <c r="AE378" s="880"/>
      <c r="AF378" s="883"/>
      <c r="AG378" s="889"/>
      <c r="AH378" s="880"/>
      <c r="AI378" s="880" t="s">
        <v>1241</v>
      </c>
      <c r="AJ378" s="884">
        <v>411</v>
      </c>
      <c r="AK378" s="883">
        <f t="shared" si="100"/>
        <v>17.39</v>
      </c>
      <c r="AL378" s="884">
        <v>413</v>
      </c>
      <c r="AM378" s="883">
        <f t="shared" si="101"/>
        <v>0</v>
      </c>
      <c r="AN378" s="884">
        <v>441</v>
      </c>
      <c r="AO378" s="883">
        <f t="shared" si="102"/>
        <v>0</v>
      </c>
      <c r="AP378" s="881"/>
      <c r="AQ378" s="881"/>
      <c r="AR378" s="883">
        <v>0</v>
      </c>
      <c r="AS378" s="883">
        <v>0</v>
      </c>
      <c r="AT378" s="883">
        <v>0</v>
      </c>
      <c r="AU378" s="880"/>
      <c r="AV378" s="886"/>
      <c r="AW378" s="880"/>
      <c r="AX378" s="886"/>
      <c r="AY378" s="880"/>
      <c r="AZ378" s="880"/>
      <c r="BA378" s="881"/>
      <c r="BB378" s="881" t="s">
        <v>57</v>
      </c>
      <c r="BC378" s="881"/>
      <c r="BD378" s="881"/>
      <c r="BE378" s="884">
        <f t="shared" si="103"/>
        <v>4</v>
      </c>
      <c r="BF378" s="887" t="str">
        <f t="shared" si="104"/>
        <v>SI</v>
      </c>
      <c r="BG378" s="883">
        <f t="shared" si="105"/>
        <v>17.39</v>
      </c>
      <c r="BH378" s="883">
        <f t="shared" si="106"/>
        <v>0</v>
      </c>
      <c r="BI378" s="883">
        <f t="shared" si="107"/>
        <v>0</v>
      </c>
      <c r="BJ378" s="883">
        <f t="shared" si="108"/>
        <v>0</v>
      </c>
      <c r="BK378" s="883">
        <f t="shared" si="109"/>
        <v>0</v>
      </c>
      <c r="BL378" s="883">
        <f t="shared" si="110"/>
        <v>2.61</v>
      </c>
      <c r="BM378" s="881"/>
      <c r="BN378" s="880"/>
      <c r="BO378" s="882" t="s">
        <v>1579</v>
      </c>
      <c r="BP378" s="882" t="s">
        <v>2286</v>
      </c>
      <c r="BQ378" s="882" t="s">
        <v>2285</v>
      </c>
      <c r="BR378" s="880"/>
      <c r="BS378" s="880"/>
      <c r="BT378" s="880"/>
      <c r="BU378" s="880"/>
      <c r="BV378" s="880"/>
      <c r="BW378" s="883">
        <v>0</v>
      </c>
      <c r="BX378" s="883">
        <v>0</v>
      </c>
      <c r="BY378" s="883">
        <v>0</v>
      </c>
      <c r="BZ378" s="890"/>
      <c r="CA378" s="883">
        <f t="shared" si="111"/>
        <v>0</v>
      </c>
      <c r="CB378" s="880"/>
      <c r="CC378" s="881"/>
      <c r="CD378" s="883"/>
      <c r="CE378" s="883"/>
      <c r="CF378" s="883"/>
      <c r="CG378" s="883"/>
      <c r="CH378" s="883"/>
      <c r="CI378" s="883"/>
      <c r="CJ378" s="883"/>
      <c r="CK378" s="883"/>
      <c r="CL378" s="883"/>
      <c r="CM378" s="883"/>
      <c r="CN378" s="883"/>
      <c r="CO378" s="883"/>
      <c r="CP378" s="883"/>
      <c r="CQ378" s="883"/>
      <c r="CR378" s="883"/>
      <c r="CS378" s="883"/>
      <c r="CT378" s="883"/>
      <c r="CU378" s="883"/>
    </row>
    <row r="379" spans="1:99" x14ac:dyDescent="0.25">
      <c r="A379" s="880" t="s">
        <v>1787</v>
      </c>
      <c r="B379" s="881" t="s">
        <v>1788</v>
      </c>
      <c r="C379" s="880"/>
      <c r="D379" s="880"/>
      <c r="E379" s="884" t="s">
        <v>744</v>
      </c>
      <c r="F379" s="888">
        <v>1</v>
      </c>
      <c r="G379" s="881" t="s">
        <v>1007</v>
      </c>
      <c r="H379" s="881" t="s">
        <v>19</v>
      </c>
      <c r="I379" s="865">
        <v>46142</v>
      </c>
      <c r="J379" s="882" t="s">
        <v>8</v>
      </c>
      <c r="K379" s="880"/>
      <c r="L379" s="880"/>
      <c r="M379" s="883">
        <v>0</v>
      </c>
      <c r="N379" s="883">
        <v>0</v>
      </c>
      <c r="O379" s="883">
        <v>0</v>
      </c>
      <c r="P379" s="883">
        <v>17.39</v>
      </c>
      <c r="Q379" s="883">
        <v>15</v>
      </c>
      <c r="R379" s="883">
        <f t="shared" si="96"/>
        <v>2.61</v>
      </c>
      <c r="S379" s="883">
        <v>0</v>
      </c>
      <c r="T379" s="883">
        <v>5</v>
      </c>
      <c r="U379" s="883">
        <f t="shared" si="97"/>
        <v>0</v>
      </c>
      <c r="V379" s="883">
        <v>0</v>
      </c>
      <c r="W379" s="883">
        <v>8</v>
      </c>
      <c r="X379" s="883">
        <f t="shared" si="98"/>
        <v>0</v>
      </c>
      <c r="Y379" s="883">
        <v>0</v>
      </c>
      <c r="Z379" s="883">
        <v>0</v>
      </c>
      <c r="AA379" s="883">
        <v>0</v>
      </c>
      <c r="AB379" s="883">
        <f t="shared" si="99"/>
        <v>20</v>
      </c>
      <c r="AC379" s="883">
        <v>0</v>
      </c>
      <c r="AD379" s="881"/>
      <c r="AE379" s="880"/>
      <c r="AF379" s="883"/>
      <c r="AG379" s="889"/>
      <c r="AH379" s="880"/>
      <c r="AI379" s="880" t="s">
        <v>1241</v>
      </c>
      <c r="AJ379" s="884">
        <v>411</v>
      </c>
      <c r="AK379" s="883">
        <f t="shared" si="100"/>
        <v>17.39</v>
      </c>
      <c r="AL379" s="884">
        <v>413</v>
      </c>
      <c r="AM379" s="883">
        <f t="shared" si="101"/>
        <v>0</v>
      </c>
      <c r="AN379" s="884">
        <v>441</v>
      </c>
      <c r="AO379" s="883">
        <f t="shared" si="102"/>
        <v>0</v>
      </c>
      <c r="AP379" s="881"/>
      <c r="AQ379" s="881"/>
      <c r="AR379" s="883">
        <v>0</v>
      </c>
      <c r="AS379" s="883">
        <v>0</v>
      </c>
      <c r="AT379" s="883">
        <v>0</v>
      </c>
      <c r="AU379" s="880"/>
      <c r="AV379" s="886"/>
      <c r="AW379" s="880"/>
      <c r="AX379" s="886"/>
      <c r="AY379" s="880"/>
      <c r="AZ379" s="880"/>
      <c r="BA379" s="881"/>
      <c r="BB379" s="881" t="s">
        <v>57</v>
      </c>
      <c r="BC379" s="881"/>
      <c r="BD379" s="881"/>
      <c r="BE379" s="884">
        <f t="shared" si="103"/>
        <v>4</v>
      </c>
      <c r="BF379" s="887" t="str">
        <f t="shared" si="104"/>
        <v>SI</v>
      </c>
      <c r="BG379" s="883">
        <f t="shared" si="105"/>
        <v>17.39</v>
      </c>
      <c r="BH379" s="883">
        <f t="shared" si="106"/>
        <v>0</v>
      </c>
      <c r="BI379" s="883">
        <f t="shared" si="107"/>
        <v>0</v>
      </c>
      <c r="BJ379" s="883">
        <f t="shared" si="108"/>
        <v>0</v>
      </c>
      <c r="BK379" s="883">
        <f t="shared" si="109"/>
        <v>0</v>
      </c>
      <c r="BL379" s="883">
        <f t="shared" si="110"/>
        <v>2.61</v>
      </c>
      <c r="BM379" s="881"/>
      <c r="BN379" s="880"/>
      <c r="BO379" s="882" t="s">
        <v>1579</v>
      </c>
      <c r="BP379" s="882" t="s">
        <v>2286</v>
      </c>
      <c r="BQ379" s="882" t="s">
        <v>2285</v>
      </c>
      <c r="BR379" s="880"/>
      <c r="BS379" s="880"/>
      <c r="BT379" s="880"/>
      <c r="BU379" s="880"/>
      <c r="BV379" s="880"/>
      <c r="BW379" s="883">
        <v>0</v>
      </c>
      <c r="BX379" s="883">
        <v>0</v>
      </c>
      <c r="BY379" s="883">
        <v>0</v>
      </c>
      <c r="BZ379" s="890"/>
      <c r="CA379" s="883">
        <f t="shared" si="111"/>
        <v>0</v>
      </c>
      <c r="CB379" s="880"/>
      <c r="CC379" s="881"/>
      <c r="CD379" s="883"/>
      <c r="CE379" s="883"/>
      <c r="CF379" s="883"/>
      <c r="CG379" s="883"/>
      <c r="CH379" s="883"/>
      <c r="CI379" s="883"/>
      <c r="CJ379" s="883"/>
      <c r="CK379" s="883"/>
      <c r="CL379" s="883"/>
      <c r="CM379" s="883"/>
      <c r="CN379" s="883"/>
      <c r="CO379" s="883"/>
      <c r="CP379" s="883"/>
      <c r="CQ379" s="883"/>
      <c r="CR379" s="883"/>
      <c r="CS379" s="883"/>
      <c r="CT379" s="883"/>
      <c r="CU379" s="883"/>
    </row>
    <row r="380" spans="1:99" x14ac:dyDescent="0.25">
      <c r="A380" s="880" t="s">
        <v>1787</v>
      </c>
      <c r="B380" s="881" t="s">
        <v>1788</v>
      </c>
      <c r="C380" s="880"/>
      <c r="D380" s="880"/>
      <c r="E380" s="884" t="s">
        <v>744</v>
      </c>
      <c r="F380" s="888">
        <v>1</v>
      </c>
      <c r="G380" s="881" t="s">
        <v>1007</v>
      </c>
      <c r="H380" s="881" t="s">
        <v>19</v>
      </c>
      <c r="I380" s="865">
        <v>46142</v>
      </c>
      <c r="J380" s="882" t="s">
        <v>8</v>
      </c>
      <c r="K380" s="880"/>
      <c r="L380" s="880"/>
      <c r="M380" s="883">
        <v>0</v>
      </c>
      <c r="N380" s="883">
        <v>0</v>
      </c>
      <c r="O380" s="883">
        <v>0</v>
      </c>
      <c r="P380" s="883">
        <v>17.39</v>
      </c>
      <c r="Q380" s="883">
        <v>15</v>
      </c>
      <c r="R380" s="883">
        <f t="shared" si="96"/>
        <v>2.61</v>
      </c>
      <c r="S380" s="883">
        <v>0</v>
      </c>
      <c r="T380" s="883">
        <v>5</v>
      </c>
      <c r="U380" s="883">
        <f t="shared" si="97"/>
        <v>0</v>
      </c>
      <c r="V380" s="883">
        <v>0</v>
      </c>
      <c r="W380" s="883">
        <v>8</v>
      </c>
      <c r="X380" s="883">
        <f t="shared" si="98"/>
        <v>0</v>
      </c>
      <c r="Y380" s="883">
        <v>0</v>
      </c>
      <c r="Z380" s="883">
        <v>0</v>
      </c>
      <c r="AA380" s="883">
        <v>0</v>
      </c>
      <c r="AB380" s="883">
        <f t="shared" si="99"/>
        <v>20</v>
      </c>
      <c r="AC380" s="883">
        <v>0</v>
      </c>
      <c r="AD380" s="881"/>
      <c r="AE380" s="880"/>
      <c r="AF380" s="883"/>
      <c r="AG380" s="889"/>
      <c r="AH380" s="880"/>
      <c r="AI380" s="880" t="s">
        <v>1241</v>
      </c>
      <c r="AJ380" s="884">
        <v>411</v>
      </c>
      <c r="AK380" s="883">
        <f t="shared" si="100"/>
        <v>17.39</v>
      </c>
      <c r="AL380" s="884">
        <v>413</v>
      </c>
      <c r="AM380" s="883">
        <f t="shared" si="101"/>
        <v>0</v>
      </c>
      <c r="AN380" s="884">
        <v>441</v>
      </c>
      <c r="AO380" s="883">
        <f t="shared" si="102"/>
        <v>0</v>
      </c>
      <c r="AP380" s="881"/>
      <c r="AQ380" s="881"/>
      <c r="AR380" s="883">
        <v>0</v>
      </c>
      <c r="AS380" s="883">
        <v>0</v>
      </c>
      <c r="AT380" s="883">
        <v>0</v>
      </c>
      <c r="AU380" s="880"/>
      <c r="AV380" s="886"/>
      <c r="AW380" s="880"/>
      <c r="AX380" s="886"/>
      <c r="AY380" s="880"/>
      <c r="AZ380" s="880"/>
      <c r="BA380" s="881"/>
      <c r="BB380" s="881" t="s">
        <v>57</v>
      </c>
      <c r="BC380" s="881"/>
      <c r="BD380" s="881"/>
      <c r="BE380" s="884">
        <f t="shared" si="103"/>
        <v>4</v>
      </c>
      <c r="BF380" s="887" t="str">
        <f t="shared" si="104"/>
        <v>SI</v>
      </c>
      <c r="BG380" s="883">
        <f t="shared" si="105"/>
        <v>17.39</v>
      </c>
      <c r="BH380" s="883">
        <f t="shared" si="106"/>
        <v>0</v>
      </c>
      <c r="BI380" s="883">
        <f t="shared" si="107"/>
        <v>0</v>
      </c>
      <c r="BJ380" s="883">
        <f t="shared" si="108"/>
        <v>0</v>
      </c>
      <c r="BK380" s="883">
        <f t="shared" si="109"/>
        <v>0</v>
      </c>
      <c r="BL380" s="883">
        <f t="shared" si="110"/>
        <v>2.61</v>
      </c>
      <c r="BM380" s="881"/>
      <c r="BN380" s="880"/>
      <c r="BO380" s="882" t="s">
        <v>1579</v>
      </c>
      <c r="BP380" s="882" t="s">
        <v>2286</v>
      </c>
      <c r="BQ380" s="882" t="s">
        <v>2285</v>
      </c>
      <c r="BR380" s="880"/>
      <c r="BS380" s="880"/>
      <c r="BT380" s="880"/>
      <c r="BU380" s="880"/>
      <c r="BV380" s="880"/>
      <c r="BW380" s="883">
        <v>0</v>
      </c>
      <c r="BX380" s="883">
        <v>0</v>
      </c>
      <c r="BY380" s="883">
        <v>0</v>
      </c>
      <c r="BZ380" s="890"/>
      <c r="CA380" s="883">
        <f t="shared" si="111"/>
        <v>0</v>
      </c>
      <c r="CB380" s="880"/>
      <c r="CC380" s="881"/>
      <c r="CD380" s="883"/>
      <c r="CE380" s="883"/>
      <c r="CF380" s="883"/>
      <c r="CG380" s="883"/>
      <c r="CH380" s="883"/>
      <c r="CI380" s="883"/>
      <c r="CJ380" s="883"/>
      <c r="CK380" s="883"/>
      <c r="CL380" s="883"/>
      <c r="CM380" s="883"/>
      <c r="CN380" s="883"/>
      <c r="CO380" s="883"/>
      <c r="CP380" s="883"/>
      <c r="CQ380" s="883"/>
      <c r="CR380" s="883"/>
      <c r="CS380" s="883"/>
      <c r="CT380" s="883"/>
      <c r="CU380" s="883"/>
    </row>
    <row r="381" spans="1:99" x14ac:dyDescent="0.25">
      <c r="A381" s="880" t="s">
        <v>1787</v>
      </c>
      <c r="B381" s="881" t="s">
        <v>1788</v>
      </c>
      <c r="C381" s="880"/>
      <c r="D381" s="880"/>
      <c r="E381" s="884" t="s">
        <v>744</v>
      </c>
      <c r="F381" s="888">
        <v>1</v>
      </c>
      <c r="G381" s="881" t="s">
        <v>1007</v>
      </c>
      <c r="H381" s="881" t="s">
        <v>19</v>
      </c>
      <c r="I381" s="865">
        <v>46142</v>
      </c>
      <c r="J381" s="882" t="s">
        <v>8</v>
      </c>
      <c r="K381" s="880"/>
      <c r="L381" s="880"/>
      <c r="M381" s="883">
        <v>0</v>
      </c>
      <c r="N381" s="883">
        <v>0</v>
      </c>
      <c r="O381" s="883">
        <v>0</v>
      </c>
      <c r="P381" s="883">
        <v>17.39</v>
      </c>
      <c r="Q381" s="883">
        <v>15</v>
      </c>
      <c r="R381" s="883">
        <f t="shared" si="96"/>
        <v>2.61</v>
      </c>
      <c r="S381" s="883">
        <v>0</v>
      </c>
      <c r="T381" s="883">
        <v>5</v>
      </c>
      <c r="U381" s="883">
        <f t="shared" si="97"/>
        <v>0</v>
      </c>
      <c r="V381" s="883">
        <v>0</v>
      </c>
      <c r="W381" s="883">
        <v>8</v>
      </c>
      <c r="X381" s="883">
        <f t="shared" si="98"/>
        <v>0</v>
      </c>
      <c r="Y381" s="883">
        <v>0</v>
      </c>
      <c r="Z381" s="883">
        <v>0</v>
      </c>
      <c r="AA381" s="883">
        <v>0</v>
      </c>
      <c r="AB381" s="883">
        <f t="shared" si="99"/>
        <v>20</v>
      </c>
      <c r="AC381" s="883">
        <v>0</v>
      </c>
      <c r="AD381" s="881"/>
      <c r="AE381" s="880"/>
      <c r="AF381" s="883"/>
      <c r="AG381" s="889"/>
      <c r="AH381" s="880"/>
      <c r="AI381" s="880" t="s">
        <v>1241</v>
      </c>
      <c r="AJ381" s="884">
        <v>411</v>
      </c>
      <c r="AK381" s="883">
        <f t="shared" si="100"/>
        <v>17.39</v>
      </c>
      <c r="AL381" s="884">
        <v>413</v>
      </c>
      <c r="AM381" s="883">
        <f t="shared" si="101"/>
        <v>0</v>
      </c>
      <c r="AN381" s="884">
        <v>441</v>
      </c>
      <c r="AO381" s="883">
        <f t="shared" si="102"/>
        <v>0</v>
      </c>
      <c r="AP381" s="881"/>
      <c r="AQ381" s="881"/>
      <c r="AR381" s="883">
        <v>0</v>
      </c>
      <c r="AS381" s="883">
        <v>0</v>
      </c>
      <c r="AT381" s="883">
        <v>0</v>
      </c>
      <c r="AU381" s="880"/>
      <c r="AV381" s="886"/>
      <c r="AW381" s="880"/>
      <c r="AX381" s="886"/>
      <c r="AY381" s="880"/>
      <c r="AZ381" s="880"/>
      <c r="BA381" s="881"/>
      <c r="BB381" s="881" t="s">
        <v>57</v>
      </c>
      <c r="BC381" s="881"/>
      <c r="BD381" s="881"/>
      <c r="BE381" s="884">
        <f t="shared" si="103"/>
        <v>4</v>
      </c>
      <c r="BF381" s="887" t="str">
        <f t="shared" si="104"/>
        <v>SI</v>
      </c>
      <c r="BG381" s="883">
        <f t="shared" si="105"/>
        <v>17.39</v>
      </c>
      <c r="BH381" s="883">
        <f t="shared" si="106"/>
        <v>0</v>
      </c>
      <c r="BI381" s="883">
        <f t="shared" si="107"/>
        <v>0</v>
      </c>
      <c r="BJ381" s="883">
        <f t="shared" si="108"/>
        <v>0</v>
      </c>
      <c r="BK381" s="883">
        <f t="shared" si="109"/>
        <v>0</v>
      </c>
      <c r="BL381" s="883">
        <f t="shared" si="110"/>
        <v>2.61</v>
      </c>
      <c r="BM381" s="881"/>
      <c r="BN381" s="880"/>
      <c r="BO381" s="882" t="s">
        <v>1579</v>
      </c>
      <c r="BP381" s="882" t="s">
        <v>2286</v>
      </c>
      <c r="BQ381" s="882" t="s">
        <v>2285</v>
      </c>
      <c r="BR381" s="880"/>
      <c r="BS381" s="880"/>
      <c r="BT381" s="880"/>
      <c r="BU381" s="880"/>
      <c r="BV381" s="880"/>
      <c r="BW381" s="883">
        <v>0</v>
      </c>
      <c r="BX381" s="883">
        <v>0</v>
      </c>
      <c r="BY381" s="883">
        <v>0</v>
      </c>
      <c r="BZ381" s="890"/>
      <c r="CA381" s="883">
        <f t="shared" si="111"/>
        <v>0</v>
      </c>
      <c r="CB381" s="880"/>
      <c r="CC381" s="881"/>
      <c r="CD381" s="883"/>
      <c r="CE381" s="883"/>
      <c r="CF381" s="883"/>
      <c r="CG381" s="883"/>
      <c r="CH381" s="883"/>
      <c r="CI381" s="883"/>
      <c r="CJ381" s="883"/>
      <c r="CK381" s="883"/>
      <c r="CL381" s="883"/>
      <c r="CM381" s="883"/>
      <c r="CN381" s="883"/>
      <c r="CO381" s="883"/>
      <c r="CP381" s="883"/>
      <c r="CQ381" s="883"/>
      <c r="CR381" s="883"/>
      <c r="CS381" s="883"/>
      <c r="CT381" s="883"/>
      <c r="CU381" s="883"/>
    </row>
    <row r="382" spans="1:99" x14ac:dyDescent="0.25">
      <c r="A382" s="880" t="s">
        <v>1787</v>
      </c>
      <c r="B382" s="881" t="s">
        <v>1788</v>
      </c>
      <c r="C382" s="880"/>
      <c r="D382" s="880"/>
      <c r="E382" s="884" t="s">
        <v>744</v>
      </c>
      <c r="F382" s="888">
        <v>1</v>
      </c>
      <c r="G382" s="881" t="s">
        <v>1007</v>
      </c>
      <c r="H382" s="881" t="s">
        <v>19</v>
      </c>
      <c r="I382" s="865">
        <v>46142</v>
      </c>
      <c r="J382" s="882" t="s">
        <v>8</v>
      </c>
      <c r="K382" s="880"/>
      <c r="L382" s="880"/>
      <c r="M382" s="883">
        <v>0</v>
      </c>
      <c r="N382" s="883">
        <v>0</v>
      </c>
      <c r="O382" s="883">
        <v>0</v>
      </c>
      <c r="P382" s="883">
        <v>17.39</v>
      </c>
      <c r="Q382" s="883">
        <v>15</v>
      </c>
      <c r="R382" s="883">
        <f t="shared" si="96"/>
        <v>2.61</v>
      </c>
      <c r="S382" s="883">
        <v>0</v>
      </c>
      <c r="T382" s="883">
        <v>5</v>
      </c>
      <c r="U382" s="883">
        <f t="shared" si="97"/>
        <v>0</v>
      </c>
      <c r="V382" s="883">
        <v>0</v>
      </c>
      <c r="W382" s="883">
        <v>8</v>
      </c>
      <c r="X382" s="883">
        <f t="shared" si="98"/>
        <v>0</v>
      </c>
      <c r="Y382" s="883">
        <v>0</v>
      </c>
      <c r="Z382" s="883">
        <v>0</v>
      </c>
      <c r="AA382" s="883">
        <v>0</v>
      </c>
      <c r="AB382" s="883">
        <f t="shared" si="99"/>
        <v>20</v>
      </c>
      <c r="AC382" s="883">
        <v>0</v>
      </c>
      <c r="AD382" s="881"/>
      <c r="AE382" s="880"/>
      <c r="AF382" s="883"/>
      <c r="AG382" s="889"/>
      <c r="AH382" s="880"/>
      <c r="AI382" s="880" t="s">
        <v>1241</v>
      </c>
      <c r="AJ382" s="884">
        <v>411</v>
      </c>
      <c r="AK382" s="883">
        <f t="shared" si="100"/>
        <v>17.39</v>
      </c>
      <c r="AL382" s="884">
        <v>413</v>
      </c>
      <c r="AM382" s="883">
        <f t="shared" si="101"/>
        <v>0</v>
      </c>
      <c r="AN382" s="884">
        <v>441</v>
      </c>
      <c r="AO382" s="883">
        <f t="shared" si="102"/>
        <v>0</v>
      </c>
      <c r="AP382" s="881"/>
      <c r="AQ382" s="881"/>
      <c r="AR382" s="883">
        <v>0</v>
      </c>
      <c r="AS382" s="883">
        <v>0</v>
      </c>
      <c r="AT382" s="883">
        <v>0</v>
      </c>
      <c r="AU382" s="880"/>
      <c r="AV382" s="886"/>
      <c r="AW382" s="880"/>
      <c r="AX382" s="886"/>
      <c r="AY382" s="880"/>
      <c r="AZ382" s="880"/>
      <c r="BA382" s="881"/>
      <c r="BB382" s="881" t="s">
        <v>57</v>
      </c>
      <c r="BC382" s="881"/>
      <c r="BD382" s="881"/>
      <c r="BE382" s="884">
        <f t="shared" si="103"/>
        <v>4</v>
      </c>
      <c r="BF382" s="887" t="str">
        <f t="shared" si="104"/>
        <v>SI</v>
      </c>
      <c r="BG382" s="883">
        <f t="shared" si="105"/>
        <v>17.39</v>
      </c>
      <c r="BH382" s="883">
        <f t="shared" si="106"/>
        <v>0</v>
      </c>
      <c r="BI382" s="883">
        <f t="shared" si="107"/>
        <v>0</v>
      </c>
      <c r="BJ382" s="883">
        <f t="shared" si="108"/>
        <v>0</v>
      </c>
      <c r="BK382" s="883">
        <f t="shared" si="109"/>
        <v>0</v>
      </c>
      <c r="BL382" s="883">
        <f t="shared" si="110"/>
        <v>2.61</v>
      </c>
      <c r="BM382" s="881"/>
      <c r="BN382" s="880"/>
      <c r="BO382" s="882" t="s">
        <v>1579</v>
      </c>
      <c r="BP382" s="882" t="s">
        <v>2286</v>
      </c>
      <c r="BQ382" s="882" t="s">
        <v>2285</v>
      </c>
      <c r="BR382" s="880"/>
      <c r="BS382" s="880"/>
      <c r="BT382" s="880"/>
      <c r="BU382" s="880"/>
      <c r="BV382" s="880"/>
      <c r="BW382" s="883">
        <v>0</v>
      </c>
      <c r="BX382" s="883">
        <v>0</v>
      </c>
      <c r="BY382" s="883">
        <v>0</v>
      </c>
      <c r="BZ382" s="890"/>
      <c r="CA382" s="883">
        <f t="shared" si="111"/>
        <v>0</v>
      </c>
      <c r="CB382" s="880"/>
      <c r="CC382" s="881"/>
      <c r="CD382" s="883"/>
      <c r="CE382" s="883"/>
      <c r="CF382" s="883"/>
      <c r="CG382" s="883"/>
      <c r="CH382" s="883"/>
      <c r="CI382" s="883"/>
      <c r="CJ382" s="883"/>
      <c r="CK382" s="883"/>
      <c r="CL382" s="883"/>
      <c r="CM382" s="883"/>
      <c r="CN382" s="883"/>
      <c r="CO382" s="883"/>
      <c r="CP382" s="883"/>
      <c r="CQ382" s="883"/>
      <c r="CR382" s="883"/>
      <c r="CS382" s="883"/>
      <c r="CT382" s="883"/>
      <c r="CU382" s="883"/>
    </row>
    <row r="383" spans="1:99" x14ac:dyDescent="0.25">
      <c r="A383" s="880" t="s">
        <v>1787</v>
      </c>
      <c r="B383" s="881" t="s">
        <v>1788</v>
      </c>
      <c r="C383" s="880"/>
      <c r="D383" s="880"/>
      <c r="E383" s="884" t="s">
        <v>744</v>
      </c>
      <c r="F383" s="888">
        <v>1</v>
      </c>
      <c r="G383" s="881" t="s">
        <v>1007</v>
      </c>
      <c r="H383" s="881" t="s">
        <v>19</v>
      </c>
      <c r="I383" s="865">
        <v>46142</v>
      </c>
      <c r="J383" s="882" t="s">
        <v>8</v>
      </c>
      <c r="K383" s="880"/>
      <c r="L383" s="880"/>
      <c r="M383" s="883">
        <v>0</v>
      </c>
      <c r="N383" s="883">
        <v>0</v>
      </c>
      <c r="O383" s="883">
        <v>0</v>
      </c>
      <c r="P383" s="883">
        <v>17.39</v>
      </c>
      <c r="Q383" s="883">
        <v>15</v>
      </c>
      <c r="R383" s="883">
        <f t="shared" si="96"/>
        <v>2.61</v>
      </c>
      <c r="S383" s="883">
        <v>0</v>
      </c>
      <c r="T383" s="883">
        <v>5</v>
      </c>
      <c r="U383" s="883">
        <f t="shared" si="97"/>
        <v>0</v>
      </c>
      <c r="V383" s="883">
        <v>0</v>
      </c>
      <c r="W383" s="883">
        <v>8</v>
      </c>
      <c r="X383" s="883">
        <f t="shared" si="98"/>
        <v>0</v>
      </c>
      <c r="Y383" s="883">
        <v>0</v>
      </c>
      <c r="Z383" s="883">
        <v>0</v>
      </c>
      <c r="AA383" s="883">
        <v>0</v>
      </c>
      <c r="AB383" s="883">
        <f t="shared" si="99"/>
        <v>20</v>
      </c>
      <c r="AC383" s="883">
        <v>0</v>
      </c>
      <c r="AD383" s="881"/>
      <c r="AE383" s="880"/>
      <c r="AF383" s="883"/>
      <c r="AG383" s="889"/>
      <c r="AH383" s="880"/>
      <c r="AI383" s="880" t="s">
        <v>1241</v>
      </c>
      <c r="AJ383" s="884">
        <v>411</v>
      </c>
      <c r="AK383" s="883">
        <f t="shared" si="100"/>
        <v>17.39</v>
      </c>
      <c r="AL383" s="884">
        <v>413</v>
      </c>
      <c r="AM383" s="883">
        <f t="shared" si="101"/>
        <v>0</v>
      </c>
      <c r="AN383" s="884">
        <v>441</v>
      </c>
      <c r="AO383" s="883">
        <f t="shared" si="102"/>
        <v>0</v>
      </c>
      <c r="AP383" s="881"/>
      <c r="AQ383" s="881"/>
      <c r="AR383" s="883">
        <v>0</v>
      </c>
      <c r="AS383" s="883">
        <v>0</v>
      </c>
      <c r="AT383" s="883">
        <v>0</v>
      </c>
      <c r="AU383" s="880"/>
      <c r="AV383" s="886"/>
      <c r="AW383" s="880"/>
      <c r="AX383" s="886"/>
      <c r="AY383" s="880"/>
      <c r="AZ383" s="880"/>
      <c r="BA383" s="881"/>
      <c r="BB383" s="881" t="s">
        <v>57</v>
      </c>
      <c r="BC383" s="881"/>
      <c r="BD383" s="881"/>
      <c r="BE383" s="884">
        <f t="shared" si="103"/>
        <v>4</v>
      </c>
      <c r="BF383" s="887" t="str">
        <f t="shared" si="104"/>
        <v>SI</v>
      </c>
      <c r="BG383" s="883">
        <f t="shared" si="105"/>
        <v>17.39</v>
      </c>
      <c r="BH383" s="883">
        <f t="shared" si="106"/>
        <v>0</v>
      </c>
      <c r="BI383" s="883">
        <f t="shared" si="107"/>
        <v>0</v>
      </c>
      <c r="BJ383" s="883">
        <f t="shared" si="108"/>
        <v>0</v>
      </c>
      <c r="BK383" s="883">
        <f t="shared" si="109"/>
        <v>0</v>
      </c>
      <c r="BL383" s="883">
        <f t="shared" si="110"/>
        <v>2.61</v>
      </c>
      <c r="BM383" s="881"/>
      <c r="BN383" s="880"/>
      <c r="BO383" s="882" t="s">
        <v>1579</v>
      </c>
      <c r="BP383" s="882" t="s">
        <v>2286</v>
      </c>
      <c r="BQ383" s="882" t="s">
        <v>2285</v>
      </c>
      <c r="BR383" s="880"/>
      <c r="BS383" s="880"/>
      <c r="BT383" s="880"/>
      <c r="BU383" s="880"/>
      <c r="BV383" s="880"/>
      <c r="BW383" s="883">
        <v>0</v>
      </c>
      <c r="BX383" s="883">
        <v>0</v>
      </c>
      <c r="BY383" s="883">
        <v>0</v>
      </c>
      <c r="BZ383" s="890"/>
      <c r="CA383" s="883">
        <f t="shared" si="111"/>
        <v>0</v>
      </c>
      <c r="CB383" s="880"/>
      <c r="CC383" s="881"/>
      <c r="CD383" s="883"/>
      <c r="CE383" s="883"/>
      <c r="CF383" s="883"/>
      <c r="CG383" s="883"/>
      <c r="CH383" s="883"/>
      <c r="CI383" s="883"/>
      <c r="CJ383" s="883"/>
      <c r="CK383" s="883"/>
      <c r="CL383" s="883"/>
      <c r="CM383" s="883"/>
      <c r="CN383" s="883"/>
      <c r="CO383" s="883"/>
      <c r="CP383" s="883"/>
      <c r="CQ383" s="883"/>
      <c r="CR383" s="883"/>
      <c r="CS383" s="883"/>
      <c r="CT383" s="883"/>
      <c r="CU383" s="883"/>
    </row>
    <row r="384" spans="1:99" x14ac:dyDescent="0.25">
      <c r="A384" s="880" t="s">
        <v>1787</v>
      </c>
      <c r="B384" s="881" t="s">
        <v>1788</v>
      </c>
      <c r="C384" s="880"/>
      <c r="D384" s="880"/>
      <c r="E384" s="884" t="s">
        <v>744</v>
      </c>
      <c r="F384" s="888">
        <v>1</v>
      </c>
      <c r="G384" s="881" t="s">
        <v>1007</v>
      </c>
      <c r="H384" s="881" t="s">
        <v>19</v>
      </c>
      <c r="I384" s="865">
        <v>46142</v>
      </c>
      <c r="J384" s="882" t="s">
        <v>8</v>
      </c>
      <c r="K384" s="880"/>
      <c r="L384" s="880"/>
      <c r="M384" s="883">
        <v>0</v>
      </c>
      <c r="N384" s="883">
        <v>0</v>
      </c>
      <c r="O384" s="883">
        <v>0</v>
      </c>
      <c r="P384" s="883">
        <v>17.86</v>
      </c>
      <c r="Q384" s="883">
        <v>15</v>
      </c>
      <c r="R384" s="883">
        <f t="shared" si="96"/>
        <v>2.68</v>
      </c>
      <c r="S384" s="883">
        <v>0</v>
      </c>
      <c r="T384" s="883">
        <v>5</v>
      </c>
      <c r="U384" s="883">
        <f t="shared" si="97"/>
        <v>0</v>
      </c>
      <c r="V384" s="883">
        <v>0</v>
      </c>
      <c r="W384" s="883">
        <v>8</v>
      </c>
      <c r="X384" s="883">
        <f t="shared" si="98"/>
        <v>0</v>
      </c>
      <c r="Y384" s="883">
        <v>0</v>
      </c>
      <c r="Z384" s="883">
        <v>0</v>
      </c>
      <c r="AA384" s="883">
        <v>0</v>
      </c>
      <c r="AB384" s="883">
        <f t="shared" si="99"/>
        <v>20.54</v>
      </c>
      <c r="AC384" s="883">
        <v>0</v>
      </c>
      <c r="AD384" s="881"/>
      <c r="AE384" s="880"/>
      <c r="AF384" s="883"/>
      <c r="AG384" s="889"/>
      <c r="AH384" s="880"/>
      <c r="AI384" s="880" t="s">
        <v>1241</v>
      </c>
      <c r="AJ384" s="884">
        <v>411</v>
      </c>
      <c r="AK384" s="883">
        <f t="shared" si="100"/>
        <v>17.86</v>
      </c>
      <c r="AL384" s="884">
        <v>413</v>
      </c>
      <c r="AM384" s="883">
        <f t="shared" si="101"/>
        <v>0</v>
      </c>
      <c r="AN384" s="884">
        <v>441</v>
      </c>
      <c r="AO384" s="883">
        <f t="shared" si="102"/>
        <v>0</v>
      </c>
      <c r="AP384" s="881"/>
      <c r="AQ384" s="881"/>
      <c r="AR384" s="883">
        <v>0</v>
      </c>
      <c r="AS384" s="883">
        <v>0</v>
      </c>
      <c r="AT384" s="883">
        <v>0</v>
      </c>
      <c r="AU384" s="880"/>
      <c r="AV384" s="886"/>
      <c r="AW384" s="880"/>
      <c r="AX384" s="886"/>
      <c r="AY384" s="880"/>
      <c r="AZ384" s="880"/>
      <c r="BA384" s="881"/>
      <c r="BB384" s="881" t="s">
        <v>57</v>
      </c>
      <c r="BC384" s="881"/>
      <c r="BD384" s="881"/>
      <c r="BE384" s="884">
        <f t="shared" si="103"/>
        <v>4</v>
      </c>
      <c r="BF384" s="887" t="str">
        <f t="shared" si="104"/>
        <v>SI</v>
      </c>
      <c r="BG384" s="883">
        <f t="shared" si="105"/>
        <v>17.86</v>
      </c>
      <c r="BH384" s="883">
        <f t="shared" si="106"/>
        <v>0</v>
      </c>
      <c r="BI384" s="883">
        <f t="shared" si="107"/>
        <v>0</v>
      </c>
      <c r="BJ384" s="883">
        <f t="shared" si="108"/>
        <v>0</v>
      </c>
      <c r="BK384" s="883">
        <f t="shared" si="109"/>
        <v>0</v>
      </c>
      <c r="BL384" s="883">
        <f t="shared" si="110"/>
        <v>2.68</v>
      </c>
      <c r="BM384" s="881"/>
      <c r="BN384" s="880"/>
      <c r="BO384" s="882" t="s">
        <v>1579</v>
      </c>
      <c r="BP384" s="882" t="s">
        <v>2286</v>
      </c>
      <c r="BQ384" s="882" t="s">
        <v>2285</v>
      </c>
      <c r="BR384" s="880"/>
      <c r="BS384" s="880"/>
      <c r="BT384" s="880"/>
      <c r="BU384" s="880"/>
      <c r="BV384" s="880"/>
      <c r="BW384" s="883">
        <v>0</v>
      </c>
      <c r="BX384" s="883">
        <v>0</v>
      </c>
      <c r="BY384" s="883">
        <v>0</v>
      </c>
      <c r="BZ384" s="890"/>
      <c r="CA384" s="883">
        <f t="shared" si="111"/>
        <v>0</v>
      </c>
      <c r="CB384" s="880"/>
      <c r="CC384" s="881"/>
      <c r="CD384" s="883"/>
      <c r="CE384" s="883"/>
      <c r="CF384" s="883"/>
      <c r="CG384" s="883"/>
      <c r="CH384" s="883"/>
      <c r="CI384" s="883"/>
      <c r="CJ384" s="883"/>
      <c r="CK384" s="883"/>
      <c r="CL384" s="883"/>
      <c r="CM384" s="883"/>
      <c r="CN384" s="883"/>
      <c r="CO384" s="883"/>
      <c r="CP384" s="883"/>
      <c r="CQ384" s="883"/>
      <c r="CR384" s="883"/>
      <c r="CS384" s="883"/>
      <c r="CT384" s="883"/>
      <c r="CU384" s="883"/>
    </row>
    <row r="385" spans="1:99" x14ac:dyDescent="0.25">
      <c r="A385" s="880" t="s">
        <v>1787</v>
      </c>
      <c r="B385" s="881" t="s">
        <v>1788</v>
      </c>
      <c r="C385" s="880"/>
      <c r="D385" s="880"/>
      <c r="E385" s="884" t="s">
        <v>744</v>
      </c>
      <c r="F385" s="888">
        <v>1</v>
      </c>
      <c r="G385" s="881" t="s">
        <v>1007</v>
      </c>
      <c r="H385" s="881" t="s">
        <v>19</v>
      </c>
      <c r="I385" s="865">
        <v>46142</v>
      </c>
      <c r="J385" s="882" t="s">
        <v>8</v>
      </c>
      <c r="K385" s="880"/>
      <c r="L385" s="880"/>
      <c r="M385" s="883">
        <v>0</v>
      </c>
      <c r="N385" s="883">
        <v>0</v>
      </c>
      <c r="O385" s="883">
        <v>0</v>
      </c>
      <c r="P385" s="883">
        <v>17.39</v>
      </c>
      <c r="Q385" s="883">
        <v>15</v>
      </c>
      <c r="R385" s="883">
        <f t="shared" si="96"/>
        <v>2.61</v>
      </c>
      <c r="S385" s="883">
        <v>0</v>
      </c>
      <c r="T385" s="883">
        <v>5</v>
      </c>
      <c r="U385" s="883">
        <f t="shared" si="97"/>
        <v>0</v>
      </c>
      <c r="V385" s="883">
        <v>0</v>
      </c>
      <c r="W385" s="883">
        <v>8</v>
      </c>
      <c r="X385" s="883">
        <f t="shared" si="98"/>
        <v>0</v>
      </c>
      <c r="Y385" s="883">
        <v>0</v>
      </c>
      <c r="Z385" s="883">
        <v>0</v>
      </c>
      <c r="AA385" s="883">
        <v>0</v>
      </c>
      <c r="AB385" s="883">
        <f t="shared" si="99"/>
        <v>20</v>
      </c>
      <c r="AC385" s="883">
        <v>0</v>
      </c>
      <c r="AD385" s="881"/>
      <c r="AE385" s="880"/>
      <c r="AF385" s="883"/>
      <c r="AG385" s="889"/>
      <c r="AH385" s="880"/>
      <c r="AI385" s="880" t="s">
        <v>1241</v>
      </c>
      <c r="AJ385" s="884">
        <v>411</v>
      </c>
      <c r="AK385" s="883">
        <f t="shared" si="100"/>
        <v>17.39</v>
      </c>
      <c r="AL385" s="884">
        <v>413</v>
      </c>
      <c r="AM385" s="883">
        <f t="shared" si="101"/>
        <v>0</v>
      </c>
      <c r="AN385" s="884">
        <v>441</v>
      </c>
      <c r="AO385" s="883">
        <f t="shared" si="102"/>
        <v>0</v>
      </c>
      <c r="AP385" s="881"/>
      <c r="AQ385" s="881"/>
      <c r="AR385" s="883">
        <v>0</v>
      </c>
      <c r="AS385" s="883">
        <v>0</v>
      </c>
      <c r="AT385" s="883">
        <v>0</v>
      </c>
      <c r="AU385" s="880"/>
      <c r="AV385" s="886"/>
      <c r="AW385" s="880"/>
      <c r="AX385" s="886"/>
      <c r="AY385" s="880"/>
      <c r="AZ385" s="880"/>
      <c r="BA385" s="881"/>
      <c r="BB385" s="881" t="s">
        <v>57</v>
      </c>
      <c r="BC385" s="881"/>
      <c r="BD385" s="881"/>
      <c r="BE385" s="884">
        <f t="shared" si="103"/>
        <v>4</v>
      </c>
      <c r="BF385" s="887" t="str">
        <f t="shared" si="104"/>
        <v>SI</v>
      </c>
      <c r="BG385" s="883">
        <f t="shared" si="105"/>
        <v>17.39</v>
      </c>
      <c r="BH385" s="883">
        <f t="shared" si="106"/>
        <v>0</v>
      </c>
      <c r="BI385" s="883">
        <f t="shared" si="107"/>
        <v>0</v>
      </c>
      <c r="BJ385" s="883">
        <f t="shared" si="108"/>
        <v>0</v>
      </c>
      <c r="BK385" s="883">
        <f t="shared" si="109"/>
        <v>0</v>
      </c>
      <c r="BL385" s="883">
        <f t="shared" si="110"/>
        <v>2.61</v>
      </c>
      <c r="BM385" s="881"/>
      <c r="BN385" s="880"/>
      <c r="BO385" s="882" t="s">
        <v>1579</v>
      </c>
      <c r="BP385" s="882" t="s">
        <v>2286</v>
      </c>
      <c r="BQ385" s="882" t="s">
        <v>2285</v>
      </c>
      <c r="BR385" s="880"/>
      <c r="BS385" s="880"/>
      <c r="BT385" s="880"/>
      <c r="BU385" s="880"/>
      <c r="BV385" s="880"/>
      <c r="BW385" s="883">
        <v>0</v>
      </c>
      <c r="BX385" s="883">
        <v>0</v>
      </c>
      <c r="BY385" s="883">
        <v>0</v>
      </c>
      <c r="BZ385" s="890"/>
      <c r="CA385" s="883">
        <f t="shared" si="111"/>
        <v>0</v>
      </c>
      <c r="CB385" s="880"/>
      <c r="CC385" s="881"/>
      <c r="CD385" s="883"/>
      <c r="CE385" s="883"/>
      <c r="CF385" s="883"/>
      <c r="CG385" s="883"/>
      <c r="CH385" s="883"/>
      <c r="CI385" s="883"/>
      <c r="CJ385" s="883"/>
      <c r="CK385" s="883"/>
      <c r="CL385" s="883"/>
      <c r="CM385" s="883"/>
      <c r="CN385" s="883"/>
      <c r="CO385" s="883"/>
      <c r="CP385" s="883"/>
      <c r="CQ385" s="883"/>
      <c r="CR385" s="883"/>
      <c r="CS385" s="883"/>
      <c r="CT385" s="883"/>
      <c r="CU385" s="883"/>
    </row>
    <row r="386" spans="1:99" x14ac:dyDescent="0.25">
      <c r="A386" s="880" t="s">
        <v>1787</v>
      </c>
      <c r="B386" s="881" t="s">
        <v>1788</v>
      </c>
      <c r="C386" s="880"/>
      <c r="D386" s="880"/>
      <c r="E386" s="884" t="s">
        <v>744</v>
      </c>
      <c r="F386" s="888">
        <v>1</v>
      </c>
      <c r="G386" s="881" t="s">
        <v>1007</v>
      </c>
      <c r="H386" s="881" t="s">
        <v>19</v>
      </c>
      <c r="I386" s="865">
        <v>46142</v>
      </c>
      <c r="J386" s="882" t="s">
        <v>8</v>
      </c>
      <c r="K386" s="880"/>
      <c r="L386" s="880"/>
      <c r="M386" s="883">
        <v>0</v>
      </c>
      <c r="N386" s="883">
        <v>0</v>
      </c>
      <c r="O386" s="883">
        <v>0</v>
      </c>
      <c r="P386" s="883">
        <v>13.39</v>
      </c>
      <c r="Q386" s="883">
        <v>15</v>
      </c>
      <c r="R386" s="883">
        <f t="shared" si="96"/>
        <v>2.0099999999999998</v>
      </c>
      <c r="S386" s="883">
        <v>0</v>
      </c>
      <c r="T386" s="883">
        <v>5</v>
      </c>
      <c r="U386" s="883">
        <f t="shared" si="97"/>
        <v>0</v>
      </c>
      <c r="V386" s="883">
        <v>0</v>
      </c>
      <c r="W386" s="883">
        <v>8</v>
      </c>
      <c r="X386" s="883">
        <f t="shared" si="98"/>
        <v>0</v>
      </c>
      <c r="Y386" s="883">
        <v>0</v>
      </c>
      <c r="Z386" s="883">
        <v>0</v>
      </c>
      <c r="AA386" s="883">
        <v>0</v>
      </c>
      <c r="AB386" s="883">
        <f t="shared" si="99"/>
        <v>15.4</v>
      </c>
      <c r="AC386" s="883">
        <v>0</v>
      </c>
      <c r="AD386" s="881"/>
      <c r="AE386" s="880"/>
      <c r="AF386" s="883"/>
      <c r="AG386" s="889"/>
      <c r="AH386" s="880"/>
      <c r="AI386" s="880" t="s">
        <v>1241</v>
      </c>
      <c r="AJ386" s="884">
        <v>411</v>
      </c>
      <c r="AK386" s="883">
        <f t="shared" si="100"/>
        <v>13.39</v>
      </c>
      <c r="AL386" s="884">
        <v>413</v>
      </c>
      <c r="AM386" s="883">
        <f t="shared" si="101"/>
        <v>0</v>
      </c>
      <c r="AN386" s="884">
        <v>441</v>
      </c>
      <c r="AO386" s="883">
        <f t="shared" si="102"/>
        <v>0</v>
      </c>
      <c r="AP386" s="881"/>
      <c r="AQ386" s="881"/>
      <c r="AR386" s="883">
        <v>0</v>
      </c>
      <c r="AS386" s="883">
        <v>0</v>
      </c>
      <c r="AT386" s="883">
        <v>0</v>
      </c>
      <c r="AU386" s="880"/>
      <c r="AV386" s="886"/>
      <c r="AW386" s="880"/>
      <c r="AX386" s="886"/>
      <c r="AY386" s="880"/>
      <c r="AZ386" s="880"/>
      <c r="BA386" s="881"/>
      <c r="BB386" s="881" t="s">
        <v>57</v>
      </c>
      <c r="BC386" s="881"/>
      <c r="BD386" s="881"/>
      <c r="BE386" s="884">
        <f t="shared" si="103"/>
        <v>4</v>
      </c>
      <c r="BF386" s="887" t="str">
        <f t="shared" si="104"/>
        <v>SI</v>
      </c>
      <c r="BG386" s="883">
        <f t="shared" si="105"/>
        <v>13.39</v>
      </c>
      <c r="BH386" s="883">
        <f t="shared" si="106"/>
        <v>0</v>
      </c>
      <c r="BI386" s="883">
        <f t="shared" si="107"/>
        <v>0</v>
      </c>
      <c r="BJ386" s="883">
        <f t="shared" si="108"/>
        <v>0</v>
      </c>
      <c r="BK386" s="883">
        <f t="shared" si="109"/>
        <v>0</v>
      </c>
      <c r="BL386" s="883">
        <f t="shared" si="110"/>
        <v>2.0099999999999998</v>
      </c>
      <c r="BM386" s="881"/>
      <c r="BN386" s="880"/>
      <c r="BO386" s="882" t="s">
        <v>1579</v>
      </c>
      <c r="BP386" s="882" t="s">
        <v>2286</v>
      </c>
      <c r="BQ386" s="882" t="s">
        <v>2285</v>
      </c>
      <c r="BR386" s="880"/>
      <c r="BS386" s="880"/>
      <c r="BT386" s="880"/>
      <c r="BU386" s="880"/>
      <c r="BV386" s="880"/>
      <c r="BW386" s="883">
        <v>0</v>
      </c>
      <c r="BX386" s="883">
        <v>0</v>
      </c>
      <c r="BY386" s="883">
        <v>0</v>
      </c>
      <c r="BZ386" s="890"/>
      <c r="CA386" s="883">
        <f t="shared" si="111"/>
        <v>0</v>
      </c>
      <c r="CB386" s="880"/>
      <c r="CC386" s="881"/>
      <c r="CD386" s="883"/>
      <c r="CE386" s="883"/>
      <c r="CF386" s="883"/>
      <c r="CG386" s="883"/>
      <c r="CH386" s="883"/>
      <c r="CI386" s="883"/>
      <c r="CJ386" s="883"/>
      <c r="CK386" s="883"/>
      <c r="CL386" s="883"/>
      <c r="CM386" s="883"/>
      <c r="CN386" s="883"/>
      <c r="CO386" s="883"/>
      <c r="CP386" s="883"/>
      <c r="CQ386" s="883"/>
      <c r="CR386" s="883"/>
      <c r="CS386" s="883"/>
      <c r="CT386" s="883"/>
      <c r="CU386" s="883"/>
    </row>
    <row r="387" spans="1:99" x14ac:dyDescent="0.25">
      <c r="A387" s="880" t="s">
        <v>1787</v>
      </c>
      <c r="B387" s="881" t="s">
        <v>1788</v>
      </c>
      <c r="C387" s="880"/>
      <c r="D387" s="880"/>
      <c r="E387" s="884" t="s">
        <v>744</v>
      </c>
      <c r="F387" s="888">
        <v>1</v>
      </c>
      <c r="G387" s="881" t="s">
        <v>1007</v>
      </c>
      <c r="H387" s="881" t="s">
        <v>19</v>
      </c>
      <c r="I387" s="865">
        <v>46142</v>
      </c>
      <c r="J387" s="882" t="s">
        <v>8</v>
      </c>
      <c r="K387" s="880"/>
      <c r="L387" s="880"/>
      <c r="M387" s="883">
        <v>0</v>
      </c>
      <c r="N387" s="883">
        <v>0</v>
      </c>
      <c r="O387" s="883">
        <v>0</v>
      </c>
      <c r="P387" s="883">
        <v>17.39</v>
      </c>
      <c r="Q387" s="883">
        <v>15</v>
      </c>
      <c r="R387" s="883">
        <f t="shared" si="96"/>
        <v>2.61</v>
      </c>
      <c r="S387" s="883">
        <v>0</v>
      </c>
      <c r="T387" s="883">
        <v>5</v>
      </c>
      <c r="U387" s="883">
        <f t="shared" si="97"/>
        <v>0</v>
      </c>
      <c r="V387" s="883">
        <v>0</v>
      </c>
      <c r="W387" s="883">
        <v>8</v>
      </c>
      <c r="X387" s="883">
        <f t="shared" si="98"/>
        <v>0</v>
      </c>
      <c r="Y387" s="883">
        <v>0</v>
      </c>
      <c r="Z387" s="883">
        <v>0</v>
      </c>
      <c r="AA387" s="883">
        <v>0</v>
      </c>
      <c r="AB387" s="883">
        <f t="shared" si="99"/>
        <v>20</v>
      </c>
      <c r="AC387" s="883">
        <v>0</v>
      </c>
      <c r="AD387" s="881"/>
      <c r="AE387" s="880"/>
      <c r="AF387" s="883"/>
      <c r="AG387" s="889"/>
      <c r="AH387" s="880"/>
      <c r="AI387" s="880" t="s">
        <v>1241</v>
      </c>
      <c r="AJ387" s="884">
        <v>411</v>
      </c>
      <c r="AK387" s="883">
        <f t="shared" si="100"/>
        <v>17.39</v>
      </c>
      <c r="AL387" s="884">
        <v>413</v>
      </c>
      <c r="AM387" s="883">
        <f t="shared" si="101"/>
        <v>0</v>
      </c>
      <c r="AN387" s="884">
        <v>441</v>
      </c>
      <c r="AO387" s="883">
        <f t="shared" si="102"/>
        <v>0</v>
      </c>
      <c r="AP387" s="881"/>
      <c r="AQ387" s="881"/>
      <c r="AR387" s="883">
        <v>0</v>
      </c>
      <c r="AS387" s="883">
        <v>0</v>
      </c>
      <c r="AT387" s="883">
        <v>0</v>
      </c>
      <c r="AU387" s="880"/>
      <c r="AV387" s="886"/>
      <c r="AW387" s="880"/>
      <c r="AX387" s="886"/>
      <c r="AY387" s="880"/>
      <c r="AZ387" s="880"/>
      <c r="BA387" s="881"/>
      <c r="BB387" s="881" t="s">
        <v>57</v>
      </c>
      <c r="BC387" s="881"/>
      <c r="BD387" s="881"/>
      <c r="BE387" s="884">
        <f t="shared" si="103"/>
        <v>4</v>
      </c>
      <c r="BF387" s="887" t="str">
        <f t="shared" si="104"/>
        <v>SI</v>
      </c>
      <c r="BG387" s="883">
        <f t="shared" si="105"/>
        <v>17.39</v>
      </c>
      <c r="BH387" s="883">
        <f t="shared" si="106"/>
        <v>0</v>
      </c>
      <c r="BI387" s="883">
        <f t="shared" si="107"/>
        <v>0</v>
      </c>
      <c r="BJ387" s="883">
        <f t="shared" si="108"/>
        <v>0</v>
      </c>
      <c r="BK387" s="883">
        <f t="shared" si="109"/>
        <v>0</v>
      </c>
      <c r="BL387" s="883">
        <f t="shared" si="110"/>
        <v>2.61</v>
      </c>
      <c r="BM387" s="881"/>
      <c r="BN387" s="880"/>
      <c r="BO387" s="882" t="s">
        <v>1579</v>
      </c>
      <c r="BP387" s="882" t="s">
        <v>2286</v>
      </c>
      <c r="BQ387" s="882" t="s">
        <v>2285</v>
      </c>
      <c r="BR387" s="880"/>
      <c r="BS387" s="880"/>
      <c r="BT387" s="880"/>
      <c r="BU387" s="880"/>
      <c r="BV387" s="880"/>
      <c r="BW387" s="883">
        <v>0</v>
      </c>
      <c r="BX387" s="883">
        <v>0</v>
      </c>
      <c r="BY387" s="883">
        <v>0</v>
      </c>
      <c r="BZ387" s="890"/>
      <c r="CA387" s="883">
        <f t="shared" si="111"/>
        <v>0</v>
      </c>
      <c r="CB387" s="880"/>
      <c r="CC387" s="881"/>
      <c r="CD387" s="883"/>
      <c r="CE387" s="883"/>
      <c r="CF387" s="883"/>
      <c r="CG387" s="883"/>
      <c r="CH387" s="883"/>
      <c r="CI387" s="883"/>
      <c r="CJ387" s="883"/>
      <c r="CK387" s="883"/>
      <c r="CL387" s="883"/>
      <c r="CM387" s="883"/>
      <c r="CN387" s="883"/>
      <c r="CO387" s="883"/>
      <c r="CP387" s="883"/>
      <c r="CQ387" s="883"/>
      <c r="CR387" s="883"/>
      <c r="CS387" s="883"/>
      <c r="CT387" s="883"/>
      <c r="CU387" s="883"/>
    </row>
    <row r="388" spans="1:99" x14ac:dyDescent="0.25">
      <c r="A388" s="880" t="s">
        <v>1787</v>
      </c>
      <c r="B388" s="881" t="s">
        <v>1788</v>
      </c>
      <c r="C388" s="880"/>
      <c r="D388" s="880"/>
      <c r="E388" s="884" t="s">
        <v>744</v>
      </c>
      <c r="F388" s="888">
        <v>1</v>
      </c>
      <c r="G388" s="881" t="s">
        <v>1007</v>
      </c>
      <c r="H388" s="881" t="s">
        <v>19</v>
      </c>
      <c r="I388" s="865">
        <v>46142</v>
      </c>
      <c r="J388" s="882" t="s">
        <v>8</v>
      </c>
      <c r="K388" s="880"/>
      <c r="L388" s="880"/>
      <c r="M388" s="883">
        <v>0</v>
      </c>
      <c r="N388" s="883">
        <v>0</v>
      </c>
      <c r="O388" s="883">
        <v>0</v>
      </c>
      <c r="P388" s="883">
        <v>17.39</v>
      </c>
      <c r="Q388" s="883">
        <v>15</v>
      </c>
      <c r="R388" s="883">
        <f t="shared" si="96"/>
        <v>2.61</v>
      </c>
      <c r="S388" s="883">
        <v>0</v>
      </c>
      <c r="T388" s="883">
        <v>5</v>
      </c>
      <c r="U388" s="883">
        <f t="shared" si="97"/>
        <v>0</v>
      </c>
      <c r="V388" s="883">
        <v>0</v>
      </c>
      <c r="W388" s="883">
        <v>8</v>
      </c>
      <c r="X388" s="883">
        <f t="shared" si="98"/>
        <v>0</v>
      </c>
      <c r="Y388" s="883">
        <v>0</v>
      </c>
      <c r="Z388" s="883">
        <v>0</v>
      </c>
      <c r="AA388" s="883">
        <v>0</v>
      </c>
      <c r="AB388" s="883">
        <f t="shared" si="99"/>
        <v>20</v>
      </c>
      <c r="AC388" s="883">
        <v>0</v>
      </c>
      <c r="AD388" s="881"/>
      <c r="AE388" s="880"/>
      <c r="AF388" s="883"/>
      <c r="AG388" s="889"/>
      <c r="AH388" s="880"/>
      <c r="AI388" s="880" t="s">
        <v>1241</v>
      </c>
      <c r="AJ388" s="884">
        <v>411</v>
      </c>
      <c r="AK388" s="883">
        <f t="shared" si="100"/>
        <v>17.39</v>
      </c>
      <c r="AL388" s="884">
        <v>413</v>
      </c>
      <c r="AM388" s="883">
        <f t="shared" si="101"/>
        <v>0</v>
      </c>
      <c r="AN388" s="884">
        <v>441</v>
      </c>
      <c r="AO388" s="883">
        <f t="shared" si="102"/>
        <v>0</v>
      </c>
      <c r="AP388" s="881"/>
      <c r="AQ388" s="881"/>
      <c r="AR388" s="883">
        <v>0</v>
      </c>
      <c r="AS388" s="883">
        <v>0</v>
      </c>
      <c r="AT388" s="883">
        <v>0</v>
      </c>
      <c r="AU388" s="880"/>
      <c r="AV388" s="886"/>
      <c r="AW388" s="880"/>
      <c r="AX388" s="886"/>
      <c r="AY388" s="880"/>
      <c r="AZ388" s="880"/>
      <c r="BA388" s="881"/>
      <c r="BB388" s="881" t="s">
        <v>57</v>
      </c>
      <c r="BC388" s="881"/>
      <c r="BD388" s="881"/>
      <c r="BE388" s="884">
        <f t="shared" si="103"/>
        <v>4</v>
      </c>
      <c r="BF388" s="887" t="str">
        <f t="shared" si="104"/>
        <v>SI</v>
      </c>
      <c r="BG388" s="883">
        <f t="shared" si="105"/>
        <v>17.39</v>
      </c>
      <c r="BH388" s="883">
        <f t="shared" si="106"/>
        <v>0</v>
      </c>
      <c r="BI388" s="883">
        <f t="shared" si="107"/>
        <v>0</v>
      </c>
      <c r="BJ388" s="883">
        <f t="shared" si="108"/>
        <v>0</v>
      </c>
      <c r="BK388" s="883">
        <f t="shared" si="109"/>
        <v>0</v>
      </c>
      <c r="BL388" s="883">
        <f t="shared" si="110"/>
        <v>2.61</v>
      </c>
      <c r="BM388" s="881"/>
      <c r="BN388" s="880"/>
      <c r="BO388" s="882" t="s">
        <v>1579</v>
      </c>
      <c r="BP388" s="882" t="s">
        <v>2286</v>
      </c>
      <c r="BQ388" s="882" t="s">
        <v>2285</v>
      </c>
      <c r="BR388" s="880"/>
      <c r="BS388" s="880"/>
      <c r="BT388" s="880"/>
      <c r="BU388" s="880"/>
      <c r="BV388" s="880"/>
      <c r="BW388" s="883">
        <v>0</v>
      </c>
      <c r="BX388" s="883">
        <v>0</v>
      </c>
      <c r="BY388" s="883">
        <v>0</v>
      </c>
      <c r="BZ388" s="890"/>
      <c r="CA388" s="883">
        <f t="shared" si="111"/>
        <v>0</v>
      </c>
      <c r="CB388" s="880"/>
      <c r="CC388" s="881"/>
      <c r="CD388" s="883"/>
      <c r="CE388" s="883"/>
      <c r="CF388" s="883"/>
      <c r="CG388" s="883"/>
      <c r="CH388" s="883"/>
      <c r="CI388" s="883"/>
      <c r="CJ388" s="883"/>
      <c r="CK388" s="883"/>
      <c r="CL388" s="883"/>
      <c r="CM388" s="883"/>
      <c r="CN388" s="883"/>
      <c r="CO388" s="883"/>
      <c r="CP388" s="883"/>
      <c r="CQ388" s="883"/>
      <c r="CR388" s="883"/>
      <c r="CS388" s="883"/>
      <c r="CT388" s="883"/>
      <c r="CU388" s="883"/>
    </row>
    <row r="389" spans="1:99" x14ac:dyDescent="0.25">
      <c r="A389" s="880" t="s">
        <v>1787</v>
      </c>
      <c r="B389" s="881" t="s">
        <v>1788</v>
      </c>
      <c r="C389" s="880"/>
      <c r="D389" s="880"/>
      <c r="E389" s="884" t="s">
        <v>744</v>
      </c>
      <c r="F389" s="888">
        <v>1</v>
      </c>
      <c r="G389" s="881" t="s">
        <v>1007</v>
      </c>
      <c r="H389" s="881" t="s">
        <v>19</v>
      </c>
      <c r="I389" s="865">
        <v>46142</v>
      </c>
      <c r="J389" s="882" t="s">
        <v>8</v>
      </c>
      <c r="K389" s="880"/>
      <c r="L389" s="880"/>
      <c r="M389" s="883">
        <v>0</v>
      </c>
      <c r="N389" s="883">
        <v>0</v>
      </c>
      <c r="O389" s="883">
        <v>0</v>
      </c>
      <c r="P389" s="883">
        <v>17.39</v>
      </c>
      <c r="Q389" s="883">
        <v>15</v>
      </c>
      <c r="R389" s="883">
        <f t="shared" si="96"/>
        <v>2.61</v>
      </c>
      <c r="S389" s="883">
        <v>0</v>
      </c>
      <c r="T389" s="883">
        <v>5</v>
      </c>
      <c r="U389" s="883">
        <f t="shared" si="97"/>
        <v>0</v>
      </c>
      <c r="V389" s="883">
        <v>0</v>
      </c>
      <c r="W389" s="883">
        <v>8</v>
      </c>
      <c r="X389" s="883">
        <f t="shared" si="98"/>
        <v>0</v>
      </c>
      <c r="Y389" s="883">
        <v>0</v>
      </c>
      <c r="Z389" s="883">
        <v>0</v>
      </c>
      <c r="AA389" s="883">
        <v>0</v>
      </c>
      <c r="AB389" s="883">
        <f t="shared" si="99"/>
        <v>20</v>
      </c>
      <c r="AC389" s="883">
        <v>0</v>
      </c>
      <c r="AD389" s="881"/>
      <c r="AE389" s="880"/>
      <c r="AF389" s="883"/>
      <c r="AG389" s="889"/>
      <c r="AH389" s="880"/>
      <c r="AI389" s="880" t="s">
        <v>1241</v>
      </c>
      <c r="AJ389" s="884">
        <v>411</v>
      </c>
      <c r="AK389" s="883">
        <f t="shared" si="100"/>
        <v>17.39</v>
      </c>
      <c r="AL389" s="884">
        <v>413</v>
      </c>
      <c r="AM389" s="883">
        <f t="shared" si="101"/>
        <v>0</v>
      </c>
      <c r="AN389" s="884">
        <v>441</v>
      </c>
      <c r="AO389" s="883">
        <f t="shared" si="102"/>
        <v>0</v>
      </c>
      <c r="AP389" s="881"/>
      <c r="AQ389" s="881"/>
      <c r="AR389" s="883">
        <v>0</v>
      </c>
      <c r="AS389" s="883">
        <v>0</v>
      </c>
      <c r="AT389" s="883">
        <v>0</v>
      </c>
      <c r="AU389" s="880"/>
      <c r="AV389" s="886"/>
      <c r="AW389" s="880"/>
      <c r="AX389" s="886"/>
      <c r="AY389" s="880"/>
      <c r="AZ389" s="880"/>
      <c r="BA389" s="881"/>
      <c r="BB389" s="881" t="s">
        <v>57</v>
      </c>
      <c r="BC389" s="881"/>
      <c r="BD389" s="881"/>
      <c r="BE389" s="884">
        <f t="shared" si="103"/>
        <v>4</v>
      </c>
      <c r="BF389" s="887" t="str">
        <f t="shared" si="104"/>
        <v>SI</v>
      </c>
      <c r="BG389" s="883">
        <f t="shared" si="105"/>
        <v>17.39</v>
      </c>
      <c r="BH389" s="883">
        <f t="shared" si="106"/>
        <v>0</v>
      </c>
      <c r="BI389" s="883">
        <f t="shared" si="107"/>
        <v>0</v>
      </c>
      <c r="BJ389" s="883">
        <f t="shared" si="108"/>
        <v>0</v>
      </c>
      <c r="BK389" s="883">
        <f t="shared" si="109"/>
        <v>0</v>
      </c>
      <c r="BL389" s="883">
        <f t="shared" si="110"/>
        <v>2.61</v>
      </c>
      <c r="BM389" s="881"/>
      <c r="BN389" s="880"/>
      <c r="BO389" s="882" t="s">
        <v>1579</v>
      </c>
      <c r="BP389" s="882" t="s">
        <v>2286</v>
      </c>
      <c r="BQ389" s="882" t="s">
        <v>2285</v>
      </c>
      <c r="BR389" s="880"/>
      <c r="BS389" s="880"/>
      <c r="BT389" s="880"/>
      <c r="BU389" s="880"/>
      <c r="BV389" s="880"/>
      <c r="BW389" s="883">
        <v>0</v>
      </c>
      <c r="BX389" s="883">
        <v>0</v>
      </c>
      <c r="BY389" s="883">
        <v>0</v>
      </c>
      <c r="BZ389" s="890"/>
      <c r="CA389" s="883">
        <f t="shared" si="111"/>
        <v>0</v>
      </c>
      <c r="CB389" s="880"/>
      <c r="CC389" s="881"/>
      <c r="CD389" s="883"/>
      <c r="CE389" s="883"/>
      <c r="CF389" s="883"/>
      <c r="CG389" s="883"/>
      <c r="CH389" s="883"/>
      <c r="CI389" s="883"/>
      <c r="CJ389" s="883"/>
      <c r="CK389" s="883"/>
      <c r="CL389" s="883"/>
      <c r="CM389" s="883"/>
      <c r="CN389" s="883"/>
      <c r="CO389" s="883"/>
      <c r="CP389" s="883"/>
      <c r="CQ389" s="883"/>
      <c r="CR389" s="883"/>
      <c r="CS389" s="883"/>
      <c r="CT389" s="883"/>
      <c r="CU389" s="883"/>
    </row>
    <row r="390" spans="1:99" x14ac:dyDescent="0.25">
      <c r="A390" s="880" t="s">
        <v>1787</v>
      </c>
      <c r="B390" s="881" t="s">
        <v>1788</v>
      </c>
      <c r="C390" s="880"/>
      <c r="D390" s="880"/>
      <c r="E390" s="884" t="s">
        <v>744</v>
      </c>
      <c r="F390" s="888">
        <v>1</v>
      </c>
      <c r="G390" s="881" t="s">
        <v>1007</v>
      </c>
      <c r="H390" s="881" t="s">
        <v>19</v>
      </c>
      <c r="I390" s="865">
        <v>46142</v>
      </c>
      <c r="J390" s="882" t="s">
        <v>8</v>
      </c>
      <c r="K390" s="880"/>
      <c r="L390" s="880"/>
      <c r="M390" s="883">
        <v>0</v>
      </c>
      <c r="N390" s="883">
        <v>0</v>
      </c>
      <c r="O390" s="883">
        <v>0</v>
      </c>
      <c r="P390" s="883">
        <v>17.39</v>
      </c>
      <c r="Q390" s="883">
        <v>15</v>
      </c>
      <c r="R390" s="883">
        <f t="shared" si="96"/>
        <v>2.61</v>
      </c>
      <c r="S390" s="883">
        <v>0</v>
      </c>
      <c r="T390" s="883">
        <v>5</v>
      </c>
      <c r="U390" s="883">
        <f t="shared" si="97"/>
        <v>0</v>
      </c>
      <c r="V390" s="883">
        <v>0</v>
      </c>
      <c r="W390" s="883">
        <v>8</v>
      </c>
      <c r="X390" s="883">
        <f t="shared" si="98"/>
        <v>0</v>
      </c>
      <c r="Y390" s="883">
        <v>0</v>
      </c>
      <c r="Z390" s="883">
        <v>0</v>
      </c>
      <c r="AA390" s="883">
        <v>0</v>
      </c>
      <c r="AB390" s="883">
        <f t="shared" si="99"/>
        <v>20</v>
      </c>
      <c r="AC390" s="883">
        <v>0</v>
      </c>
      <c r="AD390" s="881"/>
      <c r="AE390" s="880"/>
      <c r="AF390" s="883"/>
      <c r="AG390" s="889"/>
      <c r="AH390" s="880"/>
      <c r="AI390" s="880" t="s">
        <v>1241</v>
      </c>
      <c r="AJ390" s="884">
        <v>411</v>
      </c>
      <c r="AK390" s="883">
        <f t="shared" si="100"/>
        <v>17.39</v>
      </c>
      <c r="AL390" s="884">
        <v>413</v>
      </c>
      <c r="AM390" s="883">
        <f t="shared" si="101"/>
        <v>0</v>
      </c>
      <c r="AN390" s="884">
        <v>441</v>
      </c>
      <c r="AO390" s="883">
        <f t="shared" si="102"/>
        <v>0</v>
      </c>
      <c r="AP390" s="881"/>
      <c r="AQ390" s="881"/>
      <c r="AR390" s="883">
        <v>0</v>
      </c>
      <c r="AS390" s="883">
        <v>0</v>
      </c>
      <c r="AT390" s="883">
        <v>0</v>
      </c>
      <c r="AU390" s="880"/>
      <c r="AV390" s="886"/>
      <c r="AW390" s="880"/>
      <c r="AX390" s="886"/>
      <c r="AY390" s="880"/>
      <c r="AZ390" s="880"/>
      <c r="BA390" s="881"/>
      <c r="BB390" s="881" t="s">
        <v>57</v>
      </c>
      <c r="BC390" s="881"/>
      <c r="BD390" s="881"/>
      <c r="BE390" s="884">
        <f t="shared" si="103"/>
        <v>4</v>
      </c>
      <c r="BF390" s="887" t="str">
        <f t="shared" si="104"/>
        <v>SI</v>
      </c>
      <c r="BG390" s="883">
        <f t="shared" si="105"/>
        <v>17.39</v>
      </c>
      <c r="BH390" s="883">
        <f t="shared" si="106"/>
        <v>0</v>
      </c>
      <c r="BI390" s="883">
        <f t="shared" si="107"/>
        <v>0</v>
      </c>
      <c r="BJ390" s="883">
        <f t="shared" si="108"/>
        <v>0</v>
      </c>
      <c r="BK390" s="883">
        <f t="shared" si="109"/>
        <v>0</v>
      </c>
      <c r="BL390" s="883">
        <f t="shared" si="110"/>
        <v>2.61</v>
      </c>
      <c r="BM390" s="881"/>
      <c r="BN390" s="880"/>
      <c r="BO390" s="882" t="s">
        <v>1579</v>
      </c>
      <c r="BP390" s="882" t="s">
        <v>2286</v>
      </c>
      <c r="BQ390" s="882" t="s">
        <v>2285</v>
      </c>
      <c r="BR390" s="880"/>
      <c r="BS390" s="880"/>
      <c r="BT390" s="880"/>
      <c r="BU390" s="880"/>
      <c r="BV390" s="880"/>
      <c r="BW390" s="883">
        <v>0</v>
      </c>
      <c r="BX390" s="883">
        <v>0</v>
      </c>
      <c r="BY390" s="883">
        <v>0</v>
      </c>
      <c r="BZ390" s="890"/>
      <c r="CA390" s="883">
        <f t="shared" si="111"/>
        <v>0</v>
      </c>
      <c r="CB390" s="880"/>
      <c r="CC390" s="881"/>
      <c r="CD390" s="883"/>
      <c r="CE390" s="883"/>
      <c r="CF390" s="883"/>
      <c r="CG390" s="883"/>
      <c r="CH390" s="883"/>
      <c r="CI390" s="883"/>
      <c r="CJ390" s="883"/>
      <c r="CK390" s="883"/>
      <c r="CL390" s="883"/>
      <c r="CM390" s="883"/>
      <c r="CN390" s="883"/>
      <c r="CO390" s="883"/>
      <c r="CP390" s="883"/>
      <c r="CQ390" s="883"/>
      <c r="CR390" s="883"/>
      <c r="CS390" s="883"/>
      <c r="CT390" s="883"/>
      <c r="CU390" s="883"/>
    </row>
    <row r="391" spans="1:99" x14ac:dyDescent="0.25">
      <c r="A391" s="880" t="s">
        <v>1787</v>
      </c>
      <c r="B391" s="881" t="s">
        <v>1788</v>
      </c>
      <c r="C391" s="880"/>
      <c r="D391" s="880"/>
      <c r="E391" s="884" t="s">
        <v>744</v>
      </c>
      <c r="F391" s="888">
        <v>1</v>
      </c>
      <c r="G391" s="881" t="s">
        <v>1007</v>
      </c>
      <c r="H391" s="881" t="s">
        <v>19</v>
      </c>
      <c r="I391" s="865">
        <v>46142</v>
      </c>
      <c r="J391" s="882" t="s">
        <v>8</v>
      </c>
      <c r="K391" s="880"/>
      <c r="L391" s="880"/>
      <c r="M391" s="883">
        <v>0</v>
      </c>
      <c r="N391" s="883">
        <v>0</v>
      </c>
      <c r="O391" s="883">
        <v>0</v>
      </c>
      <c r="P391" s="883">
        <v>17.39</v>
      </c>
      <c r="Q391" s="883">
        <v>15</v>
      </c>
      <c r="R391" s="883">
        <f t="shared" si="96"/>
        <v>2.61</v>
      </c>
      <c r="S391" s="883">
        <v>0</v>
      </c>
      <c r="T391" s="883">
        <v>5</v>
      </c>
      <c r="U391" s="883">
        <f t="shared" si="97"/>
        <v>0</v>
      </c>
      <c r="V391" s="883">
        <v>0</v>
      </c>
      <c r="W391" s="883">
        <v>8</v>
      </c>
      <c r="X391" s="883">
        <f t="shared" si="98"/>
        <v>0</v>
      </c>
      <c r="Y391" s="883">
        <v>0</v>
      </c>
      <c r="Z391" s="883">
        <v>0</v>
      </c>
      <c r="AA391" s="883">
        <v>0</v>
      </c>
      <c r="AB391" s="883">
        <f t="shared" si="99"/>
        <v>20</v>
      </c>
      <c r="AC391" s="883">
        <v>0</v>
      </c>
      <c r="AD391" s="881"/>
      <c r="AE391" s="880"/>
      <c r="AF391" s="883"/>
      <c r="AG391" s="889"/>
      <c r="AH391" s="880"/>
      <c r="AI391" s="880" t="s">
        <v>1241</v>
      </c>
      <c r="AJ391" s="884">
        <v>411</v>
      </c>
      <c r="AK391" s="883">
        <f t="shared" si="100"/>
        <v>17.39</v>
      </c>
      <c r="AL391" s="884">
        <v>413</v>
      </c>
      <c r="AM391" s="883">
        <f t="shared" si="101"/>
        <v>0</v>
      </c>
      <c r="AN391" s="884">
        <v>441</v>
      </c>
      <c r="AO391" s="883">
        <f t="shared" si="102"/>
        <v>0</v>
      </c>
      <c r="AP391" s="881"/>
      <c r="AQ391" s="881"/>
      <c r="AR391" s="883">
        <v>0</v>
      </c>
      <c r="AS391" s="883">
        <v>0</v>
      </c>
      <c r="AT391" s="883">
        <v>0</v>
      </c>
      <c r="AU391" s="880"/>
      <c r="AV391" s="886"/>
      <c r="AW391" s="880"/>
      <c r="AX391" s="886"/>
      <c r="AY391" s="880"/>
      <c r="AZ391" s="880"/>
      <c r="BA391" s="881"/>
      <c r="BB391" s="881" t="s">
        <v>57</v>
      </c>
      <c r="BC391" s="881"/>
      <c r="BD391" s="881"/>
      <c r="BE391" s="884">
        <f t="shared" si="103"/>
        <v>4</v>
      </c>
      <c r="BF391" s="887" t="str">
        <f t="shared" si="104"/>
        <v>SI</v>
      </c>
      <c r="BG391" s="883">
        <f t="shared" si="105"/>
        <v>17.39</v>
      </c>
      <c r="BH391" s="883">
        <f t="shared" si="106"/>
        <v>0</v>
      </c>
      <c r="BI391" s="883">
        <f t="shared" si="107"/>
        <v>0</v>
      </c>
      <c r="BJ391" s="883">
        <f t="shared" si="108"/>
        <v>0</v>
      </c>
      <c r="BK391" s="883">
        <f t="shared" si="109"/>
        <v>0</v>
      </c>
      <c r="BL391" s="883">
        <f t="shared" si="110"/>
        <v>2.61</v>
      </c>
      <c r="BM391" s="881"/>
      <c r="BN391" s="880"/>
      <c r="BO391" s="882" t="s">
        <v>1579</v>
      </c>
      <c r="BP391" s="882" t="s">
        <v>2286</v>
      </c>
      <c r="BQ391" s="882" t="s">
        <v>2285</v>
      </c>
      <c r="BR391" s="880"/>
      <c r="BS391" s="880"/>
      <c r="BT391" s="880"/>
      <c r="BU391" s="880"/>
      <c r="BV391" s="880"/>
      <c r="BW391" s="883">
        <v>0</v>
      </c>
      <c r="BX391" s="883">
        <v>0</v>
      </c>
      <c r="BY391" s="883">
        <v>0</v>
      </c>
      <c r="BZ391" s="890"/>
      <c r="CA391" s="883">
        <f t="shared" si="111"/>
        <v>0</v>
      </c>
      <c r="CB391" s="880"/>
      <c r="CC391" s="881"/>
      <c r="CD391" s="883"/>
      <c r="CE391" s="883"/>
      <c r="CF391" s="883"/>
      <c r="CG391" s="883"/>
      <c r="CH391" s="883"/>
      <c r="CI391" s="883"/>
      <c r="CJ391" s="883"/>
      <c r="CK391" s="883"/>
      <c r="CL391" s="883"/>
      <c r="CM391" s="883"/>
      <c r="CN391" s="883"/>
      <c r="CO391" s="883"/>
      <c r="CP391" s="883"/>
      <c r="CQ391" s="883"/>
      <c r="CR391" s="883"/>
      <c r="CS391" s="883"/>
      <c r="CT391" s="883"/>
      <c r="CU391" s="883"/>
    </row>
    <row r="392" spans="1:99" x14ac:dyDescent="0.25">
      <c r="A392" s="880" t="s">
        <v>1787</v>
      </c>
      <c r="B392" s="881" t="s">
        <v>1788</v>
      </c>
      <c r="C392" s="880"/>
      <c r="D392" s="880"/>
      <c r="E392" s="884" t="s">
        <v>744</v>
      </c>
      <c r="F392" s="888">
        <v>1</v>
      </c>
      <c r="G392" s="881" t="s">
        <v>1007</v>
      </c>
      <c r="H392" s="881" t="s">
        <v>19</v>
      </c>
      <c r="I392" s="865">
        <v>46142</v>
      </c>
      <c r="J392" s="882" t="s">
        <v>8</v>
      </c>
      <c r="K392" s="880"/>
      <c r="L392" s="880"/>
      <c r="M392" s="883">
        <v>0</v>
      </c>
      <c r="N392" s="883">
        <v>0</v>
      </c>
      <c r="O392" s="883">
        <v>0</v>
      </c>
      <c r="P392" s="883">
        <v>17.39</v>
      </c>
      <c r="Q392" s="883">
        <v>15</v>
      </c>
      <c r="R392" s="883">
        <f t="shared" si="96"/>
        <v>2.61</v>
      </c>
      <c r="S392" s="883">
        <v>0</v>
      </c>
      <c r="T392" s="883">
        <v>5</v>
      </c>
      <c r="U392" s="883">
        <f t="shared" si="97"/>
        <v>0</v>
      </c>
      <c r="V392" s="883">
        <v>0</v>
      </c>
      <c r="W392" s="883">
        <v>8</v>
      </c>
      <c r="X392" s="883">
        <f t="shared" si="98"/>
        <v>0</v>
      </c>
      <c r="Y392" s="883">
        <v>0</v>
      </c>
      <c r="Z392" s="883">
        <v>0</v>
      </c>
      <c r="AA392" s="883">
        <v>0</v>
      </c>
      <c r="AB392" s="883">
        <f t="shared" si="99"/>
        <v>20</v>
      </c>
      <c r="AC392" s="883">
        <v>0</v>
      </c>
      <c r="AD392" s="881"/>
      <c r="AE392" s="880"/>
      <c r="AF392" s="883"/>
      <c r="AG392" s="889"/>
      <c r="AH392" s="880"/>
      <c r="AI392" s="880" t="s">
        <v>1241</v>
      </c>
      <c r="AJ392" s="884">
        <v>411</v>
      </c>
      <c r="AK392" s="883">
        <f t="shared" si="100"/>
        <v>17.39</v>
      </c>
      <c r="AL392" s="884">
        <v>413</v>
      </c>
      <c r="AM392" s="883">
        <f t="shared" si="101"/>
        <v>0</v>
      </c>
      <c r="AN392" s="884">
        <v>441</v>
      </c>
      <c r="AO392" s="883">
        <f t="shared" si="102"/>
        <v>0</v>
      </c>
      <c r="AP392" s="881"/>
      <c r="AQ392" s="881"/>
      <c r="AR392" s="883">
        <v>0</v>
      </c>
      <c r="AS392" s="883">
        <v>0</v>
      </c>
      <c r="AT392" s="883">
        <v>0</v>
      </c>
      <c r="AU392" s="880"/>
      <c r="AV392" s="886"/>
      <c r="AW392" s="880"/>
      <c r="AX392" s="886"/>
      <c r="AY392" s="880"/>
      <c r="AZ392" s="880"/>
      <c r="BA392" s="881"/>
      <c r="BB392" s="881" t="s">
        <v>57</v>
      </c>
      <c r="BC392" s="881"/>
      <c r="BD392" s="881"/>
      <c r="BE392" s="884">
        <f t="shared" si="103"/>
        <v>4</v>
      </c>
      <c r="BF392" s="887" t="str">
        <f t="shared" si="104"/>
        <v>SI</v>
      </c>
      <c r="BG392" s="883">
        <f t="shared" si="105"/>
        <v>17.39</v>
      </c>
      <c r="BH392" s="883">
        <f t="shared" si="106"/>
        <v>0</v>
      </c>
      <c r="BI392" s="883">
        <f t="shared" si="107"/>
        <v>0</v>
      </c>
      <c r="BJ392" s="883">
        <f t="shared" si="108"/>
        <v>0</v>
      </c>
      <c r="BK392" s="883">
        <f t="shared" si="109"/>
        <v>0</v>
      </c>
      <c r="BL392" s="883">
        <f t="shared" si="110"/>
        <v>2.61</v>
      </c>
      <c r="BM392" s="881"/>
      <c r="BN392" s="880"/>
      <c r="BO392" s="882" t="s">
        <v>1579</v>
      </c>
      <c r="BP392" s="882" t="s">
        <v>2286</v>
      </c>
      <c r="BQ392" s="882" t="s">
        <v>2285</v>
      </c>
      <c r="BR392" s="880"/>
      <c r="BS392" s="880"/>
      <c r="BT392" s="880"/>
      <c r="BU392" s="880"/>
      <c r="BV392" s="880"/>
      <c r="BW392" s="883">
        <v>0</v>
      </c>
      <c r="BX392" s="883">
        <v>0</v>
      </c>
      <c r="BY392" s="883">
        <v>0</v>
      </c>
      <c r="BZ392" s="890"/>
      <c r="CA392" s="883">
        <f t="shared" si="111"/>
        <v>0</v>
      </c>
      <c r="CB392" s="880"/>
      <c r="CC392" s="881"/>
      <c r="CD392" s="883"/>
      <c r="CE392" s="883"/>
      <c r="CF392" s="883"/>
      <c r="CG392" s="883"/>
      <c r="CH392" s="883"/>
      <c r="CI392" s="883"/>
      <c r="CJ392" s="883"/>
      <c r="CK392" s="883"/>
      <c r="CL392" s="883"/>
      <c r="CM392" s="883"/>
      <c r="CN392" s="883"/>
      <c r="CO392" s="883"/>
      <c r="CP392" s="883"/>
      <c r="CQ392" s="883"/>
      <c r="CR392" s="883"/>
      <c r="CS392" s="883"/>
      <c r="CT392" s="883"/>
      <c r="CU392" s="883"/>
    </row>
    <row r="393" spans="1:99" x14ac:dyDescent="0.25">
      <c r="A393" s="880" t="s">
        <v>1787</v>
      </c>
      <c r="B393" s="881" t="s">
        <v>1788</v>
      </c>
      <c r="C393" s="880"/>
      <c r="D393" s="880"/>
      <c r="E393" s="884" t="s">
        <v>744</v>
      </c>
      <c r="F393" s="888">
        <v>1</v>
      </c>
      <c r="G393" s="881" t="s">
        <v>1007</v>
      </c>
      <c r="H393" s="881" t="s">
        <v>19</v>
      </c>
      <c r="I393" s="865">
        <v>46142</v>
      </c>
      <c r="J393" s="882" t="s">
        <v>8</v>
      </c>
      <c r="K393" s="880"/>
      <c r="L393" s="880"/>
      <c r="M393" s="883">
        <v>0</v>
      </c>
      <c r="N393" s="883">
        <v>0</v>
      </c>
      <c r="O393" s="883">
        <v>0</v>
      </c>
      <c r="P393" s="883">
        <v>17.86</v>
      </c>
      <c r="Q393" s="883">
        <v>15</v>
      </c>
      <c r="R393" s="883">
        <f t="shared" si="96"/>
        <v>2.68</v>
      </c>
      <c r="S393" s="883">
        <v>0</v>
      </c>
      <c r="T393" s="883">
        <v>5</v>
      </c>
      <c r="U393" s="883">
        <f t="shared" si="97"/>
        <v>0</v>
      </c>
      <c r="V393" s="883">
        <v>0</v>
      </c>
      <c r="W393" s="883">
        <v>8</v>
      </c>
      <c r="X393" s="883">
        <f t="shared" si="98"/>
        <v>0</v>
      </c>
      <c r="Y393" s="883">
        <v>0</v>
      </c>
      <c r="Z393" s="883">
        <v>0</v>
      </c>
      <c r="AA393" s="883">
        <v>0</v>
      </c>
      <c r="AB393" s="883">
        <f t="shared" si="99"/>
        <v>20.54</v>
      </c>
      <c r="AC393" s="883">
        <v>0</v>
      </c>
      <c r="AD393" s="881"/>
      <c r="AE393" s="880"/>
      <c r="AF393" s="883"/>
      <c r="AG393" s="889"/>
      <c r="AH393" s="880"/>
      <c r="AI393" s="880" t="s">
        <v>1241</v>
      </c>
      <c r="AJ393" s="884">
        <v>411</v>
      </c>
      <c r="AK393" s="883">
        <f t="shared" si="100"/>
        <v>17.86</v>
      </c>
      <c r="AL393" s="884">
        <v>413</v>
      </c>
      <c r="AM393" s="883">
        <f t="shared" si="101"/>
        <v>0</v>
      </c>
      <c r="AN393" s="884">
        <v>441</v>
      </c>
      <c r="AO393" s="883">
        <f t="shared" si="102"/>
        <v>0</v>
      </c>
      <c r="AP393" s="881"/>
      <c r="AQ393" s="881"/>
      <c r="AR393" s="883">
        <v>0</v>
      </c>
      <c r="AS393" s="883">
        <v>0</v>
      </c>
      <c r="AT393" s="883">
        <v>0</v>
      </c>
      <c r="AU393" s="880"/>
      <c r="AV393" s="886"/>
      <c r="AW393" s="880"/>
      <c r="AX393" s="886"/>
      <c r="AY393" s="880"/>
      <c r="AZ393" s="880"/>
      <c r="BA393" s="881"/>
      <c r="BB393" s="881" t="s">
        <v>57</v>
      </c>
      <c r="BC393" s="881"/>
      <c r="BD393" s="881"/>
      <c r="BE393" s="884">
        <f t="shared" si="103"/>
        <v>4</v>
      </c>
      <c r="BF393" s="887" t="str">
        <f t="shared" si="104"/>
        <v>SI</v>
      </c>
      <c r="BG393" s="883">
        <f t="shared" si="105"/>
        <v>17.86</v>
      </c>
      <c r="BH393" s="883">
        <f t="shared" si="106"/>
        <v>0</v>
      </c>
      <c r="BI393" s="883">
        <f t="shared" si="107"/>
        <v>0</v>
      </c>
      <c r="BJ393" s="883">
        <f t="shared" si="108"/>
        <v>0</v>
      </c>
      <c r="BK393" s="883">
        <f t="shared" si="109"/>
        <v>0</v>
      </c>
      <c r="BL393" s="883">
        <f t="shared" si="110"/>
        <v>2.68</v>
      </c>
      <c r="BM393" s="881"/>
      <c r="BN393" s="880"/>
      <c r="BO393" s="882" t="s">
        <v>1579</v>
      </c>
      <c r="BP393" s="882" t="s">
        <v>2286</v>
      </c>
      <c r="BQ393" s="882" t="s">
        <v>2285</v>
      </c>
      <c r="BR393" s="880"/>
      <c r="BS393" s="880"/>
      <c r="BT393" s="880"/>
      <c r="BU393" s="880"/>
      <c r="BV393" s="880"/>
      <c r="BW393" s="883">
        <v>0</v>
      </c>
      <c r="BX393" s="883">
        <v>0</v>
      </c>
      <c r="BY393" s="883">
        <v>0</v>
      </c>
      <c r="BZ393" s="890"/>
      <c r="CA393" s="883">
        <f t="shared" si="111"/>
        <v>0</v>
      </c>
      <c r="CB393" s="880"/>
      <c r="CC393" s="881"/>
      <c r="CD393" s="883"/>
      <c r="CE393" s="883"/>
      <c r="CF393" s="883"/>
      <c r="CG393" s="883"/>
      <c r="CH393" s="883"/>
      <c r="CI393" s="883"/>
      <c r="CJ393" s="883"/>
      <c r="CK393" s="883"/>
      <c r="CL393" s="883"/>
      <c r="CM393" s="883"/>
      <c r="CN393" s="883"/>
      <c r="CO393" s="883"/>
      <c r="CP393" s="883"/>
      <c r="CQ393" s="883"/>
      <c r="CR393" s="883"/>
      <c r="CS393" s="883"/>
      <c r="CT393" s="883"/>
      <c r="CU393" s="883"/>
    </row>
    <row r="394" spans="1:99" x14ac:dyDescent="0.25">
      <c r="A394" s="880" t="s">
        <v>1787</v>
      </c>
      <c r="B394" s="881" t="s">
        <v>1788</v>
      </c>
      <c r="C394" s="880"/>
      <c r="D394" s="880"/>
      <c r="E394" s="884" t="s">
        <v>744</v>
      </c>
      <c r="F394" s="888">
        <v>1</v>
      </c>
      <c r="G394" s="881" t="s">
        <v>1007</v>
      </c>
      <c r="H394" s="881" t="s">
        <v>19</v>
      </c>
      <c r="I394" s="865">
        <v>46142</v>
      </c>
      <c r="J394" s="882" t="s">
        <v>8</v>
      </c>
      <c r="K394" s="880"/>
      <c r="L394" s="880"/>
      <c r="M394" s="883">
        <v>0</v>
      </c>
      <c r="N394" s="883">
        <v>0</v>
      </c>
      <c r="O394" s="883">
        <v>0</v>
      </c>
      <c r="P394" s="883">
        <v>17.86</v>
      </c>
      <c r="Q394" s="883">
        <v>15</v>
      </c>
      <c r="R394" s="883">
        <f t="shared" si="96"/>
        <v>2.68</v>
      </c>
      <c r="S394" s="883">
        <v>0</v>
      </c>
      <c r="T394" s="883">
        <v>5</v>
      </c>
      <c r="U394" s="883">
        <f t="shared" si="97"/>
        <v>0</v>
      </c>
      <c r="V394" s="883">
        <v>0</v>
      </c>
      <c r="W394" s="883">
        <v>8</v>
      </c>
      <c r="X394" s="883">
        <f t="shared" si="98"/>
        <v>0</v>
      </c>
      <c r="Y394" s="883">
        <v>0</v>
      </c>
      <c r="Z394" s="883">
        <v>0</v>
      </c>
      <c r="AA394" s="883">
        <v>0</v>
      </c>
      <c r="AB394" s="883">
        <f t="shared" si="99"/>
        <v>20.54</v>
      </c>
      <c r="AC394" s="883">
        <v>0</v>
      </c>
      <c r="AD394" s="881"/>
      <c r="AE394" s="880"/>
      <c r="AF394" s="883"/>
      <c r="AG394" s="889"/>
      <c r="AH394" s="880"/>
      <c r="AI394" s="880" t="s">
        <v>1241</v>
      </c>
      <c r="AJ394" s="884">
        <v>411</v>
      </c>
      <c r="AK394" s="883">
        <f t="shared" si="100"/>
        <v>17.86</v>
      </c>
      <c r="AL394" s="884">
        <v>413</v>
      </c>
      <c r="AM394" s="883">
        <f t="shared" si="101"/>
        <v>0</v>
      </c>
      <c r="AN394" s="884">
        <v>441</v>
      </c>
      <c r="AO394" s="883">
        <f t="shared" si="102"/>
        <v>0</v>
      </c>
      <c r="AP394" s="881"/>
      <c r="AQ394" s="881"/>
      <c r="AR394" s="883">
        <v>0</v>
      </c>
      <c r="AS394" s="883">
        <v>0</v>
      </c>
      <c r="AT394" s="883">
        <v>0</v>
      </c>
      <c r="AU394" s="880"/>
      <c r="AV394" s="886"/>
      <c r="AW394" s="880"/>
      <c r="AX394" s="886"/>
      <c r="AY394" s="880"/>
      <c r="AZ394" s="880"/>
      <c r="BA394" s="881"/>
      <c r="BB394" s="881" t="s">
        <v>57</v>
      </c>
      <c r="BC394" s="881"/>
      <c r="BD394" s="881"/>
      <c r="BE394" s="884">
        <f t="shared" si="103"/>
        <v>4</v>
      </c>
      <c r="BF394" s="887" t="str">
        <f t="shared" si="104"/>
        <v>SI</v>
      </c>
      <c r="BG394" s="883">
        <f t="shared" si="105"/>
        <v>17.86</v>
      </c>
      <c r="BH394" s="883">
        <f t="shared" si="106"/>
        <v>0</v>
      </c>
      <c r="BI394" s="883">
        <f t="shared" si="107"/>
        <v>0</v>
      </c>
      <c r="BJ394" s="883">
        <f t="shared" si="108"/>
        <v>0</v>
      </c>
      <c r="BK394" s="883">
        <f t="shared" si="109"/>
        <v>0</v>
      </c>
      <c r="BL394" s="883">
        <f t="shared" si="110"/>
        <v>2.68</v>
      </c>
      <c r="BM394" s="881"/>
      <c r="BN394" s="880"/>
      <c r="BO394" s="882" t="s">
        <v>1579</v>
      </c>
      <c r="BP394" s="882" t="s">
        <v>2286</v>
      </c>
      <c r="BQ394" s="882" t="s">
        <v>2285</v>
      </c>
      <c r="BR394" s="880"/>
      <c r="BS394" s="880"/>
      <c r="BT394" s="880"/>
      <c r="BU394" s="880"/>
      <c r="BV394" s="880"/>
      <c r="BW394" s="883">
        <v>0</v>
      </c>
      <c r="BX394" s="883">
        <v>0</v>
      </c>
      <c r="BY394" s="883">
        <v>0</v>
      </c>
      <c r="BZ394" s="890"/>
      <c r="CA394" s="883">
        <f t="shared" si="111"/>
        <v>0</v>
      </c>
      <c r="CB394" s="880"/>
      <c r="CC394" s="881"/>
      <c r="CD394" s="883"/>
      <c r="CE394" s="883"/>
      <c r="CF394" s="883"/>
      <c r="CG394" s="883"/>
      <c r="CH394" s="883"/>
      <c r="CI394" s="883"/>
      <c r="CJ394" s="883"/>
      <c r="CK394" s="883"/>
      <c r="CL394" s="883"/>
      <c r="CM394" s="883"/>
      <c r="CN394" s="883"/>
      <c r="CO394" s="883"/>
      <c r="CP394" s="883"/>
      <c r="CQ394" s="883"/>
      <c r="CR394" s="883"/>
      <c r="CS394" s="883"/>
      <c r="CT394" s="883"/>
      <c r="CU394" s="883"/>
    </row>
    <row r="395" spans="1:99" x14ac:dyDescent="0.25">
      <c r="A395" s="880" t="s">
        <v>1787</v>
      </c>
      <c r="B395" s="881" t="s">
        <v>1788</v>
      </c>
      <c r="C395" s="880"/>
      <c r="D395" s="880"/>
      <c r="E395" s="884" t="s">
        <v>744</v>
      </c>
      <c r="F395" s="888">
        <v>1</v>
      </c>
      <c r="G395" s="881" t="s">
        <v>1007</v>
      </c>
      <c r="H395" s="881" t="s">
        <v>19</v>
      </c>
      <c r="I395" s="865">
        <v>46142</v>
      </c>
      <c r="J395" s="882" t="s">
        <v>8</v>
      </c>
      <c r="K395" s="880"/>
      <c r="L395" s="880"/>
      <c r="M395" s="883">
        <v>0</v>
      </c>
      <c r="N395" s="883">
        <v>0</v>
      </c>
      <c r="O395" s="883">
        <v>0</v>
      </c>
      <c r="P395" s="883">
        <v>17.39</v>
      </c>
      <c r="Q395" s="883">
        <v>15</v>
      </c>
      <c r="R395" s="883">
        <f t="shared" ref="R395:R452" si="112">ROUND(P395*Q395%,2)</f>
        <v>2.61</v>
      </c>
      <c r="S395" s="883">
        <v>0</v>
      </c>
      <c r="T395" s="883">
        <v>5</v>
      </c>
      <c r="U395" s="883">
        <f t="shared" ref="U395:U452" si="113">ROUND(S395*T395%,2)</f>
        <v>0</v>
      </c>
      <c r="V395" s="883">
        <v>0</v>
      </c>
      <c r="W395" s="883">
        <v>8</v>
      </c>
      <c r="X395" s="883">
        <f t="shared" ref="X395:X452" si="114">ROUND(V395*W395%,2)</f>
        <v>0</v>
      </c>
      <c r="Y395" s="883">
        <v>0</v>
      </c>
      <c r="Z395" s="883">
        <v>0</v>
      </c>
      <c r="AA395" s="883">
        <v>0</v>
      </c>
      <c r="AB395" s="883">
        <f t="shared" ref="AB395:AB452" si="115">ROUND(SUM(M395:P395)+SUM(R395:S395)+SUM(U395:V395)+SUM(X395:AA395),2)</f>
        <v>20</v>
      </c>
      <c r="AC395" s="883">
        <v>0</v>
      </c>
      <c r="AD395" s="881"/>
      <c r="AE395" s="880"/>
      <c r="AF395" s="883"/>
      <c r="AG395" s="889"/>
      <c r="AH395" s="880"/>
      <c r="AI395" s="880" t="s">
        <v>1241</v>
      </c>
      <c r="AJ395" s="884">
        <v>411</v>
      </c>
      <c r="AK395" s="883">
        <f t="shared" ref="AK395:AK452" si="116">IF(OR(AJ395=441,AJ395=444,AJ395=417,AJ395=418),IF(AJ395=441,SUM($M395:$N395)+SUM($Y395:$AA395),SUM($M395:$P395)+$S395+$V395),IF(AND(AJ395&gt;412,AJ395&lt;417),$O395,IF(OR(AJ395=411,AJ395=412),$P395,IF(AJ395=420,$V395,IF(AJ395=435,$S395,0)))))</f>
        <v>17.39</v>
      </c>
      <c r="AL395" s="884">
        <v>413</v>
      </c>
      <c r="AM395" s="883">
        <f t="shared" ref="AM395:AM452" si="117">IF(OR(AL395=441,AL395=444,AL395=417,AL395=418),IF(AL395=441,SUM($M395:$N395)+SUM($Y395:$AA395),SUM($M395:$P395)+$S395+$V395),IF(AND(AL395&gt;412,AL395&lt;417),$O395,IF(OR(AL395=411,AL395=412),$P395,IF(AL395=420,$V395,IF(AL395=435,$S395,0)))))</f>
        <v>0</v>
      </c>
      <c r="AN395" s="884">
        <v>441</v>
      </c>
      <c r="AO395" s="883">
        <f t="shared" ref="AO395:AO452" si="118">IF(OR(AN395=441,AN395=444,AN395=417,AN395=418),IF(AN395=441,SUM($M395:$N395)+SUM($Y395:$AA395),SUM($M395:$P395)+$S395+$V395),IF(AND(AN395&gt;412,AN395&lt;417),$O395,IF(OR(AN395=411,AN395=412),$P395,IF(AN395=420,$V395,IF(AN395=435,$S395,0)))))</f>
        <v>0</v>
      </c>
      <c r="AP395" s="881"/>
      <c r="AQ395" s="881"/>
      <c r="AR395" s="883">
        <v>0</v>
      </c>
      <c r="AS395" s="883">
        <v>0</v>
      </c>
      <c r="AT395" s="883">
        <v>0</v>
      </c>
      <c r="AU395" s="880"/>
      <c r="AV395" s="886"/>
      <c r="AW395" s="880"/>
      <c r="AX395" s="886"/>
      <c r="AY395" s="880"/>
      <c r="AZ395" s="880"/>
      <c r="BA395" s="881"/>
      <c r="BB395" s="881" t="s">
        <v>57</v>
      </c>
      <c r="BC395" s="881"/>
      <c r="BD395" s="881"/>
      <c r="BE395" s="884">
        <f t="shared" ref="BE395:BE452" si="119">IF(ISNUMBER(I395),MONTH(I395),0)</f>
        <v>4</v>
      </c>
      <c r="BF395" s="887" t="str">
        <f t="shared" ref="BF395:BF452" si="120">IF(ISNUMBER(I395),IF(ISERROR(HLOOKUP(MONTH(I395),meses_104,1,0)),"NO","SI"),"NO")</f>
        <v>SI</v>
      </c>
      <c r="BG395" s="883">
        <f t="shared" ref="BG395:BG452" si="121">IF(ISBLANK(H395),0,IF(OR((VALUE(LEFT(H395,2))=4),((LEFT(H395,3))="372")),0,AK395))</f>
        <v>17.39</v>
      </c>
      <c r="BH395" s="883">
        <f t="shared" ref="BH395:BH452" si="122">IF(ISBLANK(H395),0,IF(OR((VALUE(LEFT(H395,2))=4),((LEFT(H395,3))="372")),0,AM395))</f>
        <v>0</v>
      </c>
      <c r="BI395" s="883">
        <f t="shared" ref="BI395:BI452" si="123">IF(ISBLANK(H395),0,IF(OR((VALUE(LEFT(H395,2))=4),((LEFT(H395,3))="372")),0,AO395))</f>
        <v>0</v>
      </c>
      <c r="BJ395" s="883">
        <f t="shared" ref="BJ395:BJ452" si="124">SUM(M395:O395)+SUM(Y395:AA395)</f>
        <v>0</v>
      </c>
      <c r="BK395" s="883">
        <f t="shared" ref="BK395:BK452" si="125">ROUND((IF(AJ395=444,(R395+U395+X395),0)+IF(AL395=444,(R395+U395+X395),0)+IF(AN395=444,(R395+U395+X395),0)),2)</f>
        <v>0</v>
      </c>
      <c r="BL395" s="883">
        <f t="shared" ref="BL395:BL452" si="126">R395+U395+X395-BK395</f>
        <v>2.61</v>
      </c>
      <c r="BM395" s="881"/>
      <c r="BN395" s="880"/>
      <c r="BO395" s="882" t="s">
        <v>1579</v>
      </c>
      <c r="BP395" s="882" t="s">
        <v>2286</v>
      </c>
      <c r="BQ395" s="882" t="s">
        <v>2285</v>
      </c>
      <c r="BR395" s="880"/>
      <c r="BS395" s="880"/>
      <c r="BT395" s="880"/>
      <c r="BU395" s="880"/>
      <c r="BV395" s="880"/>
      <c r="BW395" s="883">
        <v>0</v>
      </c>
      <c r="BX395" s="883">
        <v>0</v>
      </c>
      <c r="BY395" s="883">
        <v>0</v>
      </c>
      <c r="BZ395" s="890"/>
      <c r="CA395" s="883">
        <f t="shared" ref="CA395:CA452" si="127">ROUND((IF(OR(AJ395=413,AJ395=414),AK395,0)+IF(OR(AL395=413,AL395=414),AM395,0)+IF(OR(AN395=413,AN395=414),AO395,0)),2)</f>
        <v>0</v>
      </c>
      <c r="CB395" s="880"/>
      <c r="CC395" s="881"/>
      <c r="CD395" s="883"/>
      <c r="CE395" s="883"/>
      <c r="CF395" s="883"/>
      <c r="CG395" s="883"/>
      <c r="CH395" s="883"/>
      <c r="CI395" s="883"/>
      <c r="CJ395" s="883"/>
      <c r="CK395" s="883"/>
      <c r="CL395" s="883"/>
      <c r="CM395" s="883"/>
      <c r="CN395" s="883"/>
      <c r="CO395" s="883"/>
      <c r="CP395" s="883"/>
      <c r="CQ395" s="883"/>
      <c r="CR395" s="883"/>
      <c r="CS395" s="883"/>
      <c r="CT395" s="883"/>
      <c r="CU395" s="883"/>
    </row>
    <row r="396" spans="1:99" x14ac:dyDescent="0.25">
      <c r="A396" s="880" t="s">
        <v>1787</v>
      </c>
      <c r="B396" s="881" t="s">
        <v>1788</v>
      </c>
      <c r="C396" s="880"/>
      <c r="D396" s="880"/>
      <c r="E396" s="884" t="s">
        <v>744</v>
      </c>
      <c r="F396" s="888">
        <v>1</v>
      </c>
      <c r="G396" s="881" t="s">
        <v>1007</v>
      </c>
      <c r="H396" s="881" t="s">
        <v>19</v>
      </c>
      <c r="I396" s="865">
        <v>46142</v>
      </c>
      <c r="J396" s="882" t="s">
        <v>8</v>
      </c>
      <c r="K396" s="880"/>
      <c r="L396" s="880"/>
      <c r="M396" s="883">
        <v>0</v>
      </c>
      <c r="N396" s="883">
        <v>0</v>
      </c>
      <c r="O396" s="883">
        <v>0</v>
      </c>
      <c r="P396" s="883">
        <v>17.39</v>
      </c>
      <c r="Q396" s="883">
        <v>15</v>
      </c>
      <c r="R396" s="883">
        <f t="shared" si="112"/>
        <v>2.61</v>
      </c>
      <c r="S396" s="883">
        <v>0</v>
      </c>
      <c r="T396" s="883">
        <v>5</v>
      </c>
      <c r="U396" s="883">
        <f t="shared" si="113"/>
        <v>0</v>
      </c>
      <c r="V396" s="883">
        <v>0</v>
      </c>
      <c r="W396" s="883">
        <v>8</v>
      </c>
      <c r="X396" s="883">
        <f t="shared" si="114"/>
        <v>0</v>
      </c>
      <c r="Y396" s="883">
        <v>0</v>
      </c>
      <c r="Z396" s="883">
        <v>0</v>
      </c>
      <c r="AA396" s="883">
        <v>0</v>
      </c>
      <c r="AB396" s="883">
        <f t="shared" si="115"/>
        <v>20</v>
      </c>
      <c r="AC396" s="883">
        <v>0</v>
      </c>
      <c r="AD396" s="881"/>
      <c r="AE396" s="880"/>
      <c r="AF396" s="883"/>
      <c r="AG396" s="889"/>
      <c r="AH396" s="880"/>
      <c r="AI396" s="880" t="s">
        <v>1241</v>
      </c>
      <c r="AJ396" s="884">
        <v>411</v>
      </c>
      <c r="AK396" s="883">
        <f t="shared" si="116"/>
        <v>17.39</v>
      </c>
      <c r="AL396" s="884">
        <v>413</v>
      </c>
      <c r="AM396" s="883">
        <f t="shared" si="117"/>
        <v>0</v>
      </c>
      <c r="AN396" s="884">
        <v>441</v>
      </c>
      <c r="AO396" s="883">
        <f t="shared" si="118"/>
        <v>0</v>
      </c>
      <c r="AP396" s="881"/>
      <c r="AQ396" s="881"/>
      <c r="AR396" s="883">
        <v>0</v>
      </c>
      <c r="AS396" s="883">
        <v>0</v>
      </c>
      <c r="AT396" s="883">
        <v>0</v>
      </c>
      <c r="AU396" s="880"/>
      <c r="AV396" s="886"/>
      <c r="AW396" s="880"/>
      <c r="AX396" s="886"/>
      <c r="AY396" s="880"/>
      <c r="AZ396" s="880"/>
      <c r="BA396" s="881"/>
      <c r="BB396" s="881" t="s">
        <v>57</v>
      </c>
      <c r="BC396" s="881"/>
      <c r="BD396" s="881"/>
      <c r="BE396" s="884">
        <f t="shared" si="119"/>
        <v>4</v>
      </c>
      <c r="BF396" s="887" t="str">
        <f t="shared" si="120"/>
        <v>SI</v>
      </c>
      <c r="BG396" s="883">
        <f t="shared" si="121"/>
        <v>17.39</v>
      </c>
      <c r="BH396" s="883">
        <f t="shared" si="122"/>
        <v>0</v>
      </c>
      <c r="BI396" s="883">
        <f t="shared" si="123"/>
        <v>0</v>
      </c>
      <c r="BJ396" s="883">
        <f t="shared" si="124"/>
        <v>0</v>
      </c>
      <c r="BK396" s="883">
        <f t="shared" si="125"/>
        <v>0</v>
      </c>
      <c r="BL396" s="883">
        <f t="shared" si="126"/>
        <v>2.61</v>
      </c>
      <c r="BM396" s="881"/>
      <c r="BN396" s="880"/>
      <c r="BO396" s="882" t="s">
        <v>1579</v>
      </c>
      <c r="BP396" s="882" t="s">
        <v>2286</v>
      </c>
      <c r="BQ396" s="882" t="s">
        <v>2285</v>
      </c>
      <c r="BR396" s="880"/>
      <c r="BS396" s="880"/>
      <c r="BT396" s="880"/>
      <c r="BU396" s="880"/>
      <c r="BV396" s="880"/>
      <c r="BW396" s="883">
        <v>0</v>
      </c>
      <c r="BX396" s="883">
        <v>0</v>
      </c>
      <c r="BY396" s="883">
        <v>0</v>
      </c>
      <c r="BZ396" s="890"/>
      <c r="CA396" s="883">
        <f t="shared" si="127"/>
        <v>0</v>
      </c>
      <c r="CB396" s="880"/>
      <c r="CC396" s="881"/>
      <c r="CD396" s="883"/>
      <c r="CE396" s="883"/>
      <c r="CF396" s="883"/>
      <c r="CG396" s="883"/>
      <c r="CH396" s="883"/>
      <c r="CI396" s="883"/>
      <c r="CJ396" s="883"/>
      <c r="CK396" s="883"/>
      <c r="CL396" s="883"/>
      <c r="CM396" s="883"/>
      <c r="CN396" s="883"/>
      <c r="CO396" s="883"/>
      <c r="CP396" s="883"/>
      <c r="CQ396" s="883"/>
      <c r="CR396" s="883"/>
      <c r="CS396" s="883"/>
      <c r="CT396" s="883"/>
      <c r="CU396" s="883"/>
    </row>
    <row r="397" spans="1:99" x14ac:dyDescent="0.25">
      <c r="A397" s="880" t="s">
        <v>1787</v>
      </c>
      <c r="B397" s="881" t="s">
        <v>1788</v>
      </c>
      <c r="C397" s="880"/>
      <c r="D397" s="880"/>
      <c r="E397" s="884" t="s">
        <v>744</v>
      </c>
      <c r="F397" s="888">
        <v>1</v>
      </c>
      <c r="G397" s="881" t="s">
        <v>1007</v>
      </c>
      <c r="H397" s="881" t="s">
        <v>19</v>
      </c>
      <c r="I397" s="865">
        <v>46142</v>
      </c>
      <c r="J397" s="882" t="s">
        <v>8</v>
      </c>
      <c r="K397" s="880"/>
      <c r="L397" s="880"/>
      <c r="M397" s="883">
        <v>0</v>
      </c>
      <c r="N397" s="883">
        <v>0</v>
      </c>
      <c r="O397" s="883">
        <v>0</v>
      </c>
      <c r="P397" s="883">
        <v>17.39</v>
      </c>
      <c r="Q397" s="883">
        <v>15</v>
      </c>
      <c r="R397" s="883">
        <f t="shared" si="112"/>
        <v>2.61</v>
      </c>
      <c r="S397" s="883">
        <v>0</v>
      </c>
      <c r="T397" s="883">
        <v>5</v>
      </c>
      <c r="U397" s="883">
        <f t="shared" si="113"/>
        <v>0</v>
      </c>
      <c r="V397" s="883">
        <v>0</v>
      </c>
      <c r="W397" s="883">
        <v>8</v>
      </c>
      <c r="X397" s="883">
        <f t="shared" si="114"/>
        <v>0</v>
      </c>
      <c r="Y397" s="883">
        <v>0</v>
      </c>
      <c r="Z397" s="883">
        <v>0</v>
      </c>
      <c r="AA397" s="883">
        <v>0</v>
      </c>
      <c r="AB397" s="883">
        <f t="shared" si="115"/>
        <v>20</v>
      </c>
      <c r="AC397" s="883">
        <v>0</v>
      </c>
      <c r="AD397" s="881"/>
      <c r="AE397" s="880"/>
      <c r="AF397" s="883"/>
      <c r="AG397" s="889"/>
      <c r="AH397" s="880"/>
      <c r="AI397" s="880" t="s">
        <v>1241</v>
      </c>
      <c r="AJ397" s="884">
        <v>411</v>
      </c>
      <c r="AK397" s="883">
        <f t="shared" si="116"/>
        <v>17.39</v>
      </c>
      <c r="AL397" s="884">
        <v>413</v>
      </c>
      <c r="AM397" s="883">
        <f t="shared" si="117"/>
        <v>0</v>
      </c>
      <c r="AN397" s="884">
        <v>441</v>
      </c>
      <c r="AO397" s="883">
        <f t="shared" si="118"/>
        <v>0</v>
      </c>
      <c r="AP397" s="881"/>
      <c r="AQ397" s="881"/>
      <c r="AR397" s="883">
        <v>0</v>
      </c>
      <c r="AS397" s="883">
        <v>0</v>
      </c>
      <c r="AT397" s="883">
        <v>0</v>
      </c>
      <c r="AU397" s="880"/>
      <c r="AV397" s="886"/>
      <c r="AW397" s="880"/>
      <c r="AX397" s="886"/>
      <c r="AY397" s="880"/>
      <c r="AZ397" s="880"/>
      <c r="BA397" s="881"/>
      <c r="BB397" s="881" t="s">
        <v>57</v>
      </c>
      <c r="BC397" s="881"/>
      <c r="BD397" s="881"/>
      <c r="BE397" s="884">
        <f t="shared" si="119"/>
        <v>4</v>
      </c>
      <c r="BF397" s="887" t="str">
        <f t="shared" si="120"/>
        <v>SI</v>
      </c>
      <c r="BG397" s="883">
        <f t="shared" si="121"/>
        <v>17.39</v>
      </c>
      <c r="BH397" s="883">
        <f t="shared" si="122"/>
        <v>0</v>
      </c>
      <c r="BI397" s="883">
        <f t="shared" si="123"/>
        <v>0</v>
      </c>
      <c r="BJ397" s="883">
        <f t="shared" si="124"/>
        <v>0</v>
      </c>
      <c r="BK397" s="883">
        <f t="shared" si="125"/>
        <v>0</v>
      </c>
      <c r="BL397" s="883">
        <f t="shared" si="126"/>
        <v>2.61</v>
      </c>
      <c r="BM397" s="881"/>
      <c r="BN397" s="880"/>
      <c r="BO397" s="882" t="s">
        <v>1579</v>
      </c>
      <c r="BP397" s="882" t="s">
        <v>2286</v>
      </c>
      <c r="BQ397" s="882" t="s">
        <v>2285</v>
      </c>
      <c r="BR397" s="880"/>
      <c r="BS397" s="880"/>
      <c r="BT397" s="880"/>
      <c r="BU397" s="880"/>
      <c r="BV397" s="880"/>
      <c r="BW397" s="883">
        <v>0</v>
      </c>
      <c r="BX397" s="883">
        <v>0</v>
      </c>
      <c r="BY397" s="883">
        <v>0</v>
      </c>
      <c r="BZ397" s="890"/>
      <c r="CA397" s="883">
        <f t="shared" si="127"/>
        <v>0</v>
      </c>
      <c r="CB397" s="880"/>
      <c r="CC397" s="881"/>
      <c r="CD397" s="883"/>
      <c r="CE397" s="883"/>
      <c r="CF397" s="883"/>
      <c r="CG397" s="883"/>
      <c r="CH397" s="883"/>
      <c r="CI397" s="883"/>
      <c r="CJ397" s="883"/>
      <c r="CK397" s="883"/>
      <c r="CL397" s="883"/>
      <c r="CM397" s="883"/>
      <c r="CN397" s="883"/>
      <c r="CO397" s="883"/>
      <c r="CP397" s="883"/>
      <c r="CQ397" s="883"/>
      <c r="CR397" s="883"/>
      <c r="CS397" s="883"/>
      <c r="CT397" s="883"/>
      <c r="CU397" s="883"/>
    </row>
    <row r="398" spans="1:99" x14ac:dyDescent="0.25">
      <c r="A398" s="880" t="s">
        <v>1787</v>
      </c>
      <c r="B398" s="881" t="s">
        <v>1788</v>
      </c>
      <c r="C398" s="880"/>
      <c r="D398" s="880"/>
      <c r="E398" s="884" t="s">
        <v>744</v>
      </c>
      <c r="F398" s="888">
        <v>1</v>
      </c>
      <c r="G398" s="881" t="s">
        <v>1007</v>
      </c>
      <c r="H398" s="881" t="s">
        <v>19</v>
      </c>
      <c r="I398" s="865">
        <v>46142</v>
      </c>
      <c r="J398" s="882" t="s">
        <v>8</v>
      </c>
      <c r="K398" s="880"/>
      <c r="L398" s="880"/>
      <c r="M398" s="883">
        <v>0</v>
      </c>
      <c r="N398" s="883">
        <v>0</v>
      </c>
      <c r="O398" s="883">
        <v>0</v>
      </c>
      <c r="P398" s="883">
        <v>17.39</v>
      </c>
      <c r="Q398" s="883">
        <v>15</v>
      </c>
      <c r="R398" s="883">
        <f t="shared" si="112"/>
        <v>2.61</v>
      </c>
      <c r="S398" s="883">
        <v>0</v>
      </c>
      <c r="T398" s="883">
        <v>5</v>
      </c>
      <c r="U398" s="883">
        <f t="shared" si="113"/>
        <v>0</v>
      </c>
      <c r="V398" s="883">
        <v>0</v>
      </c>
      <c r="W398" s="883">
        <v>8</v>
      </c>
      <c r="X398" s="883">
        <f t="shared" si="114"/>
        <v>0</v>
      </c>
      <c r="Y398" s="883">
        <v>0</v>
      </c>
      <c r="Z398" s="883">
        <v>0</v>
      </c>
      <c r="AA398" s="883">
        <v>0</v>
      </c>
      <c r="AB398" s="883">
        <f t="shared" si="115"/>
        <v>20</v>
      </c>
      <c r="AC398" s="883">
        <v>0</v>
      </c>
      <c r="AD398" s="881"/>
      <c r="AE398" s="880"/>
      <c r="AF398" s="883"/>
      <c r="AG398" s="889"/>
      <c r="AH398" s="880"/>
      <c r="AI398" s="880" t="s">
        <v>1241</v>
      </c>
      <c r="AJ398" s="884">
        <v>411</v>
      </c>
      <c r="AK398" s="883">
        <f t="shared" si="116"/>
        <v>17.39</v>
      </c>
      <c r="AL398" s="884">
        <v>413</v>
      </c>
      <c r="AM398" s="883">
        <f t="shared" si="117"/>
        <v>0</v>
      </c>
      <c r="AN398" s="884">
        <v>441</v>
      </c>
      <c r="AO398" s="883">
        <f t="shared" si="118"/>
        <v>0</v>
      </c>
      <c r="AP398" s="881"/>
      <c r="AQ398" s="881"/>
      <c r="AR398" s="883">
        <v>0</v>
      </c>
      <c r="AS398" s="883">
        <v>0</v>
      </c>
      <c r="AT398" s="883">
        <v>0</v>
      </c>
      <c r="AU398" s="880"/>
      <c r="AV398" s="886"/>
      <c r="AW398" s="880"/>
      <c r="AX398" s="886"/>
      <c r="AY398" s="880"/>
      <c r="AZ398" s="880"/>
      <c r="BA398" s="881"/>
      <c r="BB398" s="881" t="s">
        <v>57</v>
      </c>
      <c r="BC398" s="881"/>
      <c r="BD398" s="881"/>
      <c r="BE398" s="884">
        <f t="shared" si="119"/>
        <v>4</v>
      </c>
      <c r="BF398" s="887" t="str">
        <f t="shared" si="120"/>
        <v>SI</v>
      </c>
      <c r="BG398" s="883">
        <f t="shared" si="121"/>
        <v>17.39</v>
      </c>
      <c r="BH398" s="883">
        <f t="shared" si="122"/>
        <v>0</v>
      </c>
      <c r="BI398" s="883">
        <f t="shared" si="123"/>
        <v>0</v>
      </c>
      <c r="BJ398" s="883">
        <f t="shared" si="124"/>
        <v>0</v>
      </c>
      <c r="BK398" s="883">
        <f t="shared" si="125"/>
        <v>0</v>
      </c>
      <c r="BL398" s="883">
        <f t="shared" si="126"/>
        <v>2.61</v>
      </c>
      <c r="BM398" s="881"/>
      <c r="BN398" s="880"/>
      <c r="BO398" s="882" t="s">
        <v>1579</v>
      </c>
      <c r="BP398" s="882" t="s">
        <v>2286</v>
      </c>
      <c r="BQ398" s="882" t="s">
        <v>2285</v>
      </c>
      <c r="BR398" s="880"/>
      <c r="BS398" s="880"/>
      <c r="BT398" s="880"/>
      <c r="BU398" s="880"/>
      <c r="BV398" s="880"/>
      <c r="BW398" s="883">
        <v>0</v>
      </c>
      <c r="BX398" s="883">
        <v>0</v>
      </c>
      <c r="BY398" s="883">
        <v>0</v>
      </c>
      <c r="BZ398" s="890"/>
      <c r="CA398" s="883">
        <f t="shared" si="127"/>
        <v>0</v>
      </c>
      <c r="CB398" s="880"/>
      <c r="CC398" s="881"/>
      <c r="CD398" s="883"/>
      <c r="CE398" s="883"/>
      <c r="CF398" s="883"/>
      <c r="CG398" s="883"/>
      <c r="CH398" s="883"/>
      <c r="CI398" s="883"/>
      <c r="CJ398" s="883"/>
      <c r="CK398" s="883"/>
      <c r="CL398" s="883"/>
      <c r="CM398" s="883"/>
      <c r="CN398" s="883"/>
      <c r="CO398" s="883"/>
      <c r="CP398" s="883"/>
      <c r="CQ398" s="883"/>
      <c r="CR398" s="883"/>
      <c r="CS398" s="883"/>
      <c r="CT398" s="883"/>
      <c r="CU398" s="883"/>
    </row>
    <row r="399" spans="1:99" x14ac:dyDescent="0.25">
      <c r="A399" s="880" t="s">
        <v>1787</v>
      </c>
      <c r="B399" s="881" t="s">
        <v>1788</v>
      </c>
      <c r="C399" s="880"/>
      <c r="D399" s="880"/>
      <c r="E399" s="884" t="s">
        <v>744</v>
      </c>
      <c r="F399" s="888">
        <v>1</v>
      </c>
      <c r="G399" s="881" t="s">
        <v>1007</v>
      </c>
      <c r="H399" s="881" t="s">
        <v>19</v>
      </c>
      <c r="I399" s="865">
        <v>46142</v>
      </c>
      <c r="J399" s="882" t="s">
        <v>8</v>
      </c>
      <c r="K399" s="880"/>
      <c r="L399" s="880"/>
      <c r="M399" s="883">
        <v>0</v>
      </c>
      <c r="N399" s="883">
        <v>0</v>
      </c>
      <c r="O399" s="883">
        <v>0</v>
      </c>
      <c r="P399" s="883">
        <v>17.39</v>
      </c>
      <c r="Q399" s="883">
        <v>15</v>
      </c>
      <c r="R399" s="883">
        <f t="shared" si="112"/>
        <v>2.61</v>
      </c>
      <c r="S399" s="883">
        <v>0</v>
      </c>
      <c r="T399" s="883">
        <v>5</v>
      </c>
      <c r="U399" s="883">
        <f t="shared" si="113"/>
        <v>0</v>
      </c>
      <c r="V399" s="883">
        <v>0</v>
      </c>
      <c r="W399" s="883">
        <v>8</v>
      </c>
      <c r="X399" s="883">
        <f t="shared" si="114"/>
        <v>0</v>
      </c>
      <c r="Y399" s="883">
        <v>0</v>
      </c>
      <c r="Z399" s="883">
        <v>0</v>
      </c>
      <c r="AA399" s="883">
        <v>0</v>
      </c>
      <c r="AB399" s="883">
        <f t="shared" si="115"/>
        <v>20</v>
      </c>
      <c r="AC399" s="883">
        <v>0</v>
      </c>
      <c r="AD399" s="881"/>
      <c r="AE399" s="880"/>
      <c r="AF399" s="883"/>
      <c r="AG399" s="889"/>
      <c r="AH399" s="880"/>
      <c r="AI399" s="880" t="s">
        <v>1241</v>
      </c>
      <c r="AJ399" s="884">
        <v>411</v>
      </c>
      <c r="AK399" s="883">
        <f t="shared" si="116"/>
        <v>17.39</v>
      </c>
      <c r="AL399" s="884">
        <v>413</v>
      </c>
      <c r="AM399" s="883">
        <f t="shared" si="117"/>
        <v>0</v>
      </c>
      <c r="AN399" s="884">
        <v>441</v>
      </c>
      <c r="AO399" s="883">
        <f t="shared" si="118"/>
        <v>0</v>
      </c>
      <c r="AP399" s="881"/>
      <c r="AQ399" s="881"/>
      <c r="AR399" s="883">
        <v>0</v>
      </c>
      <c r="AS399" s="883">
        <v>0</v>
      </c>
      <c r="AT399" s="883">
        <v>0</v>
      </c>
      <c r="AU399" s="880"/>
      <c r="AV399" s="886"/>
      <c r="AW399" s="880"/>
      <c r="AX399" s="886"/>
      <c r="AY399" s="880"/>
      <c r="AZ399" s="880"/>
      <c r="BA399" s="881"/>
      <c r="BB399" s="881" t="s">
        <v>57</v>
      </c>
      <c r="BC399" s="881"/>
      <c r="BD399" s="881"/>
      <c r="BE399" s="884">
        <f t="shared" si="119"/>
        <v>4</v>
      </c>
      <c r="BF399" s="887" t="str">
        <f t="shared" si="120"/>
        <v>SI</v>
      </c>
      <c r="BG399" s="883">
        <f t="shared" si="121"/>
        <v>17.39</v>
      </c>
      <c r="BH399" s="883">
        <f t="shared" si="122"/>
        <v>0</v>
      </c>
      <c r="BI399" s="883">
        <f t="shared" si="123"/>
        <v>0</v>
      </c>
      <c r="BJ399" s="883">
        <f t="shared" si="124"/>
        <v>0</v>
      </c>
      <c r="BK399" s="883">
        <f t="shared" si="125"/>
        <v>0</v>
      </c>
      <c r="BL399" s="883">
        <f t="shared" si="126"/>
        <v>2.61</v>
      </c>
      <c r="BM399" s="881"/>
      <c r="BN399" s="880"/>
      <c r="BO399" s="882" t="s">
        <v>1579</v>
      </c>
      <c r="BP399" s="882" t="s">
        <v>2286</v>
      </c>
      <c r="BQ399" s="882" t="s">
        <v>2285</v>
      </c>
      <c r="BR399" s="880"/>
      <c r="BS399" s="880"/>
      <c r="BT399" s="880"/>
      <c r="BU399" s="880"/>
      <c r="BV399" s="880"/>
      <c r="BW399" s="883">
        <v>0</v>
      </c>
      <c r="BX399" s="883">
        <v>0</v>
      </c>
      <c r="BY399" s="883">
        <v>0</v>
      </c>
      <c r="BZ399" s="890"/>
      <c r="CA399" s="883">
        <f t="shared" si="127"/>
        <v>0</v>
      </c>
      <c r="CB399" s="880"/>
      <c r="CC399" s="881"/>
      <c r="CD399" s="883"/>
      <c r="CE399" s="883"/>
      <c r="CF399" s="883"/>
      <c r="CG399" s="883"/>
      <c r="CH399" s="883"/>
      <c r="CI399" s="883"/>
      <c r="CJ399" s="883"/>
      <c r="CK399" s="883"/>
      <c r="CL399" s="883"/>
      <c r="CM399" s="883"/>
      <c r="CN399" s="883"/>
      <c r="CO399" s="883"/>
      <c r="CP399" s="883"/>
      <c r="CQ399" s="883"/>
      <c r="CR399" s="883"/>
      <c r="CS399" s="883"/>
      <c r="CT399" s="883"/>
      <c r="CU399" s="883"/>
    </row>
    <row r="400" spans="1:99" x14ac:dyDescent="0.25">
      <c r="A400" s="880" t="s">
        <v>1787</v>
      </c>
      <c r="B400" s="881" t="s">
        <v>1788</v>
      </c>
      <c r="C400" s="880"/>
      <c r="D400" s="880"/>
      <c r="E400" s="884" t="s">
        <v>744</v>
      </c>
      <c r="F400" s="888">
        <v>1</v>
      </c>
      <c r="G400" s="881" t="s">
        <v>1007</v>
      </c>
      <c r="H400" s="881" t="s">
        <v>19</v>
      </c>
      <c r="I400" s="865">
        <v>46142</v>
      </c>
      <c r="J400" s="882" t="s">
        <v>8</v>
      </c>
      <c r="K400" s="880"/>
      <c r="L400" s="880"/>
      <c r="M400" s="883">
        <v>0</v>
      </c>
      <c r="N400" s="883">
        <v>0</v>
      </c>
      <c r="O400" s="883">
        <v>0</v>
      </c>
      <c r="P400" s="883">
        <v>17.39</v>
      </c>
      <c r="Q400" s="883">
        <v>15</v>
      </c>
      <c r="R400" s="883">
        <f t="shared" si="112"/>
        <v>2.61</v>
      </c>
      <c r="S400" s="883">
        <v>0</v>
      </c>
      <c r="T400" s="883">
        <v>5</v>
      </c>
      <c r="U400" s="883">
        <f t="shared" si="113"/>
        <v>0</v>
      </c>
      <c r="V400" s="883">
        <v>0</v>
      </c>
      <c r="W400" s="883">
        <v>8</v>
      </c>
      <c r="X400" s="883">
        <f t="shared" si="114"/>
        <v>0</v>
      </c>
      <c r="Y400" s="883">
        <v>0</v>
      </c>
      <c r="Z400" s="883">
        <v>0</v>
      </c>
      <c r="AA400" s="883">
        <v>0</v>
      </c>
      <c r="AB400" s="883">
        <f t="shared" si="115"/>
        <v>20</v>
      </c>
      <c r="AC400" s="883">
        <v>0</v>
      </c>
      <c r="AD400" s="881"/>
      <c r="AE400" s="880"/>
      <c r="AF400" s="883"/>
      <c r="AG400" s="889"/>
      <c r="AH400" s="880"/>
      <c r="AI400" s="880" t="s">
        <v>1241</v>
      </c>
      <c r="AJ400" s="884">
        <v>411</v>
      </c>
      <c r="AK400" s="883">
        <f t="shared" si="116"/>
        <v>17.39</v>
      </c>
      <c r="AL400" s="884">
        <v>413</v>
      </c>
      <c r="AM400" s="883">
        <f t="shared" si="117"/>
        <v>0</v>
      </c>
      <c r="AN400" s="884">
        <v>441</v>
      </c>
      <c r="AO400" s="883">
        <f t="shared" si="118"/>
        <v>0</v>
      </c>
      <c r="AP400" s="881"/>
      <c r="AQ400" s="881"/>
      <c r="AR400" s="883">
        <v>0</v>
      </c>
      <c r="AS400" s="883">
        <v>0</v>
      </c>
      <c r="AT400" s="883">
        <v>0</v>
      </c>
      <c r="AU400" s="880"/>
      <c r="AV400" s="886"/>
      <c r="AW400" s="880"/>
      <c r="AX400" s="886"/>
      <c r="AY400" s="880"/>
      <c r="AZ400" s="880"/>
      <c r="BA400" s="881"/>
      <c r="BB400" s="881" t="s">
        <v>57</v>
      </c>
      <c r="BC400" s="881"/>
      <c r="BD400" s="881"/>
      <c r="BE400" s="884">
        <f t="shared" si="119"/>
        <v>4</v>
      </c>
      <c r="BF400" s="887" t="str">
        <f t="shared" si="120"/>
        <v>SI</v>
      </c>
      <c r="BG400" s="883">
        <f t="shared" si="121"/>
        <v>17.39</v>
      </c>
      <c r="BH400" s="883">
        <f t="shared" si="122"/>
        <v>0</v>
      </c>
      <c r="BI400" s="883">
        <f t="shared" si="123"/>
        <v>0</v>
      </c>
      <c r="BJ400" s="883">
        <f t="shared" si="124"/>
        <v>0</v>
      </c>
      <c r="BK400" s="883">
        <f t="shared" si="125"/>
        <v>0</v>
      </c>
      <c r="BL400" s="883">
        <f t="shared" si="126"/>
        <v>2.61</v>
      </c>
      <c r="BM400" s="881"/>
      <c r="BN400" s="880"/>
      <c r="BO400" s="882" t="s">
        <v>1579</v>
      </c>
      <c r="BP400" s="882" t="s">
        <v>2286</v>
      </c>
      <c r="BQ400" s="882" t="s">
        <v>2285</v>
      </c>
      <c r="BR400" s="880"/>
      <c r="BS400" s="880"/>
      <c r="BT400" s="880"/>
      <c r="BU400" s="880"/>
      <c r="BV400" s="880"/>
      <c r="BW400" s="883">
        <v>0</v>
      </c>
      <c r="BX400" s="883">
        <v>0</v>
      </c>
      <c r="BY400" s="883">
        <v>0</v>
      </c>
      <c r="BZ400" s="890"/>
      <c r="CA400" s="883">
        <f t="shared" si="127"/>
        <v>0</v>
      </c>
      <c r="CB400" s="880"/>
      <c r="CC400" s="881"/>
      <c r="CD400" s="883"/>
      <c r="CE400" s="883"/>
      <c r="CF400" s="883"/>
      <c r="CG400" s="883"/>
      <c r="CH400" s="883"/>
      <c r="CI400" s="883"/>
      <c r="CJ400" s="883"/>
      <c r="CK400" s="883"/>
      <c r="CL400" s="883"/>
      <c r="CM400" s="883"/>
      <c r="CN400" s="883"/>
      <c r="CO400" s="883"/>
      <c r="CP400" s="883"/>
      <c r="CQ400" s="883"/>
      <c r="CR400" s="883"/>
      <c r="CS400" s="883"/>
      <c r="CT400" s="883"/>
      <c r="CU400" s="883"/>
    </row>
    <row r="401" spans="1:99" x14ac:dyDescent="0.25">
      <c r="A401" s="880" t="s">
        <v>1787</v>
      </c>
      <c r="B401" s="881" t="s">
        <v>1788</v>
      </c>
      <c r="C401" s="880"/>
      <c r="D401" s="880"/>
      <c r="E401" s="884" t="s">
        <v>744</v>
      </c>
      <c r="F401" s="888">
        <v>1</v>
      </c>
      <c r="G401" s="881" t="s">
        <v>1007</v>
      </c>
      <c r="H401" s="881" t="s">
        <v>19</v>
      </c>
      <c r="I401" s="865">
        <v>46142</v>
      </c>
      <c r="J401" s="882" t="s">
        <v>8</v>
      </c>
      <c r="K401" s="880"/>
      <c r="L401" s="880"/>
      <c r="M401" s="883">
        <v>0</v>
      </c>
      <c r="N401" s="883">
        <v>0</v>
      </c>
      <c r="O401" s="883">
        <v>0</v>
      </c>
      <c r="P401" s="883">
        <v>17.39</v>
      </c>
      <c r="Q401" s="883">
        <v>15</v>
      </c>
      <c r="R401" s="883">
        <f t="shared" si="112"/>
        <v>2.61</v>
      </c>
      <c r="S401" s="883">
        <v>0</v>
      </c>
      <c r="T401" s="883">
        <v>5</v>
      </c>
      <c r="U401" s="883">
        <f t="shared" si="113"/>
        <v>0</v>
      </c>
      <c r="V401" s="883">
        <v>0</v>
      </c>
      <c r="W401" s="883">
        <v>8</v>
      </c>
      <c r="X401" s="883">
        <f t="shared" si="114"/>
        <v>0</v>
      </c>
      <c r="Y401" s="883">
        <v>0</v>
      </c>
      <c r="Z401" s="883">
        <v>0</v>
      </c>
      <c r="AA401" s="883">
        <v>0</v>
      </c>
      <c r="AB401" s="883">
        <f t="shared" si="115"/>
        <v>20</v>
      </c>
      <c r="AC401" s="883">
        <v>0</v>
      </c>
      <c r="AD401" s="881"/>
      <c r="AE401" s="880"/>
      <c r="AF401" s="883"/>
      <c r="AG401" s="889"/>
      <c r="AH401" s="880"/>
      <c r="AI401" s="880" t="s">
        <v>1241</v>
      </c>
      <c r="AJ401" s="884">
        <v>411</v>
      </c>
      <c r="AK401" s="883">
        <f t="shared" si="116"/>
        <v>17.39</v>
      </c>
      <c r="AL401" s="884">
        <v>413</v>
      </c>
      <c r="AM401" s="883">
        <f t="shared" si="117"/>
        <v>0</v>
      </c>
      <c r="AN401" s="884">
        <v>441</v>
      </c>
      <c r="AO401" s="883">
        <f t="shared" si="118"/>
        <v>0</v>
      </c>
      <c r="AP401" s="881"/>
      <c r="AQ401" s="881"/>
      <c r="AR401" s="883">
        <v>0</v>
      </c>
      <c r="AS401" s="883">
        <v>0</v>
      </c>
      <c r="AT401" s="883">
        <v>0</v>
      </c>
      <c r="AU401" s="880"/>
      <c r="AV401" s="886"/>
      <c r="AW401" s="880"/>
      <c r="AX401" s="886"/>
      <c r="AY401" s="880"/>
      <c r="AZ401" s="880"/>
      <c r="BA401" s="881"/>
      <c r="BB401" s="881" t="s">
        <v>57</v>
      </c>
      <c r="BC401" s="881"/>
      <c r="BD401" s="881"/>
      <c r="BE401" s="884">
        <f t="shared" si="119"/>
        <v>4</v>
      </c>
      <c r="BF401" s="887" t="str">
        <f t="shared" si="120"/>
        <v>SI</v>
      </c>
      <c r="BG401" s="883">
        <f t="shared" si="121"/>
        <v>17.39</v>
      </c>
      <c r="BH401" s="883">
        <f t="shared" si="122"/>
        <v>0</v>
      </c>
      <c r="BI401" s="883">
        <f t="shared" si="123"/>
        <v>0</v>
      </c>
      <c r="BJ401" s="883">
        <f t="shared" si="124"/>
        <v>0</v>
      </c>
      <c r="BK401" s="883">
        <f t="shared" si="125"/>
        <v>0</v>
      </c>
      <c r="BL401" s="883">
        <f t="shared" si="126"/>
        <v>2.61</v>
      </c>
      <c r="BM401" s="881"/>
      <c r="BN401" s="880"/>
      <c r="BO401" s="882" t="s">
        <v>1579</v>
      </c>
      <c r="BP401" s="882" t="s">
        <v>2286</v>
      </c>
      <c r="BQ401" s="882" t="s">
        <v>2285</v>
      </c>
      <c r="BR401" s="880"/>
      <c r="BS401" s="880"/>
      <c r="BT401" s="880"/>
      <c r="BU401" s="880"/>
      <c r="BV401" s="880"/>
      <c r="BW401" s="883">
        <v>0</v>
      </c>
      <c r="BX401" s="883">
        <v>0</v>
      </c>
      <c r="BY401" s="883">
        <v>0</v>
      </c>
      <c r="BZ401" s="890"/>
      <c r="CA401" s="883">
        <f t="shared" si="127"/>
        <v>0</v>
      </c>
      <c r="CB401" s="880"/>
      <c r="CC401" s="881"/>
      <c r="CD401" s="883"/>
      <c r="CE401" s="883"/>
      <c r="CF401" s="883"/>
      <c r="CG401" s="883"/>
      <c r="CH401" s="883"/>
      <c r="CI401" s="883"/>
      <c r="CJ401" s="883"/>
      <c r="CK401" s="883"/>
      <c r="CL401" s="883"/>
      <c r="CM401" s="883"/>
      <c r="CN401" s="883"/>
      <c r="CO401" s="883"/>
      <c r="CP401" s="883"/>
      <c r="CQ401" s="883"/>
      <c r="CR401" s="883"/>
      <c r="CS401" s="883"/>
      <c r="CT401" s="883"/>
      <c r="CU401" s="883"/>
    </row>
    <row r="402" spans="1:99" x14ac:dyDescent="0.25">
      <c r="A402" s="880" t="s">
        <v>1787</v>
      </c>
      <c r="B402" s="881" t="s">
        <v>1788</v>
      </c>
      <c r="C402" s="880"/>
      <c r="D402" s="880"/>
      <c r="E402" s="884" t="s">
        <v>744</v>
      </c>
      <c r="F402" s="888">
        <v>1</v>
      </c>
      <c r="G402" s="881" t="s">
        <v>1007</v>
      </c>
      <c r="H402" s="881" t="s">
        <v>19</v>
      </c>
      <c r="I402" s="865">
        <v>46142</v>
      </c>
      <c r="J402" s="882" t="s">
        <v>8</v>
      </c>
      <c r="K402" s="880"/>
      <c r="L402" s="880"/>
      <c r="M402" s="883">
        <v>0</v>
      </c>
      <c r="N402" s="883">
        <v>0</v>
      </c>
      <c r="O402" s="883">
        <v>0</v>
      </c>
      <c r="P402" s="883">
        <v>17.39</v>
      </c>
      <c r="Q402" s="883">
        <v>15</v>
      </c>
      <c r="R402" s="883">
        <f t="shared" si="112"/>
        <v>2.61</v>
      </c>
      <c r="S402" s="883">
        <v>0</v>
      </c>
      <c r="T402" s="883">
        <v>5</v>
      </c>
      <c r="U402" s="883">
        <f t="shared" si="113"/>
        <v>0</v>
      </c>
      <c r="V402" s="883">
        <v>0</v>
      </c>
      <c r="W402" s="883">
        <v>8</v>
      </c>
      <c r="X402" s="883">
        <f t="shared" si="114"/>
        <v>0</v>
      </c>
      <c r="Y402" s="883">
        <v>0</v>
      </c>
      <c r="Z402" s="883">
        <v>0</v>
      </c>
      <c r="AA402" s="883">
        <v>0</v>
      </c>
      <c r="AB402" s="883">
        <f t="shared" si="115"/>
        <v>20</v>
      </c>
      <c r="AC402" s="883">
        <v>0</v>
      </c>
      <c r="AD402" s="881"/>
      <c r="AE402" s="880"/>
      <c r="AF402" s="883"/>
      <c r="AG402" s="889"/>
      <c r="AH402" s="880"/>
      <c r="AI402" s="880" t="s">
        <v>1241</v>
      </c>
      <c r="AJ402" s="884">
        <v>411</v>
      </c>
      <c r="AK402" s="883">
        <f t="shared" si="116"/>
        <v>17.39</v>
      </c>
      <c r="AL402" s="884">
        <v>413</v>
      </c>
      <c r="AM402" s="883">
        <f t="shared" si="117"/>
        <v>0</v>
      </c>
      <c r="AN402" s="884">
        <v>441</v>
      </c>
      <c r="AO402" s="883">
        <f t="shared" si="118"/>
        <v>0</v>
      </c>
      <c r="AP402" s="881"/>
      <c r="AQ402" s="881"/>
      <c r="AR402" s="883">
        <v>0</v>
      </c>
      <c r="AS402" s="883">
        <v>0</v>
      </c>
      <c r="AT402" s="883">
        <v>0</v>
      </c>
      <c r="AU402" s="880"/>
      <c r="AV402" s="886"/>
      <c r="AW402" s="880"/>
      <c r="AX402" s="886"/>
      <c r="AY402" s="880"/>
      <c r="AZ402" s="880"/>
      <c r="BA402" s="881"/>
      <c r="BB402" s="881" t="s">
        <v>57</v>
      </c>
      <c r="BC402" s="881"/>
      <c r="BD402" s="881"/>
      <c r="BE402" s="884">
        <f t="shared" si="119"/>
        <v>4</v>
      </c>
      <c r="BF402" s="887" t="str">
        <f t="shared" si="120"/>
        <v>SI</v>
      </c>
      <c r="BG402" s="883">
        <f t="shared" si="121"/>
        <v>17.39</v>
      </c>
      <c r="BH402" s="883">
        <f t="shared" si="122"/>
        <v>0</v>
      </c>
      <c r="BI402" s="883">
        <f t="shared" si="123"/>
        <v>0</v>
      </c>
      <c r="BJ402" s="883">
        <f t="shared" si="124"/>
        <v>0</v>
      </c>
      <c r="BK402" s="883">
        <f t="shared" si="125"/>
        <v>0</v>
      </c>
      <c r="BL402" s="883">
        <f t="shared" si="126"/>
        <v>2.61</v>
      </c>
      <c r="BM402" s="881"/>
      <c r="BN402" s="880"/>
      <c r="BO402" s="882" t="s">
        <v>1579</v>
      </c>
      <c r="BP402" s="882" t="s">
        <v>2286</v>
      </c>
      <c r="BQ402" s="882" t="s">
        <v>2285</v>
      </c>
      <c r="BR402" s="880"/>
      <c r="BS402" s="880"/>
      <c r="BT402" s="880"/>
      <c r="BU402" s="880"/>
      <c r="BV402" s="880"/>
      <c r="BW402" s="883">
        <v>0</v>
      </c>
      <c r="BX402" s="883">
        <v>0</v>
      </c>
      <c r="BY402" s="883">
        <v>0</v>
      </c>
      <c r="BZ402" s="890"/>
      <c r="CA402" s="883">
        <f t="shared" si="127"/>
        <v>0</v>
      </c>
      <c r="CB402" s="880"/>
      <c r="CC402" s="881"/>
      <c r="CD402" s="883"/>
      <c r="CE402" s="883"/>
      <c r="CF402" s="883"/>
      <c r="CG402" s="883"/>
      <c r="CH402" s="883"/>
      <c r="CI402" s="883"/>
      <c r="CJ402" s="883"/>
      <c r="CK402" s="883"/>
      <c r="CL402" s="883"/>
      <c r="CM402" s="883"/>
      <c r="CN402" s="883"/>
      <c r="CO402" s="883"/>
      <c r="CP402" s="883"/>
      <c r="CQ402" s="883"/>
      <c r="CR402" s="883"/>
      <c r="CS402" s="883"/>
      <c r="CT402" s="883"/>
      <c r="CU402" s="883"/>
    </row>
    <row r="403" spans="1:99" x14ac:dyDescent="0.25">
      <c r="A403" s="880" t="s">
        <v>2874</v>
      </c>
      <c r="B403" s="881" t="s">
        <v>2287</v>
      </c>
      <c r="C403" s="880" t="s">
        <v>2845</v>
      </c>
      <c r="D403" s="880"/>
      <c r="E403" s="884" t="s">
        <v>744</v>
      </c>
      <c r="F403" s="888">
        <v>1</v>
      </c>
      <c r="G403" s="881" t="s">
        <v>1007</v>
      </c>
      <c r="H403" s="881" t="s">
        <v>19</v>
      </c>
      <c r="I403" s="865">
        <v>46142</v>
      </c>
      <c r="J403" s="882" t="s">
        <v>8</v>
      </c>
      <c r="K403" s="880"/>
      <c r="L403" s="880"/>
      <c r="M403" s="883">
        <v>0</v>
      </c>
      <c r="N403" s="883">
        <v>0</v>
      </c>
      <c r="O403" s="883">
        <v>0</v>
      </c>
      <c r="P403" s="883">
        <v>17.86</v>
      </c>
      <c r="Q403" s="883">
        <v>15</v>
      </c>
      <c r="R403" s="883">
        <f t="shared" si="112"/>
        <v>2.68</v>
      </c>
      <c r="S403" s="883">
        <v>0</v>
      </c>
      <c r="T403" s="883">
        <v>5</v>
      </c>
      <c r="U403" s="883">
        <f t="shared" si="113"/>
        <v>0</v>
      </c>
      <c r="V403" s="883">
        <v>0</v>
      </c>
      <c r="W403" s="883">
        <v>8</v>
      </c>
      <c r="X403" s="883">
        <f t="shared" si="114"/>
        <v>0</v>
      </c>
      <c r="Y403" s="883">
        <v>0</v>
      </c>
      <c r="Z403" s="883">
        <v>0</v>
      </c>
      <c r="AA403" s="883">
        <v>0</v>
      </c>
      <c r="AB403" s="883">
        <f t="shared" si="115"/>
        <v>20.54</v>
      </c>
      <c r="AC403" s="883">
        <v>0</v>
      </c>
      <c r="AD403" s="881"/>
      <c r="AE403" s="880"/>
      <c r="AF403" s="883"/>
      <c r="AG403" s="889"/>
      <c r="AH403" s="880"/>
      <c r="AI403" s="880" t="s">
        <v>1241</v>
      </c>
      <c r="AJ403" s="884">
        <v>411</v>
      </c>
      <c r="AK403" s="883">
        <f t="shared" si="116"/>
        <v>17.86</v>
      </c>
      <c r="AL403" s="884">
        <v>413</v>
      </c>
      <c r="AM403" s="883">
        <f t="shared" si="117"/>
        <v>0</v>
      </c>
      <c r="AN403" s="884">
        <v>441</v>
      </c>
      <c r="AO403" s="883">
        <f t="shared" si="118"/>
        <v>0</v>
      </c>
      <c r="AP403" s="881"/>
      <c r="AQ403" s="881"/>
      <c r="AR403" s="883">
        <v>0</v>
      </c>
      <c r="AS403" s="883">
        <v>0</v>
      </c>
      <c r="AT403" s="883">
        <v>0</v>
      </c>
      <c r="AU403" s="880"/>
      <c r="AV403" s="886"/>
      <c r="AW403" s="880"/>
      <c r="AX403" s="886"/>
      <c r="AY403" s="880"/>
      <c r="AZ403" s="880"/>
      <c r="BA403" s="881"/>
      <c r="BB403" s="881" t="s">
        <v>57</v>
      </c>
      <c r="BC403" s="881"/>
      <c r="BD403" s="881"/>
      <c r="BE403" s="884">
        <f t="shared" si="119"/>
        <v>4</v>
      </c>
      <c r="BF403" s="887" t="str">
        <f t="shared" si="120"/>
        <v>SI</v>
      </c>
      <c r="BG403" s="883">
        <f t="shared" si="121"/>
        <v>17.86</v>
      </c>
      <c r="BH403" s="883">
        <f t="shared" si="122"/>
        <v>0</v>
      </c>
      <c r="BI403" s="883">
        <f t="shared" si="123"/>
        <v>0</v>
      </c>
      <c r="BJ403" s="883">
        <f t="shared" si="124"/>
        <v>0</v>
      </c>
      <c r="BK403" s="883">
        <f t="shared" si="125"/>
        <v>0</v>
      </c>
      <c r="BL403" s="883">
        <f t="shared" si="126"/>
        <v>2.68</v>
      </c>
      <c r="BM403" s="881"/>
      <c r="BN403" s="880"/>
      <c r="BO403" s="882" t="s">
        <v>1579</v>
      </c>
      <c r="BP403" s="882" t="s">
        <v>2286</v>
      </c>
      <c r="BQ403" s="882" t="s">
        <v>2285</v>
      </c>
      <c r="BR403" s="880"/>
      <c r="BS403" s="880"/>
      <c r="BT403" s="880"/>
      <c r="BU403" s="880"/>
      <c r="BV403" s="880"/>
      <c r="BW403" s="883">
        <v>0</v>
      </c>
      <c r="BX403" s="883">
        <v>0</v>
      </c>
      <c r="BY403" s="883">
        <v>0</v>
      </c>
      <c r="BZ403" s="890"/>
      <c r="CA403" s="883">
        <f t="shared" si="127"/>
        <v>0</v>
      </c>
      <c r="CB403" s="880"/>
      <c r="CC403" s="881"/>
      <c r="CD403" s="883"/>
      <c r="CE403" s="883"/>
      <c r="CF403" s="883"/>
      <c r="CG403" s="883"/>
      <c r="CH403" s="883"/>
      <c r="CI403" s="883"/>
      <c r="CJ403" s="883"/>
      <c r="CK403" s="883"/>
      <c r="CL403" s="883"/>
      <c r="CM403" s="883"/>
      <c r="CN403" s="883"/>
      <c r="CO403" s="883"/>
      <c r="CP403" s="883"/>
      <c r="CQ403" s="883"/>
      <c r="CR403" s="883"/>
      <c r="CS403" s="883"/>
      <c r="CT403" s="883"/>
      <c r="CU403" s="883"/>
    </row>
    <row r="404" spans="1:99" x14ac:dyDescent="0.25">
      <c r="A404" s="880" t="s">
        <v>1787</v>
      </c>
      <c r="B404" s="881" t="s">
        <v>1788</v>
      </c>
      <c r="C404" s="880"/>
      <c r="D404" s="880"/>
      <c r="E404" s="884" t="s">
        <v>744</v>
      </c>
      <c r="F404" s="888">
        <v>1</v>
      </c>
      <c r="G404" s="881" t="s">
        <v>1007</v>
      </c>
      <c r="H404" s="881" t="s">
        <v>19</v>
      </c>
      <c r="I404" s="865">
        <v>46142</v>
      </c>
      <c r="J404" s="882" t="s">
        <v>8</v>
      </c>
      <c r="K404" s="880"/>
      <c r="L404" s="880"/>
      <c r="M404" s="883">
        <v>0</v>
      </c>
      <c r="N404" s="883">
        <v>0</v>
      </c>
      <c r="O404" s="883">
        <v>0</v>
      </c>
      <c r="P404" s="883">
        <v>17.39</v>
      </c>
      <c r="Q404" s="883">
        <v>15</v>
      </c>
      <c r="R404" s="883">
        <f t="shared" si="112"/>
        <v>2.61</v>
      </c>
      <c r="S404" s="883">
        <v>0</v>
      </c>
      <c r="T404" s="883">
        <v>5</v>
      </c>
      <c r="U404" s="883">
        <f t="shared" si="113"/>
        <v>0</v>
      </c>
      <c r="V404" s="883">
        <v>0</v>
      </c>
      <c r="W404" s="883">
        <v>8</v>
      </c>
      <c r="X404" s="883">
        <f t="shared" si="114"/>
        <v>0</v>
      </c>
      <c r="Y404" s="883">
        <v>0</v>
      </c>
      <c r="Z404" s="883">
        <v>0</v>
      </c>
      <c r="AA404" s="883">
        <v>0</v>
      </c>
      <c r="AB404" s="883">
        <f t="shared" si="115"/>
        <v>20</v>
      </c>
      <c r="AC404" s="883">
        <v>0</v>
      </c>
      <c r="AD404" s="881"/>
      <c r="AE404" s="880"/>
      <c r="AF404" s="883"/>
      <c r="AG404" s="889"/>
      <c r="AH404" s="880"/>
      <c r="AI404" s="880" t="s">
        <v>1241</v>
      </c>
      <c r="AJ404" s="884">
        <v>411</v>
      </c>
      <c r="AK404" s="883">
        <f t="shared" si="116"/>
        <v>17.39</v>
      </c>
      <c r="AL404" s="884">
        <v>413</v>
      </c>
      <c r="AM404" s="883">
        <f t="shared" si="117"/>
        <v>0</v>
      </c>
      <c r="AN404" s="884">
        <v>441</v>
      </c>
      <c r="AO404" s="883">
        <f t="shared" si="118"/>
        <v>0</v>
      </c>
      <c r="AP404" s="881"/>
      <c r="AQ404" s="881"/>
      <c r="AR404" s="883">
        <v>0</v>
      </c>
      <c r="AS404" s="883">
        <v>0</v>
      </c>
      <c r="AT404" s="883">
        <v>0</v>
      </c>
      <c r="AU404" s="880"/>
      <c r="AV404" s="886"/>
      <c r="AW404" s="880"/>
      <c r="AX404" s="886"/>
      <c r="AY404" s="880"/>
      <c r="AZ404" s="880"/>
      <c r="BA404" s="881"/>
      <c r="BB404" s="881" t="s">
        <v>57</v>
      </c>
      <c r="BC404" s="881"/>
      <c r="BD404" s="881"/>
      <c r="BE404" s="884">
        <f t="shared" si="119"/>
        <v>4</v>
      </c>
      <c r="BF404" s="887" t="str">
        <f t="shared" si="120"/>
        <v>SI</v>
      </c>
      <c r="BG404" s="883">
        <f t="shared" si="121"/>
        <v>17.39</v>
      </c>
      <c r="BH404" s="883">
        <f t="shared" si="122"/>
        <v>0</v>
      </c>
      <c r="BI404" s="883">
        <f t="shared" si="123"/>
        <v>0</v>
      </c>
      <c r="BJ404" s="883">
        <f t="shared" si="124"/>
        <v>0</v>
      </c>
      <c r="BK404" s="883">
        <f t="shared" si="125"/>
        <v>0</v>
      </c>
      <c r="BL404" s="883">
        <f t="shared" si="126"/>
        <v>2.61</v>
      </c>
      <c r="BM404" s="881"/>
      <c r="BN404" s="880"/>
      <c r="BO404" s="882" t="s">
        <v>1579</v>
      </c>
      <c r="BP404" s="882" t="s">
        <v>2286</v>
      </c>
      <c r="BQ404" s="882" t="s">
        <v>2285</v>
      </c>
      <c r="BR404" s="880"/>
      <c r="BS404" s="880"/>
      <c r="BT404" s="880"/>
      <c r="BU404" s="880"/>
      <c r="BV404" s="880"/>
      <c r="BW404" s="883">
        <v>0</v>
      </c>
      <c r="BX404" s="883">
        <v>0</v>
      </c>
      <c r="BY404" s="883">
        <v>0</v>
      </c>
      <c r="BZ404" s="890"/>
      <c r="CA404" s="883">
        <f t="shared" si="127"/>
        <v>0</v>
      </c>
      <c r="CB404" s="880"/>
      <c r="CC404" s="881"/>
      <c r="CD404" s="883"/>
      <c r="CE404" s="883"/>
      <c r="CF404" s="883"/>
      <c r="CG404" s="883"/>
      <c r="CH404" s="883"/>
      <c r="CI404" s="883"/>
      <c r="CJ404" s="883"/>
      <c r="CK404" s="883"/>
      <c r="CL404" s="883"/>
      <c r="CM404" s="883"/>
      <c r="CN404" s="883"/>
      <c r="CO404" s="883"/>
      <c r="CP404" s="883"/>
      <c r="CQ404" s="883"/>
      <c r="CR404" s="883"/>
      <c r="CS404" s="883"/>
      <c r="CT404" s="883"/>
      <c r="CU404" s="883"/>
    </row>
    <row r="405" spans="1:99" x14ac:dyDescent="0.25">
      <c r="A405" s="880" t="s">
        <v>1787</v>
      </c>
      <c r="B405" s="881" t="s">
        <v>1788</v>
      </c>
      <c r="C405" s="880"/>
      <c r="D405" s="880"/>
      <c r="E405" s="884" t="s">
        <v>744</v>
      </c>
      <c r="F405" s="888">
        <v>1</v>
      </c>
      <c r="G405" s="881" t="s">
        <v>1007</v>
      </c>
      <c r="H405" s="881" t="s">
        <v>19</v>
      </c>
      <c r="I405" s="865">
        <v>46142</v>
      </c>
      <c r="J405" s="882" t="s">
        <v>8</v>
      </c>
      <c r="K405" s="880"/>
      <c r="L405" s="880"/>
      <c r="M405" s="883">
        <v>0</v>
      </c>
      <c r="N405" s="883">
        <v>0</v>
      </c>
      <c r="O405" s="883">
        <v>0</v>
      </c>
      <c r="P405" s="883">
        <v>17.86</v>
      </c>
      <c r="Q405" s="883">
        <v>15</v>
      </c>
      <c r="R405" s="883">
        <f t="shared" si="112"/>
        <v>2.68</v>
      </c>
      <c r="S405" s="883">
        <v>0</v>
      </c>
      <c r="T405" s="883">
        <v>5</v>
      </c>
      <c r="U405" s="883">
        <f t="shared" si="113"/>
        <v>0</v>
      </c>
      <c r="V405" s="883">
        <v>0</v>
      </c>
      <c r="W405" s="883">
        <v>8</v>
      </c>
      <c r="X405" s="883">
        <f t="shared" si="114"/>
        <v>0</v>
      </c>
      <c r="Y405" s="883">
        <v>0</v>
      </c>
      <c r="Z405" s="883">
        <v>0</v>
      </c>
      <c r="AA405" s="883">
        <v>0</v>
      </c>
      <c r="AB405" s="883">
        <f t="shared" si="115"/>
        <v>20.54</v>
      </c>
      <c r="AC405" s="883">
        <v>0</v>
      </c>
      <c r="AD405" s="881"/>
      <c r="AE405" s="880"/>
      <c r="AF405" s="883"/>
      <c r="AG405" s="889"/>
      <c r="AH405" s="880"/>
      <c r="AI405" s="880" t="s">
        <v>1241</v>
      </c>
      <c r="AJ405" s="884">
        <v>411</v>
      </c>
      <c r="AK405" s="883">
        <f t="shared" si="116"/>
        <v>17.86</v>
      </c>
      <c r="AL405" s="884">
        <v>413</v>
      </c>
      <c r="AM405" s="883">
        <f t="shared" si="117"/>
        <v>0</v>
      </c>
      <c r="AN405" s="884">
        <v>441</v>
      </c>
      <c r="AO405" s="883">
        <f t="shared" si="118"/>
        <v>0</v>
      </c>
      <c r="AP405" s="881"/>
      <c r="AQ405" s="881"/>
      <c r="AR405" s="883">
        <v>0</v>
      </c>
      <c r="AS405" s="883">
        <v>0</v>
      </c>
      <c r="AT405" s="883">
        <v>0</v>
      </c>
      <c r="AU405" s="880"/>
      <c r="AV405" s="886"/>
      <c r="AW405" s="880"/>
      <c r="AX405" s="886"/>
      <c r="AY405" s="880"/>
      <c r="AZ405" s="880"/>
      <c r="BA405" s="881"/>
      <c r="BB405" s="881" t="s">
        <v>57</v>
      </c>
      <c r="BC405" s="881"/>
      <c r="BD405" s="881"/>
      <c r="BE405" s="884">
        <f t="shared" si="119"/>
        <v>4</v>
      </c>
      <c r="BF405" s="887" t="str">
        <f t="shared" si="120"/>
        <v>SI</v>
      </c>
      <c r="BG405" s="883">
        <f t="shared" si="121"/>
        <v>17.86</v>
      </c>
      <c r="BH405" s="883">
        <f t="shared" si="122"/>
        <v>0</v>
      </c>
      <c r="BI405" s="883">
        <f t="shared" si="123"/>
        <v>0</v>
      </c>
      <c r="BJ405" s="883">
        <f t="shared" si="124"/>
        <v>0</v>
      </c>
      <c r="BK405" s="883">
        <f t="shared" si="125"/>
        <v>0</v>
      </c>
      <c r="BL405" s="883">
        <f t="shared" si="126"/>
        <v>2.68</v>
      </c>
      <c r="BM405" s="881"/>
      <c r="BN405" s="880"/>
      <c r="BO405" s="882" t="s">
        <v>1579</v>
      </c>
      <c r="BP405" s="882" t="s">
        <v>2286</v>
      </c>
      <c r="BQ405" s="882" t="s">
        <v>2285</v>
      </c>
      <c r="BR405" s="880"/>
      <c r="BS405" s="880"/>
      <c r="BT405" s="880"/>
      <c r="BU405" s="880"/>
      <c r="BV405" s="880"/>
      <c r="BW405" s="883">
        <v>0</v>
      </c>
      <c r="BX405" s="883">
        <v>0</v>
      </c>
      <c r="BY405" s="883">
        <v>0</v>
      </c>
      <c r="BZ405" s="890"/>
      <c r="CA405" s="883">
        <f t="shared" si="127"/>
        <v>0</v>
      </c>
      <c r="CB405" s="880"/>
      <c r="CC405" s="881"/>
      <c r="CD405" s="883"/>
      <c r="CE405" s="883"/>
      <c r="CF405" s="883"/>
      <c r="CG405" s="883"/>
      <c r="CH405" s="883"/>
      <c r="CI405" s="883"/>
      <c r="CJ405" s="883"/>
      <c r="CK405" s="883"/>
      <c r="CL405" s="883"/>
      <c r="CM405" s="883"/>
      <c r="CN405" s="883"/>
      <c r="CO405" s="883"/>
      <c r="CP405" s="883"/>
      <c r="CQ405" s="883"/>
      <c r="CR405" s="883"/>
      <c r="CS405" s="883"/>
      <c r="CT405" s="883"/>
      <c r="CU405" s="883"/>
    </row>
    <row r="406" spans="1:99" x14ac:dyDescent="0.25">
      <c r="A406" s="880" t="s">
        <v>1787</v>
      </c>
      <c r="B406" s="881" t="s">
        <v>1788</v>
      </c>
      <c r="C406" s="880"/>
      <c r="D406" s="880"/>
      <c r="E406" s="884" t="s">
        <v>744</v>
      </c>
      <c r="F406" s="888">
        <v>1</v>
      </c>
      <c r="G406" s="881" t="s">
        <v>1007</v>
      </c>
      <c r="H406" s="881" t="s">
        <v>19</v>
      </c>
      <c r="I406" s="865">
        <v>46142</v>
      </c>
      <c r="J406" s="882" t="s">
        <v>8</v>
      </c>
      <c r="K406" s="880"/>
      <c r="L406" s="880"/>
      <c r="M406" s="883">
        <v>0</v>
      </c>
      <c r="N406" s="883">
        <v>0</v>
      </c>
      <c r="O406" s="883">
        <v>0</v>
      </c>
      <c r="P406" s="883">
        <v>17.850000000000001</v>
      </c>
      <c r="Q406" s="883">
        <v>15</v>
      </c>
      <c r="R406" s="883">
        <f t="shared" si="112"/>
        <v>2.68</v>
      </c>
      <c r="S406" s="883">
        <v>0</v>
      </c>
      <c r="T406" s="883">
        <v>5</v>
      </c>
      <c r="U406" s="883">
        <f t="shared" si="113"/>
        <v>0</v>
      </c>
      <c r="V406" s="883">
        <v>0</v>
      </c>
      <c r="W406" s="883">
        <v>8</v>
      </c>
      <c r="X406" s="883">
        <f t="shared" si="114"/>
        <v>0</v>
      </c>
      <c r="Y406" s="883">
        <v>0</v>
      </c>
      <c r="Z406" s="883">
        <v>0</v>
      </c>
      <c r="AA406" s="883">
        <v>0</v>
      </c>
      <c r="AB406" s="883">
        <f t="shared" si="115"/>
        <v>20.53</v>
      </c>
      <c r="AC406" s="883">
        <v>0</v>
      </c>
      <c r="AD406" s="881"/>
      <c r="AE406" s="880"/>
      <c r="AF406" s="883"/>
      <c r="AG406" s="889"/>
      <c r="AH406" s="880"/>
      <c r="AI406" s="880" t="s">
        <v>1241</v>
      </c>
      <c r="AJ406" s="884">
        <v>411</v>
      </c>
      <c r="AK406" s="883">
        <f t="shared" si="116"/>
        <v>17.850000000000001</v>
      </c>
      <c r="AL406" s="884">
        <v>413</v>
      </c>
      <c r="AM406" s="883">
        <f t="shared" si="117"/>
        <v>0</v>
      </c>
      <c r="AN406" s="884">
        <v>441</v>
      </c>
      <c r="AO406" s="883">
        <f t="shared" si="118"/>
        <v>0</v>
      </c>
      <c r="AP406" s="881"/>
      <c r="AQ406" s="881"/>
      <c r="AR406" s="883">
        <v>0</v>
      </c>
      <c r="AS406" s="883">
        <v>0</v>
      </c>
      <c r="AT406" s="883">
        <v>0</v>
      </c>
      <c r="AU406" s="880"/>
      <c r="AV406" s="886"/>
      <c r="AW406" s="880"/>
      <c r="AX406" s="886"/>
      <c r="AY406" s="880"/>
      <c r="AZ406" s="880"/>
      <c r="BA406" s="881"/>
      <c r="BB406" s="881" t="s">
        <v>57</v>
      </c>
      <c r="BC406" s="881"/>
      <c r="BD406" s="881"/>
      <c r="BE406" s="884">
        <f t="shared" si="119"/>
        <v>4</v>
      </c>
      <c r="BF406" s="887" t="str">
        <f t="shared" si="120"/>
        <v>SI</v>
      </c>
      <c r="BG406" s="883">
        <f t="shared" si="121"/>
        <v>17.850000000000001</v>
      </c>
      <c r="BH406" s="883">
        <f t="shared" si="122"/>
        <v>0</v>
      </c>
      <c r="BI406" s="883">
        <f t="shared" si="123"/>
        <v>0</v>
      </c>
      <c r="BJ406" s="883">
        <f t="shared" si="124"/>
        <v>0</v>
      </c>
      <c r="BK406" s="883">
        <f t="shared" si="125"/>
        <v>0</v>
      </c>
      <c r="BL406" s="883">
        <f t="shared" si="126"/>
        <v>2.68</v>
      </c>
      <c r="BM406" s="881"/>
      <c r="BN406" s="880"/>
      <c r="BO406" s="882" t="s">
        <v>1579</v>
      </c>
      <c r="BP406" s="882" t="s">
        <v>2286</v>
      </c>
      <c r="BQ406" s="882" t="s">
        <v>2285</v>
      </c>
      <c r="BR406" s="880"/>
      <c r="BS406" s="880"/>
      <c r="BT406" s="880"/>
      <c r="BU406" s="880"/>
      <c r="BV406" s="880"/>
      <c r="BW406" s="883">
        <v>0</v>
      </c>
      <c r="BX406" s="883">
        <v>0</v>
      </c>
      <c r="BY406" s="883">
        <v>0</v>
      </c>
      <c r="BZ406" s="890"/>
      <c r="CA406" s="883">
        <f t="shared" si="127"/>
        <v>0</v>
      </c>
      <c r="CB406" s="880"/>
      <c r="CC406" s="881"/>
      <c r="CD406" s="883"/>
      <c r="CE406" s="883"/>
      <c r="CF406" s="883"/>
      <c r="CG406" s="883"/>
      <c r="CH406" s="883"/>
      <c r="CI406" s="883"/>
      <c r="CJ406" s="883"/>
      <c r="CK406" s="883"/>
      <c r="CL406" s="883"/>
      <c r="CM406" s="883"/>
      <c r="CN406" s="883"/>
      <c r="CO406" s="883"/>
      <c r="CP406" s="883"/>
      <c r="CQ406" s="883"/>
      <c r="CR406" s="883"/>
      <c r="CS406" s="883"/>
      <c r="CT406" s="883"/>
      <c r="CU406" s="883"/>
    </row>
    <row r="407" spans="1:99" x14ac:dyDescent="0.25">
      <c r="A407" s="880" t="s">
        <v>1787</v>
      </c>
      <c r="B407" s="881" t="s">
        <v>1788</v>
      </c>
      <c r="C407" s="880"/>
      <c r="D407" s="880"/>
      <c r="E407" s="884" t="s">
        <v>744</v>
      </c>
      <c r="F407" s="888">
        <v>1</v>
      </c>
      <c r="G407" s="881" t="s">
        <v>1007</v>
      </c>
      <c r="H407" s="881" t="s">
        <v>19</v>
      </c>
      <c r="I407" s="865">
        <v>46142</v>
      </c>
      <c r="J407" s="882" t="s">
        <v>8</v>
      </c>
      <c r="K407" s="880"/>
      <c r="L407" s="880"/>
      <c r="M407" s="883">
        <v>0</v>
      </c>
      <c r="N407" s="883">
        <v>0</v>
      </c>
      <c r="O407" s="883">
        <v>0</v>
      </c>
      <c r="P407" s="883">
        <v>17.39</v>
      </c>
      <c r="Q407" s="883">
        <v>15</v>
      </c>
      <c r="R407" s="883">
        <f t="shared" si="112"/>
        <v>2.61</v>
      </c>
      <c r="S407" s="883">
        <v>0</v>
      </c>
      <c r="T407" s="883">
        <v>5</v>
      </c>
      <c r="U407" s="883">
        <f t="shared" si="113"/>
        <v>0</v>
      </c>
      <c r="V407" s="883">
        <v>0</v>
      </c>
      <c r="W407" s="883">
        <v>8</v>
      </c>
      <c r="X407" s="883">
        <f t="shared" si="114"/>
        <v>0</v>
      </c>
      <c r="Y407" s="883">
        <v>0</v>
      </c>
      <c r="Z407" s="883">
        <v>0</v>
      </c>
      <c r="AA407" s="883">
        <v>0</v>
      </c>
      <c r="AB407" s="883">
        <f t="shared" si="115"/>
        <v>20</v>
      </c>
      <c r="AC407" s="883">
        <v>0</v>
      </c>
      <c r="AD407" s="881"/>
      <c r="AE407" s="880"/>
      <c r="AF407" s="883"/>
      <c r="AG407" s="889"/>
      <c r="AH407" s="880"/>
      <c r="AI407" s="880" t="s">
        <v>1241</v>
      </c>
      <c r="AJ407" s="884">
        <v>411</v>
      </c>
      <c r="AK407" s="883">
        <f t="shared" si="116"/>
        <v>17.39</v>
      </c>
      <c r="AL407" s="884">
        <v>413</v>
      </c>
      <c r="AM407" s="883">
        <f t="shared" si="117"/>
        <v>0</v>
      </c>
      <c r="AN407" s="884">
        <v>441</v>
      </c>
      <c r="AO407" s="883">
        <f t="shared" si="118"/>
        <v>0</v>
      </c>
      <c r="AP407" s="881"/>
      <c r="AQ407" s="881"/>
      <c r="AR407" s="883">
        <v>0</v>
      </c>
      <c r="AS407" s="883">
        <v>0</v>
      </c>
      <c r="AT407" s="883">
        <v>0</v>
      </c>
      <c r="AU407" s="880"/>
      <c r="AV407" s="886"/>
      <c r="AW407" s="880"/>
      <c r="AX407" s="886"/>
      <c r="AY407" s="880"/>
      <c r="AZ407" s="880"/>
      <c r="BA407" s="881"/>
      <c r="BB407" s="881" t="s">
        <v>57</v>
      </c>
      <c r="BC407" s="881"/>
      <c r="BD407" s="881"/>
      <c r="BE407" s="884">
        <f t="shared" si="119"/>
        <v>4</v>
      </c>
      <c r="BF407" s="887" t="str">
        <f t="shared" si="120"/>
        <v>SI</v>
      </c>
      <c r="BG407" s="883">
        <f t="shared" si="121"/>
        <v>17.39</v>
      </c>
      <c r="BH407" s="883">
        <f t="shared" si="122"/>
        <v>0</v>
      </c>
      <c r="BI407" s="883">
        <f t="shared" si="123"/>
        <v>0</v>
      </c>
      <c r="BJ407" s="883">
        <f t="shared" si="124"/>
        <v>0</v>
      </c>
      <c r="BK407" s="883">
        <f t="shared" si="125"/>
        <v>0</v>
      </c>
      <c r="BL407" s="883">
        <f t="shared" si="126"/>
        <v>2.61</v>
      </c>
      <c r="BM407" s="881"/>
      <c r="BN407" s="880"/>
      <c r="BO407" s="882" t="s">
        <v>1579</v>
      </c>
      <c r="BP407" s="882" t="s">
        <v>2286</v>
      </c>
      <c r="BQ407" s="882" t="s">
        <v>2285</v>
      </c>
      <c r="BR407" s="880"/>
      <c r="BS407" s="880"/>
      <c r="BT407" s="880"/>
      <c r="BU407" s="880"/>
      <c r="BV407" s="880"/>
      <c r="BW407" s="883">
        <v>0</v>
      </c>
      <c r="BX407" s="883">
        <v>0</v>
      </c>
      <c r="BY407" s="883">
        <v>0</v>
      </c>
      <c r="BZ407" s="890"/>
      <c r="CA407" s="883">
        <f t="shared" si="127"/>
        <v>0</v>
      </c>
      <c r="CB407" s="880"/>
      <c r="CC407" s="881"/>
      <c r="CD407" s="883"/>
      <c r="CE407" s="883"/>
      <c r="CF407" s="883"/>
      <c r="CG407" s="883"/>
      <c r="CH407" s="883"/>
      <c r="CI407" s="883"/>
      <c r="CJ407" s="883"/>
      <c r="CK407" s="883"/>
      <c r="CL407" s="883"/>
      <c r="CM407" s="883"/>
      <c r="CN407" s="883"/>
      <c r="CO407" s="883"/>
      <c r="CP407" s="883"/>
      <c r="CQ407" s="883"/>
      <c r="CR407" s="883"/>
      <c r="CS407" s="883"/>
      <c r="CT407" s="883"/>
      <c r="CU407" s="883"/>
    </row>
    <row r="408" spans="1:99" x14ac:dyDescent="0.25">
      <c r="A408" s="880" t="s">
        <v>1787</v>
      </c>
      <c r="B408" s="881" t="s">
        <v>1788</v>
      </c>
      <c r="C408" s="880"/>
      <c r="D408" s="880"/>
      <c r="E408" s="884" t="s">
        <v>744</v>
      </c>
      <c r="F408" s="888">
        <v>1</v>
      </c>
      <c r="G408" s="881" t="s">
        <v>1007</v>
      </c>
      <c r="H408" s="881" t="s">
        <v>19</v>
      </c>
      <c r="I408" s="865">
        <v>46142</v>
      </c>
      <c r="J408" s="882" t="s">
        <v>8</v>
      </c>
      <c r="K408" s="880"/>
      <c r="L408" s="880"/>
      <c r="M408" s="883">
        <v>0</v>
      </c>
      <c r="N408" s="883">
        <v>0</v>
      </c>
      <c r="O408" s="883">
        <v>0</v>
      </c>
      <c r="P408" s="883">
        <v>17.39</v>
      </c>
      <c r="Q408" s="883">
        <v>15</v>
      </c>
      <c r="R408" s="883">
        <f t="shared" si="112"/>
        <v>2.61</v>
      </c>
      <c r="S408" s="883">
        <v>0</v>
      </c>
      <c r="T408" s="883">
        <v>5</v>
      </c>
      <c r="U408" s="883">
        <f t="shared" si="113"/>
        <v>0</v>
      </c>
      <c r="V408" s="883">
        <v>0</v>
      </c>
      <c r="W408" s="883">
        <v>8</v>
      </c>
      <c r="X408" s="883">
        <f t="shared" si="114"/>
        <v>0</v>
      </c>
      <c r="Y408" s="883">
        <v>0</v>
      </c>
      <c r="Z408" s="883">
        <v>0</v>
      </c>
      <c r="AA408" s="883">
        <v>0</v>
      </c>
      <c r="AB408" s="883">
        <f t="shared" si="115"/>
        <v>20</v>
      </c>
      <c r="AC408" s="883">
        <v>0</v>
      </c>
      <c r="AD408" s="881"/>
      <c r="AE408" s="880"/>
      <c r="AF408" s="883"/>
      <c r="AG408" s="889"/>
      <c r="AH408" s="880"/>
      <c r="AI408" s="880" t="s">
        <v>1241</v>
      </c>
      <c r="AJ408" s="884">
        <v>411</v>
      </c>
      <c r="AK408" s="883">
        <f t="shared" si="116"/>
        <v>17.39</v>
      </c>
      <c r="AL408" s="884">
        <v>413</v>
      </c>
      <c r="AM408" s="883">
        <f t="shared" si="117"/>
        <v>0</v>
      </c>
      <c r="AN408" s="884">
        <v>441</v>
      </c>
      <c r="AO408" s="883">
        <f t="shared" si="118"/>
        <v>0</v>
      </c>
      <c r="AP408" s="881"/>
      <c r="AQ408" s="881"/>
      <c r="AR408" s="883">
        <v>0</v>
      </c>
      <c r="AS408" s="883">
        <v>0</v>
      </c>
      <c r="AT408" s="883">
        <v>0</v>
      </c>
      <c r="AU408" s="880"/>
      <c r="AV408" s="886"/>
      <c r="AW408" s="880"/>
      <c r="AX408" s="886"/>
      <c r="AY408" s="880"/>
      <c r="AZ408" s="880"/>
      <c r="BA408" s="881"/>
      <c r="BB408" s="881" t="s">
        <v>57</v>
      </c>
      <c r="BC408" s="881"/>
      <c r="BD408" s="881"/>
      <c r="BE408" s="884">
        <f t="shared" si="119"/>
        <v>4</v>
      </c>
      <c r="BF408" s="887" t="str">
        <f t="shared" si="120"/>
        <v>SI</v>
      </c>
      <c r="BG408" s="883">
        <f t="shared" si="121"/>
        <v>17.39</v>
      </c>
      <c r="BH408" s="883">
        <f t="shared" si="122"/>
        <v>0</v>
      </c>
      <c r="BI408" s="883">
        <f t="shared" si="123"/>
        <v>0</v>
      </c>
      <c r="BJ408" s="883">
        <f t="shared" si="124"/>
        <v>0</v>
      </c>
      <c r="BK408" s="883">
        <f t="shared" si="125"/>
        <v>0</v>
      </c>
      <c r="BL408" s="883">
        <f t="shared" si="126"/>
        <v>2.61</v>
      </c>
      <c r="BM408" s="881"/>
      <c r="BN408" s="880"/>
      <c r="BO408" s="882" t="s">
        <v>1579</v>
      </c>
      <c r="BP408" s="882" t="s">
        <v>2286</v>
      </c>
      <c r="BQ408" s="882" t="s">
        <v>2285</v>
      </c>
      <c r="BR408" s="880"/>
      <c r="BS408" s="880"/>
      <c r="BT408" s="880"/>
      <c r="BU408" s="880"/>
      <c r="BV408" s="880"/>
      <c r="BW408" s="883">
        <v>0</v>
      </c>
      <c r="BX408" s="883">
        <v>0</v>
      </c>
      <c r="BY408" s="883">
        <v>0</v>
      </c>
      <c r="BZ408" s="890"/>
      <c r="CA408" s="883">
        <f t="shared" si="127"/>
        <v>0</v>
      </c>
      <c r="CB408" s="880"/>
      <c r="CC408" s="881"/>
      <c r="CD408" s="883"/>
      <c r="CE408" s="883"/>
      <c r="CF408" s="883"/>
      <c r="CG408" s="883"/>
      <c r="CH408" s="883"/>
      <c r="CI408" s="883"/>
      <c r="CJ408" s="883"/>
      <c r="CK408" s="883"/>
      <c r="CL408" s="883"/>
      <c r="CM408" s="883"/>
      <c r="CN408" s="883"/>
      <c r="CO408" s="883"/>
      <c r="CP408" s="883"/>
      <c r="CQ408" s="883"/>
      <c r="CR408" s="883"/>
      <c r="CS408" s="883"/>
      <c r="CT408" s="883"/>
      <c r="CU408" s="883"/>
    </row>
    <row r="409" spans="1:99" x14ac:dyDescent="0.25">
      <c r="A409" s="880" t="s">
        <v>1787</v>
      </c>
      <c r="B409" s="881" t="s">
        <v>1788</v>
      </c>
      <c r="C409" s="880"/>
      <c r="D409" s="880"/>
      <c r="E409" s="884" t="s">
        <v>744</v>
      </c>
      <c r="F409" s="888">
        <v>1</v>
      </c>
      <c r="G409" s="881" t="s">
        <v>1007</v>
      </c>
      <c r="H409" s="881" t="s">
        <v>19</v>
      </c>
      <c r="I409" s="865">
        <v>46142</v>
      </c>
      <c r="J409" s="882" t="s">
        <v>8</v>
      </c>
      <c r="K409" s="880"/>
      <c r="L409" s="880"/>
      <c r="M409" s="883">
        <v>0</v>
      </c>
      <c r="N409" s="883">
        <v>0</v>
      </c>
      <c r="O409" s="883">
        <v>0</v>
      </c>
      <c r="P409" s="883">
        <v>17.39</v>
      </c>
      <c r="Q409" s="883">
        <v>15</v>
      </c>
      <c r="R409" s="883">
        <f t="shared" si="112"/>
        <v>2.61</v>
      </c>
      <c r="S409" s="883">
        <v>0</v>
      </c>
      <c r="T409" s="883">
        <v>5</v>
      </c>
      <c r="U409" s="883">
        <f t="shared" si="113"/>
        <v>0</v>
      </c>
      <c r="V409" s="883">
        <v>0</v>
      </c>
      <c r="W409" s="883">
        <v>8</v>
      </c>
      <c r="X409" s="883">
        <f t="shared" si="114"/>
        <v>0</v>
      </c>
      <c r="Y409" s="883">
        <v>0</v>
      </c>
      <c r="Z409" s="883">
        <v>0</v>
      </c>
      <c r="AA409" s="883">
        <v>0</v>
      </c>
      <c r="AB409" s="883">
        <f t="shared" si="115"/>
        <v>20</v>
      </c>
      <c r="AC409" s="883">
        <v>0</v>
      </c>
      <c r="AD409" s="881"/>
      <c r="AE409" s="880"/>
      <c r="AF409" s="883"/>
      <c r="AG409" s="889"/>
      <c r="AH409" s="880"/>
      <c r="AI409" s="880" t="s">
        <v>1241</v>
      </c>
      <c r="AJ409" s="884">
        <v>411</v>
      </c>
      <c r="AK409" s="883">
        <f t="shared" si="116"/>
        <v>17.39</v>
      </c>
      <c r="AL409" s="884">
        <v>413</v>
      </c>
      <c r="AM409" s="883">
        <f t="shared" si="117"/>
        <v>0</v>
      </c>
      <c r="AN409" s="884">
        <v>441</v>
      </c>
      <c r="AO409" s="883">
        <f t="shared" si="118"/>
        <v>0</v>
      </c>
      <c r="AP409" s="881"/>
      <c r="AQ409" s="881"/>
      <c r="AR409" s="883">
        <v>0</v>
      </c>
      <c r="AS409" s="883">
        <v>0</v>
      </c>
      <c r="AT409" s="883">
        <v>0</v>
      </c>
      <c r="AU409" s="880"/>
      <c r="AV409" s="886"/>
      <c r="AW409" s="880"/>
      <c r="AX409" s="886"/>
      <c r="AY409" s="880"/>
      <c r="AZ409" s="880"/>
      <c r="BA409" s="881"/>
      <c r="BB409" s="881" t="s">
        <v>57</v>
      </c>
      <c r="BC409" s="881"/>
      <c r="BD409" s="881"/>
      <c r="BE409" s="884">
        <f t="shared" si="119"/>
        <v>4</v>
      </c>
      <c r="BF409" s="887" t="str">
        <f t="shared" si="120"/>
        <v>SI</v>
      </c>
      <c r="BG409" s="883">
        <f t="shared" si="121"/>
        <v>17.39</v>
      </c>
      <c r="BH409" s="883">
        <f t="shared" si="122"/>
        <v>0</v>
      </c>
      <c r="BI409" s="883">
        <f t="shared" si="123"/>
        <v>0</v>
      </c>
      <c r="BJ409" s="883">
        <f t="shared" si="124"/>
        <v>0</v>
      </c>
      <c r="BK409" s="883">
        <f t="shared" si="125"/>
        <v>0</v>
      </c>
      <c r="BL409" s="883">
        <f t="shared" si="126"/>
        <v>2.61</v>
      </c>
      <c r="BM409" s="881"/>
      <c r="BN409" s="880"/>
      <c r="BO409" s="882" t="s">
        <v>1579</v>
      </c>
      <c r="BP409" s="882" t="s">
        <v>2286</v>
      </c>
      <c r="BQ409" s="882" t="s">
        <v>2285</v>
      </c>
      <c r="BR409" s="880"/>
      <c r="BS409" s="880"/>
      <c r="BT409" s="880"/>
      <c r="BU409" s="880"/>
      <c r="BV409" s="880"/>
      <c r="BW409" s="883">
        <v>0</v>
      </c>
      <c r="BX409" s="883">
        <v>0</v>
      </c>
      <c r="BY409" s="883">
        <v>0</v>
      </c>
      <c r="BZ409" s="890"/>
      <c r="CA409" s="883">
        <f t="shared" si="127"/>
        <v>0</v>
      </c>
      <c r="CB409" s="880"/>
      <c r="CC409" s="881"/>
      <c r="CD409" s="883"/>
      <c r="CE409" s="883"/>
      <c r="CF409" s="883"/>
      <c r="CG409" s="883"/>
      <c r="CH409" s="883"/>
      <c r="CI409" s="883"/>
      <c r="CJ409" s="883"/>
      <c r="CK409" s="883"/>
      <c r="CL409" s="883"/>
      <c r="CM409" s="883"/>
      <c r="CN409" s="883"/>
      <c r="CO409" s="883"/>
      <c r="CP409" s="883"/>
      <c r="CQ409" s="883"/>
      <c r="CR409" s="883"/>
      <c r="CS409" s="883"/>
      <c r="CT409" s="883"/>
      <c r="CU409" s="883"/>
    </row>
    <row r="410" spans="1:99" x14ac:dyDescent="0.25">
      <c r="A410" s="880" t="s">
        <v>1787</v>
      </c>
      <c r="B410" s="881" t="s">
        <v>1788</v>
      </c>
      <c r="C410" s="880"/>
      <c r="D410" s="880"/>
      <c r="E410" s="884" t="s">
        <v>744</v>
      </c>
      <c r="F410" s="888">
        <v>1</v>
      </c>
      <c r="G410" s="881" t="s">
        <v>1007</v>
      </c>
      <c r="H410" s="881" t="s">
        <v>19</v>
      </c>
      <c r="I410" s="865">
        <v>46142</v>
      </c>
      <c r="J410" s="882" t="s">
        <v>8</v>
      </c>
      <c r="K410" s="880"/>
      <c r="L410" s="880"/>
      <c r="M410" s="883">
        <v>0</v>
      </c>
      <c r="N410" s="883">
        <v>0</v>
      </c>
      <c r="O410" s="883">
        <v>0</v>
      </c>
      <c r="P410" s="883">
        <v>17.39</v>
      </c>
      <c r="Q410" s="883">
        <v>15</v>
      </c>
      <c r="R410" s="883">
        <f t="shared" si="112"/>
        <v>2.61</v>
      </c>
      <c r="S410" s="883">
        <v>0</v>
      </c>
      <c r="T410" s="883">
        <v>5</v>
      </c>
      <c r="U410" s="883">
        <f t="shared" si="113"/>
        <v>0</v>
      </c>
      <c r="V410" s="883">
        <v>0</v>
      </c>
      <c r="W410" s="883">
        <v>8</v>
      </c>
      <c r="X410" s="883">
        <f t="shared" si="114"/>
        <v>0</v>
      </c>
      <c r="Y410" s="883">
        <v>0</v>
      </c>
      <c r="Z410" s="883">
        <v>0</v>
      </c>
      <c r="AA410" s="883">
        <v>0</v>
      </c>
      <c r="AB410" s="883">
        <f t="shared" si="115"/>
        <v>20</v>
      </c>
      <c r="AC410" s="883">
        <v>0</v>
      </c>
      <c r="AD410" s="881"/>
      <c r="AE410" s="880"/>
      <c r="AF410" s="883"/>
      <c r="AG410" s="889"/>
      <c r="AH410" s="880"/>
      <c r="AI410" s="880" t="s">
        <v>1241</v>
      </c>
      <c r="AJ410" s="884">
        <v>411</v>
      </c>
      <c r="AK410" s="883">
        <f t="shared" si="116"/>
        <v>17.39</v>
      </c>
      <c r="AL410" s="884">
        <v>413</v>
      </c>
      <c r="AM410" s="883">
        <f t="shared" si="117"/>
        <v>0</v>
      </c>
      <c r="AN410" s="884">
        <v>441</v>
      </c>
      <c r="AO410" s="883">
        <f t="shared" si="118"/>
        <v>0</v>
      </c>
      <c r="AP410" s="881"/>
      <c r="AQ410" s="881"/>
      <c r="AR410" s="883">
        <v>0</v>
      </c>
      <c r="AS410" s="883">
        <v>0</v>
      </c>
      <c r="AT410" s="883">
        <v>0</v>
      </c>
      <c r="AU410" s="880"/>
      <c r="AV410" s="886"/>
      <c r="AW410" s="880"/>
      <c r="AX410" s="886"/>
      <c r="AY410" s="880"/>
      <c r="AZ410" s="880"/>
      <c r="BA410" s="881"/>
      <c r="BB410" s="881" t="s">
        <v>57</v>
      </c>
      <c r="BC410" s="881"/>
      <c r="BD410" s="881"/>
      <c r="BE410" s="884">
        <f t="shared" si="119"/>
        <v>4</v>
      </c>
      <c r="BF410" s="887" t="str">
        <f t="shared" si="120"/>
        <v>SI</v>
      </c>
      <c r="BG410" s="883">
        <f t="shared" si="121"/>
        <v>17.39</v>
      </c>
      <c r="BH410" s="883">
        <f t="shared" si="122"/>
        <v>0</v>
      </c>
      <c r="BI410" s="883">
        <f t="shared" si="123"/>
        <v>0</v>
      </c>
      <c r="BJ410" s="883">
        <f t="shared" si="124"/>
        <v>0</v>
      </c>
      <c r="BK410" s="883">
        <f t="shared" si="125"/>
        <v>0</v>
      </c>
      <c r="BL410" s="883">
        <f t="shared" si="126"/>
        <v>2.61</v>
      </c>
      <c r="BM410" s="881"/>
      <c r="BN410" s="880"/>
      <c r="BO410" s="882" t="s">
        <v>1579</v>
      </c>
      <c r="BP410" s="882" t="s">
        <v>2286</v>
      </c>
      <c r="BQ410" s="882" t="s">
        <v>2285</v>
      </c>
      <c r="BR410" s="880"/>
      <c r="BS410" s="880"/>
      <c r="BT410" s="880"/>
      <c r="BU410" s="880"/>
      <c r="BV410" s="880"/>
      <c r="BW410" s="883">
        <v>0</v>
      </c>
      <c r="BX410" s="883">
        <v>0</v>
      </c>
      <c r="BY410" s="883">
        <v>0</v>
      </c>
      <c r="BZ410" s="890"/>
      <c r="CA410" s="883">
        <f t="shared" si="127"/>
        <v>0</v>
      </c>
      <c r="CB410" s="880"/>
      <c r="CC410" s="881"/>
      <c r="CD410" s="883"/>
      <c r="CE410" s="883"/>
      <c r="CF410" s="883"/>
      <c r="CG410" s="883"/>
      <c r="CH410" s="883"/>
      <c r="CI410" s="883"/>
      <c r="CJ410" s="883"/>
      <c r="CK410" s="883"/>
      <c r="CL410" s="883"/>
      <c r="CM410" s="883"/>
      <c r="CN410" s="883"/>
      <c r="CO410" s="883"/>
      <c r="CP410" s="883"/>
      <c r="CQ410" s="883"/>
      <c r="CR410" s="883"/>
      <c r="CS410" s="883"/>
      <c r="CT410" s="883"/>
      <c r="CU410" s="883"/>
    </row>
    <row r="411" spans="1:99" x14ac:dyDescent="0.25">
      <c r="A411" s="880" t="s">
        <v>1787</v>
      </c>
      <c r="B411" s="881" t="s">
        <v>1788</v>
      </c>
      <c r="C411" s="880"/>
      <c r="D411" s="880"/>
      <c r="E411" s="884" t="s">
        <v>744</v>
      </c>
      <c r="F411" s="888">
        <v>1</v>
      </c>
      <c r="G411" s="881" t="s">
        <v>1007</v>
      </c>
      <c r="H411" s="881" t="s">
        <v>19</v>
      </c>
      <c r="I411" s="865">
        <v>46142</v>
      </c>
      <c r="J411" s="882" t="s">
        <v>8</v>
      </c>
      <c r="K411" s="880"/>
      <c r="L411" s="880"/>
      <c r="M411" s="883">
        <v>0</v>
      </c>
      <c r="N411" s="883">
        <v>0</v>
      </c>
      <c r="O411" s="883">
        <v>0</v>
      </c>
      <c r="P411" s="883">
        <v>17.39</v>
      </c>
      <c r="Q411" s="883">
        <v>15</v>
      </c>
      <c r="R411" s="883">
        <f t="shared" si="112"/>
        <v>2.61</v>
      </c>
      <c r="S411" s="883">
        <v>0</v>
      </c>
      <c r="T411" s="883">
        <v>5</v>
      </c>
      <c r="U411" s="883">
        <f t="shared" si="113"/>
        <v>0</v>
      </c>
      <c r="V411" s="883">
        <v>0</v>
      </c>
      <c r="W411" s="883">
        <v>8</v>
      </c>
      <c r="X411" s="883">
        <f t="shared" si="114"/>
        <v>0</v>
      </c>
      <c r="Y411" s="883">
        <v>0</v>
      </c>
      <c r="Z411" s="883">
        <v>0</v>
      </c>
      <c r="AA411" s="883">
        <v>0</v>
      </c>
      <c r="AB411" s="883">
        <f t="shared" si="115"/>
        <v>20</v>
      </c>
      <c r="AC411" s="883">
        <v>0</v>
      </c>
      <c r="AD411" s="881"/>
      <c r="AE411" s="880"/>
      <c r="AF411" s="883"/>
      <c r="AG411" s="889"/>
      <c r="AH411" s="880"/>
      <c r="AI411" s="880" t="s">
        <v>1241</v>
      </c>
      <c r="AJ411" s="884">
        <v>411</v>
      </c>
      <c r="AK411" s="883">
        <f t="shared" si="116"/>
        <v>17.39</v>
      </c>
      <c r="AL411" s="884">
        <v>413</v>
      </c>
      <c r="AM411" s="883">
        <f t="shared" si="117"/>
        <v>0</v>
      </c>
      <c r="AN411" s="884">
        <v>441</v>
      </c>
      <c r="AO411" s="883">
        <f t="shared" si="118"/>
        <v>0</v>
      </c>
      <c r="AP411" s="881"/>
      <c r="AQ411" s="881"/>
      <c r="AR411" s="883">
        <v>0</v>
      </c>
      <c r="AS411" s="883">
        <v>0</v>
      </c>
      <c r="AT411" s="883">
        <v>0</v>
      </c>
      <c r="AU411" s="880"/>
      <c r="AV411" s="886"/>
      <c r="AW411" s="880"/>
      <c r="AX411" s="886"/>
      <c r="AY411" s="880"/>
      <c r="AZ411" s="880"/>
      <c r="BA411" s="881"/>
      <c r="BB411" s="881" t="s">
        <v>57</v>
      </c>
      <c r="BC411" s="881"/>
      <c r="BD411" s="881"/>
      <c r="BE411" s="884">
        <f t="shared" si="119"/>
        <v>4</v>
      </c>
      <c r="BF411" s="887" t="str">
        <f t="shared" si="120"/>
        <v>SI</v>
      </c>
      <c r="BG411" s="883">
        <f t="shared" si="121"/>
        <v>17.39</v>
      </c>
      <c r="BH411" s="883">
        <f t="shared" si="122"/>
        <v>0</v>
      </c>
      <c r="BI411" s="883">
        <f t="shared" si="123"/>
        <v>0</v>
      </c>
      <c r="BJ411" s="883">
        <f t="shared" si="124"/>
        <v>0</v>
      </c>
      <c r="BK411" s="883">
        <f t="shared" si="125"/>
        <v>0</v>
      </c>
      <c r="BL411" s="883">
        <f t="shared" si="126"/>
        <v>2.61</v>
      </c>
      <c r="BM411" s="881"/>
      <c r="BN411" s="880"/>
      <c r="BO411" s="882" t="s">
        <v>1579</v>
      </c>
      <c r="BP411" s="882" t="s">
        <v>2286</v>
      </c>
      <c r="BQ411" s="882" t="s">
        <v>2285</v>
      </c>
      <c r="BR411" s="880"/>
      <c r="BS411" s="880"/>
      <c r="BT411" s="880"/>
      <c r="BU411" s="880"/>
      <c r="BV411" s="880"/>
      <c r="BW411" s="883">
        <v>0</v>
      </c>
      <c r="BX411" s="883">
        <v>0</v>
      </c>
      <c r="BY411" s="883">
        <v>0</v>
      </c>
      <c r="BZ411" s="890"/>
      <c r="CA411" s="883">
        <f t="shared" si="127"/>
        <v>0</v>
      </c>
      <c r="CB411" s="880"/>
      <c r="CC411" s="881"/>
      <c r="CD411" s="883"/>
      <c r="CE411" s="883"/>
      <c r="CF411" s="883"/>
      <c r="CG411" s="883"/>
      <c r="CH411" s="883"/>
      <c r="CI411" s="883"/>
      <c r="CJ411" s="883"/>
      <c r="CK411" s="883"/>
      <c r="CL411" s="883"/>
      <c r="CM411" s="883"/>
      <c r="CN411" s="883"/>
      <c r="CO411" s="883"/>
      <c r="CP411" s="883"/>
      <c r="CQ411" s="883"/>
      <c r="CR411" s="883"/>
      <c r="CS411" s="883"/>
      <c r="CT411" s="883"/>
      <c r="CU411" s="883"/>
    </row>
    <row r="412" spans="1:99" x14ac:dyDescent="0.25">
      <c r="A412" s="880" t="s">
        <v>1787</v>
      </c>
      <c r="B412" s="881" t="s">
        <v>1788</v>
      </c>
      <c r="C412" s="880"/>
      <c r="D412" s="880"/>
      <c r="E412" s="884" t="s">
        <v>744</v>
      </c>
      <c r="F412" s="888">
        <v>1</v>
      </c>
      <c r="G412" s="881" t="s">
        <v>1007</v>
      </c>
      <c r="H412" s="881" t="s">
        <v>19</v>
      </c>
      <c r="I412" s="865">
        <v>46142</v>
      </c>
      <c r="J412" s="882" t="s">
        <v>8</v>
      </c>
      <c r="K412" s="880"/>
      <c r="L412" s="880"/>
      <c r="M412" s="883">
        <v>0</v>
      </c>
      <c r="N412" s="883">
        <v>0</v>
      </c>
      <c r="O412" s="883">
        <v>0</v>
      </c>
      <c r="P412" s="883">
        <v>17.39</v>
      </c>
      <c r="Q412" s="883">
        <v>15</v>
      </c>
      <c r="R412" s="883">
        <f t="shared" si="112"/>
        <v>2.61</v>
      </c>
      <c r="S412" s="883">
        <v>0</v>
      </c>
      <c r="T412" s="883">
        <v>5</v>
      </c>
      <c r="U412" s="883">
        <f t="shared" si="113"/>
        <v>0</v>
      </c>
      <c r="V412" s="883">
        <v>0</v>
      </c>
      <c r="W412" s="883">
        <v>8</v>
      </c>
      <c r="X412" s="883">
        <f t="shared" si="114"/>
        <v>0</v>
      </c>
      <c r="Y412" s="883">
        <v>0</v>
      </c>
      <c r="Z412" s="883">
        <v>0</v>
      </c>
      <c r="AA412" s="883">
        <v>0</v>
      </c>
      <c r="AB412" s="883">
        <f t="shared" si="115"/>
        <v>20</v>
      </c>
      <c r="AC412" s="883">
        <v>0</v>
      </c>
      <c r="AD412" s="881"/>
      <c r="AE412" s="880"/>
      <c r="AF412" s="883"/>
      <c r="AG412" s="889"/>
      <c r="AH412" s="880"/>
      <c r="AI412" s="880" t="s">
        <v>1241</v>
      </c>
      <c r="AJ412" s="884">
        <v>411</v>
      </c>
      <c r="AK412" s="883">
        <f t="shared" si="116"/>
        <v>17.39</v>
      </c>
      <c r="AL412" s="884">
        <v>413</v>
      </c>
      <c r="AM412" s="883">
        <f t="shared" si="117"/>
        <v>0</v>
      </c>
      <c r="AN412" s="884">
        <v>441</v>
      </c>
      <c r="AO412" s="883">
        <f t="shared" si="118"/>
        <v>0</v>
      </c>
      <c r="AP412" s="881"/>
      <c r="AQ412" s="881"/>
      <c r="AR412" s="883">
        <v>0</v>
      </c>
      <c r="AS412" s="883">
        <v>0</v>
      </c>
      <c r="AT412" s="883">
        <v>0</v>
      </c>
      <c r="AU412" s="880"/>
      <c r="AV412" s="886"/>
      <c r="AW412" s="880"/>
      <c r="AX412" s="886"/>
      <c r="AY412" s="880"/>
      <c r="AZ412" s="880"/>
      <c r="BA412" s="881"/>
      <c r="BB412" s="881" t="s">
        <v>57</v>
      </c>
      <c r="BC412" s="881"/>
      <c r="BD412" s="881"/>
      <c r="BE412" s="884">
        <f t="shared" si="119"/>
        <v>4</v>
      </c>
      <c r="BF412" s="887" t="str">
        <f t="shared" si="120"/>
        <v>SI</v>
      </c>
      <c r="BG412" s="883">
        <f t="shared" si="121"/>
        <v>17.39</v>
      </c>
      <c r="BH412" s="883">
        <f t="shared" si="122"/>
        <v>0</v>
      </c>
      <c r="BI412" s="883">
        <f t="shared" si="123"/>
        <v>0</v>
      </c>
      <c r="BJ412" s="883">
        <f t="shared" si="124"/>
        <v>0</v>
      </c>
      <c r="BK412" s="883">
        <f t="shared" si="125"/>
        <v>0</v>
      </c>
      <c r="BL412" s="883">
        <f t="shared" si="126"/>
        <v>2.61</v>
      </c>
      <c r="BM412" s="881"/>
      <c r="BN412" s="880"/>
      <c r="BO412" s="882" t="s">
        <v>1579</v>
      </c>
      <c r="BP412" s="882" t="s">
        <v>2286</v>
      </c>
      <c r="BQ412" s="882" t="s">
        <v>2285</v>
      </c>
      <c r="BR412" s="880"/>
      <c r="BS412" s="880"/>
      <c r="BT412" s="880"/>
      <c r="BU412" s="880"/>
      <c r="BV412" s="880"/>
      <c r="BW412" s="883">
        <v>0</v>
      </c>
      <c r="BX412" s="883">
        <v>0</v>
      </c>
      <c r="BY412" s="883">
        <v>0</v>
      </c>
      <c r="BZ412" s="890"/>
      <c r="CA412" s="883">
        <f t="shared" si="127"/>
        <v>0</v>
      </c>
      <c r="CB412" s="880"/>
      <c r="CC412" s="881"/>
      <c r="CD412" s="883"/>
      <c r="CE412" s="883"/>
      <c r="CF412" s="883"/>
      <c r="CG412" s="883"/>
      <c r="CH412" s="883"/>
      <c r="CI412" s="883"/>
      <c r="CJ412" s="883"/>
      <c r="CK412" s="883"/>
      <c r="CL412" s="883"/>
      <c r="CM412" s="883"/>
      <c r="CN412" s="883"/>
      <c r="CO412" s="883"/>
      <c r="CP412" s="883"/>
      <c r="CQ412" s="883"/>
      <c r="CR412" s="883"/>
      <c r="CS412" s="883"/>
      <c r="CT412" s="883"/>
      <c r="CU412" s="883"/>
    </row>
    <row r="413" spans="1:99" x14ac:dyDescent="0.25">
      <c r="A413" s="880" t="s">
        <v>1787</v>
      </c>
      <c r="B413" s="881" t="s">
        <v>1788</v>
      </c>
      <c r="C413" s="880"/>
      <c r="D413" s="880"/>
      <c r="E413" s="884" t="s">
        <v>744</v>
      </c>
      <c r="F413" s="888">
        <v>1</v>
      </c>
      <c r="G413" s="881" t="s">
        <v>1007</v>
      </c>
      <c r="H413" s="881" t="s">
        <v>19</v>
      </c>
      <c r="I413" s="865">
        <v>46142</v>
      </c>
      <c r="J413" s="882" t="s">
        <v>8</v>
      </c>
      <c r="K413" s="880"/>
      <c r="L413" s="880"/>
      <c r="M413" s="883">
        <v>0</v>
      </c>
      <c r="N413" s="883">
        <v>0</v>
      </c>
      <c r="O413" s="883">
        <v>0</v>
      </c>
      <c r="P413" s="883">
        <v>17.39</v>
      </c>
      <c r="Q413" s="883">
        <v>15</v>
      </c>
      <c r="R413" s="883">
        <f t="shared" si="112"/>
        <v>2.61</v>
      </c>
      <c r="S413" s="883">
        <v>0</v>
      </c>
      <c r="T413" s="883">
        <v>5</v>
      </c>
      <c r="U413" s="883">
        <f t="shared" si="113"/>
        <v>0</v>
      </c>
      <c r="V413" s="883">
        <v>0</v>
      </c>
      <c r="W413" s="883">
        <v>8</v>
      </c>
      <c r="X413" s="883">
        <f t="shared" si="114"/>
        <v>0</v>
      </c>
      <c r="Y413" s="883">
        <v>0</v>
      </c>
      <c r="Z413" s="883">
        <v>0</v>
      </c>
      <c r="AA413" s="883">
        <v>0</v>
      </c>
      <c r="AB413" s="883">
        <f t="shared" si="115"/>
        <v>20</v>
      </c>
      <c r="AC413" s="883">
        <v>0</v>
      </c>
      <c r="AD413" s="881"/>
      <c r="AE413" s="880"/>
      <c r="AF413" s="883"/>
      <c r="AG413" s="889"/>
      <c r="AH413" s="880"/>
      <c r="AI413" s="880" t="s">
        <v>1241</v>
      </c>
      <c r="AJ413" s="884">
        <v>411</v>
      </c>
      <c r="AK413" s="883">
        <f t="shared" si="116"/>
        <v>17.39</v>
      </c>
      <c r="AL413" s="884">
        <v>413</v>
      </c>
      <c r="AM413" s="883">
        <f t="shared" si="117"/>
        <v>0</v>
      </c>
      <c r="AN413" s="884">
        <v>441</v>
      </c>
      <c r="AO413" s="883">
        <f t="shared" si="118"/>
        <v>0</v>
      </c>
      <c r="AP413" s="881"/>
      <c r="AQ413" s="881"/>
      <c r="AR413" s="883">
        <v>0</v>
      </c>
      <c r="AS413" s="883">
        <v>0</v>
      </c>
      <c r="AT413" s="883">
        <v>0</v>
      </c>
      <c r="AU413" s="880"/>
      <c r="AV413" s="886"/>
      <c r="AW413" s="880"/>
      <c r="AX413" s="886"/>
      <c r="AY413" s="880"/>
      <c r="AZ413" s="880"/>
      <c r="BA413" s="881"/>
      <c r="BB413" s="881" t="s">
        <v>57</v>
      </c>
      <c r="BC413" s="881"/>
      <c r="BD413" s="881"/>
      <c r="BE413" s="884">
        <f t="shared" si="119"/>
        <v>4</v>
      </c>
      <c r="BF413" s="887" t="str">
        <f t="shared" si="120"/>
        <v>SI</v>
      </c>
      <c r="BG413" s="883">
        <f t="shared" si="121"/>
        <v>17.39</v>
      </c>
      <c r="BH413" s="883">
        <f t="shared" si="122"/>
        <v>0</v>
      </c>
      <c r="BI413" s="883">
        <f t="shared" si="123"/>
        <v>0</v>
      </c>
      <c r="BJ413" s="883">
        <f t="shared" si="124"/>
        <v>0</v>
      </c>
      <c r="BK413" s="883">
        <f t="shared" si="125"/>
        <v>0</v>
      </c>
      <c r="BL413" s="883">
        <f t="shared" si="126"/>
        <v>2.61</v>
      </c>
      <c r="BM413" s="881"/>
      <c r="BN413" s="880"/>
      <c r="BO413" s="882" t="s">
        <v>1579</v>
      </c>
      <c r="BP413" s="882" t="s">
        <v>2286</v>
      </c>
      <c r="BQ413" s="882" t="s">
        <v>2285</v>
      </c>
      <c r="BR413" s="880"/>
      <c r="BS413" s="880"/>
      <c r="BT413" s="880"/>
      <c r="BU413" s="880"/>
      <c r="BV413" s="880"/>
      <c r="BW413" s="883">
        <v>0</v>
      </c>
      <c r="BX413" s="883">
        <v>0</v>
      </c>
      <c r="BY413" s="883">
        <v>0</v>
      </c>
      <c r="BZ413" s="890"/>
      <c r="CA413" s="883">
        <f t="shared" si="127"/>
        <v>0</v>
      </c>
      <c r="CB413" s="880"/>
      <c r="CC413" s="881"/>
      <c r="CD413" s="883"/>
      <c r="CE413" s="883"/>
      <c r="CF413" s="883"/>
      <c r="CG413" s="883"/>
      <c r="CH413" s="883"/>
      <c r="CI413" s="883"/>
      <c r="CJ413" s="883"/>
      <c r="CK413" s="883"/>
      <c r="CL413" s="883"/>
      <c r="CM413" s="883"/>
      <c r="CN413" s="883"/>
      <c r="CO413" s="883"/>
      <c r="CP413" s="883"/>
      <c r="CQ413" s="883"/>
      <c r="CR413" s="883"/>
      <c r="CS413" s="883"/>
      <c r="CT413" s="883"/>
      <c r="CU413" s="883"/>
    </row>
    <row r="414" spans="1:99" x14ac:dyDescent="0.25">
      <c r="A414" s="880" t="s">
        <v>1787</v>
      </c>
      <c r="B414" s="881" t="s">
        <v>1788</v>
      </c>
      <c r="C414" s="880"/>
      <c r="D414" s="880"/>
      <c r="E414" s="884" t="s">
        <v>744</v>
      </c>
      <c r="F414" s="888">
        <v>1</v>
      </c>
      <c r="G414" s="881" t="s">
        <v>1007</v>
      </c>
      <c r="H414" s="881" t="s">
        <v>19</v>
      </c>
      <c r="I414" s="865">
        <v>46142</v>
      </c>
      <c r="J414" s="882" t="s">
        <v>8</v>
      </c>
      <c r="K414" s="880"/>
      <c r="L414" s="880"/>
      <c r="M414" s="883">
        <v>0</v>
      </c>
      <c r="N414" s="883">
        <v>0</v>
      </c>
      <c r="O414" s="883">
        <v>0</v>
      </c>
      <c r="P414" s="883">
        <v>8.92</v>
      </c>
      <c r="Q414" s="883">
        <v>15</v>
      </c>
      <c r="R414" s="883">
        <f t="shared" si="112"/>
        <v>1.34</v>
      </c>
      <c r="S414" s="883">
        <v>0</v>
      </c>
      <c r="T414" s="883">
        <v>5</v>
      </c>
      <c r="U414" s="883">
        <f t="shared" si="113"/>
        <v>0</v>
      </c>
      <c r="V414" s="883">
        <v>0</v>
      </c>
      <c r="W414" s="883">
        <v>8</v>
      </c>
      <c r="X414" s="883">
        <f t="shared" si="114"/>
        <v>0</v>
      </c>
      <c r="Y414" s="883">
        <v>0</v>
      </c>
      <c r="Z414" s="883">
        <v>0</v>
      </c>
      <c r="AA414" s="883">
        <v>0</v>
      </c>
      <c r="AB414" s="883">
        <f t="shared" si="115"/>
        <v>10.26</v>
      </c>
      <c r="AC414" s="883">
        <v>0</v>
      </c>
      <c r="AD414" s="881"/>
      <c r="AE414" s="880"/>
      <c r="AF414" s="883"/>
      <c r="AG414" s="889"/>
      <c r="AH414" s="880"/>
      <c r="AI414" s="880" t="s">
        <v>1241</v>
      </c>
      <c r="AJ414" s="884">
        <v>411</v>
      </c>
      <c r="AK414" s="883">
        <f t="shared" si="116"/>
        <v>8.92</v>
      </c>
      <c r="AL414" s="884">
        <v>413</v>
      </c>
      <c r="AM414" s="883">
        <f t="shared" si="117"/>
        <v>0</v>
      </c>
      <c r="AN414" s="884">
        <v>441</v>
      </c>
      <c r="AO414" s="883">
        <f t="shared" si="118"/>
        <v>0</v>
      </c>
      <c r="AP414" s="881"/>
      <c r="AQ414" s="881"/>
      <c r="AR414" s="883">
        <v>0</v>
      </c>
      <c r="AS414" s="883">
        <v>0</v>
      </c>
      <c r="AT414" s="883">
        <v>0</v>
      </c>
      <c r="AU414" s="880"/>
      <c r="AV414" s="886"/>
      <c r="AW414" s="880"/>
      <c r="AX414" s="886"/>
      <c r="AY414" s="880"/>
      <c r="AZ414" s="880"/>
      <c r="BA414" s="881"/>
      <c r="BB414" s="881" t="s">
        <v>57</v>
      </c>
      <c r="BC414" s="881"/>
      <c r="BD414" s="881"/>
      <c r="BE414" s="884">
        <f t="shared" si="119"/>
        <v>4</v>
      </c>
      <c r="BF414" s="887" t="str">
        <f t="shared" si="120"/>
        <v>SI</v>
      </c>
      <c r="BG414" s="883">
        <f t="shared" si="121"/>
        <v>8.92</v>
      </c>
      <c r="BH414" s="883">
        <f t="shared" si="122"/>
        <v>0</v>
      </c>
      <c r="BI414" s="883">
        <f t="shared" si="123"/>
        <v>0</v>
      </c>
      <c r="BJ414" s="883">
        <f t="shared" si="124"/>
        <v>0</v>
      </c>
      <c r="BK414" s="883">
        <f t="shared" si="125"/>
        <v>0</v>
      </c>
      <c r="BL414" s="883">
        <f t="shared" si="126"/>
        <v>1.34</v>
      </c>
      <c r="BM414" s="881"/>
      <c r="BN414" s="880"/>
      <c r="BO414" s="882" t="s">
        <v>1579</v>
      </c>
      <c r="BP414" s="882" t="s">
        <v>2286</v>
      </c>
      <c r="BQ414" s="882" t="s">
        <v>2285</v>
      </c>
      <c r="BR414" s="880"/>
      <c r="BS414" s="880"/>
      <c r="BT414" s="880"/>
      <c r="BU414" s="880"/>
      <c r="BV414" s="880"/>
      <c r="BW414" s="883">
        <v>0</v>
      </c>
      <c r="BX414" s="883">
        <v>0</v>
      </c>
      <c r="BY414" s="883">
        <v>0</v>
      </c>
      <c r="BZ414" s="890"/>
      <c r="CA414" s="883">
        <f t="shared" si="127"/>
        <v>0</v>
      </c>
      <c r="CB414" s="880"/>
      <c r="CC414" s="881"/>
      <c r="CD414" s="883"/>
      <c r="CE414" s="883"/>
      <c r="CF414" s="883"/>
      <c r="CG414" s="883"/>
      <c r="CH414" s="883"/>
      <c r="CI414" s="883"/>
      <c r="CJ414" s="883"/>
      <c r="CK414" s="883"/>
      <c r="CL414" s="883"/>
      <c r="CM414" s="883"/>
      <c r="CN414" s="883"/>
      <c r="CO414" s="883"/>
      <c r="CP414" s="883"/>
      <c r="CQ414" s="883"/>
      <c r="CR414" s="883"/>
      <c r="CS414" s="883"/>
      <c r="CT414" s="883"/>
      <c r="CU414" s="883"/>
    </row>
    <row r="415" spans="1:99" x14ac:dyDescent="0.25">
      <c r="A415" s="880" t="s">
        <v>1787</v>
      </c>
      <c r="B415" s="881" t="s">
        <v>1788</v>
      </c>
      <c r="C415" s="880"/>
      <c r="D415" s="880"/>
      <c r="E415" s="884" t="s">
        <v>744</v>
      </c>
      <c r="F415" s="888">
        <v>1</v>
      </c>
      <c r="G415" s="881" t="s">
        <v>1007</v>
      </c>
      <c r="H415" s="881" t="s">
        <v>19</v>
      </c>
      <c r="I415" s="865">
        <v>46142</v>
      </c>
      <c r="J415" s="882" t="s">
        <v>8</v>
      </c>
      <c r="K415" s="880"/>
      <c r="L415" s="880"/>
      <c r="M415" s="883">
        <v>0</v>
      </c>
      <c r="N415" s="883">
        <v>0</v>
      </c>
      <c r="O415" s="883">
        <v>0</v>
      </c>
      <c r="P415" s="883">
        <v>17.39</v>
      </c>
      <c r="Q415" s="883">
        <v>15</v>
      </c>
      <c r="R415" s="883">
        <f t="shared" si="112"/>
        <v>2.61</v>
      </c>
      <c r="S415" s="883">
        <v>0</v>
      </c>
      <c r="T415" s="883">
        <v>5</v>
      </c>
      <c r="U415" s="883">
        <f t="shared" si="113"/>
        <v>0</v>
      </c>
      <c r="V415" s="883">
        <v>0</v>
      </c>
      <c r="W415" s="883">
        <v>8</v>
      </c>
      <c r="X415" s="883">
        <f t="shared" si="114"/>
        <v>0</v>
      </c>
      <c r="Y415" s="883">
        <v>0</v>
      </c>
      <c r="Z415" s="883">
        <v>0</v>
      </c>
      <c r="AA415" s="883">
        <v>0</v>
      </c>
      <c r="AB415" s="883">
        <f t="shared" si="115"/>
        <v>20</v>
      </c>
      <c r="AC415" s="883">
        <v>0</v>
      </c>
      <c r="AD415" s="881"/>
      <c r="AE415" s="880"/>
      <c r="AF415" s="883"/>
      <c r="AG415" s="889"/>
      <c r="AH415" s="880"/>
      <c r="AI415" s="880" t="s">
        <v>1241</v>
      </c>
      <c r="AJ415" s="884">
        <v>411</v>
      </c>
      <c r="AK415" s="883">
        <f t="shared" si="116"/>
        <v>17.39</v>
      </c>
      <c r="AL415" s="884">
        <v>413</v>
      </c>
      <c r="AM415" s="883">
        <f t="shared" si="117"/>
        <v>0</v>
      </c>
      <c r="AN415" s="884">
        <v>441</v>
      </c>
      <c r="AO415" s="883">
        <f t="shared" si="118"/>
        <v>0</v>
      </c>
      <c r="AP415" s="881"/>
      <c r="AQ415" s="881"/>
      <c r="AR415" s="883">
        <v>0</v>
      </c>
      <c r="AS415" s="883">
        <v>0</v>
      </c>
      <c r="AT415" s="883">
        <v>0</v>
      </c>
      <c r="AU415" s="880"/>
      <c r="AV415" s="886"/>
      <c r="AW415" s="880"/>
      <c r="AX415" s="886"/>
      <c r="AY415" s="880"/>
      <c r="AZ415" s="880"/>
      <c r="BA415" s="881"/>
      <c r="BB415" s="881" t="s">
        <v>57</v>
      </c>
      <c r="BC415" s="881"/>
      <c r="BD415" s="881"/>
      <c r="BE415" s="884">
        <f t="shared" si="119"/>
        <v>4</v>
      </c>
      <c r="BF415" s="887" t="str">
        <f t="shared" si="120"/>
        <v>SI</v>
      </c>
      <c r="BG415" s="883">
        <f t="shared" si="121"/>
        <v>17.39</v>
      </c>
      <c r="BH415" s="883">
        <f t="shared" si="122"/>
        <v>0</v>
      </c>
      <c r="BI415" s="883">
        <f t="shared" si="123"/>
        <v>0</v>
      </c>
      <c r="BJ415" s="883">
        <f t="shared" si="124"/>
        <v>0</v>
      </c>
      <c r="BK415" s="883">
        <f t="shared" si="125"/>
        <v>0</v>
      </c>
      <c r="BL415" s="883">
        <f t="shared" si="126"/>
        <v>2.61</v>
      </c>
      <c r="BM415" s="881"/>
      <c r="BN415" s="880"/>
      <c r="BO415" s="882" t="s">
        <v>1579</v>
      </c>
      <c r="BP415" s="882" t="s">
        <v>2286</v>
      </c>
      <c r="BQ415" s="882" t="s">
        <v>2285</v>
      </c>
      <c r="BR415" s="880"/>
      <c r="BS415" s="880"/>
      <c r="BT415" s="880"/>
      <c r="BU415" s="880"/>
      <c r="BV415" s="880"/>
      <c r="BW415" s="883">
        <v>0</v>
      </c>
      <c r="BX415" s="883">
        <v>0</v>
      </c>
      <c r="BY415" s="883">
        <v>0</v>
      </c>
      <c r="BZ415" s="890"/>
      <c r="CA415" s="883">
        <f t="shared" si="127"/>
        <v>0</v>
      </c>
      <c r="CB415" s="880"/>
      <c r="CC415" s="881"/>
      <c r="CD415" s="883"/>
      <c r="CE415" s="883"/>
      <c r="CF415" s="883"/>
      <c r="CG415" s="883"/>
      <c r="CH415" s="883"/>
      <c r="CI415" s="883"/>
      <c r="CJ415" s="883"/>
      <c r="CK415" s="883"/>
      <c r="CL415" s="883"/>
      <c r="CM415" s="883"/>
      <c r="CN415" s="883"/>
      <c r="CO415" s="883"/>
      <c r="CP415" s="883"/>
      <c r="CQ415" s="883"/>
      <c r="CR415" s="883"/>
      <c r="CS415" s="883"/>
      <c r="CT415" s="883"/>
      <c r="CU415" s="883"/>
    </row>
    <row r="416" spans="1:99" x14ac:dyDescent="0.25">
      <c r="A416" s="880" t="s">
        <v>1787</v>
      </c>
      <c r="B416" s="881" t="s">
        <v>1788</v>
      </c>
      <c r="C416" s="880"/>
      <c r="D416" s="880"/>
      <c r="E416" s="884" t="s">
        <v>744</v>
      </c>
      <c r="F416" s="888">
        <v>1</v>
      </c>
      <c r="G416" s="881" t="s">
        <v>1007</v>
      </c>
      <c r="H416" s="881" t="s">
        <v>19</v>
      </c>
      <c r="I416" s="865">
        <v>46142</v>
      </c>
      <c r="J416" s="882" t="s">
        <v>8</v>
      </c>
      <c r="K416" s="880"/>
      <c r="L416" s="880"/>
      <c r="M416" s="883">
        <v>0</v>
      </c>
      <c r="N416" s="883">
        <v>0</v>
      </c>
      <c r="O416" s="883">
        <v>0</v>
      </c>
      <c r="P416" s="883">
        <v>17.39</v>
      </c>
      <c r="Q416" s="883">
        <v>15</v>
      </c>
      <c r="R416" s="883">
        <f t="shared" si="112"/>
        <v>2.61</v>
      </c>
      <c r="S416" s="883">
        <v>0</v>
      </c>
      <c r="T416" s="883">
        <v>5</v>
      </c>
      <c r="U416" s="883">
        <f t="shared" si="113"/>
        <v>0</v>
      </c>
      <c r="V416" s="883">
        <v>0</v>
      </c>
      <c r="W416" s="883">
        <v>8</v>
      </c>
      <c r="X416" s="883">
        <f t="shared" si="114"/>
        <v>0</v>
      </c>
      <c r="Y416" s="883">
        <v>0</v>
      </c>
      <c r="Z416" s="883">
        <v>0</v>
      </c>
      <c r="AA416" s="883">
        <v>0</v>
      </c>
      <c r="AB416" s="883">
        <f t="shared" si="115"/>
        <v>20</v>
      </c>
      <c r="AC416" s="883">
        <v>0</v>
      </c>
      <c r="AD416" s="881"/>
      <c r="AE416" s="880"/>
      <c r="AF416" s="883"/>
      <c r="AG416" s="889"/>
      <c r="AH416" s="880"/>
      <c r="AI416" s="880" t="s">
        <v>1241</v>
      </c>
      <c r="AJ416" s="884">
        <v>411</v>
      </c>
      <c r="AK416" s="883">
        <f t="shared" si="116"/>
        <v>17.39</v>
      </c>
      <c r="AL416" s="884">
        <v>413</v>
      </c>
      <c r="AM416" s="883">
        <f t="shared" si="117"/>
        <v>0</v>
      </c>
      <c r="AN416" s="884">
        <v>441</v>
      </c>
      <c r="AO416" s="883">
        <f t="shared" si="118"/>
        <v>0</v>
      </c>
      <c r="AP416" s="881"/>
      <c r="AQ416" s="881"/>
      <c r="AR416" s="883">
        <v>0</v>
      </c>
      <c r="AS416" s="883">
        <v>0</v>
      </c>
      <c r="AT416" s="883">
        <v>0</v>
      </c>
      <c r="AU416" s="880"/>
      <c r="AV416" s="886"/>
      <c r="AW416" s="880"/>
      <c r="AX416" s="886"/>
      <c r="AY416" s="880"/>
      <c r="AZ416" s="880"/>
      <c r="BA416" s="881"/>
      <c r="BB416" s="881" t="s">
        <v>57</v>
      </c>
      <c r="BC416" s="881"/>
      <c r="BD416" s="881"/>
      <c r="BE416" s="884">
        <f t="shared" si="119"/>
        <v>4</v>
      </c>
      <c r="BF416" s="887" t="str">
        <f t="shared" si="120"/>
        <v>SI</v>
      </c>
      <c r="BG416" s="883">
        <f t="shared" si="121"/>
        <v>17.39</v>
      </c>
      <c r="BH416" s="883">
        <f t="shared" si="122"/>
        <v>0</v>
      </c>
      <c r="BI416" s="883">
        <f t="shared" si="123"/>
        <v>0</v>
      </c>
      <c r="BJ416" s="883">
        <f t="shared" si="124"/>
        <v>0</v>
      </c>
      <c r="BK416" s="883">
        <f t="shared" si="125"/>
        <v>0</v>
      </c>
      <c r="BL416" s="883">
        <f t="shared" si="126"/>
        <v>2.61</v>
      </c>
      <c r="BM416" s="881"/>
      <c r="BN416" s="880"/>
      <c r="BO416" s="882" t="s">
        <v>1579</v>
      </c>
      <c r="BP416" s="882" t="s">
        <v>2286</v>
      </c>
      <c r="BQ416" s="882" t="s">
        <v>2285</v>
      </c>
      <c r="BR416" s="880"/>
      <c r="BS416" s="880"/>
      <c r="BT416" s="880"/>
      <c r="BU416" s="880"/>
      <c r="BV416" s="880"/>
      <c r="BW416" s="883">
        <v>0</v>
      </c>
      <c r="BX416" s="883">
        <v>0</v>
      </c>
      <c r="BY416" s="883">
        <v>0</v>
      </c>
      <c r="BZ416" s="890"/>
      <c r="CA416" s="883">
        <f t="shared" si="127"/>
        <v>0</v>
      </c>
      <c r="CB416" s="880"/>
      <c r="CC416" s="881"/>
      <c r="CD416" s="883"/>
      <c r="CE416" s="883"/>
      <c r="CF416" s="883"/>
      <c r="CG416" s="883"/>
      <c r="CH416" s="883"/>
      <c r="CI416" s="883"/>
      <c r="CJ416" s="883"/>
      <c r="CK416" s="883"/>
      <c r="CL416" s="883"/>
      <c r="CM416" s="883"/>
      <c r="CN416" s="883"/>
      <c r="CO416" s="883"/>
      <c r="CP416" s="883"/>
      <c r="CQ416" s="883"/>
      <c r="CR416" s="883"/>
      <c r="CS416" s="883"/>
      <c r="CT416" s="883"/>
      <c r="CU416" s="883"/>
    </row>
    <row r="417" spans="1:99" x14ac:dyDescent="0.25">
      <c r="A417" s="880" t="s">
        <v>1787</v>
      </c>
      <c r="B417" s="881" t="s">
        <v>1788</v>
      </c>
      <c r="C417" s="880"/>
      <c r="D417" s="880"/>
      <c r="E417" s="884" t="s">
        <v>744</v>
      </c>
      <c r="F417" s="888">
        <v>1</v>
      </c>
      <c r="G417" s="881" t="s">
        <v>1007</v>
      </c>
      <c r="H417" s="881" t="s">
        <v>19</v>
      </c>
      <c r="I417" s="865">
        <v>46142</v>
      </c>
      <c r="J417" s="882" t="s">
        <v>8</v>
      </c>
      <c r="K417" s="880"/>
      <c r="L417" s="880"/>
      <c r="M417" s="883">
        <v>0</v>
      </c>
      <c r="N417" s="883">
        <v>0</v>
      </c>
      <c r="O417" s="883">
        <v>0</v>
      </c>
      <c r="P417" s="883">
        <v>17.39</v>
      </c>
      <c r="Q417" s="883">
        <v>15</v>
      </c>
      <c r="R417" s="883">
        <f t="shared" si="112"/>
        <v>2.61</v>
      </c>
      <c r="S417" s="883">
        <v>0</v>
      </c>
      <c r="T417" s="883">
        <v>5</v>
      </c>
      <c r="U417" s="883">
        <f t="shared" si="113"/>
        <v>0</v>
      </c>
      <c r="V417" s="883">
        <v>0</v>
      </c>
      <c r="W417" s="883">
        <v>8</v>
      </c>
      <c r="X417" s="883">
        <f t="shared" si="114"/>
        <v>0</v>
      </c>
      <c r="Y417" s="883">
        <v>0</v>
      </c>
      <c r="Z417" s="883">
        <v>0</v>
      </c>
      <c r="AA417" s="883">
        <v>0</v>
      </c>
      <c r="AB417" s="883">
        <f t="shared" si="115"/>
        <v>20</v>
      </c>
      <c r="AC417" s="883">
        <v>0</v>
      </c>
      <c r="AD417" s="881"/>
      <c r="AE417" s="880"/>
      <c r="AF417" s="883"/>
      <c r="AG417" s="889"/>
      <c r="AH417" s="880"/>
      <c r="AI417" s="880" t="s">
        <v>1241</v>
      </c>
      <c r="AJ417" s="884">
        <v>411</v>
      </c>
      <c r="AK417" s="883">
        <f t="shared" si="116"/>
        <v>17.39</v>
      </c>
      <c r="AL417" s="884">
        <v>413</v>
      </c>
      <c r="AM417" s="883">
        <f t="shared" si="117"/>
        <v>0</v>
      </c>
      <c r="AN417" s="884">
        <v>441</v>
      </c>
      <c r="AO417" s="883">
        <f t="shared" si="118"/>
        <v>0</v>
      </c>
      <c r="AP417" s="881"/>
      <c r="AQ417" s="881"/>
      <c r="AR417" s="883">
        <v>0</v>
      </c>
      <c r="AS417" s="883">
        <v>0</v>
      </c>
      <c r="AT417" s="883">
        <v>0</v>
      </c>
      <c r="AU417" s="880"/>
      <c r="AV417" s="886"/>
      <c r="AW417" s="880"/>
      <c r="AX417" s="886"/>
      <c r="AY417" s="880"/>
      <c r="AZ417" s="880"/>
      <c r="BA417" s="881"/>
      <c r="BB417" s="881" t="s">
        <v>57</v>
      </c>
      <c r="BC417" s="881"/>
      <c r="BD417" s="881"/>
      <c r="BE417" s="884">
        <f t="shared" si="119"/>
        <v>4</v>
      </c>
      <c r="BF417" s="887" t="str">
        <f t="shared" si="120"/>
        <v>SI</v>
      </c>
      <c r="BG417" s="883">
        <f t="shared" si="121"/>
        <v>17.39</v>
      </c>
      <c r="BH417" s="883">
        <f t="shared" si="122"/>
        <v>0</v>
      </c>
      <c r="BI417" s="883">
        <f t="shared" si="123"/>
        <v>0</v>
      </c>
      <c r="BJ417" s="883">
        <f t="shared" si="124"/>
        <v>0</v>
      </c>
      <c r="BK417" s="883">
        <f t="shared" si="125"/>
        <v>0</v>
      </c>
      <c r="BL417" s="883">
        <f t="shared" si="126"/>
        <v>2.61</v>
      </c>
      <c r="BM417" s="881"/>
      <c r="BN417" s="880"/>
      <c r="BO417" s="882" t="s">
        <v>1579</v>
      </c>
      <c r="BP417" s="882" t="s">
        <v>2286</v>
      </c>
      <c r="BQ417" s="882" t="s">
        <v>2285</v>
      </c>
      <c r="BR417" s="880"/>
      <c r="BS417" s="880"/>
      <c r="BT417" s="880"/>
      <c r="BU417" s="880"/>
      <c r="BV417" s="880"/>
      <c r="BW417" s="883">
        <v>0</v>
      </c>
      <c r="BX417" s="883">
        <v>0</v>
      </c>
      <c r="BY417" s="883">
        <v>0</v>
      </c>
      <c r="BZ417" s="890"/>
      <c r="CA417" s="883">
        <f t="shared" si="127"/>
        <v>0</v>
      </c>
      <c r="CB417" s="880"/>
      <c r="CC417" s="881"/>
      <c r="CD417" s="883"/>
      <c r="CE417" s="883"/>
      <c r="CF417" s="883"/>
      <c r="CG417" s="883"/>
      <c r="CH417" s="883"/>
      <c r="CI417" s="883"/>
      <c r="CJ417" s="883"/>
      <c r="CK417" s="883"/>
      <c r="CL417" s="883"/>
      <c r="CM417" s="883"/>
      <c r="CN417" s="883"/>
      <c r="CO417" s="883"/>
      <c r="CP417" s="883"/>
      <c r="CQ417" s="883"/>
      <c r="CR417" s="883"/>
      <c r="CS417" s="883"/>
      <c r="CT417" s="883"/>
      <c r="CU417" s="883"/>
    </row>
    <row r="418" spans="1:99" x14ac:dyDescent="0.25">
      <c r="A418" s="880" t="s">
        <v>1787</v>
      </c>
      <c r="B418" s="881" t="s">
        <v>1788</v>
      </c>
      <c r="C418" s="880"/>
      <c r="D418" s="880"/>
      <c r="E418" s="884" t="s">
        <v>744</v>
      </c>
      <c r="F418" s="888">
        <v>1</v>
      </c>
      <c r="G418" s="881" t="s">
        <v>1007</v>
      </c>
      <c r="H418" s="881" t="s">
        <v>19</v>
      </c>
      <c r="I418" s="865">
        <v>46142</v>
      </c>
      <c r="J418" s="882" t="s">
        <v>8</v>
      </c>
      <c r="K418" s="880"/>
      <c r="L418" s="880"/>
      <c r="M418" s="883">
        <v>0</v>
      </c>
      <c r="N418" s="883">
        <v>0</v>
      </c>
      <c r="O418" s="883">
        <v>0</v>
      </c>
      <c r="P418" s="883">
        <v>17.39</v>
      </c>
      <c r="Q418" s="883">
        <v>15</v>
      </c>
      <c r="R418" s="883">
        <f t="shared" si="112"/>
        <v>2.61</v>
      </c>
      <c r="S418" s="883">
        <v>0</v>
      </c>
      <c r="T418" s="883">
        <v>5</v>
      </c>
      <c r="U418" s="883">
        <f t="shared" si="113"/>
        <v>0</v>
      </c>
      <c r="V418" s="883">
        <v>0</v>
      </c>
      <c r="W418" s="883">
        <v>8</v>
      </c>
      <c r="X418" s="883">
        <f t="shared" si="114"/>
        <v>0</v>
      </c>
      <c r="Y418" s="883">
        <v>0</v>
      </c>
      <c r="Z418" s="883">
        <v>0</v>
      </c>
      <c r="AA418" s="883">
        <v>0</v>
      </c>
      <c r="AB418" s="883">
        <f t="shared" si="115"/>
        <v>20</v>
      </c>
      <c r="AC418" s="883">
        <v>0</v>
      </c>
      <c r="AD418" s="881"/>
      <c r="AE418" s="880"/>
      <c r="AF418" s="883"/>
      <c r="AG418" s="889"/>
      <c r="AH418" s="880"/>
      <c r="AI418" s="880" t="s">
        <v>1241</v>
      </c>
      <c r="AJ418" s="884">
        <v>411</v>
      </c>
      <c r="AK418" s="883">
        <f t="shared" si="116"/>
        <v>17.39</v>
      </c>
      <c r="AL418" s="884">
        <v>413</v>
      </c>
      <c r="AM418" s="883">
        <f t="shared" si="117"/>
        <v>0</v>
      </c>
      <c r="AN418" s="884">
        <v>441</v>
      </c>
      <c r="AO418" s="883">
        <f t="shared" si="118"/>
        <v>0</v>
      </c>
      <c r="AP418" s="881"/>
      <c r="AQ418" s="881"/>
      <c r="AR418" s="883">
        <v>0</v>
      </c>
      <c r="AS418" s="883">
        <v>0</v>
      </c>
      <c r="AT418" s="883">
        <v>0</v>
      </c>
      <c r="AU418" s="880"/>
      <c r="AV418" s="886"/>
      <c r="AW418" s="880"/>
      <c r="AX418" s="886"/>
      <c r="AY418" s="880"/>
      <c r="AZ418" s="880"/>
      <c r="BA418" s="881"/>
      <c r="BB418" s="881" t="s">
        <v>57</v>
      </c>
      <c r="BC418" s="881"/>
      <c r="BD418" s="881"/>
      <c r="BE418" s="884">
        <f t="shared" si="119"/>
        <v>4</v>
      </c>
      <c r="BF418" s="887" t="str">
        <f t="shared" si="120"/>
        <v>SI</v>
      </c>
      <c r="BG418" s="883">
        <f t="shared" si="121"/>
        <v>17.39</v>
      </c>
      <c r="BH418" s="883">
        <f t="shared" si="122"/>
        <v>0</v>
      </c>
      <c r="BI418" s="883">
        <f t="shared" si="123"/>
        <v>0</v>
      </c>
      <c r="BJ418" s="883">
        <f t="shared" si="124"/>
        <v>0</v>
      </c>
      <c r="BK418" s="883">
        <f t="shared" si="125"/>
        <v>0</v>
      </c>
      <c r="BL418" s="883">
        <f t="shared" si="126"/>
        <v>2.61</v>
      </c>
      <c r="BM418" s="881"/>
      <c r="BN418" s="880"/>
      <c r="BO418" s="882" t="s">
        <v>1579</v>
      </c>
      <c r="BP418" s="882" t="s">
        <v>2286</v>
      </c>
      <c r="BQ418" s="882" t="s">
        <v>2285</v>
      </c>
      <c r="BR418" s="880"/>
      <c r="BS418" s="880"/>
      <c r="BT418" s="880"/>
      <c r="BU418" s="880"/>
      <c r="BV418" s="880"/>
      <c r="BW418" s="883">
        <v>0</v>
      </c>
      <c r="BX418" s="883">
        <v>0</v>
      </c>
      <c r="BY418" s="883">
        <v>0</v>
      </c>
      <c r="BZ418" s="890"/>
      <c r="CA418" s="883">
        <f t="shared" si="127"/>
        <v>0</v>
      </c>
      <c r="CB418" s="880"/>
      <c r="CC418" s="881"/>
      <c r="CD418" s="883"/>
      <c r="CE418" s="883"/>
      <c r="CF418" s="883"/>
      <c r="CG418" s="883"/>
      <c r="CH418" s="883"/>
      <c r="CI418" s="883"/>
      <c r="CJ418" s="883"/>
      <c r="CK418" s="883"/>
      <c r="CL418" s="883"/>
      <c r="CM418" s="883"/>
      <c r="CN418" s="883"/>
      <c r="CO418" s="883"/>
      <c r="CP418" s="883"/>
      <c r="CQ418" s="883"/>
      <c r="CR418" s="883"/>
      <c r="CS418" s="883"/>
      <c r="CT418" s="883"/>
      <c r="CU418" s="883"/>
    </row>
    <row r="419" spans="1:99" x14ac:dyDescent="0.25">
      <c r="A419" s="880" t="s">
        <v>1787</v>
      </c>
      <c r="B419" s="881" t="s">
        <v>1788</v>
      </c>
      <c r="C419" s="880"/>
      <c r="D419" s="880"/>
      <c r="E419" s="884" t="s">
        <v>744</v>
      </c>
      <c r="F419" s="888">
        <v>1</v>
      </c>
      <c r="G419" s="881" t="s">
        <v>1007</v>
      </c>
      <c r="H419" s="881" t="s">
        <v>19</v>
      </c>
      <c r="I419" s="865">
        <v>46142</v>
      </c>
      <c r="J419" s="882" t="s">
        <v>8</v>
      </c>
      <c r="K419" s="880"/>
      <c r="L419" s="880"/>
      <c r="M419" s="883">
        <v>0</v>
      </c>
      <c r="N419" s="883">
        <v>0</v>
      </c>
      <c r="O419" s="883">
        <v>0</v>
      </c>
      <c r="P419" s="883">
        <v>17.39</v>
      </c>
      <c r="Q419" s="883">
        <v>15</v>
      </c>
      <c r="R419" s="883">
        <f t="shared" si="112"/>
        <v>2.61</v>
      </c>
      <c r="S419" s="883">
        <v>0</v>
      </c>
      <c r="T419" s="883">
        <v>5</v>
      </c>
      <c r="U419" s="883">
        <f t="shared" si="113"/>
        <v>0</v>
      </c>
      <c r="V419" s="883">
        <v>0</v>
      </c>
      <c r="W419" s="883">
        <v>8</v>
      </c>
      <c r="X419" s="883">
        <f t="shared" si="114"/>
        <v>0</v>
      </c>
      <c r="Y419" s="883">
        <v>0</v>
      </c>
      <c r="Z419" s="883">
        <v>0</v>
      </c>
      <c r="AA419" s="883">
        <v>0</v>
      </c>
      <c r="AB419" s="883">
        <f t="shared" si="115"/>
        <v>20</v>
      </c>
      <c r="AC419" s="883">
        <v>0</v>
      </c>
      <c r="AD419" s="881"/>
      <c r="AE419" s="880"/>
      <c r="AF419" s="883"/>
      <c r="AG419" s="889"/>
      <c r="AH419" s="880"/>
      <c r="AI419" s="880" t="s">
        <v>1241</v>
      </c>
      <c r="AJ419" s="884">
        <v>411</v>
      </c>
      <c r="AK419" s="883">
        <f t="shared" si="116"/>
        <v>17.39</v>
      </c>
      <c r="AL419" s="884">
        <v>413</v>
      </c>
      <c r="AM419" s="883">
        <f t="shared" si="117"/>
        <v>0</v>
      </c>
      <c r="AN419" s="884">
        <v>441</v>
      </c>
      <c r="AO419" s="883">
        <f t="shared" si="118"/>
        <v>0</v>
      </c>
      <c r="AP419" s="881"/>
      <c r="AQ419" s="881"/>
      <c r="AR419" s="883">
        <v>0</v>
      </c>
      <c r="AS419" s="883">
        <v>0</v>
      </c>
      <c r="AT419" s="883">
        <v>0</v>
      </c>
      <c r="AU419" s="880"/>
      <c r="AV419" s="886"/>
      <c r="AW419" s="880"/>
      <c r="AX419" s="886"/>
      <c r="AY419" s="880"/>
      <c r="AZ419" s="880"/>
      <c r="BA419" s="881"/>
      <c r="BB419" s="881" t="s">
        <v>57</v>
      </c>
      <c r="BC419" s="881"/>
      <c r="BD419" s="881"/>
      <c r="BE419" s="884">
        <f t="shared" si="119"/>
        <v>4</v>
      </c>
      <c r="BF419" s="887" t="str">
        <f t="shared" si="120"/>
        <v>SI</v>
      </c>
      <c r="BG419" s="883">
        <f t="shared" si="121"/>
        <v>17.39</v>
      </c>
      <c r="BH419" s="883">
        <f t="shared" si="122"/>
        <v>0</v>
      </c>
      <c r="BI419" s="883">
        <f t="shared" si="123"/>
        <v>0</v>
      </c>
      <c r="BJ419" s="883">
        <f t="shared" si="124"/>
        <v>0</v>
      </c>
      <c r="BK419" s="883">
        <f t="shared" si="125"/>
        <v>0</v>
      </c>
      <c r="BL419" s="883">
        <f t="shared" si="126"/>
        <v>2.61</v>
      </c>
      <c r="BM419" s="881"/>
      <c r="BN419" s="880"/>
      <c r="BO419" s="882" t="s">
        <v>1579</v>
      </c>
      <c r="BP419" s="882" t="s">
        <v>2286</v>
      </c>
      <c r="BQ419" s="882" t="s">
        <v>2285</v>
      </c>
      <c r="BR419" s="880"/>
      <c r="BS419" s="880"/>
      <c r="BT419" s="880"/>
      <c r="BU419" s="880"/>
      <c r="BV419" s="880"/>
      <c r="BW419" s="883">
        <v>0</v>
      </c>
      <c r="BX419" s="883">
        <v>0</v>
      </c>
      <c r="BY419" s="883">
        <v>0</v>
      </c>
      <c r="BZ419" s="890"/>
      <c r="CA419" s="883">
        <f t="shared" si="127"/>
        <v>0</v>
      </c>
      <c r="CB419" s="880"/>
      <c r="CC419" s="881"/>
      <c r="CD419" s="883"/>
      <c r="CE419" s="883"/>
      <c r="CF419" s="883"/>
      <c r="CG419" s="883"/>
      <c r="CH419" s="883"/>
      <c r="CI419" s="883"/>
      <c r="CJ419" s="883"/>
      <c r="CK419" s="883"/>
      <c r="CL419" s="883"/>
      <c r="CM419" s="883"/>
      <c r="CN419" s="883"/>
      <c r="CO419" s="883"/>
      <c r="CP419" s="883"/>
      <c r="CQ419" s="883"/>
      <c r="CR419" s="883"/>
      <c r="CS419" s="883"/>
      <c r="CT419" s="883"/>
      <c r="CU419" s="883"/>
    </row>
    <row r="420" spans="1:99" x14ac:dyDescent="0.25">
      <c r="A420" s="880" t="s">
        <v>1787</v>
      </c>
      <c r="B420" s="881" t="s">
        <v>1788</v>
      </c>
      <c r="C420" s="880"/>
      <c r="D420" s="880"/>
      <c r="E420" s="884" t="s">
        <v>744</v>
      </c>
      <c r="F420" s="888">
        <v>1</v>
      </c>
      <c r="G420" s="881" t="s">
        <v>1007</v>
      </c>
      <c r="H420" s="881" t="s">
        <v>19</v>
      </c>
      <c r="I420" s="865">
        <v>46142</v>
      </c>
      <c r="J420" s="882" t="s">
        <v>8</v>
      </c>
      <c r="K420" s="880"/>
      <c r="L420" s="880"/>
      <c r="M420" s="883">
        <v>0</v>
      </c>
      <c r="N420" s="883">
        <v>0</v>
      </c>
      <c r="O420" s="883">
        <v>0</v>
      </c>
      <c r="P420" s="883">
        <v>17.86</v>
      </c>
      <c r="Q420" s="883">
        <v>15</v>
      </c>
      <c r="R420" s="883">
        <f t="shared" si="112"/>
        <v>2.68</v>
      </c>
      <c r="S420" s="883">
        <v>0</v>
      </c>
      <c r="T420" s="883">
        <v>5</v>
      </c>
      <c r="U420" s="883">
        <f t="shared" si="113"/>
        <v>0</v>
      </c>
      <c r="V420" s="883">
        <v>0</v>
      </c>
      <c r="W420" s="883">
        <v>8</v>
      </c>
      <c r="X420" s="883">
        <f t="shared" si="114"/>
        <v>0</v>
      </c>
      <c r="Y420" s="883">
        <v>0</v>
      </c>
      <c r="Z420" s="883">
        <v>0</v>
      </c>
      <c r="AA420" s="883">
        <v>0</v>
      </c>
      <c r="AB420" s="883">
        <f t="shared" si="115"/>
        <v>20.54</v>
      </c>
      <c r="AC420" s="883">
        <v>0</v>
      </c>
      <c r="AD420" s="881"/>
      <c r="AE420" s="880"/>
      <c r="AF420" s="883"/>
      <c r="AG420" s="889"/>
      <c r="AH420" s="880"/>
      <c r="AI420" s="880" t="s">
        <v>1241</v>
      </c>
      <c r="AJ420" s="884">
        <v>411</v>
      </c>
      <c r="AK420" s="883">
        <f t="shared" si="116"/>
        <v>17.86</v>
      </c>
      <c r="AL420" s="884">
        <v>413</v>
      </c>
      <c r="AM420" s="883">
        <f t="shared" si="117"/>
        <v>0</v>
      </c>
      <c r="AN420" s="884">
        <v>441</v>
      </c>
      <c r="AO420" s="883">
        <f t="shared" si="118"/>
        <v>0</v>
      </c>
      <c r="AP420" s="881"/>
      <c r="AQ420" s="881"/>
      <c r="AR420" s="883">
        <v>0</v>
      </c>
      <c r="AS420" s="883">
        <v>0</v>
      </c>
      <c r="AT420" s="883">
        <v>0</v>
      </c>
      <c r="AU420" s="880"/>
      <c r="AV420" s="886"/>
      <c r="AW420" s="880"/>
      <c r="AX420" s="886"/>
      <c r="AY420" s="880"/>
      <c r="AZ420" s="880"/>
      <c r="BA420" s="881"/>
      <c r="BB420" s="881" t="s">
        <v>57</v>
      </c>
      <c r="BC420" s="881"/>
      <c r="BD420" s="881"/>
      <c r="BE420" s="884">
        <f t="shared" si="119"/>
        <v>4</v>
      </c>
      <c r="BF420" s="887" t="str">
        <f t="shared" si="120"/>
        <v>SI</v>
      </c>
      <c r="BG420" s="883">
        <f t="shared" si="121"/>
        <v>17.86</v>
      </c>
      <c r="BH420" s="883">
        <f t="shared" si="122"/>
        <v>0</v>
      </c>
      <c r="BI420" s="883">
        <f t="shared" si="123"/>
        <v>0</v>
      </c>
      <c r="BJ420" s="883">
        <f t="shared" si="124"/>
        <v>0</v>
      </c>
      <c r="BK420" s="883">
        <f t="shared" si="125"/>
        <v>0</v>
      </c>
      <c r="BL420" s="883">
        <f t="shared" si="126"/>
        <v>2.68</v>
      </c>
      <c r="BM420" s="881"/>
      <c r="BN420" s="880"/>
      <c r="BO420" s="882" t="s">
        <v>1579</v>
      </c>
      <c r="BP420" s="882" t="s">
        <v>2286</v>
      </c>
      <c r="BQ420" s="882" t="s">
        <v>2285</v>
      </c>
      <c r="BR420" s="880"/>
      <c r="BS420" s="880"/>
      <c r="BT420" s="880"/>
      <c r="BU420" s="880"/>
      <c r="BV420" s="880"/>
      <c r="BW420" s="883">
        <v>0</v>
      </c>
      <c r="BX420" s="883">
        <v>0</v>
      </c>
      <c r="BY420" s="883">
        <v>0</v>
      </c>
      <c r="BZ420" s="890"/>
      <c r="CA420" s="883">
        <f t="shared" si="127"/>
        <v>0</v>
      </c>
      <c r="CB420" s="880"/>
      <c r="CC420" s="881"/>
      <c r="CD420" s="883"/>
      <c r="CE420" s="883"/>
      <c r="CF420" s="883"/>
      <c r="CG420" s="883"/>
      <c r="CH420" s="883"/>
      <c r="CI420" s="883"/>
      <c r="CJ420" s="883"/>
      <c r="CK420" s="883"/>
      <c r="CL420" s="883"/>
      <c r="CM420" s="883"/>
      <c r="CN420" s="883"/>
      <c r="CO420" s="883"/>
      <c r="CP420" s="883"/>
      <c r="CQ420" s="883"/>
      <c r="CR420" s="883"/>
      <c r="CS420" s="883"/>
      <c r="CT420" s="883"/>
      <c r="CU420" s="883"/>
    </row>
    <row r="421" spans="1:99" x14ac:dyDescent="0.25">
      <c r="A421" s="880" t="s">
        <v>1787</v>
      </c>
      <c r="B421" s="881" t="s">
        <v>1788</v>
      </c>
      <c r="C421" s="880"/>
      <c r="D421" s="880"/>
      <c r="E421" s="884" t="s">
        <v>744</v>
      </c>
      <c r="F421" s="888">
        <v>1</v>
      </c>
      <c r="G421" s="881" t="s">
        <v>1007</v>
      </c>
      <c r="H421" s="881" t="s">
        <v>19</v>
      </c>
      <c r="I421" s="865">
        <v>46142</v>
      </c>
      <c r="J421" s="882" t="s">
        <v>8</v>
      </c>
      <c r="K421" s="880"/>
      <c r="L421" s="880"/>
      <c r="M421" s="883">
        <v>0</v>
      </c>
      <c r="N421" s="883">
        <v>0</v>
      </c>
      <c r="O421" s="883">
        <v>0</v>
      </c>
      <c r="P421" s="883">
        <v>17.86</v>
      </c>
      <c r="Q421" s="883">
        <v>15</v>
      </c>
      <c r="R421" s="883">
        <f t="shared" si="112"/>
        <v>2.68</v>
      </c>
      <c r="S421" s="883">
        <v>0</v>
      </c>
      <c r="T421" s="883">
        <v>5</v>
      </c>
      <c r="U421" s="883">
        <f t="shared" si="113"/>
        <v>0</v>
      </c>
      <c r="V421" s="883">
        <v>0</v>
      </c>
      <c r="W421" s="883">
        <v>8</v>
      </c>
      <c r="X421" s="883">
        <f t="shared" si="114"/>
        <v>0</v>
      </c>
      <c r="Y421" s="883">
        <v>0</v>
      </c>
      <c r="Z421" s="883">
        <v>0</v>
      </c>
      <c r="AA421" s="883">
        <v>0</v>
      </c>
      <c r="AB421" s="883">
        <f t="shared" si="115"/>
        <v>20.54</v>
      </c>
      <c r="AC421" s="883">
        <v>0</v>
      </c>
      <c r="AD421" s="881"/>
      <c r="AE421" s="880"/>
      <c r="AF421" s="883"/>
      <c r="AG421" s="889"/>
      <c r="AH421" s="880"/>
      <c r="AI421" s="880" t="s">
        <v>1241</v>
      </c>
      <c r="AJ421" s="884">
        <v>411</v>
      </c>
      <c r="AK421" s="883">
        <f t="shared" si="116"/>
        <v>17.86</v>
      </c>
      <c r="AL421" s="884">
        <v>413</v>
      </c>
      <c r="AM421" s="883">
        <f t="shared" si="117"/>
        <v>0</v>
      </c>
      <c r="AN421" s="884">
        <v>441</v>
      </c>
      <c r="AO421" s="883">
        <f t="shared" si="118"/>
        <v>0</v>
      </c>
      <c r="AP421" s="881"/>
      <c r="AQ421" s="881"/>
      <c r="AR421" s="883">
        <v>0</v>
      </c>
      <c r="AS421" s="883">
        <v>0</v>
      </c>
      <c r="AT421" s="883">
        <v>0</v>
      </c>
      <c r="AU421" s="880"/>
      <c r="AV421" s="886"/>
      <c r="AW421" s="880"/>
      <c r="AX421" s="886"/>
      <c r="AY421" s="880"/>
      <c r="AZ421" s="880"/>
      <c r="BA421" s="881"/>
      <c r="BB421" s="881" t="s">
        <v>57</v>
      </c>
      <c r="BC421" s="881"/>
      <c r="BD421" s="881"/>
      <c r="BE421" s="884">
        <f t="shared" si="119"/>
        <v>4</v>
      </c>
      <c r="BF421" s="887" t="str">
        <f t="shared" si="120"/>
        <v>SI</v>
      </c>
      <c r="BG421" s="883">
        <f t="shared" si="121"/>
        <v>17.86</v>
      </c>
      <c r="BH421" s="883">
        <f t="shared" si="122"/>
        <v>0</v>
      </c>
      <c r="BI421" s="883">
        <f t="shared" si="123"/>
        <v>0</v>
      </c>
      <c r="BJ421" s="883">
        <f t="shared" si="124"/>
        <v>0</v>
      </c>
      <c r="BK421" s="883">
        <f t="shared" si="125"/>
        <v>0</v>
      </c>
      <c r="BL421" s="883">
        <f t="shared" si="126"/>
        <v>2.68</v>
      </c>
      <c r="BM421" s="881"/>
      <c r="BN421" s="880"/>
      <c r="BO421" s="882" t="s">
        <v>1579</v>
      </c>
      <c r="BP421" s="882" t="s">
        <v>2286</v>
      </c>
      <c r="BQ421" s="882" t="s">
        <v>2285</v>
      </c>
      <c r="BR421" s="880"/>
      <c r="BS421" s="880"/>
      <c r="BT421" s="880"/>
      <c r="BU421" s="880"/>
      <c r="BV421" s="880"/>
      <c r="BW421" s="883">
        <v>0</v>
      </c>
      <c r="BX421" s="883">
        <v>0</v>
      </c>
      <c r="BY421" s="883">
        <v>0</v>
      </c>
      <c r="BZ421" s="890"/>
      <c r="CA421" s="883">
        <f t="shared" si="127"/>
        <v>0</v>
      </c>
      <c r="CB421" s="880"/>
      <c r="CC421" s="881"/>
      <c r="CD421" s="883"/>
      <c r="CE421" s="883"/>
      <c r="CF421" s="883"/>
      <c r="CG421" s="883"/>
      <c r="CH421" s="883"/>
      <c r="CI421" s="883"/>
      <c r="CJ421" s="883"/>
      <c r="CK421" s="883"/>
      <c r="CL421" s="883"/>
      <c r="CM421" s="883"/>
      <c r="CN421" s="883"/>
      <c r="CO421" s="883"/>
      <c r="CP421" s="883"/>
      <c r="CQ421" s="883"/>
      <c r="CR421" s="883"/>
      <c r="CS421" s="883"/>
      <c r="CT421" s="883"/>
      <c r="CU421" s="883"/>
    </row>
    <row r="422" spans="1:99" x14ac:dyDescent="0.25">
      <c r="A422" s="880" t="s">
        <v>1787</v>
      </c>
      <c r="B422" s="881" t="s">
        <v>1788</v>
      </c>
      <c r="C422" s="880"/>
      <c r="D422" s="880"/>
      <c r="E422" s="884" t="s">
        <v>744</v>
      </c>
      <c r="F422" s="888">
        <v>1</v>
      </c>
      <c r="G422" s="881" t="s">
        <v>1007</v>
      </c>
      <c r="H422" s="881" t="s">
        <v>19</v>
      </c>
      <c r="I422" s="865">
        <v>46142</v>
      </c>
      <c r="J422" s="882" t="s">
        <v>8</v>
      </c>
      <c r="K422" s="880"/>
      <c r="L422" s="880"/>
      <c r="M422" s="883">
        <v>0</v>
      </c>
      <c r="N422" s="883">
        <v>0</v>
      </c>
      <c r="O422" s="883">
        <v>0</v>
      </c>
      <c r="P422" s="883">
        <v>17.86</v>
      </c>
      <c r="Q422" s="883">
        <v>15</v>
      </c>
      <c r="R422" s="883">
        <f t="shared" si="112"/>
        <v>2.68</v>
      </c>
      <c r="S422" s="883">
        <v>0</v>
      </c>
      <c r="T422" s="883">
        <v>5</v>
      </c>
      <c r="U422" s="883">
        <f t="shared" si="113"/>
        <v>0</v>
      </c>
      <c r="V422" s="883">
        <v>0</v>
      </c>
      <c r="W422" s="883">
        <v>8</v>
      </c>
      <c r="X422" s="883">
        <f t="shared" si="114"/>
        <v>0</v>
      </c>
      <c r="Y422" s="883">
        <v>0</v>
      </c>
      <c r="Z422" s="883">
        <v>0</v>
      </c>
      <c r="AA422" s="883">
        <v>0</v>
      </c>
      <c r="AB422" s="883">
        <f t="shared" si="115"/>
        <v>20.54</v>
      </c>
      <c r="AC422" s="883">
        <v>0</v>
      </c>
      <c r="AD422" s="881"/>
      <c r="AE422" s="880"/>
      <c r="AF422" s="883"/>
      <c r="AG422" s="889"/>
      <c r="AH422" s="880"/>
      <c r="AI422" s="880" t="s">
        <v>1241</v>
      </c>
      <c r="AJ422" s="884">
        <v>411</v>
      </c>
      <c r="AK422" s="883">
        <f t="shared" si="116"/>
        <v>17.86</v>
      </c>
      <c r="AL422" s="884">
        <v>413</v>
      </c>
      <c r="AM422" s="883">
        <f t="shared" si="117"/>
        <v>0</v>
      </c>
      <c r="AN422" s="884">
        <v>441</v>
      </c>
      <c r="AO422" s="883">
        <f t="shared" si="118"/>
        <v>0</v>
      </c>
      <c r="AP422" s="881"/>
      <c r="AQ422" s="881"/>
      <c r="AR422" s="883">
        <v>0</v>
      </c>
      <c r="AS422" s="883">
        <v>0</v>
      </c>
      <c r="AT422" s="883">
        <v>0</v>
      </c>
      <c r="AU422" s="880"/>
      <c r="AV422" s="886"/>
      <c r="AW422" s="880"/>
      <c r="AX422" s="886"/>
      <c r="AY422" s="880"/>
      <c r="AZ422" s="880"/>
      <c r="BA422" s="881"/>
      <c r="BB422" s="881" t="s">
        <v>57</v>
      </c>
      <c r="BC422" s="881"/>
      <c r="BD422" s="881"/>
      <c r="BE422" s="884">
        <f t="shared" si="119"/>
        <v>4</v>
      </c>
      <c r="BF422" s="887" t="str">
        <f t="shared" si="120"/>
        <v>SI</v>
      </c>
      <c r="BG422" s="883">
        <f t="shared" si="121"/>
        <v>17.86</v>
      </c>
      <c r="BH422" s="883">
        <f t="shared" si="122"/>
        <v>0</v>
      </c>
      <c r="BI422" s="883">
        <f t="shared" si="123"/>
        <v>0</v>
      </c>
      <c r="BJ422" s="883">
        <f t="shared" si="124"/>
        <v>0</v>
      </c>
      <c r="BK422" s="883">
        <f t="shared" si="125"/>
        <v>0</v>
      </c>
      <c r="BL422" s="883">
        <f t="shared" si="126"/>
        <v>2.68</v>
      </c>
      <c r="BM422" s="881"/>
      <c r="BN422" s="880"/>
      <c r="BO422" s="882" t="s">
        <v>1579</v>
      </c>
      <c r="BP422" s="882" t="s">
        <v>2286</v>
      </c>
      <c r="BQ422" s="882" t="s">
        <v>2285</v>
      </c>
      <c r="BR422" s="880"/>
      <c r="BS422" s="880"/>
      <c r="BT422" s="880"/>
      <c r="BU422" s="880"/>
      <c r="BV422" s="880"/>
      <c r="BW422" s="883">
        <v>0</v>
      </c>
      <c r="BX422" s="883">
        <v>0</v>
      </c>
      <c r="BY422" s="883">
        <v>0</v>
      </c>
      <c r="BZ422" s="890"/>
      <c r="CA422" s="883">
        <f t="shared" si="127"/>
        <v>0</v>
      </c>
      <c r="CB422" s="880"/>
      <c r="CC422" s="881"/>
      <c r="CD422" s="883"/>
      <c r="CE422" s="883"/>
      <c r="CF422" s="883"/>
      <c r="CG422" s="883"/>
      <c r="CH422" s="883"/>
      <c r="CI422" s="883"/>
      <c r="CJ422" s="883"/>
      <c r="CK422" s="883"/>
      <c r="CL422" s="883"/>
      <c r="CM422" s="883"/>
      <c r="CN422" s="883"/>
      <c r="CO422" s="883"/>
      <c r="CP422" s="883"/>
      <c r="CQ422" s="883"/>
      <c r="CR422" s="883"/>
      <c r="CS422" s="883"/>
      <c r="CT422" s="883"/>
      <c r="CU422" s="883"/>
    </row>
    <row r="423" spans="1:99" x14ac:dyDescent="0.25">
      <c r="A423" s="880" t="s">
        <v>1787</v>
      </c>
      <c r="B423" s="881" t="s">
        <v>1788</v>
      </c>
      <c r="C423" s="880"/>
      <c r="D423" s="880"/>
      <c r="E423" s="884" t="s">
        <v>744</v>
      </c>
      <c r="F423" s="888">
        <v>1</v>
      </c>
      <c r="G423" s="881" t="s">
        <v>1007</v>
      </c>
      <c r="H423" s="881" t="s">
        <v>19</v>
      </c>
      <c r="I423" s="865">
        <v>46142</v>
      </c>
      <c r="J423" s="882" t="s">
        <v>8</v>
      </c>
      <c r="K423" s="880"/>
      <c r="L423" s="880"/>
      <c r="M423" s="883">
        <v>0</v>
      </c>
      <c r="N423" s="883">
        <v>0</v>
      </c>
      <c r="O423" s="883">
        <v>0</v>
      </c>
      <c r="P423" s="883">
        <v>17.39</v>
      </c>
      <c r="Q423" s="883">
        <v>15</v>
      </c>
      <c r="R423" s="883">
        <f t="shared" si="112"/>
        <v>2.61</v>
      </c>
      <c r="S423" s="883">
        <v>0</v>
      </c>
      <c r="T423" s="883">
        <v>5</v>
      </c>
      <c r="U423" s="883">
        <f t="shared" si="113"/>
        <v>0</v>
      </c>
      <c r="V423" s="883">
        <v>0</v>
      </c>
      <c r="W423" s="883">
        <v>8</v>
      </c>
      <c r="X423" s="883">
        <f t="shared" si="114"/>
        <v>0</v>
      </c>
      <c r="Y423" s="883">
        <v>0</v>
      </c>
      <c r="Z423" s="883">
        <v>0</v>
      </c>
      <c r="AA423" s="883">
        <v>0</v>
      </c>
      <c r="AB423" s="883">
        <f t="shared" si="115"/>
        <v>20</v>
      </c>
      <c r="AC423" s="883">
        <v>0</v>
      </c>
      <c r="AD423" s="881"/>
      <c r="AE423" s="880"/>
      <c r="AF423" s="883"/>
      <c r="AG423" s="889"/>
      <c r="AH423" s="880"/>
      <c r="AI423" s="880" t="s">
        <v>1241</v>
      </c>
      <c r="AJ423" s="884">
        <v>411</v>
      </c>
      <c r="AK423" s="883">
        <f t="shared" si="116"/>
        <v>17.39</v>
      </c>
      <c r="AL423" s="884">
        <v>413</v>
      </c>
      <c r="AM423" s="883">
        <f t="shared" si="117"/>
        <v>0</v>
      </c>
      <c r="AN423" s="884">
        <v>441</v>
      </c>
      <c r="AO423" s="883">
        <f t="shared" si="118"/>
        <v>0</v>
      </c>
      <c r="AP423" s="881"/>
      <c r="AQ423" s="881"/>
      <c r="AR423" s="883">
        <v>0</v>
      </c>
      <c r="AS423" s="883">
        <v>0</v>
      </c>
      <c r="AT423" s="883">
        <v>0</v>
      </c>
      <c r="AU423" s="880"/>
      <c r="AV423" s="886"/>
      <c r="AW423" s="880"/>
      <c r="AX423" s="886"/>
      <c r="AY423" s="880"/>
      <c r="AZ423" s="880"/>
      <c r="BA423" s="881"/>
      <c r="BB423" s="881" t="s">
        <v>57</v>
      </c>
      <c r="BC423" s="881"/>
      <c r="BD423" s="881"/>
      <c r="BE423" s="884">
        <f t="shared" si="119"/>
        <v>4</v>
      </c>
      <c r="BF423" s="887" t="str">
        <f t="shared" si="120"/>
        <v>SI</v>
      </c>
      <c r="BG423" s="883">
        <f t="shared" si="121"/>
        <v>17.39</v>
      </c>
      <c r="BH423" s="883">
        <f t="shared" si="122"/>
        <v>0</v>
      </c>
      <c r="BI423" s="883">
        <f t="shared" si="123"/>
        <v>0</v>
      </c>
      <c r="BJ423" s="883">
        <f t="shared" si="124"/>
        <v>0</v>
      </c>
      <c r="BK423" s="883">
        <f t="shared" si="125"/>
        <v>0</v>
      </c>
      <c r="BL423" s="883">
        <f t="shared" si="126"/>
        <v>2.61</v>
      </c>
      <c r="BM423" s="881"/>
      <c r="BN423" s="880"/>
      <c r="BO423" s="882" t="s">
        <v>1579</v>
      </c>
      <c r="BP423" s="882" t="s">
        <v>2286</v>
      </c>
      <c r="BQ423" s="882" t="s">
        <v>2285</v>
      </c>
      <c r="BR423" s="880"/>
      <c r="BS423" s="880"/>
      <c r="BT423" s="880"/>
      <c r="BU423" s="880"/>
      <c r="BV423" s="880"/>
      <c r="BW423" s="883">
        <v>0</v>
      </c>
      <c r="BX423" s="883">
        <v>0</v>
      </c>
      <c r="BY423" s="883">
        <v>0</v>
      </c>
      <c r="BZ423" s="890"/>
      <c r="CA423" s="883">
        <f t="shared" si="127"/>
        <v>0</v>
      </c>
      <c r="CB423" s="880"/>
      <c r="CC423" s="881"/>
      <c r="CD423" s="883"/>
      <c r="CE423" s="883"/>
      <c r="CF423" s="883"/>
      <c r="CG423" s="883"/>
      <c r="CH423" s="883"/>
      <c r="CI423" s="883"/>
      <c r="CJ423" s="883"/>
      <c r="CK423" s="883"/>
      <c r="CL423" s="883"/>
      <c r="CM423" s="883"/>
      <c r="CN423" s="883"/>
      <c r="CO423" s="883"/>
      <c r="CP423" s="883"/>
      <c r="CQ423" s="883"/>
      <c r="CR423" s="883"/>
      <c r="CS423" s="883"/>
      <c r="CT423" s="883"/>
      <c r="CU423" s="883"/>
    </row>
    <row r="424" spans="1:99" x14ac:dyDescent="0.25">
      <c r="A424" s="880" t="s">
        <v>1787</v>
      </c>
      <c r="B424" s="881" t="s">
        <v>1788</v>
      </c>
      <c r="C424" s="880"/>
      <c r="D424" s="880"/>
      <c r="E424" s="884" t="s">
        <v>744</v>
      </c>
      <c r="F424" s="888">
        <v>1</v>
      </c>
      <c r="G424" s="881" t="s">
        <v>1007</v>
      </c>
      <c r="H424" s="881" t="s">
        <v>19</v>
      </c>
      <c r="I424" s="865">
        <v>46142</v>
      </c>
      <c r="J424" s="882" t="s">
        <v>8</v>
      </c>
      <c r="K424" s="880"/>
      <c r="L424" s="880"/>
      <c r="M424" s="883">
        <v>0</v>
      </c>
      <c r="N424" s="883">
        <v>0</v>
      </c>
      <c r="O424" s="883">
        <v>0</v>
      </c>
      <c r="P424" s="883">
        <v>17.39</v>
      </c>
      <c r="Q424" s="883">
        <v>15</v>
      </c>
      <c r="R424" s="883">
        <f t="shared" si="112"/>
        <v>2.61</v>
      </c>
      <c r="S424" s="883">
        <v>0</v>
      </c>
      <c r="T424" s="883">
        <v>5</v>
      </c>
      <c r="U424" s="883">
        <f t="shared" si="113"/>
        <v>0</v>
      </c>
      <c r="V424" s="883">
        <v>0</v>
      </c>
      <c r="W424" s="883">
        <v>8</v>
      </c>
      <c r="X424" s="883">
        <f t="shared" si="114"/>
        <v>0</v>
      </c>
      <c r="Y424" s="883">
        <v>0</v>
      </c>
      <c r="Z424" s="883">
        <v>0</v>
      </c>
      <c r="AA424" s="883">
        <v>0</v>
      </c>
      <c r="AB424" s="883">
        <f t="shared" si="115"/>
        <v>20</v>
      </c>
      <c r="AC424" s="883">
        <v>0</v>
      </c>
      <c r="AD424" s="881"/>
      <c r="AE424" s="880"/>
      <c r="AF424" s="883"/>
      <c r="AG424" s="889"/>
      <c r="AH424" s="880"/>
      <c r="AI424" s="880" t="s">
        <v>1241</v>
      </c>
      <c r="AJ424" s="884">
        <v>411</v>
      </c>
      <c r="AK424" s="883">
        <f t="shared" si="116"/>
        <v>17.39</v>
      </c>
      <c r="AL424" s="884">
        <v>413</v>
      </c>
      <c r="AM424" s="883">
        <f t="shared" si="117"/>
        <v>0</v>
      </c>
      <c r="AN424" s="884">
        <v>441</v>
      </c>
      <c r="AO424" s="883">
        <f t="shared" si="118"/>
        <v>0</v>
      </c>
      <c r="AP424" s="881"/>
      <c r="AQ424" s="881"/>
      <c r="AR424" s="883">
        <v>0</v>
      </c>
      <c r="AS424" s="883">
        <v>0</v>
      </c>
      <c r="AT424" s="883">
        <v>0</v>
      </c>
      <c r="AU424" s="880"/>
      <c r="AV424" s="886"/>
      <c r="AW424" s="880"/>
      <c r="AX424" s="886"/>
      <c r="AY424" s="880"/>
      <c r="AZ424" s="880"/>
      <c r="BA424" s="881"/>
      <c r="BB424" s="881" t="s">
        <v>57</v>
      </c>
      <c r="BC424" s="881"/>
      <c r="BD424" s="881"/>
      <c r="BE424" s="884">
        <f t="shared" si="119"/>
        <v>4</v>
      </c>
      <c r="BF424" s="887" t="str">
        <f t="shared" si="120"/>
        <v>SI</v>
      </c>
      <c r="BG424" s="883">
        <f t="shared" si="121"/>
        <v>17.39</v>
      </c>
      <c r="BH424" s="883">
        <f t="shared" si="122"/>
        <v>0</v>
      </c>
      <c r="BI424" s="883">
        <f t="shared" si="123"/>
        <v>0</v>
      </c>
      <c r="BJ424" s="883">
        <f t="shared" si="124"/>
        <v>0</v>
      </c>
      <c r="BK424" s="883">
        <f t="shared" si="125"/>
        <v>0</v>
      </c>
      <c r="BL424" s="883">
        <f t="shared" si="126"/>
        <v>2.61</v>
      </c>
      <c r="BM424" s="881"/>
      <c r="BN424" s="880"/>
      <c r="BO424" s="882" t="s">
        <v>1579</v>
      </c>
      <c r="BP424" s="882" t="s">
        <v>2286</v>
      </c>
      <c r="BQ424" s="882" t="s">
        <v>2285</v>
      </c>
      <c r="BR424" s="880"/>
      <c r="BS424" s="880"/>
      <c r="BT424" s="880"/>
      <c r="BU424" s="880"/>
      <c r="BV424" s="880"/>
      <c r="BW424" s="883">
        <v>0</v>
      </c>
      <c r="BX424" s="883">
        <v>0</v>
      </c>
      <c r="BY424" s="883">
        <v>0</v>
      </c>
      <c r="BZ424" s="890"/>
      <c r="CA424" s="883">
        <f t="shared" si="127"/>
        <v>0</v>
      </c>
      <c r="CB424" s="880"/>
      <c r="CC424" s="881"/>
      <c r="CD424" s="883"/>
      <c r="CE424" s="883"/>
      <c r="CF424" s="883"/>
      <c r="CG424" s="883"/>
      <c r="CH424" s="883"/>
      <c r="CI424" s="883"/>
      <c r="CJ424" s="883"/>
      <c r="CK424" s="883"/>
      <c r="CL424" s="883"/>
      <c r="CM424" s="883"/>
      <c r="CN424" s="883"/>
      <c r="CO424" s="883"/>
      <c r="CP424" s="883"/>
      <c r="CQ424" s="883"/>
      <c r="CR424" s="883"/>
      <c r="CS424" s="883"/>
      <c r="CT424" s="883"/>
      <c r="CU424" s="883"/>
    </row>
    <row r="425" spans="1:99" x14ac:dyDescent="0.25">
      <c r="A425" s="880" t="s">
        <v>1787</v>
      </c>
      <c r="B425" s="881" t="s">
        <v>1788</v>
      </c>
      <c r="C425" s="880"/>
      <c r="D425" s="880"/>
      <c r="E425" s="884" t="s">
        <v>744</v>
      </c>
      <c r="F425" s="888">
        <v>1</v>
      </c>
      <c r="G425" s="881" t="s">
        <v>1007</v>
      </c>
      <c r="H425" s="881" t="s">
        <v>19</v>
      </c>
      <c r="I425" s="865">
        <v>46142</v>
      </c>
      <c r="J425" s="882" t="s">
        <v>8</v>
      </c>
      <c r="K425" s="880"/>
      <c r="L425" s="880"/>
      <c r="M425" s="883">
        <v>0</v>
      </c>
      <c r="N425" s="883">
        <v>0</v>
      </c>
      <c r="O425" s="883">
        <v>0</v>
      </c>
      <c r="P425" s="883">
        <v>17.39</v>
      </c>
      <c r="Q425" s="883">
        <v>15</v>
      </c>
      <c r="R425" s="883">
        <f t="shared" si="112"/>
        <v>2.61</v>
      </c>
      <c r="S425" s="883">
        <v>0</v>
      </c>
      <c r="T425" s="883">
        <v>5</v>
      </c>
      <c r="U425" s="883">
        <f t="shared" si="113"/>
        <v>0</v>
      </c>
      <c r="V425" s="883">
        <v>0</v>
      </c>
      <c r="W425" s="883">
        <v>8</v>
      </c>
      <c r="X425" s="883">
        <f t="shared" si="114"/>
        <v>0</v>
      </c>
      <c r="Y425" s="883">
        <v>0</v>
      </c>
      <c r="Z425" s="883">
        <v>0</v>
      </c>
      <c r="AA425" s="883">
        <v>0</v>
      </c>
      <c r="AB425" s="883">
        <f t="shared" si="115"/>
        <v>20</v>
      </c>
      <c r="AC425" s="883">
        <v>0</v>
      </c>
      <c r="AD425" s="881"/>
      <c r="AE425" s="880"/>
      <c r="AF425" s="883"/>
      <c r="AG425" s="889"/>
      <c r="AH425" s="880"/>
      <c r="AI425" s="880" t="s">
        <v>1241</v>
      </c>
      <c r="AJ425" s="884">
        <v>411</v>
      </c>
      <c r="AK425" s="883">
        <f t="shared" si="116"/>
        <v>17.39</v>
      </c>
      <c r="AL425" s="884">
        <v>413</v>
      </c>
      <c r="AM425" s="883">
        <f t="shared" si="117"/>
        <v>0</v>
      </c>
      <c r="AN425" s="884">
        <v>441</v>
      </c>
      <c r="AO425" s="883">
        <f t="shared" si="118"/>
        <v>0</v>
      </c>
      <c r="AP425" s="881"/>
      <c r="AQ425" s="881"/>
      <c r="AR425" s="883">
        <v>0</v>
      </c>
      <c r="AS425" s="883">
        <v>0</v>
      </c>
      <c r="AT425" s="883">
        <v>0</v>
      </c>
      <c r="AU425" s="880"/>
      <c r="AV425" s="886"/>
      <c r="AW425" s="880"/>
      <c r="AX425" s="886"/>
      <c r="AY425" s="880"/>
      <c r="AZ425" s="880"/>
      <c r="BA425" s="881"/>
      <c r="BB425" s="881" t="s">
        <v>57</v>
      </c>
      <c r="BC425" s="881"/>
      <c r="BD425" s="881"/>
      <c r="BE425" s="884">
        <f t="shared" si="119"/>
        <v>4</v>
      </c>
      <c r="BF425" s="887" t="str">
        <f t="shared" si="120"/>
        <v>SI</v>
      </c>
      <c r="BG425" s="883">
        <f t="shared" si="121"/>
        <v>17.39</v>
      </c>
      <c r="BH425" s="883">
        <f t="shared" si="122"/>
        <v>0</v>
      </c>
      <c r="BI425" s="883">
        <f t="shared" si="123"/>
        <v>0</v>
      </c>
      <c r="BJ425" s="883">
        <f t="shared" si="124"/>
        <v>0</v>
      </c>
      <c r="BK425" s="883">
        <f t="shared" si="125"/>
        <v>0</v>
      </c>
      <c r="BL425" s="883">
        <f t="shared" si="126"/>
        <v>2.61</v>
      </c>
      <c r="BM425" s="881"/>
      <c r="BN425" s="880"/>
      <c r="BO425" s="882" t="s">
        <v>1579</v>
      </c>
      <c r="BP425" s="882" t="s">
        <v>2286</v>
      </c>
      <c r="BQ425" s="882" t="s">
        <v>2285</v>
      </c>
      <c r="BR425" s="880"/>
      <c r="BS425" s="880"/>
      <c r="BT425" s="880"/>
      <c r="BU425" s="880"/>
      <c r="BV425" s="880"/>
      <c r="BW425" s="883">
        <v>0</v>
      </c>
      <c r="BX425" s="883">
        <v>0</v>
      </c>
      <c r="BY425" s="883">
        <v>0</v>
      </c>
      <c r="BZ425" s="890"/>
      <c r="CA425" s="883">
        <f t="shared" si="127"/>
        <v>0</v>
      </c>
      <c r="CB425" s="880"/>
      <c r="CC425" s="881"/>
      <c r="CD425" s="883"/>
      <c r="CE425" s="883"/>
      <c r="CF425" s="883"/>
      <c r="CG425" s="883"/>
      <c r="CH425" s="883"/>
      <c r="CI425" s="883"/>
      <c r="CJ425" s="883"/>
      <c r="CK425" s="883"/>
      <c r="CL425" s="883"/>
      <c r="CM425" s="883"/>
      <c r="CN425" s="883"/>
      <c r="CO425" s="883"/>
      <c r="CP425" s="883"/>
      <c r="CQ425" s="883"/>
      <c r="CR425" s="883"/>
      <c r="CS425" s="883"/>
      <c r="CT425" s="883"/>
      <c r="CU425" s="883"/>
    </row>
    <row r="426" spans="1:99" x14ac:dyDescent="0.25">
      <c r="A426" s="880" t="s">
        <v>1787</v>
      </c>
      <c r="B426" s="881" t="s">
        <v>1788</v>
      </c>
      <c r="C426" s="880"/>
      <c r="D426" s="880"/>
      <c r="E426" s="884" t="s">
        <v>744</v>
      </c>
      <c r="F426" s="888">
        <v>1</v>
      </c>
      <c r="G426" s="881" t="s">
        <v>1007</v>
      </c>
      <c r="H426" s="881" t="s">
        <v>19</v>
      </c>
      <c r="I426" s="865">
        <v>46142</v>
      </c>
      <c r="J426" s="882" t="s">
        <v>8</v>
      </c>
      <c r="K426" s="880"/>
      <c r="L426" s="880"/>
      <c r="M426" s="883">
        <v>0</v>
      </c>
      <c r="N426" s="883">
        <v>0</v>
      </c>
      <c r="O426" s="883">
        <v>0</v>
      </c>
      <c r="P426" s="883">
        <v>17.39</v>
      </c>
      <c r="Q426" s="883">
        <v>15</v>
      </c>
      <c r="R426" s="883">
        <f t="shared" si="112"/>
        <v>2.61</v>
      </c>
      <c r="S426" s="883">
        <v>0</v>
      </c>
      <c r="T426" s="883">
        <v>5</v>
      </c>
      <c r="U426" s="883">
        <f t="shared" si="113"/>
        <v>0</v>
      </c>
      <c r="V426" s="883">
        <v>0</v>
      </c>
      <c r="W426" s="883">
        <v>8</v>
      </c>
      <c r="X426" s="883">
        <f t="shared" si="114"/>
        <v>0</v>
      </c>
      <c r="Y426" s="883">
        <v>0</v>
      </c>
      <c r="Z426" s="883">
        <v>0</v>
      </c>
      <c r="AA426" s="883">
        <v>0</v>
      </c>
      <c r="AB426" s="883">
        <f t="shared" si="115"/>
        <v>20</v>
      </c>
      <c r="AC426" s="883">
        <v>0</v>
      </c>
      <c r="AD426" s="881"/>
      <c r="AE426" s="880"/>
      <c r="AF426" s="883"/>
      <c r="AG426" s="889"/>
      <c r="AH426" s="880"/>
      <c r="AI426" s="880" t="s">
        <v>1241</v>
      </c>
      <c r="AJ426" s="884">
        <v>411</v>
      </c>
      <c r="AK426" s="883">
        <f t="shared" si="116"/>
        <v>17.39</v>
      </c>
      <c r="AL426" s="884">
        <v>413</v>
      </c>
      <c r="AM426" s="883">
        <f t="shared" si="117"/>
        <v>0</v>
      </c>
      <c r="AN426" s="884">
        <v>441</v>
      </c>
      <c r="AO426" s="883">
        <f t="shared" si="118"/>
        <v>0</v>
      </c>
      <c r="AP426" s="881"/>
      <c r="AQ426" s="881"/>
      <c r="AR426" s="883">
        <v>0</v>
      </c>
      <c r="AS426" s="883">
        <v>0</v>
      </c>
      <c r="AT426" s="883">
        <v>0</v>
      </c>
      <c r="AU426" s="880"/>
      <c r="AV426" s="886"/>
      <c r="AW426" s="880"/>
      <c r="AX426" s="886"/>
      <c r="AY426" s="880"/>
      <c r="AZ426" s="880"/>
      <c r="BA426" s="881"/>
      <c r="BB426" s="881" t="s">
        <v>57</v>
      </c>
      <c r="BC426" s="881"/>
      <c r="BD426" s="881"/>
      <c r="BE426" s="884">
        <f t="shared" si="119"/>
        <v>4</v>
      </c>
      <c r="BF426" s="887" t="str">
        <f t="shared" si="120"/>
        <v>SI</v>
      </c>
      <c r="BG426" s="883">
        <f t="shared" si="121"/>
        <v>17.39</v>
      </c>
      <c r="BH426" s="883">
        <f t="shared" si="122"/>
        <v>0</v>
      </c>
      <c r="BI426" s="883">
        <f t="shared" si="123"/>
        <v>0</v>
      </c>
      <c r="BJ426" s="883">
        <f t="shared" si="124"/>
        <v>0</v>
      </c>
      <c r="BK426" s="883">
        <f t="shared" si="125"/>
        <v>0</v>
      </c>
      <c r="BL426" s="883">
        <f t="shared" si="126"/>
        <v>2.61</v>
      </c>
      <c r="BM426" s="881"/>
      <c r="BN426" s="880"/>
      <c r="BO426" s="882" t="s">
        <v>1579</v>
      </c>
      <c r="BP426" s="882" t="s">
        <v>2286</v>
      </c>
      <c r="BQ426" s="882" t="s">
        <v>2285</v>
      </c>
      <c r="BR426" s="880"/>
      <c r="BS426" s="880"/>
      <c r="BT426" s="880"/>
      <c r="BU426" s="880"/>
      <c r="BV426" s="880"/>
      <c r="BW426" s="883">
        <v>0</v>
      </c>
      <c r="BX426" s="883">
        <v>0</v>
      </c>
      <c r="BY426" s="883">
        <v>0</v>
      </c>
      <c r="BZ426" s="890"/>
      <c r="CA426" s="883">
        <f t="shared" si="127"/>
        <v>0</v>
      </c>
      <c r="CB426" s="880"/>
      <c r="CC426" s="881"/>
      <c r="CD426" s="883"/>
      <c r="CE426" s="883"/>
      <c r="CF426" s="883"/>
      <c r="CG426" s="883"/>
      <c r="CH426" s="883"/>
      <c r="CI426" s="883"/>
      <c r="CJ426" s="883"/>
      <c r="CK426" s="883"/>
      <c r="CL426" s="883"/>
      <c r="CM426" s="883"/>
      <c r="CN426" s="883"/>
      <c r="CO426" s="883"/>
      <c r="CP426" s="883"/>
      <c r="CQ426" s="883"/>
      <c r="CR426" s="883"/>
      <c r="CS426" s="883"/>
      <c r="CT426" s="883"/>
      <c r="CU426" s="883"/>
    </row>
    <row r="427" spans="1:99" x14ac:dyDescent="0.25">
      <c r="A427" s="880" t="s">
        <v>1787</v>
      </c>
      <c r="B427" s="881" t="s">
        <v>1788</v>
      </c>
      <c r="C427" s="880"/>
      <c r="D427" s="880"/>
      <c r="E427" s="884" t="s">
        <v>744</v>
      </c>
      <c r="F427" s="888">
        <v>1</v>
      </c>
      <c r="G427" s="881" t="s">
        <v>1007</v>
      </c>
      <c r="H427" s="881" t="s">
        <v>19</v>
      </c>
      <c r="I427" s="865">
        <v>46142</v>
      </c>
      <c r="J427" s="882" t="s">
        <v>8</v>
      </c>
      <c r="K427" s="880"/>
      <c r="L427" s="880"/>
      <c r="M427" s="883">
        <v>0</v>
      </c>
      <c r="N427" s="883">
        <v>0</v>
      </c>
      <c r="O427" s="883">
        <v>0</v>
      </c>
      <c r="P427" s="883">
        <v>17.39</v>
      </c>
      <c r="Q427" s="883">
        <v>15</v>
      </c>
      <c r="R427" s="883">
        <f t="shared" si="112"/>
        <v>2.61</v>
      </c>
      <c r="S427" s="883">
        <v>0</v>
      </c>
      <c r="T427" s="883">
        <v>5</v>
      </c>
      <c r="U427" s="883">
        <f t="shared" si="113"/>
        <v>0</v>
      </c>
      <c r="V427" s="883">
        <v>0</v>
      </c>
      <c r="W427" s="883">
        <v>8</v>
      </c>
      <c r="X427" s="883">
        <f t="shared" si="114"/>
        <v>0</v>
      </c>
      <c r="Y427" s="883">
        <v>0</v>
      </c>
      <c r="Z427" s="883">
        <v>0</v>
      </c>
      <c r="AA427" s="883">
        <v>0</v>
      </c>
      <c r="AB427" s="883">
        <f t="shared" si="115"/>
        <v>20</v>
      </c>
      <c r="AC427" s="883">
        <v>0</v>
      </c>
      <c r="AD427" s="881"/>
      <c r="AE427" s="880"/>
      <c r="AF427" s="883"/>
      <c r="AG427" s="889"/>
      <c r="AH427" s="880"/>
      <c r="AI427" s="880" t="s">
        <v>1241</v>
      </c>
      <c r="AJ427" s="884">
        <v>411</v>
      </c>
      <c r="AK427" s="883">
        <f t="shared" si="116"/>
        <v>17.39</v>
      </c>
      <c r="AL427" s="884">
        <v>413</v>
      </c>
      <c r="AM427" s="883">
        <f t="shared" si="117"/>
        <v>0</v>
      </c>
      <c r="AN427" s="884">
        <v>441</v>
      </c>
      <c r="AO427" s="883">
        <f t="shared" si="118"/>
        <v>0</v>
      </c>
      <c r="AP427" s="881"/>
      <c r="AQ427" s="881"/>
      <c r="AR427" s="883">
        <v>0</v>
      </c>
      <c r="AS427" s="883">
        <v>0</v>
      </c>
      <c r="AT427" s="883">
        <v>0</v>
      </c>
      <c r="AU427" s="880"/>
      <c r="AV427" s="886"/>
      <c r="AW427" s="880"/>
      <c r="AX427" s="886"/>
      <c r="AY427" s="880"/>
      <c r="AZ427" s="880"/>
      <c r="BA427" s="881"/>
      <c r="BB427" s="881" t="s">
        <v>57</v>
      </c>
      <c r="BC427" s="881"/>
      <c r="BD427" s="881"/>
      <c r="BE427" s="884">
        <f t="shared" si="119"/>
        <v>4</v>
      </c>
      <c r="BF427" s="887" t="str">
        <f t="shared" si="120"/>
        <v>SI</v>
      </c>
      <c r="BG427" s="883">
        <f t="shared" si="121"/>
        <v>17.39</v>
      </c>
      <c r="BH427" s="883">
        <f t="shared" si="122"/>
        <v>0</v>
      </c>
      <c r="BI427" s="883">
        <f t="shared" si="123"/>
        <v>0</v>
      </c>
      <c r="BJ427" s="883">
        <f t="shared" si="124"/>
        <v>0</v>
      </c>
      <c r="BK427" s="883">
        <f t="shared" si="125"/>
        <v>0</v>
      </c>
      <c r="BL427" s="883">
        <f t="shared" si="126"/>
        <v>2.61</v>
      </c>
      <c r="BM427" s="881"/>
      <c r="BN427" s="880"/>
      <c r="BO427" s="882" t="s">
        <v>1579</v>
      </c>
      <c r="BP427" s="882" t="s">
        <v>2286</v>
      </c>
      <c r="BQ427" s="882" t="s">
        <v>2285</v>
      </c>
      <c r="BR427" s="880"/>
      <c r="BS427" s="880"/>
      <c r="BT427" s="880"/>
      <c r="BU427" s="880"/>
      <c r="BV427" s="880"/>
      <c r="BW427" s="883">
        <v>0</v>
      </c>
      <c r="BX427" s="883">
        <v>0</v>
      </c>
      <c r="BY427" s="883">
        <v>0</v>
      </c>
      <c r="BZ427" s="890"/>
      <c r="CA427" s="883">
        <f t="shared" si="127"/>
        <v>0</v>
      </c>
      <c r="CB427" s="880"/>
      <c r="CC427" s="881"/>
      <c r="CD427" s="883"/>
      <c r="CE427" s="883"/>
      <c r="CF427" s="883"/>
      <c r="CG427" s="883"/>
      <c r="CH427" s="883"/>
      <c r="CI427" s="883"/>
      <c r="CJ427" s="883"/>
      <c r="CK427" s="883"/>
      <c r="CL427" s="883"/>
      <c r="CM427" s="883"/>
      <c r="CN427" s="883"/>
      <c r="CO427" s="883"/>
      <c r="CP427" s="883"/>
      <c r="CQ427" s="883"/>
      <c r="CR427" s="883"/>
      <c r="CS427" s="883"/>
      <c r="CT427" s="883"/>
      <c r="CU427" s="883"/>
    </row>
    <row r="428" spans="1:99" x14ac:dyDescent="0.25">
      <c r="A428" s="880" t="s">
        <v>1787</v>
      </c>
      <c r="B428" s="881" t="s">
        <v>1788</v>
      </c>
      <c r="C428" s="880"/>
      <c r="D428" s="880"/>
      <c r="E428" s="884" t="s">
        <v>744</v>
      </c>
      <c r="F428" s="888">
        <v>1</v>
      </c>
      <c r="G428" s="881" t="s">
        <v>1007</v>
      </c>
      <c r="H428" s="881" t="s">
        <v>19</v>
      </c>
      <c r="I428" s="865">
        <v>46142</v>
      </c>
      <c r="J428" s="882" t="s">
        <v>8</v>
      </c>
      <c r="K428" s="880"/>
      <c r="L428" s="880"/>
      <c r="M428" s="883">
        <v>0</v>
      </c>
      <c r="N428" s="883">
        <v>0</v>
      </c>
      <c r="O428" s="883">
        <v>0</v>
      </c>
      <c r="P428" s="883">
        <v>17.39</v>
      </c>
      <c r="Q428" s="883">
        <v>15</v>
      </c>
      <c r="R428" s="883">
        <f t="shared" si="112"/>
        <v>2.61</v>
      </c>
      <c r="S428" s="883">
        <v>0</v>
      </c>
      <c r="T428" s="883">
        <v>5</v>
      </c>
      <c r="U428" s="883">
        <f t="shared" si="113"/>
        <v>0</v>
      </c>
      <c r="V428" s="883">
        <v>0</v>
      </c>
      <c r="W428" s="883">
        <v>8</v>
      </c>
      <c r="X428" s="883">
        <f t="shared" si="114"/>
        <v>0</v>
      </c>
      <c r="Y428" s="883">
        <v>0</v>
      </c>
      <c r="Z428" s="883">
        <v>0</v>
      </c>
      <c r="AA428" s="883">
        <v>0</v>
      </c>
      <c r="AB428" s="883">
        <f t="shared" si="115"/>
        <v>20</v>
      </c>
      <c r="AC428" s="883">
        <v>0</v>
      </c>
      <c r="AD428" s="881"/>
      <c r="AE428" s="880"/>
      <c r="AF428" s="883"/>
      <c r="AG428" s="889"/>
      <c r="AH428" s="880"/>
      <c r="AI428" s="880" t="s">
        <v>1241</v>
      </c>
      <c r="AJ428" s="884">
        <v>411</v>
      </c>
      <c r="AK428" s="883">
        <f t="shared" si="116"/>
        <v>17.39</v>
      </c>
      <c r="AL428" s="884">
        <v>413</v>
      </c>
      <c r="AM428" s="883">
        <f t="shared" si="117"/>
        <v>0</v>
      </c>
      <c r="AN428" s="884">
        <v>441</v>
      </c>
      <c r="AO428" s="883">
        <f t="shared" si="118"/>
        <v>0</v>
      </c>
      <c r="AP428" s="881"/>
      <c r="AQ428" s="881"/>
      <c r="AR428" s="883">
        <v>0</v>
      </c>
      <c r="AS428" s="883">
        <v>0</v>
      </c>
      <c r="AT428" s="883">
        <v>0</v>
      </c>
      <c r="AU428" s="880"/>
      <c r="AV428" s="886"/>
      <c r="AW428" s="880"/>
      <c r="AX428" s="886"/>
      <c r="AY428" s="880"/>
      <c r="AZ428" s="880"/>
      <c r="BA428" s="881"/>
      <c r="BB428" s="881" t="s">
        <v>57</v>
      </c>
      <c r="BC428" s="881"/>
      <c r="BD428" s="881"/>
      <c r="BE428" s="884">
        <f t="shared" si="119"/>
        <v>4</v>
      </c>
      <c r="BF428" s="887" t="str">
        <f t="shared" si="120"/>
        <v>SI</v>
      </c>
      <c r="BG428" s="883">
        <f t="shared" si="121"/>
        <v>17.39</v>
      </c>
      <c r="BH428" s="883">
        <f t="shared" si="122"/>
        <v>0</v>
      </c>
      <c r="BI428" s="883">
        <f t="shared" si="123"/>
        <v>0</v>
      </c>
      <c r="BJ428" s="883">
        <f t="shared" si="124"/>
        <v>0</v>
      </c>
      <c r="BK428" s="883">
        <f t="shared" si="125"/>
        <v>0</v>
      </c>
      <c r="BL428" s="883">
        <f t="shared" si="126"/>
        <v>2.61</v>
      </c>
      <c r="BM428" s="881"/>
      <c r="BN428" s="880"/>
      <c r="BO428" s="882" t="s">
        <v>1579</v>
      </c>
      <c r="BP428" s="882" t="s">
        <v>2286</v>
      </c>
      <c r="BQ428" s="882" t="s">
        <v>2285</v>
      </c>
      <c r="BR428" s="880"/>
      <c r="BS428" s="880"/>
      <c r="BT428" s="880"/>
      <c r="BU428" s="880"/>
      <c r="BV428" s="880"/>
      <c r="BW428" s="883">
        <v>0</v>
      </c>
      <c r="BX428" s="883">
        <v>0</v>
      </c>
      <c r="BY428" s="883">
        <v>0</v>
      </c>
      <c r="BZ428" s="890"/>
      <c r="CA428" s="883">
        <f t="shared" si="127"/>
        <v>0</v>
      </c>
      <c r="CB428" s="880"/>
      <c r="CC428" s="881"/>
      <c r="CD428" s="883"/>
      <c r="CE428" s="883"/>
      <c r="CF428" s="883"/>
      <c r="CG428" s="883"/>
      <c r="CH428" s="883"/>
      <c r="CI428" s="883"/>
      <c r="CJ428" s="883"/>
      <c r="CK428" s="883"/>
      <c r="CL428" s="883"/>
      <c r="CM428" s="883"/>
      <c r="CN428" s="883"/>
      <c r="CO428" s="883"/>
      <c r="CP428" s="883"/>
      <c r="CQ428" s="883"/>
      <c r="CR428" s="883"/>
      <c r="CS428" s="883"/>
      <c r="CT428" s="883"/>
      <c r="CU428" s="883"/>
    </row>
    <row r="429" spans="1:99" x14ac:dyDescent="0.25">
      <c r="A429" s="880" t="s">
        <v>1787</v>
      </c>
      <c r="B429" s="881" t="s">
        <v>1788</v>
      </c>
      <c r="C429" s="880"/>
      <c r="D429" s="880"/>
      <c r="E429" s="884" t="s">
        <v>744</v>
      </c>
      <c r="F429" s="888">
        <v>1</v>
      </c>
      <c r="G429" s="881" t="s">
        <v>1007</v>
      </c>
      <c r="H429" s="881" t="s">
        <v>19</v>
      </c>
      <c r="I429" s="865">
        <v>46142</v>
      </c>
      <c r="J429" s="882" t="s">
        <v>8</v>
      </c>
      <c r="K429" s="880"/>
      <c r="L429" s="880"/>
      <c r="M429" s="883">
        <v>0</v>
      </c>
      <c r="N429" s="883">
        <v>0</v>
      </c>
      <c r="O429" s="883">
        <v>0</v>
      </c>
      <c r="P429" s="883">
        <v>17.39</v>
      </c>
      <c r="Q429" s="883">
        <v>15</v>
      </c>
      <c r="R429" s="883">
        <f t="shared" si="112"/>
        <v>2.61</v>
      </c>
      <c r="S429" s="883">
        <v>0</v>
      </c>
      <c r="T429" s="883">
        <v>5</v>
      </c>
      <c r="U429" s="883">
        <f t="shared" si="113"/>
        <v>0</v>
      </c>
      <c r="V429" s="883">
        <v>0</v>
      </c>
      <c r="W429" s="883">
        <v>8</v>
      </c>
      <c r="X429" s="883">
        <f t="shared" si="114"/>
        <v>0</v>
      </c>
      <c r="Y429" s="883">
        <v>0</v>
      </c>
      <c r="Z429" s="883">
        <v>0</v>
      </c>
      <c r="AA429" s="883">
        <v>0</v>
      </c>
      <c r="AB429" s="883">
        <f t="shared" si="115"/>
        <v>20</v>
      </c>
      <c r="AC429" s="883">
        <v>0</v>
      </c>
      <c r="AD429" s="881"/>
      <c r="AE429" s="880"/>
      <c r="AF429" s="883"/>
      <c r="AG429" s="889"/>
      <c r="AH429" s="880"/>
      <c r="AI429" s="880" t="s">
        <v>1241</v>
      </c>
      <c r="AJ429" s="884">
        <v>411</v>
      </c>
      <c r="AK429" s="883">
        <f t="shared" si="116"/>
        <v>17.39</v>
      </c>
      <c r="AL429" s="884">
        <v>413</v>
      </c>
      <c r="AM429" s="883">
        <f t="shared" si="117"/>
        <v>0</v>
      </c>
      <c r="AN429" s="884">
        <v>441</v>
      </c>
      <c r="AO429" s="883">
        <f t="shared" si="118"/>
        <v>0</v>
      </c>
      <c r="AP429" s="881"/>
      <c r="AQ429" s="881"/>
      <c r="AR429" s="883">
        <v>0</v>
      </c>
      <c r="AS429" s="883">
        <v>0</v>
      </c>
      <c r="AT429" s="883">
        <v>0</v>
      </c>
      <c r="AU429" s="880"/>
      <c r="AV429" s="886"/>
      <c r="AW429" s="880"/>
      <c r="AX429" s="886"/>
      <c r="AY429" s="880"/>
      <c r="AZ429" s="880"/>
      <c r="BA429" s="881"/>
      <c r="BB429" s="881" t="s">
        <v>57</v>
      </c>
      <c r="BC429" s="881"/>
      <c r="BD429" s="881"/>
      <c r="BE429" s="884">
        <f t="shared" si="119"/>
        <v>4</v>
      </c>
      <c r="BF429" s="887" t="str">
        <f t="shared" si="120"/>
        <v>SI</v>
      </c>
      <c r="BG429" s="883">
        <f t="shared" si="121"/>
        <v>17.39</v>
      </c>
      <c r="BH429" s="883">
        <f t="shared" si="122"/>
        <v>0</v>
      </c>
      <c r="BI429" s="883">
        <f t="shared" si="123"/>
        <v>0</v>
      </c>
      <c r="BJ429" s="883">
        <f t="shared" si="124"/>
        <v>0</v>
      </c>
      <c r="BK429" s="883">
        <f t="shared" si="125"/>
        <v>0</v>
      </c>
      <c r="BL429" s="883">
        <f t="shared" si="126"/>
        <v>2.61</v>
      </c>
      <c r="BM429" s="881"/>
      <c r="BN429" s="880"/>
      <c r="BO429" s="882" t="s">
        <v>1579</v>
      </c>
      <c r="BP429" s="882" t="s">
        <v>2286</v>
      </c>
      <c r="BQ429" s="882" t="s">
        <v>2285</v>
      </c>
      <c r="BR429" s="880"/>
      <c r="BS429" s="880"/>
      <c r="BT429" s="880"/>
      <c r="BU429" s="880"/>
      <c r="BV429" s="880"/>
      <c r="BW429" s="883">
        <v>0</v>
      </c>
      <c r="BX429" s="883">
        <v>0</v>
      </c>
      <c r="BY429" s="883">
        <v>0</v>
      </c>
      <c r="BZ429" s="890"/>
      <c r="CA429" s="883">
        <f t="shared" si="127"/>
        <v>0</v>
      </c>
      <c r="CB429" s="880"/>
      <c r="CC429" s="881"/>
      <c r="CD429" s="883"/>
      <c r="CE429" s="883"/>
      <c r="CF429" s="883"/>
      <c r="CG429" s="883"/>
      <c r="CH429" s="883"/>
      <c r="CI429" s="883"/>
      <c r="CJ429" s="883"/>
      <c r="CK429" s="883"/>
      <c r="CL429" s="883"/>
      <c r="CM429" s="883"/>
      <c r="CN429" s="883"/>
      <c r="CO429" s="883"/>
      <c r="CP429" s="883"/>
      <c r="CQ429" s="883"/>
      <c r="CR429" s="883"/>
      <c r="CS429" s="883"/>
      <c r="CT429" s="883"/>
      <c r="CU429" s="883"/>
    </row>
    <row r="430" spans="1:99" x14ac:dyDescent="0.25">
      <c r="A430" s="880" t="s">
        <v>1787</v>
      </c>
      <c r="B430" s="881" t="s">
        <v>1788</v>
      </c>
      <c r="C430" s="880"/>
      <c r="D430" s="880"/>
      <c r="E430" s="884" t="s">
        <v>744</v>
      </c>
      <c r="F430" s="888">
        <v>1</v>
      </c>
      <c r="G430" s="881" t="s">
        <v>1007</v>
      </c>
      <c r="H430" s="881" t="s">
        <v>19</v>
      </c>
      <c r="I430" s="865">
        <v>46142</v>
      </c>
      <c r="J430" s="882" t="s">
        <v>8</v>
      </c>
      <c r="K430" s="880"/>
      <c r="L430" s="880"/>
      <c r="M430" s="883">
        <v>0</v>
      </c>
      <c r="N430" s="883">
        <v>0</v>
      </c>
      <c r="O430" s="883">
        <v>0</v>
      </c>
      <c r="P430" s="883">
        <v>17.39</v>
      </c>
      <c r="Q430" s="883">
        <v>15</v>
      </c>
      <c r="R430" s="883">
        <f t="shared" si="112"/>
        <v>2.61</v>
      </c>
      <c r="S430" s="883">
        <v>0</v>
      </c>
      <c r="T430" s="883">
        <v>5</v>
      </c>
      <c r="U430" s="883">
        <f t="shared" si="113"/>
        <v>0</v>
      </c>
      <c r="V430" s="883">
        <v>0</v>
      </c>
      <c r="W430" s="883">
        <v>8</v>
      </c>
      <c r="X430" s="883">
        <f t="shared" si="114"/>
        <v>0</v>
      </c>
      <c r="Y430" s="883">
        <v>0</v>
      </c>
      <c r="Z430" s="883">
        <v>0</v>
      </c>
      <c r="AA430" s="883">
        <v>0</v>
      </c>
      <c r="AB430" s="883">
        <f t="shared" si="115"/>
        <v>20</v>
      </c>
      <c r="AC430" s="883">
        <v>0</v>
      </c>
      <c r="AD430" s="881"/>
      <c r="AE430" s="880"/>
      <c r="AF430" s="883"/>
      <c r="AG430" s="889"/>
      <c r="AH430" s="880"/>
      <c r="AI430" s="880" t="s">
        <v>1241</v>
      </c>
      <c r="AJ430" s="884">
        <v>411</v>
      </c>
      <c r="AK430" s="883">
        <f t="shared" si="116"/>
        <v>17.39</v>
      </c>
      <c r="AL430" s="884">
        <v>413</v>
      </c>
      <c r="AM430" s="883">
        <f t="shared" si="117"/>
        <v>0</v>
      </c>
      <c r="AN430" s="884">
        <v>441</v>
      </c>
      <c r="AO430" s="883">
        <f t="shared" si="118"/>
        <v>0</v>
      </c>
      <c r="AP430" s="881"/>
      <c r="AQ430" s="881"/>
      <c r="AR430" s="883">
        <v>0</v>
      </c>
      <c r="AS430" s="883">
        <v>0</v>
      </c>
      <c r="AT430" s="883">
        <v>0</v>
      </c>
      <c r="AU430" s="880"/>
      <c r="AV430" s="886"/>
      <c r="AW430" s="880"/>
      <c r="AX430" s="886"/>
      <c r="AY430" s="880"/>
      <c r="AZ430" s="880"/>
      <c r="BA430" s="881"/>
      <c r="BB430" s="881" t="s">
        <v>57</v>
      </c>
      <c r="BC430" s="881"/>
      <c r="BD430" s="881"/>
      <c r="BE430" s="884">
        <f t="shared" si="119"/>
        <v>4</v>
      </c>
      <c r="BF430" s="887" t="str">
        <f t="shared" si="120"/>
        <v>SI</v>
      </c>
      <c r="BG430" s="883">
        <f t="shared" si="121"/>
        <v>17.39</v>
      </c>
      <c r="BH430" s="883">
        <f t="shared" si="122"/>
        <v>0</v>
      </c>
      <c r="BI430" s="883">
        <f t="shared" si="123"/>
        <v>0</v>
      </c>
      <c r="BJ430" s="883">
        <f t="shared" si="124"/>
        <v>0</v>
      </c>
      <c r="BK430" s="883">
        <f t="shared" si="125"/>
        <v>0</v>
      </c>
      <c r="BL430" s="883">
        <f t="shared" si="126"/>
        <v>2.61</v>
      </c>
      <c r="BM430" s="881"/>
      <c r="BN430" s="880"/>
      <c r="BO430" s="882" t="s">
        <v>1579</v>
      </c>
      <c r="BP430" s="882" t="s">
        <v>2286</v>
      </c>
      <c r="BQ430" s="882" t="s">
        <v>2285</v>
      </c>
      <c r="BR430" s="880"/>
      <c r="BS430" s="880"/>
      <c r="BT430" s="880"/>
      <c r="BU430" s="880"/>
      <c r="BV430" s="880"/>
      <c r="BW430" s="883">
        <v>0</v>
      </c>
      <c r="BX430" s="883">
        <v>0</v>
      </c>
      <c r="BY430" s="883">
        <v>0</v>
      </c>
      <c r="BZ430" s="890"/>
      <c r="CA430" s="883">
        <f t="shared" si="127"/>
        <v>0</v>
      </c>
      <c r="CB430" s="880"/>
      <c r="CC430" s="881"/>
      <c r="CD430" s="883"/>
      <c r="CE430" s="883"/>
      <c r="CF430" s="883"/>
      <c r="CG430" s="883"/>
      <c r="CH430" s="883"/>
      <c r="CI430" s="883"/>
      <c r="CJ430" s="883"/>
      <c r="CK430" s="883"/>
      <c r="CL430" s="883"/>
      <c r="CM430" s="883"/>
      <c r="CN430" s="883"/>
      <c r="CO430" s="883"/>
      <c r="CP430" s="883"/>
      <c r="CQ430" s="883"/>
      <c r="CR430" s="883"/>
      <c r="CS430" s="883"/>
      <c r="CT430" s="883"/>
      <c r="CU430" s="883"/>
    </row>
    <row r="431" spans="1:99" x14ac:dyDescent="0.25">
      <c r="A431" s="880" t="s">
        <v>1787</v>
      </c>
      <c r="B431" s="881" t="s">
        <v>1788</v>
      </c>
      <c r="C431" s="880"/>
      <c r="D431" s="880"/>
      <c r="E431" s="884" t="s">
        <v>744</v>
      </c>
      <c r="F431" s="888">
        <v>1</v>
      </c>
      <c r="G431" s="881" t="s">
        <v>1007</v>
      </c>
      <c r="H431" s="881" t="s">
        <v>19</v>
      </c>
      <c r="I431" s="865">
        <v>46142</v>
      </c>
      <c r="J431" s="882" t="s">
        <v>8</v>
      </c>
      <c r="K431" s="880"/>
      <c r="L431" s="880"/>
      <c r="M431" s="883">
        <v>0</v>
      </c>
      <c r="N431" s="883">
        <v>0</v>
      </c>
      <c r="O431" s="883">
        <v>0</v>
      </c>
      <c r="P431" s="883">
        <v>17.39</v>
      </c>
      <c r="Q431" s="883">
        <v>15</v>
      </c>
      <c r="R431" s="883">
        <f t="shared" si="112"/>
        <v>2.61</v>
      </c>
      <c r="S431" s="883">
        <v>0</v>
      </c>
      <c r="T431" s="883">
        <v>5</v>
      </c>
      <c r="U431" s="883">
        <f t="shared" si="113"/>
        <v>0</v>
      </c>
      <c r="V431" s="883">
        <v>0</v>
      </c>
      <c r="W431" s="883">
        <v>8</v>
      </c>
      <c r="X431" s="883">
        <f t="shared" si="114"/>
        <v>0</v>
      </c>
      <c r="Y431" s="883">
        <v>0</v>
      </c>
      <c r="Z431" s="883">
        <v>0</v>
      </c>
      <c r="AA431" s="883">
        <v>0</v>
      </c>
      <c r="AB431" s="883">
        <f t="shared" si="115"/>
        <v>20</v>
      </c>
      <c r="AC431" s="883">
        <v>0</v>
      </c>
      <c r="AD431" s="881"/>
      <c r="AE431" s="880"/>
      <c r="AF431" s="883"/>
      <c r="AG431" s="889"/>
      <c r="AH431" s="880"/>
      <c r="AI431" s="880" t="s">
        <v>1241</v>
      </c>
      <c r="AJ431" s="884">
        <v>411</v>
      </c>
      <c r="AK431" s="883">
        <f t="shared" si="116"/>
        <v>17.39</v>
      </c>
      <c r="AL431" s="884">
        <v>413</v>
      </c>
      <c r="AM431" s="883">
        <f t="shared" si="117"/>
        <v>0</v>
      </c>
      <c r="AN431" s="884">
        <v>441</v>
      </c>
      <c r="AO431" s="883">
        <f t="shared" si="118"/>
        <v>0</v>
      </c>
      <c r="AP431" s="881"/>
      <c r="AQ431" s="881"/>
      <c r="AR431" s="883">
        <v>0</v>
      </c>
      <c r="AS431" s="883">
        <v>0</v>
      </c>
      <c r="AT431" s="883">
        <v>0</v>
      </c>
      <c r="AU431" s="880"/>
      <c r="AV431" s="886"/>
      <c r="AW431" s="880"/>
      <c r="AX431" s="886"/>
      <c r="AY431" s="880"/>
      <c r="AZ431" s="880"/>
      <c r="BA431" s="881"/>
      <c r="BB431" s="881" t="s">
        <v>57</v>
      </c>
      <c r="BC431" s="881"/>
      <c r="BD431" s="881"/>
      <c r="BE431" s="884">
        <f t="shared" si="119"/>
        <v>4</v>
      </c>
      <c r="BF431" s="887" t="str">
        <f t="shared" si="120"/>
        <v>SI</v>
      </c>
      <c r="BG431" s="883">
        <f t="shared" si="121"/>
        <v>17.39</v>
      </c>
      <c r="BH431" s="883">
        <f t="shared" si="122"/>
        <v>0</v>
      </c>
      <c r="BI431" s="883">
        <f t="shared" si="123"/>
        <v>0</v>
      </c>
      <c r="BJ431" s="883">
        <f t="shared" si="124"/>
        <v>0</v>
      </c>
      <c r="BK431" s="883">
        <f t="shared" si="125"/>
        <v>0</v>
      </c>
      <c r="BL431" s="883">
        <f t="shared" si="126"/>
        <v>2.61</v>
      </c>
      <c r="BM431" s="881"/>
      <c r="BN431" s="880"/>
      <c r="BO431" s="882" t="s">
        <v>1579</v>
      </c>
      <c r="BP431" s="882" t="s">
        <v>2286</v>
      </c>
      <c r="BQ431" s="882" t="s">
        <v>2285</v>
      </c>
      <c r="BR431" s="880"/>
      <c r="BS431" s="880"/>
      <c r="BT431" s="880"/>
      <c r="BU431" s="880"/>
      <c r="BV431" s="880"/>
      <c r="BW431" s="883">
        <v>0</v>
      </c>
      <c r="BX431" s="883">
        <v>0</v>
      </c>
      <c r="BY431" s="883">
        <v>0</v>
      </c>
      <c r="BZ431" s="890"/>
      <c r="CA431" s="883">
        <f t="shared" si="127"/>
        <v>0</v>
      </c>
      <c r="CB431" s="880"/>
      <c r="CC431" s="881"/>
      <c r="CD431" s="883"/>
      <c r="CE431" s="883"/>
      <c r="CF431" s="883"/>
      <c r="CG431" s="883"/>
      <c r="CH431" s="883"/>
      <c r="CI431" s="883"/>
      <c r="CJ431" s="883"/>
      <c r="CK431" s="883"/>
      <c r="CL431" s="883"/>
      <c r="CM431" s="883"/>
      <c r="CN431" s="883"/>
      <c r="CO431" s="883"/>
      <c r="CP431" s="883"/>
      <c r="CQ431" s="883"/>
      <c r="CR431" s="883"/>
      <c r="CS431" s="883"/>
      <c r="CT431" s="883"/>
      <c r="CU431" s="883"/>
    </row>
    <row r="432" spans="1:99" x14ac:dyDescent="0.25">
      <c r="A432" s="880" t="s">
        <v>1787</v>
      </c>
      <c r="B432" s="881" t="s">
        <v>1788</v>
      </c>
      <c r="C432" s="880"/>
      <c r="D432" s="880"/>
      <c r="E432" s="884" t="s">
        <v>744</v>
      </c>
      <c r="F432" s="888">
        <v>1</v>
      </c>
      <c r="G432" s="881" t="s">
        <v>1007</v>
      </c>
      <c r="H432" s="881" t="s">
        <v>19</v>
      </c>
      <c r="I432" s="865">
        <v>46142</v>
      </c>
      <c r="J432" s="882" t="s">
        <v>8</v>
      </c>
      <c r="K432" s="880"/>
      <c r="L432" s="880"/>
      <c r="M432" s="883">
        <v>0</v>
      </c>
      <c r="N432" s="883">
        <v>0</v>
      </c>
      <c r="O432" s="883">
        <v>0</v>
      </c>
      <c r="P432" s="883">
        <v>17.39</v>
      </c>
      <c r="Q432" s="883">
        <v>15</v>
      </c>
      <c r="R432" s="883">
        <f t="shared" si="112"/>
        <v>2.61</v>
      </c>
      <c r="S432" s="883">
        <v>0</v>
      </c>
      <c r="T432" s="883">
        <v>5</v>
      </c>
      <c r="U432" s="883">
        <f t="shared" si="113"/>
        <v>0</v>
      </c>
      <c r="V432" s="883">
        <v>0</v>
      </c>
      <c r="W432" s="883">
        <v>8</v>
      </c>
      <c r="X432" s="883">
        <f t="shared" si="114"/>
        <v>0</v>
      </c>
      <c r="Y432" s="883">
        <v>0</v>
      </c>
      <c r="Z432" s="883">
        <v>0</v>
      </c>
      <c r="AA432" s="883">
        <v>0</v>
      </c>
      <c r="AB432" s="883">
        <f t="shared" si="115"/>
        <v>20</v>
      </c>
      <c r="AC432" s="883">
        <v>0</v>
      </c>
      <c r="AD432" s="881"/>
      <c r="AE432" s="880"/>
      <c r="AF432" s="883"/>
      <c r="AG432" s="889"/>
      <c r="AH432" s="880"/>
      <c r="AI432" s="880" t="s">
        <v>1241</v>
      </c>
      <c r="AJ432" s="884">
        <v>411</v>
      </c>
      <c r="AK432" s="883">
        <f t="shared" si="116"/>
        <v>17.39</v>
      </c>
      <c r="AL432" s="884">
        <v>413</v>
      </c>
      <c r="AM432" s="883">
        <f t="shared" si="117"/>
        <v>0</v>
      </c>
      <c r="AN432" s="884">
        <v>441</v>
      </c>
      <c r="AO432" s="883">
        <f t="shared" si="118"/>
        <v>0</v>
      </c>
      <c r="AP432" s="881"/>
      <c r="AQ432" s="881"/>
      <c r="AR432" s="883">
        <v>0</v>
      </c>
      <c r="AS432" s="883">
        <v>0</v>
      </c>
      <c r="AT432" s="883">
        <v>0</v>
      </c>
      <c r="AU432" s="880"/>
      <c r="AV432" s="886"/>
      <c r="AW432" s="880"/>
      <c r="AX432" s="886"/>
      <c r="AY432" s="880"/>
      <c r="AZ432" s="880"/>
      <c r="BA432" s="881"/>
      <c r="BB432" s="881" t="s">
        <v>57</v>
      </c>
      <c r="BC432" s="881"/>
      <c r="BD432" s="881"/>
      <c r="BE432" s="884">
        <f t="shared" si="119"/>
        <v>4</v>
      </c>
      <c r="BF432" s="887" t="str">
        <f t="shared" si="120"/>
        <v>SI</v>
      </c>
      <c r="BG432" s="883">
        <f t="shared" si="121"/>
        <v>17.39</v>
      </c>
      <c r="BH432" s="883">
        <f t="shared" si="122"/>
        <v>0</v>
      </c>
      <c r="BI432" s="883">
        <f t="shared" si="123"/>
        <v>0</v>
      </c>
      <c r="BJ432" s="883">
        <f t="shared" si="124"/>
        <v>0</v>
      </c>
      <c r="BK432" s="883">
        <f t="shared" si="125"/>
        <v>0</v>
      </c>
      <c r="BL432" s="883">
        <f t="shared" si="126"/>
        <v>2.61</v>
      </c>
      <c r="BM432" s="881"/>
      <c r="BN432" s="880"/>
      <c r="BO432" s="882" t="s">
        <v>1579</v>
      </c>
      <c r="BP432" s="882" t="s">
        <v>2286</v>
      </c>
      <c r="BQ432" s="882" t="s">
        <v>2285</v>
      </c>
      <c r="BR432" s="880"/>
      <c r="BS432" s="880"/>
      <c r="BT432" s="880"/>
      <c r="BU432" s="880"/>
      <c r="BV432" s="880"/>
      <c r="BW432" s="883">
        <v>0</v>
      </c>
      <c r="BX432" s="883">
        <v>0</v>
      </c>
      <c r="BY432" s="883">
        <v>0</v>
      </c>
      <c r="BZ432" s="890"/>
      <c r="CA432" s="883">
        <f t="shared" si="127"/>
        <v>0</v>
      </c>
      <c r="CB432" s="880"/>
      <c r="CC432" s="881"/>
      <c r="CD432" s="883"/>
      <c r="CE432" s="883"/>
      <c r="CF432" s="883"/>
      <c r="CG432" s="883"/>
      <c r="CH432" s="883"/>
      <c r="CI432" s="883"/>
      <c r="CJ432" s="883"/>
      <c r="CK432" s="883"/>
      <c r="CL432" s="883"/>
      <c r="CM432" s="883"/>
      <c r="CN432" s="883"/>
      <c r="CO432" s="883"/>
      <c r="CP432" s="883"/>
      <c r="CQ432" s="883"/>
      <c r="CR432" s="883"/>
      <c r="CS432" s="883"/>
      <c r="CT432" s="883"/>
      <c r="CU432" s="883"/>
    </row>
    <row r="433" spans="1:99" x14ac:dyDescent="0.25">
      <c r="A433" s="880" t="s">
        <v>1787</v>
      </c>
      <c r="B433" s="881" t="s">
        <v>1788</v>
      </c>
      <c r="C433" s="880"/>
      <c r="D433" s="880"/>
      <c r="E433" s="884" t="s">
        <v>744</v>
      </c>
      <c r="F433" s="888">
        <v>1</v>
      </c>
      <c r="G433" s="881" t="s">
        <v>1007</v>
      </c>
      <c r="H433" s="881" t="s">
        <v>19</v>
      </c>
      <c r="I433" s="865">
        <v>46142</v>
      </c>
      <c r="J433" s="882" t="s">
        <v>8</v>
      </c>
      <c r="K433" s="880"/>
      <c r="L433" s="880"/>
      <c r="M433" s="883">
        <v>0</v>
      </c>
      <c r="N433" s="883">
        <v>0</v>
      </c>
      <c r="O433" s="883">
        <v>0</v>
      </c>
      <c r="P433" s="883">
        <v>17.39</v>
      </c>
      <c r="Q433" s="883">
        <v>15</v>
      </c>
      <c r="R433" s="883">
        <f t="shared" si="112"/>
        <v>2.61</v>
      </c>
      <c r="S433" s="883">
        <v>0</v>
      </c>
      <c r="T433" s="883">
        <v>5</v>
      </c>
      <c r="U433" s="883">
        <f t="shared" si="113"/>
        <v>0</v>
      </c>
      <c r="V433" s="883">
        <v>0</v>
      </c>
      <c r="W433" s="883">
        <v>8</v>
      </c>
      <c r="X433" s="883">
        <f t="shared" si="114"/>
        <v>0</v>
      </c>
      <c r="Y433" s="883">
        <v>0</v>
      </c>
      <c r="Z433" s="883">
        <v>0</v>
      </c>
      <c r="AA433" s="883">
        <v>0</v>
      </c>
      <c r="AB433" s="883">
        <f t="shared" si="115"/>
        <v>20</v>
      </c>
      <c r="AC433" s="883">
        <v>0</v>
      </c>
      <c r="AD433" s="881"/>
      <c r="AE433" s="880"/>
      <c r="AF433" s="883"/>
      <c r="AG433" s="889"/>
      <c r="AH433" s="880"/>
      <c r="AI433" s="880" t="s">
        <v>1241</v>
      </c>
      <c r="AJ433" s="884">
        <v>411</v>
      </c>
      <c r="AK433" s="883">
        <f t="shared" si="116"/>
        <v>17.39</v>
      </c>
      <c r="AL433" s="884">
        <v>413</v>
      </c>
      <c r="AM433" s="883">
        <f t="shared" si="117"/>
        <v>0</v>
      </c>
      <c r="AN433" s="884">
        <v>441</v>
      </c>
      <c r="AO433" s="883">
        <f t="shared" si="118"/>
        <v>0</v>
      </c>
      <c r="AP433" s="881"/>
      <c r="AQ433" s="881"/>
      <c r="AR433" s="883">
        <v>0</v>
      </c>
      <c r="AS433" s="883">
        <v>0</v>
      </c>
      <c r="AT433" s="883">
        <v>0</v>
      </c>
      <c r="AU433" s="880"/>
      <c r="AV433" s="886"/>
      <c r="AW433" s="880"/>
      <c r="AX433" s="886"/>
      <c r="AY433" s="880"/>
      <c r="AZ433" s="880"/>
      <c r="BA433" s="881"/>
      <c r="BB433" s="881" t="s">
        <v>57</v>
      </c>
      <c r="BC433" s="881"/>
      <c r="BD433" s="881"/>
      <c r="BE433" s="884">
        <f t="shared" si="119"/>
        <v>4</v>
      </c>
      <c r="BF433" s="887" t="str">
        <f t="shared" si="120"/>
        <v>SI</v>
      </c>
      <c r="BG433" s="883">
        <f t="shared" si="121"/>
        <v>17.39</v>
      </c>
      <c r="BH433" s="883">
        <f t="shared" si="122"/>
        <v>0</v>
      </c>
      <c r="BI433" s="883">
        <f t="shared" si="123"/>
        <v>0</v>
      </c>
      <c r="BJ433" s="883">
        <f t="shared" si="124"/>
        <v>0</v>
      </c>
      <c r="BK433" s="883">
        <f t="shared" si="125"/>
        <v>0</v>
      </c>
      <c r="BL433" s="883">
        <f t="shared" si="126"/>
        <v>2.61</v>
      </c>
      <c r="BM433" s="881"/>
      <c r="BN433" s="880"/>
      <c r="BO433" s="882" t="s">
        <v>1579</v>
      </c>
      <c r="BP433" s="882" t="s">
        <v>2286</v>
      </c>
      <c r="BQ433" s="882" t="s">
        <v>2285</v>
      </c>
      <c r="BR433" s="880"/>
      <c r="BS433" s="880"/>
      <c r="BT433" s="880"/>
      <c r="BU433" s="880"/>
      <c r="BV433" s="880"/>
      <c r="BW433" s="883">
        <v>0</v>
      </c>
      <c r="BX433" s="883">
        <v>0</v>
      </c>
      <c r="BY433" s="883">
        <v>0</v>
      </c>
      <c r="BZ433" s="890"/>
      <c r="CA433" s="883">
        <f t="shared" si="127"/>
        <v>0</v>
      </c>
      <c r="CB433" s="880"/>
      <c r="CC433" s="881"/>
      <c r="CD433" s="883"/>
      <c r="CE433" s="883"/>
      <c r="CF433" s="883"/>
      <c r="CG433" s="883"/>
      <c r="CH433" s="883"/>
      <c r="CI433" s="883"/>
      <c r="CJ433" s="883"/>
      <c r="CK433" s="883"/>
      <c r="CL433" s="883"/>
      <c r="CM433" s="883"/>
      <c r="CN433" s="883"/>
      <c r="CO433" s="883"/>
      <c r="CP433" s="883"/>
      <c r="CQ433" s="883"/>
      <c r="CR433" s="883"/>
      <c r="CS433" s="883"/>
      <c r="CT433" s="883"/>
      <c r="CU433" s="883"/>
    </row>
    <row r="434" spans="1:99" x14ac:dyDescent="0.25">
      <c r="A434" s="880" t="s">
        <v>1787</v>
      </c>
      <c r="B434" s="881" t="s">
        <v>1788</v>
      </c>
      <c r="C434" s="880"/>
      <c r="D434" s="880"/>
      <c r="E434" s="884" t="s">
        <v>744</v>
      </c>
      <c r="F434" s="888">
        <v>1</v>
      </c>
      <c r="G434" s="881" t="s">
        <v>1007</v>
      </c>
      <c r="H434" s="881" t="s">
        <v>19</v>
      </c>
      <c r="I434" s="865">
        <v>46142</v>
      </c>
      <c r="J434" s="882" t="s">
        <v>8</v>
      </c>
      <c r="K434" s="880"/>
      <c r="L434" s="880"/>
      <c r="M434" s="883">
        <v>0</v>
      </c>
      <c r="N434" s="883">
        <v>0</v>
      </c>
      <c r="O434" s="883">
        <v>0</v>
      </c>
      <c r="P434" s="883">
        <v>17.39</v>
      </c>
      <c r="Q434" s="883">
        <v>15</v>
      </c>
      <c r="R434" s="883">
        <f t="shared" si="112"/>
        <v>2.61</v>
      </c>
      <c r="S434" s="883">
        <v>0</v>
      </c>
      <c r="T434" s="883">
        <v>5</v>
      </c>
      <c r="U434" s="883">
        <f t="shared" si="113"/>
        <v>0</v>
      </c>
      <c r="V434" s="883">
        <v>0</v>
      </c>
      <c r="W434" s="883">
        <v>8</v>
      </c>
      <c r="X434" s="883">
        <f t="shared" si="114"/>
        <v>0</v>
      </c>
      <c r="Y434" s="883">
        <v>0</v>
      </c>
      <c r="Z434" s="883">
        <v>0</v>
      </c>
      <c r="AA434" s="883">
        <v>0</v>
      </c>
      <c r="AB434" s="883">
        <f t="shared" si="115"/>
        <v>20</v>
      </c>
      <c r="AC434" s="883">
        <v>0</v>
      </c>
      <c r="AD434" s="881"/>
      <c r="AE434" s="880"/>
      <c r="AF434" s="883"/>
      <c r="AG434" s="889"/>
      <c r="AH434" s="880"/>
      <c r="AI434" s="880" t="s">
        <v>1241</v>
      </c>
      <c r="AJ434" s="884">
        <v>411</v>
      </c>
      <c r="AK434" s="883">
        <f t="shared" si="116"/>
        <v>17.39</v>
      </c>
      <c r="AL434" s="884">
        <v>413</v>
      </c>
      <c r="AM434" s="883">
        <f t="shared" si="117"/>
        <v>0</v>
      </c>
      <c r="AN434" s="884">
        <v>441</v>
      </c>
      <c r="AO434" s="883">
        <f t="shared" si="118"/>
        <v>0</v>
      </c>
      <c r="AP434" s="881"/>
      <c r="AQ434" s="881"/>
      <c r="AR434" s="883">
        <v>0</v>
      </c>
      <c r="AS434" s="883">
        <v>0</v>
      </c>
      <c r="AT434" s="883">
        <v>0</v>
      </c>
      <c r="AU434" s="880"/>
      <c r="AV434" s="886"/>
      <c r="AW434" s="880"/>
      <c r="AX434" s="886"/>
      <c r="AY434" s="880"/>
      <c r="AZ434" s="880"/>
      <c r="BA434" s="881"/>
      <c r="BB434" s="881" t="s">
        <v>57</v>
      </c>
      <c r="BC434" s="881"/>
      <c r="BD434" s="881"/>
      <c r="BE434" s="884">
        <f t="shared" si="119"/>
        <v>4</v>
      </c>
      <c r="BF434" s="887" t="str">
        <f t="shared" si="120"/>
        <v>SI</v>
      </c>
      <c r="BG434" s="883">
        <f t="shared" si="121"/>
        <v>17.39</v>
      </c>
      <c r="BH434" s="883">
        <f t="shared" si="122"/>
        <v>0</v>
      </c>
      <c r="BI434" s="883">
        <f t="shared" si="123"/>
        <v>0</v>
      </c>
      <c r="BJ434" s="883">
        <f t="shared" si="124"/>
        <v>0</v>
      </c>
      <c r="BK434" s="883">
        <f t="shared" si="125"/>
        <v>0</v>
      </c>
      <c r="BL434" s="883">
        <f t="shared" si="126"/>
        <v>2.61</v>
      </c>
      <c r="BM434" s="881"/>
      <c r="BN434" s="880"/>
      <c r="BO434" s="882" t="s">
        <v>1579</v>
      </c>
      <c r="BP434" s="882" t="s">
        <v>2286</v>
      </c>
      <c r="BQ434" s="882" t="s">
        <v>2285</v>
      </c>
      <c r="BR434" s="880"/>
      <c r="BS434" s="880"/>
      <c r="BT434" s="880"/>
      <c r="BU434" s="880"/>
      <c r="BV434" s="880"/>
      <c r="BW434" s="883">
        <v>0</v>
      </c>
      <c r="BX434" s="883">
        <v>0</v>
      </c>
      <c r="BY434" s="883">
        <v>0</v>
      </c>
      <c r="BZ434" s="890"/>
      <c r="CA434" s="883">
        <f t="shared" si="127"/>
        <v>0</v>
      </c>
      <c r="CB434" s="880"/>
      <c r="CC434" s="881"/>
      <c r="CD434" s="883"/>
      <c r="CE434" s="883"/>
      <c r="CF434" s="883"/>
      <c r="CG434" s="883"/>
      <c r="CH434" s="883"/>
      <c r="CI434" s="883"/>
      <c r="CJ434" s="883"/>
      <c r="CK434" s="883"/>
      <c r="CL434" s="883"/>
      <c r="CM434" s="883"/>
      <c r="CN434" s="883"/>
      <c r="CO434" s="883"/>
      <c r="CP434" s="883"/>
      <c r="CQ434" s="883"/>
      <c r="CR434" s="883"/>
      <c r="CS434" s="883"/>
      <c r="CT434" s="883"/>
      <c r="CU434" s="883"/>
    </row>
    <row r="435" spans="1:99" x14ac:dyDescent="0.25">
      <c r="A435" s="880" t="s">
        <v>1787</v>
      </c>
      <c r="B435" s="881" t="s">
        <v>1788</v>
      </c>
      <c r="C435" s="880"/>
      <c r="D435" s="880"/>
      <c r="E435" s="884" t="s">
        <v>744</v>
      </c>
      <c r="F435" s="888">
        <v>1</v>
      </c>
      <c r="G435" s="881" t="s">
        <v>1007</v>
      </c>
      <c r="H435" s="881" t="s">
        <v>19</v>
      </c>
      <c r="I435" s="865">
        <v>46142</v>
      </c>
      <c r="J435" s="882" t="s">
        <v>8</v>
      </c>
      <c r="K435" s="880"/>
      <c r="L435" s="880"/>
      <c r="M435" s="883">
        <v>0</v>
      </c>
      <c r="N435" s="883">
        <v>0</v>
      </c>
      <c r="O435" s="883">
        <v>0</v>
      </c>
      <c r="P435" s="883">
        <v>17.39</v>
      </c>
      <c r="Q435" s="883">
        <v>15</v>
      </c>
      <c r="R435" s="883">
        <f t="shared" si="112"/>
        <v>2.61</v>
      </c>
      <c r="S435" s="883">
        <v>0</v>
      </c>
      <c r="T435" s="883">
        <v>5</v>
      </c>
      <c r="U435" s="883">
        <f t="shared" si="113"/>
        <v>0</v>
      </c>
      <c r="V435" s="883">
        <v>0</v>
      </c>
      <c r="W435" s="883">
        <v>8</v>
      </c>
      <c r="X435" s="883">
        <f t="shared" si="114"/>
        <v>0</v>
      </c>
      <c r="Y435" s="883">
        <v>0</v>
      </c>
      <c r="Z435" s="883">
        <v>0</v>
      </c>
      <c r="AA435" s="883">
        <v>0</v>
      </c>
      <c r="AB435" s="883">
        <f t="shared" si="115"/>
        <v>20</v>
      </c>
      <c r="AC435" s="883">
        <v>0</v>
      </c>
      <c r="AD435" s="881"/>
      <c r="AE435" s="880"/>
      <c r="AF435" s="883"/>
      <c r="AG435" s="889"/>
      <c r="AH435" s="880"/>
      <c r="AI435" s="880" t="s">
        <v>1241</v>
      </c>
      <c r="AJ435" s="884">
        <v>411</v>
      </c>
      <c r="AK435" s="883">
        <f t="shared" si="116"/>
        <v>17.39</v>
      </c>
      <c r="AL435" s="884">
        <v>413</v>
      </c>
      <c r="AM435" s="883">
        <f t="shared" si="117"/>
        <v>0</v>
      </c>
      <c r="AN435" s="884">
        <v>441</v>
      </c>
      <c r="AO435" s="883">
        <f t="shared" si="118"/>
        <v>0</v>
      </c>
      <c r="AP435" s="881"/>
      <c r="AQ435" s="881"/>
      <c r="AR435" s="883">
        <v>0</v>
      </c>
      <c r="AS435" s="883">
        <v>0</v>
      </c>
      <c r="AT435" s="883">
        <v>0</v>
      </c>
      <c r="AU435" s="880"/>
      <c r="AV435" s="886"/>
      <c r="AW435" s="880"/>
      <c r="AX435" s="886"/>
      <c r="AY435" s="880"/>
      <c r="AZ435" s="880"/>
      <c r="BA435" s="881"/>
      <c r="BB435" s="881" t="s">
        <v>57</v>
      </c>
      <c r="BC435" s="881"/>
      <c r="BD435" s="881"/>
      <c r="BE435" s="884">
        <f t="shared" si="119"/>
        <v>4</v>
      </c>
      <c r="BF435" s="887" t="str">
        <f t="shared" si="120"/>
        <v>SI</v>
      </c>
      <c r="BG435" s="883">
        <f t="shared" si="121"/>
        <v>17.39</v>
      </c>
      <c r="BH435" s="883">
        <f t="shared" si="122"/>
        <v>0</v>
      </c>
      <c r="BI435" s="883">
        <f t="shared" si="123"/>
        <v>0</v>
      </c>
      <c r="BJ435" s="883">
        <f t="shared" si="124"/>
        <v>0</v>
      </c>
      <c r="BK435" s="883">
        <f t="shared" si="125"/>
        <v>0</v>
      </c>
      <c r="BL435" s="883">
        <f t="shared" si="126"/>
        <v>2.61</v>
      </c>
      <c r="BM435" s="881"/>
      <c r="BN435" s="880"/>
      <c r="BO435" s="882" t="s">
        <v>1579</v>
      </c>
      <c r="BP435" s="882" t="s">
        <v>2286</v>
      </c>
      <c r="BQ435" s="882" t="s">
        <v>2285</v>
      </c>
      <c r="BR435" s="880"/>
      <c r="BS435" s="880"/>
      <c r="BT435" s="880"/>
      <c r="BU435" s="880"/>
      <c r="BV435" s="880"/>
      <c r="BW435" s="883">
        <v>0</v>
      </c>
      <c r="BX435" s="883">
        <v>0</v>
      </c>
      <c r="BY435" s="883">
        <v>0</v>
      </c>
      <c r="BZ435" s="890"/>
      <c r="CA435" s="883">
        <f t="shared" si="127"/>
        <v>0</v>
      </c>
      <c r="CB435" s="880"/>
      <c r="CC435" s="881"/>
      <c r="CD435" s="883"/>
      <c r="CE435" s="883"/>
      <c r="CF435" s="883"/>
      <c r="CG435" s="883"/>
      <c r="CH435" s="883"/>
      <c r="CI435" s="883"/>
      <c r="CJ435" s="883"/>
      <c r="CK435" s="883"/>
      <c r="CL435" s="883"/>
      <c r="CM435" s="883"/>
      <c r="CN435" s="883"/>
      <c r="CO435" s="883"/>
      <c r="CP435" s="883"/>
      <c r="CQ435" s="883"/>
      <c r="CR435" s="883"/>
      <c r="CS435" s="883"/>
      <c r="CT435" s="883"/>
      <c r="CU435" s="883"/>
    </row>
    <row r="436" spans="1:99" x14ac:dyDescent="0.25">
      <c r="A436" s="880" t="s">
        <v>1787</v>
      </c>
      <c r="B436" s="881" t="s">
        <v>1788</v>
      </c>
      <c r="C436" s="880"/>
      <c r="D436" s="880"/>
      <c r="E436" s="884" t="s">
        <v>744</v>
      </c>
      <c r="F436" s="888">
        <v>1</v>
      </c>
      <c r="G436" s="881" t="s">
        <v>1007</v>
      </c>
      <c r="H436" s="881" t="s">
        <v>19</v>
      </c>
      <c r="I436" s="865">
        <v>46142</v>
      </c>
      <c r="J436" s="882" t="s">
        <v>8</v>
      </c>
      <c r="K436" s="880"/>
      <c r="L436" s="880"/>
      <c r="M436" s="883">
        <v>0</v>
      </c>
      <c r="N436" s="883">
        <v>0</v>
      </c>
      <c r="O436" s="883">
        <v>0</v>
      </c>
      <c r="P436" s="883">
        <v>17.39</v>
      </c>
      <c r="Q436" s="883">
        <v>15</v>
      </c>
      <c r="R436" s="883">
        <f t="shared" si="112"/>
        <v>2.61</v>
      </c>
      <c r="S436" s="883">
        <v>0</v>
      </c>
      <c r="T436" s="883">
        <v>5</v>
      </c>
      <c r="U436" s="883">
        <f t="shared" si="113"/>
        <v>0</v>
      </c>
      <c r="V436" s="883">
        <v>0</v>
      </c>
      <c r="W436" s="883">
        <v>8</v>
      </c>
      <c r="X436" s="883">
        <f t="shared" si="114"/>
        <v>0</v>
      </c>
      <c r="Y436" s="883">
        <v>0</v>
      </c>
      <c r="Z436" s="883">
        <v>0</v>
      </c>
      <c r="AA436" s="883">
        <v>0</v>
      </c>
      <c r="AB436" s="883">
        <f t="shared" si="115"/>
        <v>20</v>
      </c>
      <c r="AC436" s="883">
        <v>0</v>
      </c>
      <c r="AD436" s="881"/>
      <c r="AE436" s="880"/>
      <c r="AF436" s="883"/>
      <c r="AG436" s="889"/>
      <c r="AH436" s="880"/>
      <c r="AI436" s="880" t="s">
        <v>1241</v>
      </c>
      <c r="AJ436" s="884">
        <v>411</v>
      </c>
      <c r="AK436" s="883">
        <f t="shared" si="116"/>
        <v>17.39</v>
      </c>
      <c r="AL436" s="884">
        <v>413</v>
      </c>
      <c r="AM436" s="883">
        <f t="shared" si="117"/>
        <v>0</v>
      </c>
      <c r="AN436" s="884">
        <v>441</v>
      </c>
      <c r="AO436" s="883">
        <f t="shared" si="118"/>
        <v>0</v>
      </c>
      <c r="AP436" s="881"/>
      <c r="AQ436" s="881"/>
      <c r="AR436" s="883">
        <v>0</v>
      </c>
      <c r="AS436" s="883">
        <v>0</v>
      </c>
      <c r="AT436" s="883">
        <v>0</v>
      </c>
      <c r="AU436" s="880"/>
      <c r="AV436" s="886"/>
      <c r="AW436" s="880"/>
      <c r="AX436" s="886"/>
      <c r="AY436" s="880"/>
      <c r="AZ436" s="880"/>
      <c r="BA436" s="881"/>
      <c r="BB436" s="881" t="s">
        <v>57</v>
      </c>
      <c r="BC436" s="881"/>
      <c r="BD436" s="881"/>
      <c r="BE436" s="884">
        <f t="shared" si="119"/>
        <v>4</v>
      </c>
      <c r="BF436" s="887" t="str">
        <f t="shared" si="120"/>
        <v>SI</v>
      </c>
      <c r="BG436" s="883">
        <f t="shared" si="121"/>
        <v>17.39</v>
      </c>
      <c r="BH436" s="883">
        <f t="shared" si="122"/>
        <v>0</v>
      </c>
      <c r="BI436" s="883">
        <f t="shared" si="123"/>
        <v>0</v>
      </c>
      <c r="BJ436" s="883">
        <f t="shared" si="124"/>
        <v>0</v>
      </c>
      <c r="BK436" s="883">
        <f t="shared" si="125"/>
        <v>0</v>
      </c>
      <c r="BL436" s="883">
        <f t="shared" si="126"/>
        <v>2.61</v>
      </c>
      <c r="BM436" s="881"/>
      <c r="BN436" s="880"/>
      <c r="BO436" s="882" t="s">
        <v>1579</v>
      </c>
      <c r="BP436" s="882" t="s">
        <v>2286</v>
      </c>
      <c r="BQ436" s="882" t="s">
        <v>2285</v>
      </c>
      <c r="BR436" s="880"/>
      <c r="BS436" s="880"/>
      <c r="BT436" s="880"/>
      <c r="BU436" s="880"/>
      <c r="BV436" s="880"/>
      <c r="BW436" s="883">
        <v>0</v>
      </c>
      <c r="BX436" s="883">
        <v>0</v>
      </c>
      <c r="BY436" s="883">
        <v>0</v>
      </c>
      <c r="BZ436" s="890"/>
      <c r="CA436" s="883">
        <f t="shared" si="127"/>
        <v>0</v>
      </c>
      <c r="CB436" s="880"/>
      <c r="CC436" s="881"/>
      <c r="CD436" s="883"/>
      <c r="CE436" s="883"/>
      <c r="CF436" s="883"/>
      <c r="CG436" s="883"/>
      <c r="CH436" s="883"/>
      <c r="CI436" s="883"/>
      <c r="CJ436" s="883"/>
      <c r="CK436" s="883"/>
      <c r="CL436" s="883"/>
      <c r="CM436" s="883"/>
      <c r="CN436" s="883"/>
      <c r="CO436" s="883"/>
      <c r="CP436" s="883"/>
      <c r="CQ436" s="883"/>
      <c r="CR436" s="883"/>
      <c r="CS436" s="883"/>
      <c r="CT436" s="883"/>
      <c r="CU436" s="883"/>
    </row>
    <row r="437" spans="1:99" x14ac:dyDescent="0.25">
      <c r="A437" s="880" t="s">
        <v>1787</v>
      </c>
      <c r="B437" s="881" t="s">
        <v>1788</v>
      </c>
      <c r="C437" s="880"/>
      <c r="D437" s="880"/>
      <c r="E437" s="884" t="s">
        <v>744</v>
      </c>
      <c r="F437" s="888">
        <v>1</v>
      </c>
      <c r="G437" s="881" t="s">
        <v>1007</v>
      </c>
      <c r="H437" s="881" t="s">
        <v>19</v>
      </c>
      <c r="I437" s="865">
        <v>46142</v>
      </c>
      <c r="J437" s="882" t="s">
        <v>8</v>
      </c>
      <c r="K437" s="880"/>
      <c r="L437" s="880"/>
      <c r="M437" s="883">
        <v>0</v>
      </c>
      <c r="N437" s="883">
        <v>0</v>
      </c>
      <c r="O437" s="883">
        <v>0</v>
      </c>
      <c r="P437" s="883">
        <v>17.39</v>
      </c>
      <c r="Q437" s="883">
        <v>15</v>
      </c>
      <c r="R437" s="883">
        <f t="shared" si="112"/>
        <v>2.61</v>
      </c>
      <c r="S437" s="883">
        <v>0</v>
      </c>
      <c r="T437" s="883">
        <v>5</v>
      </c>
      <c r="U437" s="883">
        <f t="shared" si="113"/>
        <v>0</v>
      </c>
      <c r="V437" s="883">
        <v>0</v>
      </c>
      <c r="W437" s="883">
        <v>8</v>
      </c>
      <c r="X437" s="883">
        <f t="shared" si="114"/>
        <v>0</v>
      </c>
      <c r="Y437" s="883">
        <v>0</v>
      </c>
      <c r="Z437" s="883">
        <v>0</v>
      </c>
      <c r="AA437" s="883">
        <v>0</v>
      </c>
      <c r="AB437" s="883">
        <f t="shared" si="115"/>
        <v>20</v>
      </c>
      <c r="AC437" s="883">
        <v>0</v>
      </c>
      <c r="AD437" s="881"/>
      <c r="AE437" s="880"/>
      <c r="AF437" s="883"/>
      <c r="AG437" s="889"/>
      <c r="AH437" s="880"/>
      <c r="AI437" s="880" t="s">
        <v>1241</v>
      </c>
      <c r="AJ437" s="884">
        <v>411</v>
      </c>
      <c r="AK437" s="883">
        <f t="shared" si="116"/>
        <v>17.39</v>
      </c>
      <c r="AL437" s="884">
        <v>413</v>
      </c>
      <c r="AM437" s="883">
        <f t="shared" si="117"/>
        <v>0</v>
      </c>
      <c r="AN437" s="884">
        <v>441</v>
      </c>
      <c r="AO437" s="883">
        <f t="shared" si="118"/>
        <v>0</v>
      </c>
      <c r="AP437" s="881"/>
      <c r="AQ437" s="881"/>
      <c r="AR437" s="883">
        <v>0</v>
      </c>
      <c r="AS437" s="883">
        <v>0</v>
      </c>
      <c r="AT437" s="883">
        <v>0</v>
      </c>
      <c r="AU437" s="880"/>
      <c r="AV437" s="886"/>
      <c r="AW437" s="880"/>
      <c r="AX437" s="886"/>
      <c r="AY437" s="880"/>
      <c r="AZ437" s="880"/>
      <c r="BA437" s="881"/>
      <c r="BB437" s="881" t="s">
        <v>57</v>
      </c>
      <c r="BC437" s="881"/>
      <c r="BD437" s="881"/>
      <c r="BE437" s="884">
        <f t="shared" si="119"/>
        <v>4</v>
      </c>
      <c r="BF437" s="887" t="str">
        <f t="shared" si="120"/>
        <v>SI</v>
      </c>
      <c r="BG437" s="883">
        <f t="shared" si="121"/>
        <v>17.39</v>
      </c>
      <c r="BH437" s="883">
        <f t="shared" si="122"/>
        <v>0</v>
      </c>
      <c r="BI437" s="883">
        <f t="shared" si="123"/>
        <v>0</v>
      </c>
      <c r="BJ437" s="883">
        <f t="shared" si="124"/>
        <v>0</v>
      </c>
      <c r="BK437" s="883">
        <f t="shared" si="125"/>
        <v>0</v>
      </c>
      <c r="BL437" s="883">
        <f t="shared" si="126"/>
        <v>2.61</v>
      </c>
      <c r="BM437" s="881"/>
      <c r="BN437" s="880"/>
      <c r="BO437" s="882" t="s">
        <v>1579</v>
      </c>
      <c r="BP437" s="882" t="s">
        <v>2286</v>
      </c>
      <c r="BQ437" s="882" t="s">
        <v>2285</v>
      </c>
      <c r="BR437" s="880"/>
      <c r="BS437" s="880"/>
      <c r="BT437" s="880"/>
      <c r="BU437" s="880"/>
      <c r="BV437" s="880"/>
      <c r="BW437" s="883">
        <v>0</v>
      </c>
      <c r="BX437" s="883">
        <v>0</v>
      </c>
      <c r="BY437" s="883">
        <v>0</v>
      </c>
      <c r="BZ437" s="890"/>
      <c r="CA437" s="883">
        <f t="shared" si="127"/>
        <v>0</v>
      </c>
      <c r="CB437" s="880"/>
      <c r="CC437" s="881"/>
      <c r="CD437" s="883"/>
      <c r="CE437" s="883"/>
      <c r="CF437" s="883"/>
      <c r="CG437" s="883"/>
      <c r="CH437" s="883"/>
      <c r="CI437" s="883"/>
      <c r="CJ437" s="883"/>
      <c r="CK437" s="883"/>
      <c r="CL437" s="883"/>
      <c r="CM437" s="883"/>
      <c r="CN437" s="883"/>
      <c r="CO437" s="883"/>
      <c r="CP437" s="883"/>
      <c r="CQ437" s="883"/>
      <c r="CR437" s="883"/>
      <c r="CS437" s="883"/>
      <c r="CT437" s="883"/>
      <c r="CU437" s="883"/>
    </row>
    <row r="438" spans="1:99" x14ac:dyDescent="0.25">
      <c r="A438" s="880" t="s">
        <v>1787</v>
      </c>
      <c r="B438" s="881" t="s">
        <v>1788</v>
      </c>
      <c r="C438" s="880"/>
      <c r="D438" s="880"/>
      <c r="E438" s="884" t="s">
        <v>744</v>
      </c>
      <c r="F438" s="888">
        <v>1</v>
      </c>
      <c r="G438" s="881" t="s">
        <v>1007</v>
      </c>
      <c r="H438" s="881" t="s">
        <v>19</v>
      </c>
      <c r="I438" s="865">
        <v>46142</v>
      </c>
      <c r="J438" s="882" t="s">
        <v>8</v>
      </c>
      <c r="K438" s="880"/>
      <c r="L438" s="880"/>
      <c r="M438" s="883">
        <v>0</v>
      </c>
      <c r="N438" s="883">
        <v>0</v>
      </c>
      <c r="O438" s="883">
        <v>0</v>
      </c>
      <c r="P438" s="883">
        <v>17.39</v>
      </c>
      <c r="Q438" s="883">
        <v>15</v>
      </c>
      <c r="R438" s="883">
        <f t="shared" si="112"/>
        <v>2.61</v>
      </c>
      <c r="S438" s="883">
        <v>0</v>
      </c>
      <c r="T438" s="883">
        <v>5</v>
      </c>
      <c r="U438" s="883">
        <f t="shared" si="113"/>
        <v>0</v>
      </c>
      <c r="V438" s="883">
        <v>0</v>
      </c>
      <c r="W438" s="883">
        <v>8</v>
      </c>
      <c r="X438" s="883">
        <f t="shared" si="114"/>
        <v>0</v>
      </c>
      <c r="Y438" s="883">
        <v>0</v>
      </c>
      <c r="Z438" s="883">
        <v>0</v>
      </c>
      <c r="AA438" s="883">
        <v>0</v>
      </c>
      <c r="AB438" s="883">
        <f t="shared" si="115"/>
        <v>20</v>
      </c>
      <c r="AC438" s="883">
        <v>0</v>
      </c>
      <c r="AD438" s="881"/>
      <c r="AE438" s="880"/>
      <c r="AF438" s="883"/>
      <c r="AG438" s="889"/>
      <c r="AH438" s="880"/>
      <c r="AI438" s="880" t="s">
        <v>1241</v>
      </c>
      <c r="AJ438" s="884">
        <v>411</v>
      </c>
      <c r="AK438" s="883">
        <f t="shared" si="116"/>
        <v>17.39</v>
      </c>
      <c r="AL438" s="884">
        <v>413</v>
      </c>
      <c r="AM438" s="883">
        <f t="shared" si="117"/>
        <v>0</v>
      </c>
      <c r="AN438" s="884">
        <v>441</v>
      </c>
      <c r="AO438" s="883">
        <f t="shared" si="118"/>
        <v>0</v>
      </c>
      <c r="AP438" s="881"/>
      <c r="AQ438" s="881"/>
      <c r="AR438" s="883">
        <v>0</v>
      </c>
      <c r="AS438" s="883">
        <v>0</v>
      </c>
      <c r="AT438" s="883">
        <v>0</v>
      </c>
      <c r="AU438" s="880"/>
      <c r="AV438" s="886"/>
      <c r="AW438" s="880"/>
      <c r="AX438" s="886"/>
      <c r="AY438" s="880"/>
      <c r="AZ438" s="880"/>
      <c r="BA438" s="881"/>
      <c r="BB438" s="881" t="s">
        <v>57</v>
      </c>
      <c r="BC438" s="881"/>
      <c r="BD438" s="881"/>
      <c r="BE438" s="884">
        <f t="shared" si="119"/>
        <v>4</v>
      </c>
      <c r="BF438" s="887" t="str">
        <f t="shared" si="120"/>
        <v>SI</v>
      </c>
      <c r="BG438" s="883">
        <f t="shared" si="121"/>
        <v>17.39</v>
      </c>
      <c r="BH438" s="883">
        <f t="shared" si="122"/>
        <v>0</v>
      </c>
      <c r="BI438" s="883">
        <f t="shared" si="123"/>
        <v>0</v>
      </c>
      <c r="BJ438" s="883">
        <f t="shared" si="124"/>
        <v>0</v>
      </c>
      <c r="BK438" s="883">
        <f t="shared" si="125"/>
        <v>0</v>
      </c>
      <c r="BL438" s="883">
        <f t="shared" si="126"/>
        <v>2.61</v>
      </c>
      <c r="BM438" s="881"/>
      <c r="BN438" s="880"/>
      <c r="BO438" s="882" t="s">
        <v>1579</v>
      </c>
      <c r="BP438" s="882" t="s">
        <v>2286</v>
      </c>
      <c r="BQ438" s="882" t="s">
        <v>2285</v>
      </c>
      <c r="BR438" s="880"/>
      <c r="BS438" s="880"/>
      <c r="BT438" s="880"/>
      <c r="BU438" s="880"/>
      <c r="BV438" s="880"/>
      <c r="BW438" s="883">
        <v>0</v>
      </c>
      <c r="BX438" s="883">
        <v>0</v>
      </c>
      <c r="BY438" s="883">
        <v>0</v>
      </c>
      <c r="BZ438" s="890"/>
      <c r="CA438" s="883">
        <f t="shared" si="127"/>
        <v>0</v>
      </c>
      <c r="CB438" s="880"/>
      <c r="CC438" s="881"/>
      <c r="CD438" s="883"/>
      <c r="CE438" s="883"/>
      <c r="CF438" s="883"/>
      <c r="CG438" s="883"/>
      <c r="CH438" s="883"/>
      <c r="CI438" s="883"/>
      <c r="CJ438" s="883"/>
      <c r="CK438" s="883"/>
      <c r="CL438" s="883"/>
      <c r="CM438" s="883"/>
      <c r="CN438" s="883"/>
      <c r="CO438" s="883"/>
      <c r="CP438" s="883"/>
      <c r="CQ438" s="883"/>
      <c r="CR438" s="883"/>
      <c r="CS438" s="883"/>
      <c r="CT438" s="883"/>
      <c r="CU438" s="883"/>
    </row>
    <row r="439" spans="1:99" x14ac:dyDescent="0.25">
      <c r="A439" s="880" t="s">
        <v>1787</v>
      </c>
      <c r="B439" s="881" t="s">
        <v>1788</v>
      </c>
      <c r="C439" s="880"/>
      <c r="D439" s="880"/>
      <c r="E439" s="884" t="s">
        <v>744</v>
      </c>
      <c r="F439" s="888">
        <v>1</v>
      </c>
      <c r="G439" s="881" t="s">
        <v>1007</v>
      </c>
      <c r="H439" s="881" t="s">
        <v>19</v>
      </c>
      <c r="I439" s="865">
        <v>46142</v>
      </c>
      <c r="J439" s="882" t="s">
        <v>8</v>
      </c>
      <c r="K439" s="880"/>
      <c r="L439" s="880"/>
      <c r="M439" s="883">
        <v>0</v>
      </c>
      <c r="N439" s="883">
        <v>0</v>
      </c>
      <c r="O439" s="883">
        <v>0</v>
      </c>
      <c r="P439" s="883">
        <v>17.39</v>
      </c>
      <c r="Q439" s="883">
        <v>15</v>
      </c>
      <c r="R439" s="883">
        <f t="shared" si="112"/>
        <v>2.61</v>
      </c>
      <c r="S439" s="883">
        <v>0</v>
      </c>
      <c r="T439" s="883">
        <v>5</v>
      </c>
      <c r="U439" s="883">
        <f t="shared" si="113"/>
        <v>0</v>
      </c>
      <c r="V439" s="883">
        <v>0</v>
      </c>
      <c r="W439" s="883">
        <v>8</v>
      </c>
      <c r="X439" s="883">
        <f t="shared" si="114"/>
        <v>0</v>
      </c>
      <c r="Y439" s="883">
        <v>0</v>
      </c>
      <c r="Z439" s="883">
        <v>0</v>
      </c>
      <c r="AA439" s="883">
        <v>0</v>
      </c>
      <c r="AB439" s="883">
        <f t="shared" si="115"/>
        <v>20</v>
      </c>
      <c r="AC439" s="883">
        <v>0</v>
      </c>
      <c r="AD439" s="881"/>
      <c r="AE439" s="880"/>
      <c r="AF439" s="883"/>
      <c r="AG439" s="889"/>
      <c r="AH439" s="880"/>
      <c r="AI439" s="880" t="s">
        <v>1241</v>
      </c>
      <c r="AJ439" s="884">
        <v>411</v>
      </c>
      <c r="AK439" s="883">
        <f t="shared" si="116"/>
        <v>17.39</v>
      </c>
      <c r="AL439" s="884">
        <v>413</v>
      </c>
      <c r="AM439" s="883">
        <f t="shared" si="117"/>
        <v>0</v>
      </c>
      <c r="AN439" s="884">
        <v>441</v>
      </c>
      <c r="AO439" s="883">
        <f t="shared" si="118"/>
        <v>0</v>
      </c>
      <c r="AP439" s="881"/>
      <c r="AQ439" s="881"/>
      <c r="AR439" s="883">
        <v>0</v>
      </c>
      <c r="AS439" s="883">
        <v>0</v>
      </c>
      <c r="AT439" s="883">
        <v>0</v>
      </c>
      <c r="AU439" s="880"/>
      <c r="AV439" s="886"/>
      <c r="AW439" s="880"/>
      <c r="AX439" s="886"/>
      <c r="AY439" s="880"/>
      <c r="AZ439" s="880"/>
      <c r="BA439" s="881"/>
      <c r="BB439" s="881" t="s">
        <v>57</v>
      </c>
      <c r="BC439" s="881"/>
      <c r="BD439" s="881"/>
      <c r="BE439" s="884">
        <f t="shared" si="119"/>
        <v>4</v>
      </c>
      <c r="BF439" s="887" t="str">
        <f t="shared" si="120"/>
        <v>SI</v>
      </c>
      <c r="BG439" s="883">
        <f t="shared" si="121"/>
        <v>17.39</v>
      </c>
      <c r="BH439" s="883">
        <f t="shared" si="122"/>
        <v>0</v>
      </c>
      <c r="BI439" s="883">
        <f t="shared" si="123"/>
        <v>0</v>
      </c>
      <c r="BJ439" s="883">
        <f t="shared" si="124"/>
        <v>0</v>
      </c>
      <c r="BK439" s="883">
        <f t="shared" si="125"/>
        <v>0</v>
      </c>
      <c r="BL439" s="883">
        <f t="shared" si="126"/>
        <v>2.61</v>
      </c>
      <c r="BM439" s="881"/>
      <c r="BN439" s="880"/>
      <c r="BO439" s="882" t="s">
        <v>1579</v>
      </c>
      <c r="BP439" s="882" t="s">
        <v>2286</v>
      </c>
      <c r="BQ439" s="882" t="s">
        <v>2285</v>
      </c>
      <c r="BR439" s="880"/>
      <c r="BS439" s="880"/>
      <c r="BT439" s="880"/>
      <c r="BU439" s="880"/>
      <c r="BV439" s="880"/>
      <c r="BW439" s="883">
        <v>0</v>
      </c>
      <c r="BX439" s="883">
        <v>0</v>
      </c>
      <c r="BY439" s="883">
        <v>0</v>
      </c>
      <c r="BZ439" s="890"/>
      <c r="CA439" s="883">
        <f t="shared" si="127"/>
        <v>0</v>
      </c>
      <c r="CB439" s="880"/>
      <c r="CC439" s="881"/>
      <c r="CD439" s="883"/>
      <c r="CE439" s="883"/>
      <c r="CF439" s="883"/>
      <c r="CG439" s="883"/>
      <c r="CH439" s="883"/>
      <c r="CI439" s="883"/>
      <c r="CJ439" s="883"/>
      <c r="CK439" s="883"/>
      <c r="CL439" s="883"/>
      <c r="CM439" s="883"/>
      <c r="CN439" s="883"/>
      <c r="CO439" s="883"/>
      <c r="CP439" s="883"/>
      <c r="CQ439" s="883"/>
      <c r="CR439" s="883"/>
      <c r="CS439" s="883"/>
      <c r="CT439" s="883"/>
      <c r="CU439" s="883"/>
    </row>
    <row r="440" spans="1:99" s="939" customFormat="1" x14ac:dyDescent="0.25">
      <c r="A440" s="940" t="s">
        <v>2847</v>
      </c>
      <c r="B440" s="941" t="s">
        <v>2287</v>
      </c>
      <c r="C440" s="940" t="s">
        <v>2848</v>
      </c>
      <c r="D440" s="940"/>
      <c r="E440" s="942" t="s">
        <v>744</v>
      </c>
      <c r="F440" s="943">
        <v>1</v>
      </c>
      <c r="G440" s="941" t="s">
        <v>1007</v>
      </c>
      <c r="H440" s="941" t="s">
        <v>19</v>
      </c>
      <c r="I440" s="931">
        <v>46132</v>
      </c>
      <c r="J440" s="944" t="s">
        <v>8</v>
      </c>
      <c r="K440" s="940"/>
      <c r="L440" s="940"/>
      <c r="M440" s="945">
        <v>0</v>
      </c>
      <c r="N440" s="945">
        <v>0</v>
      </c>
      <c r="O440" s="883">
        <v>0</v>
      </c>
      <c r="P440" s="945">
        <v>432</v>
      </c>
      <c r="Q440" s="945">
        <v>15</v>
      </c>
      <c r="R440" s="945">
        <f t="shared" si="112"/>
        <v>64.8</v>
      </c>
      <c r="S440" s="945">
        <v>0</v>
      </c>
      <c r="T440" s="945">
        <v>5</v>
      </c>
      <c r="U440" s="945">
        <f t="shared" si="113"/>
        <v>0</v>
      </c>
      <c r="V440" s="945">
        <v>0</v>
      </c>
      <c r="W440" s="945">
        <v>8</v>
      </c>
      <c r="X440" s="945">
        <f t="shared" si="114"/>
        <v>0</v>
      </c>
      <c r="Y440" s="945">
        <v>0</v>
      </c>
      <c r="Z440" s="945">
        <v>0</v>
      </c>
      <c r="AA440" s="945">
        <v>0</v>
      </c>
      <c r="AB440" s="945">
        <f t="shared" si="115"/>
        <v>496.8</v>
      </c>
      <c r="AC440" s="945">
        <v>0</v>
      </c>
      <c r="AD440" s="941"/>
      <c r="AE440" s="940"/>
      <c r="AF440" s="945"/>
      <c r="AG440" s="946"/>
      <c r="AH440" s="940"/>
      <c r="AI440" s="940" t="s">
        <v>1241</v>
      </c>
      <c r="AJ440" s="942">
        <v>411</v>
      </c>
      <c r="AK440" s="945">
        <f t="shared" si="116"/>
        <v>432</v>
      </c>
      <c r="AL440" s="942">
        <v>413</v>
      </c>
      <c r="AM440" s="945">
        <f t="shared" si="117"/>
        <v>0</v>
      </c>
      <c r="AN440" s="942">
        <v>441</v>
      </c>
      <c r="AO440" s="945">
        <f t="shared" si="118"/>
        <v>0</v>
      </c>
      <c r="AP440" s="941"/>
      <c r="AQ440" s="941"/>
      <c r="AR440" s="945">
        <v>0</v>
      </c>
      <c r="AS440" s="945">
        <v>0</v>
      </c>
      <c r="AT440" s="945">
        <v>0</v>
      </c>
      <c r="AU440" s="940"/>
      <c r="AV440" s="947"/>
      <c r="AW440" s="940"/>
      <c r="AX440" s="947"/>
      <c r="AY440" s="940"/>
      <c r="AZ440" s="940"/>
      <c r="BA440" s="941"/>
      <c r="BB440" s="941" t="s">
        <v>57</v>
      </c>
      <c r="BC440" s="941"/>
      <c r="BD440" s="941"/>
      <c r="BE440" s="942">
        <f t="shared" si="119"/>
        <v>4</v>
      </c>
      <c r="BF440" s="948" t="str">
        <f t="shared" si="120"/>
        <v>SI</v>
      </c>
      <c r="BG440" s="945">
        <f t="shared" si="121"/>
        <v>432</v>
      </c>
      <c r="BH440" s="945">
        <f t="shared" si="122"/>
        <v>0</v>
      </c>
      <c r="BI440" s="945">
        <f t="shared" si="123"/>
        <v>0</v>
      </c>
      <c r="BJ440" s="945">
        <f t="shared" si="124"/>
        <v>0</v>
      </c>
      <c r="BK440" s="945">
        <f t="shared" si="125"/>
        <v>0</v>
      </c>
      <c r="BL440" s="945">
        <f t="shared" si="126"/>
        <v>64.8</v>
      </c>
      <c r="BM440" s="941"/>
      <c r="BN440" s="940"/>
      <c r="BO440" s="944" t="s">
        <v>1579</v>
      </c>
      <c r="BP440" s="944" t="s">
        <v>2286</v>
      </c>
      <c r="BQ440" s="944" t="s">
        <v>2285</v>
      </c>
      <c r="BR440" s="940"/>
      <c r="BS440" s="940"/>
      <c r="BT440" s="940"/>
      <c r="BU440" s="940"/>
      <c r="BV440" s="940"/>
      <c r="BW440" s="945">
        <v>0</v>
      </c>
      <c r="BX440" s="945">
        <v>0</v>
      </c>
      <c r="BY440" s="945">
        <v>0</v>
      </c>
      <c r="BZ440" s="949"/>
      <c r="CA440" s="945">
        <f t="shared" si="127"/>
        <v>0</v>
      </c>
      <c r="CB440" s="940"/>
      <c r="CC440" s="941"/>
      <c r="CD440" s="945"/>
      <c r="CE440" s="945"/>
      <c r="CF440" s="945"/>
      <c r="CG440" s="945"/>
      <c r="CH440" s="945"/>
      <c r="CI440" s="945"/>
      <c r="CJ440" s="945"/>
      <c r="CK440" s="945"/>
      <c r="CL440" s="945"/>
      <c r="CM440" s="945"/>
      <c r="CN440" s="945"/>
      <c r="CO440" s="945"/>
      <c r="CP440" s="945"/>
      <c r="CQ440" s="945"/>
      <c r="CR440" s="945"/>
      <c r="CS440" s="945"/>
      <c r="CT440" s="945"/>
      <c r="CU440" s="945"/>
    </row>
    <row r="441" spans="1:99" x14ac:dyDescent="0.25">
      <c r="A441" s="880" t="s">
        <v>2847</v>
      </c>
      <c r="B441" s="881" t="s">
        <v>2287</v>
      </c>
      <c r="C441" s="880" t="s">
        <v>2848</v>
      </c>
      <c r="D441" s="880"/>
      <c r="E441" s="884" t="s">
        <v>744</v>
      </c>
      <c r="F441" s="888">
        <v>1</v>
      </c>
      <c r="G441" s="881" t="s">
        <v>1007</v>
      </c>
      <c r="H441" s="881" t="s">
        <v>19</v>
      </c>
      <c r="I441" s="865">
        <v>46132</v>
      </c>
      <c r="J441" s="882" t="s">
        <v>8</v>
      </c>
      <c r="K441" s="880"/>
      <c r="L441" s="880"/>
      <c r="M441" s="883">
        <v>0</v>
      </c>
      <c r="N441" s="883">
        <v>0</v>
      </c>
      <c r="O441" s="883">
        <v>0</v>
      </c>
      <c r="P441" s="883">
        <v>432</v>
      </c>
      <c r="Q441" s="883">
        <v>15</v>
      </c>
      <c r="R441" s="883">
        <f t="shared" si="112"/>
        <v>64.8</v>
      </c>
      <c r="S441" s="883">
        <v>0</v>
      </c>
      <c r="T441" s="883">
        <v>5</v>
      </c>
      <c r="U441" s="883">
        <f t="shared" si="113"/>
        <v>0</v>
      </c>
      <c r="V441" s="883">
        <v>0</v>
      </c>
      <c r="W441" s="883">
        <v>8</v>
      </c>
      <c r="X441" s="883">
        <f t="shared" si="114"/>
        <v>0</v>
      </c>
      <c r="Y441" s="883">
        <v>0</v>
      </c>
      <c r="Z441" s="883">
        <v>0</v>
      </c>
      <c r="AA441" s="883">
        <v>0</v>
      </c>
      <c r="AB441" s="883">
        <f t="shared" si="115"/>
        <v>496.8</v>
      </c>
      <c r="AC441" s="883">
        <v>0</v>
      </c>
      <c r="AD441" s="881"/>
      <c r="AE441" s="880"/>
      <c r="AF441" s="883"/>
      <c r="AG441" s="889"/>
      <c r="AH441" s="880"/>
      <c r="AI441" s="880" t="s">
        <v>1241</v>
      </c>
      <c r="AJ441" s="884">
        <v>411</v>
      </c>
      <c r="AK441" s="883">
        <f t="shared" si="116"/>
        <v>432</v>
      </c>
      <c r="AL441" s="884">
        <v>413</v>
      </c>
      <c r="AM441" s="883">
        <f t="shared" si="117"/>
        <v>0</v>
      </c>
      <c r="AN441" s="884">
        <v>441</v>
      </c>
      <c r="AO441" s="883">
        <f t="shared" si="118"/>
        <v>0</v>
      </c>
      <c r="AP441" s="881"/>
      <c r="AQ441" s="881"/>
      <c r="AR441" s="883">
        <v>0</v>
      </c>
      <c r="AS441" s="883">
        <v>0</v>
      </c>
      <c r="AT441" s="883">
        <v>0</v>
      </c>
      <c r="AU441" s="880"/>
      <c r="AV441" s="886"/>
      <c r="AW441" s="880"/>
      <c r="AX441" s="886"/>
      <c r="AY441" s="880"/>
      <c r="AZ441" s="880"/>
      <c r="BA441" s="881"/>
      <c r="BB441" s="881" t="s">
        <v>57</v>
      </c>
      <c r="BC441" s="881"/>
      <c r="BD441" s="881"/>
      <c r="BE441" s="884">
        <f t="shared" si="119"/>
        <v>4</v>
      </c>
      <c r="BF441" s="887" t="str">
        <f t="shared" si="120"/>
        <v>SI</v>
      </c>
      <c r="BG441" s="883">
        <f t="shared" si="121"/>
        <v>432</v>
      </c>
      <c r="BH441" s="883">
        <f t="shared" si="122"/>
        <v>0</v>
      </c>
      <c r="BI441" s="883">
        <f t="shared" si="123"/>
        <v>0</v>
      </c>
      <c r="BJ441" s="883">
        <f t="shared" si="124"/>
        <v>0</v>
      </c>
      <c r="BK441" s="883">
        <f t="shared" si="125"/>
        <v>0</v>
      </c>
      <c r="BL441" s="883">
        <f t="shared" si="126"/>
        <v>64.8</v>
      </c>
      <c r="BM441" s="881"/>
      <c r="BN441" s="880"/>
      <c r="BO441" s="882" t="s">
        <v>1579</v>
      </c>
      <c r="BP441" s="882" t="s">
        <v>2286</v>
      </c>
      <c r="BQ441" s="882" t="s">
        <v>2285</v>
      </c>
      <c r="BR441" s="880"/>
      <c r="BS441" s="880"/>
      <c r="BT441" s="880"/>
      <c r="BU441" s="880"/>
      <c r="BV441" s="880"/>
      <c r="BW441" s="883">
        <v>0</v>
      </c>
      <c r="BX441" s="883">
        <v>0</v>
      </c>
      <c r="BY441" s="883">
        <v>0</v>
      </c>
      <c r="BZ441" s="890"/>
      <c r="CA441" s="883">
        <f t="shared" si="127"/>
        <v>0</v>
      </c>
      <c r="CB441" s="880"/>
      <c r="CC441" s="881"/>
      <c r="CD441" s="883"/>
      <c r="CE441" s="883"/>
      <c r="CF441" s="883"/>
      <c r="CG441" s="883"/>
      <c r="CH441" s="883"/>
      <c r="CI441" s="883"/>
      <c r="CJ441" s="883"/>
      <c r="CK441" s="883"/>
      <c r="CL441" s="883"/>
      <c r="CM441" s="883"/>
      <c r="CN441" s="883"/>
      <c r="CO441" s="883"/>
      <c r="CP441" s="883"/>
      <c r="CQ441" s="883"/>
      <c r="CR441" s="883"/>
      <c r="CS441" s="883"/>
      <c r="CT441" s="883"/>
      <c r="CU441" s="883"/>
    </row>
    <row r="442" spans="1:99" x14ac:dyDescent="0.25">
      <c r="A442" s="880" t="s">
        <v>2847</v>
      </c>
      <c r="B442" s="881" t="s">
        <v>2287</v>
      </c>
      <c r="C442" s="880" t="s">
        <v>2848</v>
      </c>
      <c r="D442" s="880"/>
      <c r="E442" s="884" t="s">
        <v>744</v>
      </c>
      <c r="F442" s="888">
        <v>1</v>
      </c>
      <c r="G442" s="881" t="s">
        <v>1007</v>
      </c>
      <c r="H442" s="881" t="s">
        <v>19</v>
      </c>
      <c r="I442" s="865">
        <v>46132</v>
      </c>
      <c r="J442" s="882" t="s">
        <v>8</v>
      </c>
      <c r="K442" s="880"/>
      <c r="L442" s="880"/>
      <c r="M442" s="883">
        <v>0</v>
      </c>
      <c r="N442" s="883">
        <v>0</v>
      </c>
      <c r="O442" s="883">
        <v>0</v>
      </c>
      <c r="P442" s="883">
        <v>418.75</v>
      </c>
      <c r="Q442" s="883">
        <v>15</v>
      </c>
      <c r="R442" s="883">
        <f t="shared" si="112"/>
        <v>62.81</v>
      </c>
      <c r="S442" s="883">
        <v>0</v>
      </c>
      <c r="T442" s="883">
        <v>5</v>
      </c>
      <c r="U442" s="883">
        <f t="shared" si="113"/>
        <v>0</v>
      </c>
      <c r="V442" s="883">
        <v>0</v>
      </c>
      <c r="W442" s="883">
        <v>8</v>
      </c>
      <c r="X442" s="883">
        <f t="shared" si="114"/>
        <v>0</v>
      </c>
      <c r="Y442" s="883">
        <v>0</v>
      </c>
      <c r="Z442" s="883">
        <v>0</v>
      </c>
      <c r="AA442" s="883">
        <v>0</v>
      </c>
      <c r="AB442" s="883">
        <f t="shared" si="115"/>
        <v>481.56</v>
      </c>
      <c r="AC442" s="883">
        <v>0</v>
      </c>
      <c r="AD442" s="881"/>
      <c r="AE442" s="880"/>
      <c r="AF442" s="883"/>
      <c r="AG442" s="889"/>
      <c r="AH442" s="880"/>
      <c r="AI442" s="880" t="s">
        <v>1241</v>
      </c>
      <c r="AJ442" s="884">
        <v>411</v>
      </c>
      <c r="AK442" s="883">
        <f t="shared" si="116"/>
        <v>418.75</v>
      </c>
      <c r="AL442" s="884">
        <v>413</v>
      </c>
      <c r="AM442" s="883">
        <f t="shared" si="117"/>
        <v>0</v>
      </c>
      <c r="AN442" s="884">
        <v>441</v>
      </c>
      <c r="AO442" s="883">
        <f t="shared" si="118"/>
        <v>0</v>
      </c>
      <c r="AP442" s="881"/>
      <c r="AQ442" s="881"/>
      <c r="AR442" s="883">
        <v>0</v>
      </c>
      <c r="AS442" s="883">
        <v>0</v>
      </c>
      <c r="AT442" s="883">
        <v>0</v>
      </c>
      <c r="AU442" s="880"/>
      <c r="AV442" s="886"/>
      <c r="AW442" s="880"/>
      <c r="AX442" s="886"/>
      <c r="AY442" s="880"/>
      <c r="AZ442" s="880"/>
      <c r="BA442" s="881"/>
      <c r="BB442" s="881" t="s">
        <v>57</v>
      </c>
      <c r="BC442" s="881"/>
      <c r="BD442" s="881"/>
      <c r="BE442" s="884">
        <f t="shared" si="119"/>
        <v>4</v>
      </c>
      <c r="BF442" s="887" t="str">
        <f t="shared" si="120"/>
        <v>SI</v>
      </c>
      <c r="BG442" s="883">
        <f t="shared" si="121"/>
        <v>418.75</v>
      </c>
      <c r="BH442" s="883">
        <f t="shared" si="122"/>
        <v>0</v>
      </c>
      <c r="BI442" s="883">
        <f t="shared" si="123"/>
        <v>0</v>
      </c>
      <c r="BJ442" s="883">
        <f t="shared" si="124"/>
        <v>0</v>
      </c>
      <c r="BK442" s="883">
        <f t="shared" si="125"/>
        <v>0</v>
      </c>
      <c r="BL442" s="883">
        <f t="shared" si="126"/>
        <v>62.81</v>
      </c>
      <c r="BM442" s="881"/>
      <c r="BN442" s="880"/>
      <c r="BO442" s="882" t="s">
        <v>1579</v>
      </c>
      <c r="BP442" s="882" t="s">
        <v>2286</v>
      </c>
      <c r="BQ442" s="882" t="s">
        <v>2285</v>
      </c>
      <c r="BR442" s="880"/>
      <c r="BS442" s="880"/>
      <c r="BT442" s="880"/>
      <c r="BU442" s="880"/>
      <c r="BV442" s="880"/>
      <c r="BW442" s="883">
        <v>0</v>
      </c>
      <c r="BX442" s="883">
        <v>0</v>
      </c>
      <c r="BY442" s="883">
        <v>0</v>
      </c>
      <c r="BZ442" s="890"/>
      <c r="CA442" s="883">
        <f t="shared" si="127"/>
        <v>0</v>
      </c>
      <c r="CB442" s="880"/>
      <c r="CC442" s="881"/>
      <c r="CD442" s="883"/>
      <c r="CE442" s="883"/>
      <c r="CF442" s="883"/>
      <c r="CG442" s="883"/>
      <c r="CH442" s="883"/>
      <c r="CI442" s="883"/>
      <c r="CJ442" s="883"/>
      <c r="CK442" s="883"/>
      <c r="CL442" s="883"/>
      <c r="CM442" s="883"/>
      <c r="CN442" s="883"/>
      <c r="CO442" s="883"/>
      <c r="CP442" s="883"/>
      <c r="CQ442" s="883"/>
      <c r="CR442" s="883"/>
      <c r="CS442" s="883"/>
      <c r="CT442" s="883"/>
      <c r="CU442" s="883"/>
    </row>
    <row r="443" spans="1:99" x14ac:dyDescent="0.25">
      <c r="A443" s="880" t="s">
        <v>2847</v>
      </c>
      <c r="B443" s="881" t="s">
        <v>2287</v>
      </c>
      <c r="C443" s="880" t="s">
        <v>2848</v>
      </c>
      <c r="D443" s="880"/>
      <c r="E443" s="884" t="s">
        <v>744</v>
      </c>
      <c r="F443" s="888">
        <v>1</v>
      </c>
      <c r="G443" s="881" t="s">
        <v>1007</v>
      </c>
      <c r="H443" s="881" t="s">
        <v>19</v>
      </c>
      <c r="I443" s="865">
        <v>46132</v>
      </c>
      <c r="J443" s="882" t="s">
        <v>8</v>
      </c>
      <c r="K443" s="880"/>
      <c r="L443" s="880"/>
      <c r="M443" s="883">
        <v>0</v>
      </c>
      <c r="N443" s="883">
        <v>0</v>
      </c>
      <c r="O443" s="883">
        <v>0</v>
      </c>
      <c r="P443" s="883">
        <v>390.99999999999994</v>
      </c>
      <c r="Q443" s="883">
        <v>15</v>
      </c>
      <c r="R443" s="883">
        <f t="shared" si="112"/>
        <v>58.65</v>
      </c>
      <c r="S443" s="883">
        <v>0</v>
      </c>
      <c r="T443" s="883">
        <v>5</v>
      </c>
      <c r="U443" s="883">
        <f t="shared" si="113"/>
        <v>0</v>
      </c>
      <c r="V443" s="883">
        <v>0</v>
      </c>
      <c r="W443" s="883">
        <v>8</v>
      </c>
      <c r="X443" s="883">
        <f t="shared" si="114"/>
        <v>0</v>
      </c>
      <c r="Y443" s="883">
        <v>0</v>
      </c>
      <c r="Z443" s="883">
        <v>0</v>
      </c>
      <c r="AA443" s="883">
        <v>0</v>
      </c>
      <c r="AB443" s="883">
        <f t="shared" si="115"/>
        <v>449.65</v>
      </c>
      <c r="AC443" s="883">
        <v>0</v>
      </c>
      <c r="AD443" s="881"/>
      <c r="AE443" s="880"/>
      <c r="AF443" s="883"/>
      <c r="AG443" s="889"/>
      <c r="AH443" s="880"/>
      <c r="AI443" s="880" t="s">
        <v>1241</v>
      </c>
      <c r="AJ443" s="884">
        <v>411</v>
      </c>
      <c r="AK443" s="883">
        <f t="shared" si="116"/>
        <v>390.99999999999994</v>
      </c>
      <c r="AL443" s="884">
        <v>413</v>
      </c>
      <c r="AM443" s="883">
        <f t="shared" si="117"/>
        <v>0</v>
      </c>
      <c r="AN443" s="884">
        <v>441</v>
      </c>
      <c r="AO443" s="883">
        <f t="shared" si="118"/>
        <v>0</v>
      </c>
      <c r="AP443" s="881"/>
      <c r="AQ443" s="881"/>
      <c r="AR443" s="883">
        <v>0</v>
      </c>
      <c r="AS443" s="883">
        <v>0</v>
      </c>
      <c r="AT443" s="883">
        <v>0</v>
      </c>
      <c r="AU443" s="880"/>
      <c r="AV443" s="886"/>
      <c r="AW443" s="880"/>
      <c r="AX443" s="886"/>
      <c r="AY443" s="880"/>
      <c r="AZ443" s="880"/>
      <c r="BA443" s="881"/>
      <c r="BB443" s="881" t="s">
        <v>57</v>
      </c>
      <c r="BC443" s="881"/>
      <c r="BD443" s="881"/>
      <c r="BE443" s="884">
        <f t="shared" si="119"/>
        <v>4</v>
      </c>
      <c r="BF443" s="887" t="str">
        <f t="shared" si="120"/>
        <v>SI</v>
      </c>
      <c r="BG443" s="883">
        <f t="shared" si="121"/>
        <v>390.99999999999994</v>
      </c>
      <c r="BH443" s="883">
        <f t="shared" si="122"/>
        <v>0</v>
      </c>
      <c r="BI443" s="883">
        <f t="shared" si="123"/>
        <v>0</v>
      </c>
      <c r="BJ443" s="883">
        <f t="shared" si="124"/>
        <v>0</v>
      </c>
      <c r="BK443" s="883">
        <f t="shared" si="125"/>
        <v>0</v>
      </c>
      <c r="BL443" s="883">
        <f t="shared" si="126"/>
        <v>58.65</v>
      </c>
      <c r="BM443" s="881"/>
      <c r="BN443" s="880"/>
      <c r="BO443" s="882" t="s">
        <v>1579</v>
      </c>
      <c r="BP443" s="882" t="s">
        <v>2286</v>
      </c>
      <c r="BQ443" s="882" t="s">
        <v>2285</v>
      </c>
      <c r="BR443" s="880"/>
      <c r="BS443" s="880"/>
      <c r="BT443" s="880"/>
      <c r="BU443" s="880"/>
      <c r="BV443" s="880"/>
      <c r="BW443" s="883">
        <v>0</v>
      </c>
      <c r="BX443" s="883">
        <v>0</v>
      </c>
      <c r="BY443" s="883">
        <v>0</v>
      </c>
      <c r="BZ443" s="890"/>
      <c r="CA443" s="883">
        <f t="shared" si="127"/>
        <v>0</v>
      </c>
      <c r="CB443" s="880"/>
      <c r="CC443" s="881"/>
      <c r="CD443" s="883"/>
      <c r="CE443" s="883"/>
      <c r="CF443" s="883"/>
      <c r="CG443" s="883"/>
      <c r="CH443" s="883"/>
      <c r="CI443" s="883"/>
      <c r="CJ443" s="883"/>
      <c r="CK443" s="883"/>
      <c r="CL443" s="883"/>
      <c r="CM443" s="883"/>
      <c r="CN443" s="883"/>
      <c r="CO443" s="883"/>
      <c r="CP443" s="883"/>
      <c r="CQ443" s="883"/>
      <c r="CR443" s="883"/>
      <c r="CS443" s="883"/>
      <c r="CT443" s="883"/>
      <c r="CU443" s="883"/>
    </row>
    <row r="444" spans="1:99" x14ac:dyDescent="0.25">
      <c r="A444" s="880" t="s">
        <v>2847</v>
      </c>
      <c r="B444" s="881" t="s">
        <v>2287</v>
      </c>
      <c r="C444" s="880" t="s">
        <v>2848</v>
      </c>
      <c r="D444" s="880"/>
      <c r="E444" s="884" t="s">
        <v>744</v>
      </c>
      <c r="F444" s="888">
        <v>1</v>
      </c>
      <c r="G444" s="881" t="s">
        <v>1007</v>
      </c>
      <c r="H444" s="881" t="s">
        <v>19</v>
      </c>
      <c r="I444" s="865">
        <v>46132</v>
      </c>
      <c r="J444" s="882" t="s">
        <v>8</v>
      </c>
      <c r="K444" s="880"/>
      <c r="L444" s="880"/>
      <c r="M444" s="883">
        <v>0</v>
      </c>
      <c r="N444" s="883">
        <v>0</v>
      </c>
      <c r="O444" s="883">
        <v>0</v>
      </c>
      <c r="P444" s="883">
        <v>434.1</v>
      </c>
      <c r="Q444" s="883">
        <v>15</v>
      </c>
      <c r="R444" s="883">
        <f t="shared" si="112"/>
        <v>65.12</v>
      </c>
      <c r="S444" s="883">
        <v>0</v>
      </c>
      <c r="T444" s="883">
        <v>5</v>
      </c>
      <c r="U444" s="883">
        <f t="shared" si="113"/>
        <v>0</v>
      </c>
      <c r="V444" s="883">
        <v>0</v>
      </c>
      <c r="W444" s="883">
        <v>8</v>
      </c>
      <c r="X444" s="883">
        <f t="shared" si="114"/>
        <v>0</v>
      </c>
      <c r="Y444" s="883">
        <v>0</v>
      </c>
      <c r="Z444" s="883">
        <v>0</v>
      </c>
      <c r="AA444" s="883">
        <v>0</v>
      </c>
      <c r="AB444" s="883">
        <f t="shared" si="115"/>
        <v>499.22</v>
      </c>
      <c r="AC444" s="883">
        <v>0</v>
      </c>
      <c r="AD444" s="881"/>
      <c r="AE444" s="880"/>
      <c r="AF444" s="883"/>
      <c r="AG444" s="889"/>
      <c r="AH444" s="880"/>
      <c r="AI444" s="880" t="s">
        <v>1241</v>
      </c>
      <c r="AJ444" s="884">
        <v>411</v>
      </c>
      <c r="AK444" s="883">
        <f t="shared" si="116"/>
        <v>434.1</v>
      </c>
      <c r="AL444" s="884">
        <v>413</v>
      </c>
      <c r="AM444" s="883">
        <f t="shared" si="117"/>
        <v>0</v>
      </c>
      <c r="AN444" s="884">
        <v>441</v>
      </c>
      <c r="AO444" s="883">
        <f t="shared" si="118"/>
        <v>0</v>
      </c>
      <c r="AP444" s="881"/>
      <c r="AQ444" s="881"/>
      <c r="AR444" s="883">
        <v>0</v>
      </c>
      <c r="AS444" s="883">
        <v>0</v>
      </c>
      <c r="AT444" s="883">
        <v>0</v>
      </c>
      <c r="AU444" s="880"/>
      <c r="AV444" s="886"/>
      <c r="AW444" s="880"/>
      <c r="AX444" s="886"/>
      <c r="AY444" s="880"/>
      <c r="AZ444" s="880"/>
      <c r="BA444" s="881"/>
      <c r="BB444" s="881" t="s">
        <v>57</v>
      </c>
      <c r="BC444" s="881"/>
      <c r="BD444" s="881"/>
      <c r="BE444" s="884">
        <f t="shared" si="119"/>
        <v>4</v>
      </c>
      <c r="BF444" s="887" t="str">
        <f t="shared" si="120"/>
        <v>SI</v>
      </c>
      <c r="BG444" s="883">
        <f t="shared" si="121"/>
        <v>434.1</v>
      </c>
      <c r="BH444" s="883">
        <f t="shared" si="122"/>
        <v>0</v>
      </c>
      <c r="BI444" s="883">
        <f t="shared" si="123"/>
        <v>0</v>
      </c>
      <c r="BJ444" s="883">
        <f t="shared" si="124"/>
        <v>0</v>
      </c>
      <c r="BK444" s="883">
        <f t="shared" si="125"/>
        <v>0</v>
      </c>
      <c r="BL444" s="883">
        <f t="shared" si="126"/>
        <v>65.12</v>
      </c>
      <c r="BM444" s="881"/>
      <c r="BN444" s="880"/>
      <c r="BO444" s="882" t="s">
        <v>1579</v>
      </c>
      <c r="BP444" s="882" t="s">
        <v>2286</v>
      </c>
      <c r="BQ444" s="882" t="s">
        <v>2285</v>
      </c>
      <c r="BR444" s="880"/>
      <c r="BS444" s="880"/>
      <c r="BT444" s="880"/>
      <c r="BU444" s="880"/>
      <c r="BV444" s="880"/>
      <c r="BW444" s="883">
        <v>0</v>
      </c>
      <c r="BX444" s="883">
        <v>0</v>
      </c>
      <c r="BY444" s="883">
        <v>0</v>
      </c>
      <c r="BZ444" s="890"/>
      <c r="CA444" s="883">
        <f t="shared" si="127"/>
        <v>0</v>
      </c>
      <c r="CB444" s="880"/>
      <c r="CC444" s="881"/>
      <c r="CD444" s="883"/>
      <c r="CE444" s="883"/>
      <c r="CF444" s="883"/>
      <c r="CG444" s="883"/>
      <c r="CH444" s="883"/>
      <c r="CI444" s="883"/>
      <c r="CJ444" s="883"/>
      <c r="CK444" s="883"/>
      <c r="CL444" s="883"/>
      <c r="CM444" s="883"/>
      <c r="CN444" s="883"/>
      <c r="CO444" s="883"/>
      <c r="CP444" s="883"/>
      <c r="CQ444" s="883"/>
      <c r="CR444" s="883"/>
      <c r="CS444" s="883"/>
      <c r="CT444" s="883"/>
      <c r="CU444" s="883"/>
    </row>
    <row r="445" spans="1:99" x14ac:dyDescent="0.25">
      <c r="A445" s="880" t="s">
        <v>2847</v>
      </c>
      <c r="B445" s="881" t="s">
        <v>2287</v>
      </c>
      <c r="C445" s="880" t="s">
        <v>2848</v>
      </c>
      <c r="D445" s="880"/>
      <c r="E445" s="884" t="s">
        <v>744</v>
      </c>
      <c r="F445" s="888">
        <v>1</v>
      </c>
      <c r="G445" s="881" t="s">
        <v>1007</v>
      </c>
      <c r="H445" s="881" t="s">
        <v>19</v>
      </c>
      <c r="I445" s="865">
        <v>46132</v>
      </c>
      <c r="J445" s="882" t="s">
        <v>8</v>
      </c>
      <c r="K445" s="880"/>
      <c r="L445" s="880"/>
      <c r="M445" s="883">
        <v>0</v>
      </c>
      <c r="N445" s="883">
        <v>0</v>
      </c>
      <c r="O445" s="883">
        <v>0</v>
      </c>
      <c r="P445" s="883">
        <v>433.24999999999994</v>
      </c>
      <c r="Q445" s="883">
        <v>15</v>
      </c>
      <c r="R445" s="883">
        <f t="shared" si="112"/>
        <v>64.989999999999995</v>
      </c>
      <c r="S445" s="883">
        <v>0</v>
      </c>
      <c r="T445" s="883">
        <v>5</v>
      </c>
      <c r="U445" s="883">
        <f t="shared" si="113"/>
        <v>0</v>
      </c>
      <c r="V445" s="883">
        <v>0</v>
      </c>
      <c r="W445" s="883">
        <v>8</v>
      </c>
      <c r="X445" s="883">
        <f t="shared" si="114"/>
        <v>0</v>
      </c>
      <c r="Y445" s="883">
        <v>0</v>
      </c>
      <c r="Z445" s="883">
        <v>0</v>
      </c>
      <c r="AA445" s="883">
        <v>0</v>
      </c>
      <c r="AB445" s="883">
        <f t="shared" si="115"/>
        <v>498.24</v>
      </c>
      <c r="AC445" s="883">
        <v>0</v>
      </c>
      <c r="AD445" s="881"/>
      <c r="AE445" s="880"/>
      <c r="AF445" s="883"/>
      <c r="AG445" s="889"/>
      <c r="AH445" s="880"/>
      <c r="AI445" s="880" t="s">
        <v>1241</v>
      </c>
      <c r="AJ445" s="884">
        <v>411</v>
      </c>
      <c r="AK445" s="883">
        <f t="shared" si="116"/>
        <v>433.24999999999994</v>
      </c>
      <c r="AL445" s="884">
        <v>413</v>
      </c>
      <c r="AM445" s="883">
        <f t="shared" si="117"/>
        <v>0</v>
      </c>
      <c r="AN445" s="884">
        <v>441</v>
      </c>
      <c r="AO445" s="883">
        <f t="shared" si="118"/>
        <v>0</v>
      </c>
      <c r="AP445" s="881"/>
      <c r="AQ445" s="881"/>
      <c r="AR445" s="883">
        <v>0</v>
      </c>
      <c r="AS445" s="883">
        <v>0</v>
      </c>
      <c r="AT445" s="883">
        <v>0</v>
      </c>
      <c r="AU445" s="880"/>
      <c r="AV445" s="886"/>
      <c r="AW445" s="880"/>
      <c r="AX445" s="886"/>
      <c r="AY445" s="880"/>
      <c r="AZ445" s="880"/>
      <c r="BA445" s="881"/>
      <c r="BB445" s="881" t="s">
        <v>57</v>
      </c>
      <c r="BC445" s="881"/>
      <c r="BD445" s="881"/>
      <c r="BE445" s="884">
        <f t="shared" si="119"/>
        <v>4</v>
      </c>
      <c r="BF445" s="887" t="str">
        <f t="shared" si="120"/>
        <v>SI</v>
      </c>
      <c r="BG445" s="883">
        <f t="shared" si="121"/>
        <v>433.24999999999994</v>
      </c>
      <c r="BH445" s="883">
        <f t="shared" si="122"/>
        <v>0</v>
      </c>
      <c r="BI445" s="883">
        <f t="shared" si="123"/>
        <v>0</v>
      </c>
      <c r="BJ445" s="883">
        <f t="shared" si="124"/>
        <v>0</v>
      </c>
      <c r="BK445" s="883">
        <f t="shared" si="125"/>
        <v>0</v>
      </c>
      <c r="BL445" s="883">
        <f t="shared" si="126"/>
        <v>64.989999999999995</v>
      </c>
      <c r="BM445" s="881"/>
      <c r="BN445" s="880"/>
      <c r="BO445" s="882" t="s">
        <v>1579</v>
      </c>
      <c r="BP445" s="882" t="s">
        <v>2286</v>
      </c>
      <c r="BQ445" s="882" t="s">
        <v>2285</v>
      </c>
      <c r="BR445" s="880"/>
      <c r="BS445" s="880"/>
      <c r="BT445" s="880"/>
      <c r="BU445" s="880"/>
      <c r="BV445" s="880"/>
      <c r="BW445" s="883">
        <v>0</v>
      </c>
      <c r="BX445" s="883">
        <v>0</v>
      </c>
      <c r="BY445" s="883">
        <v>0</v>
      </c>
      <c r="BZ445" s="890"/>
      <c r="CA445" s="883">
        <f t="shared" si="127"/>
        <v>0</v>
      </c>
      <c r="CB445" s="880"/>
      <c r="CC445" s="881"/>
      <c r="CD445" s="883"/>
      <c r="CE445" s="883"/>
      <c r="CF445" s="883"/>
      <c r="CG445" s="883"/>
      <c r="CH445" s="883"/>
      <c r="CI445" s="883"/>
      <c r="CJ445" s="883"/>
      <c r="CK445" s="883"/>
      <c r="CL445" s="883"/>
      <c r="CM445" s="883"/>
      <c r="CN445" s="883"/>
      <c r="CO445" s="883"/>
      <c r="CP445" s="883"/>
      <c r="CQ445" s="883"/>
      <c r="CR445" s="883"/>
      <c r="CS445" s="883"/>
      <c r="CT445" s="883"/>
      <c r="CU445" s="883"/>
    </row>
    <row r="446" spans="1:99" x14ac:dyDescent="0.25">
      <c r="A446" s="880" t="s">
        <v>2847</v>
      </c>
      <c r="B446" s="881" t="s">
        <v>2287</v>
      </c>
      <c r="C446" s="880" t="s">
        <v>2848</v>
      </c>
      <c r="D446" s="880"/>
      <c r="E446" s="884" t="s">
        <v>744</v>
      </c>
      <c r="F446" s="888">
        <v>1</v>
      </c>
      <c r="G446" s="881" t="s">
        <v>1007</v>
      </c>
      <c r="H446" s="881" t="s">
        <v>19</v>
      </c>
      <c r="I446" s="865">
        <v>46132</v>
      </c>
      <c r="J446" s="882" t="s">
        <v>8</v>
      </c>
      <c r="K446" s="880"/>
      <c r="L446" s="880"/>
      <c r="M446" s="883">
        <v>0</v>
      </c>
      <c r="N446" s="883">
        <v>0</v>
      </c>
      <c r="O446" s="883">
        <v>0</v>
      </c>
      <c r="P446" s="883">
        <v>432</v>
      </c>
      <c r="Q446" s="883">
        <v>15</v>
      </c>
      <c r="R446" s="883">
        <f t="shared" si="112"/>
        <v>64.8</v>
      </c>
      <c r="S446" s="883">
        <v>0</v>
      </c>
      <c r="T446" s="883">
        <v>5</v>
      </c>
      <c r="U446" s="883">
        <f t="shared" si="113"/>
        <v>0</v>
      </c>
      <c r="V446" s="883">
        <v>0</v>
      </c>
      <c r="W446" s="883">
        <v>8</v>
      </c>
      <c r="X446" s="883">
        <f t="shared" si="114"/>
        <v>0</v>
      </c>
      <c r="Y446" s="883">
        <v>0</v>
      </c>
      <c r="Z446" s="883">
        <v>0</v>
      </c>
      <c r="AA446" s="883">
        <v>0</v>
      </c>
      <c r="AB446" s="883">
        <f t="shared" si="115"/>
        <v>496.8</v>
      </c>
      <c r="AC446" s="883">
        <v>0</v>
      </c>
      <c r="AD446" s="881"/>
      <c r="AE446" s="880"/>
      <c r="AF446" s="883"/>
      <c r="AG446" s="889"/>
      <c r="AH446" s="880"/>
      <c r="AI446" s="880" t="s">
        <v>1241</v>
      </c>
      <c r="AJ446" s="884">
        <v>411</v>
      </c>
      <c r="AK446" s="883">
        <f t="shared" si="116"/>
        <v>432</v>
      </c>
      <c r="AL446" s="884">
        <v>413</v>
      </c>
      <c r="AM446" s="883">
        <f t="shared" si="117"/>
        <v>0</v>
      </c>
      <c r="AN446" s="884">
        <v>441</v>
      </c>
      <c r="AO446" s="883">
        <f t="shared" si="118"/>
        <v>0</v>
      </c>
      <c r="AP446" s="881"/>
      <c r="AQ446" s="881"/>
      <c r="AR446" s="883">
        <v>0</v>
      </c>
      <c r="AS446" s="883">
        <v>0</v>
      </c>
      <c r="AT446" s="883">
        <v>0</v>
      </c>
      <c r="AU446" s="880"/>
      <c r="AV446" s="886"/>
      <c r="AW446" s="880"/>
      <c r="AX446" s="886"/>
      <c r="AY446" s="880"/>
      <c r="AZ446" s="880"/>
      <c r="BA446" s="881"/>
      <c r="BB446" s="881" t="s">
        <v>57</v>
      </c>
      <c r="BC446" s="881"/>
      <c r="BD446" s="881"/>
      <c r="BE446" s="884">
        <f t="shared" si="119"/>
        <v>4</v>
      </c>
      <c r="BF446" s="887" t="str">
        <f t="shared" si="120"/>
        <v>SI</v>
      </c>
      <c r="BG446" s="883">
        <f t="shared" si="121"/>
        <v>432</v>
      </c>
      <c r="BH446" s="883">
        <f t="shared" si="122"/>
        <v>0</v>
      </c>
      <c r="BI446" s="883">
        <f t="shared" si="123"/>
        <v>0</v>
      </c>
      <c r="BJ446" s="883">
        <f t="shared" si="124"/>
        <v>0</v>
      </c>
      <c r="BK446" s="883">
        <f t="shared" si="125"/>
        <v>0</v>
      </c>
      <c r="BL446" s="883">
        <f t="shared" si="126"/>
        <v>64.8</v>
      </c>
      <c r="BM446" s="881"/>
      <c r="BN446" s="880"/>
      <c r="BO446" s="882" t="s">
        <v>1579</v>
      </c>
      <c r="BP446" s="882" t="s">
        <v>2286</v>
      </c>
      <c r="BQ446" s="882" t="s">
        <v>2285</v>
      </c>
      <c r="BR446" s="880"/>
      <c r="BS446" s="880"/>
      <c r="BT446" s="880"/>
      <c r="BU446" s="880"/>
      <c r="BV446" s="880"/>
      <c r="BW446" s="883">
        <v>0</v>
      </c>
      <c r="BX446" s="883">
        <v>0</v>
      </c>
      <c r="BY446" s="883">
        <v>0</v>
      </c>
      <c r="BZ446" s="890"/>
      <c r="CA446" s="883">
        <f t="shared" si="127"/>
        <v>0</v>
      </c>
      <c r="CB446" s="880"/>
      <c r="CC446" s="881"/>
      <c r="CD446" s="883"/>
      <c r="CE446" s="883"/>
      <c r="CF446" s="883"/>
      <c r="CG446" s="883"/>
      <c r="CH446" s="883"/>
      <c r="CI446" s="883"/>
      <c r="CJ446" s="883"/>
      <c r="CK446" s="883"/>
      <c r="CL446" s="883"/>
      <c r="CM446" s="883"/>
      <c r="CN446" s="883"/>
      <c r="CO446" s="883"/>
      <c r="CP446" s="883"/>
      <c r="CQ446" s="883"/>
      <c r="CR446" s="883"/>
      <c r="CS446" s="883"/>
      <c r="CT446" s="883"/>
      <c r="CU446" s="883"/>
    </row>
    <row r="447" spans="1:99" x14ac:dyDescent="0.25">
      <c r="A447" s="880" t="s">
        <v>2847</v>
      </c>
      <c r="B447" s="881" t="s">
        <v>2287</v>
      </c>
      <c r="C447" s="880" t="s">
        <v>2848</v>
      </c>
      <c r="D447" s="880"/>
      <c r="E447" s="884" t="s">
        <v>744</v>
      </c>
      <c r="F447" s="888">
        <v>1</v>
      </c>
      <c r="G447" s="881" t="s">
        <v>1007</v>
      </c>
      <c r="H447" s="881" t="s">
        <v>19</v>
      </c>
      <c r="I447" s="865">
        <v>46133</v>
      </c>
      <c r="J447" s="882" t="s">
        <v>8</v>
      </c>
      <c r="K447" s="880"/>
      <c r="L447" s="880"/>
      <c r="M447" s="883">
        <v>0</v>
      </c>
      <c r="N447" s="883">
        <v>0</v>
      </c>
      <c r="O447" s="883">
        <v>0</v>
      </c>
      <c r="P447" s="883">
        <v>432</v>
      </c>
      <c r="Q447" s="883">
        <v>15</v>
      </c>
      <c r="R447" s="883">
        <f t="shared" si="112"/>
        <v>64.8</v>
      </c>
      <c r="S447" s="883">
        <v>0</v>
      </c>
      <c r="T447" s="883">
        <v>5</v>
      </c>
      <c r="U447" s="883">
        <f t="shared" si="113"/>
        <v>0</v>
      </c>
      <c r="V447" s="883">
        <v>0</v>
      </c>
      <c r="W447" s="883">
        <v>8</v>
      </c>
      <c r="X447" s="883">
        <f t="shared" si="114"/>
        <v>0</v>
      </c>
      <c r="Y447" s="883">
        <v>0</v>
      </c>
      <c r="Z447" s="883">
        <v>0</v>
      </c>
      <c r="AA447" s="883">
        <v>0</v>
      </c>
      <c r="AB447" s="883">
        <f t="shared" si="115"/>
        <v>496.8</v>
      </c>
      <c r="AC447" s="883">
        <v>0</v>
      </c>
      <c r="AD447" s="881"/>
      <c r="AE447" s="880"/>
      <c r="AF447" s="883"/>
      <c r="AG447" s="889"/>
      <c r="AH447" s="880"/>
      <c r="AI447" s="880" t="s">
        <v>1241</v>
      </c>
      <c r="AJ447" s="884">
        <v>411</v>
      </c>
      <c r="AK447" s="883">
        <f t="shared" si="116"/>
        <v>432</v>
      </c>
      <c r="AL447" s="884">
        <v>413</v>
      </c>
      <c r="AM447" s="883">
        <f t="shared" si="117"/>
        <v>0</v>
      </c>
      <c r="AN447" s="884">
        <v>441</v>
      </c>
      <c r="AO447" s="883">
        <f t="shared" si="118"/>
        <v>0</v>
      </c>
      <c r="AP447" s="881"/>
      <c r="AQ447" s="881"/>
      <c r="AR447" s="883">
        <v>0</v>
      </c>
      <c r="AS447" s="883">
        <v>0</v>
      </c>
      <c r="AT447" s="883">
        <v>0</v>
      </c>
      <c r="AU447" s="880"/>
      <c r="AV447" s="886"/>
      <c r="AW447" s="880"/>
      <c r="AX447" s="886"/>
      <c r="AY447" s="880"/>
      <c r="AZ447" s="880"/>
      <c r="BA447" s="881"/>
      <c r="BB447" s="881" t="s">
        <v>57</v>
      </c>
      <c r="BC447" s="881"/>
      <c r="BD447" s="881"/>
      <c r="BE447" s="884">
        <f t="shared" si="119"/>
        <v>4</v>
      </c>
      <c r="BF447" s="887" t="str">
        <f t="shared" si="120"/>
        <v>SI</v>
      </c>
      <c r="BG447" s="883">
        <f t="shared" si="121"/>
        <v>432</v>
      </c>
      <c r="BH447" s="883">
        <f t="shared" si="122"/>
        <v>0</v>
      </c>
      <c r="BI447" s="883">
        <f t="shared" si="123"/>
        <v>0</v>
      </c>
      <c r="BJ447" s="883">
        <f t="shared" si="124"/>
        <v>0</v>
      </c>
      <c r="BK447" s="883">
        <f t="shared" si="125"/>
        <v>0</v>
      </c>
      <c r="BL447" s="883">
        <f t="shared" si="126"/>
        <v>64.8</v>
      </c>
      <c r="BM447" s="881"/>
      <c r="BN447" s="880"/>
      <c r="BO447" s="882" t="s">
        <v>1579</v>
      </c>
      <c r="BP447" s="882" t="s">
        <v>2286</v>
      </c>
      <c r="BQ447" s="882" t="s">
        <v>2285</v>
      </c>
      <c r="BR447" s="880"/>
      <c r="BS447" s="880"/>
      <c r="BT447" s="880"/>
      <c r="BU447" s="880"/>
      <c r="BV447" s="880"/>
      <c r="BW447" s="883">
        <v>0</v>
      </c>
      <c r="BX447" s="883">
        <v>0</v>
      </c>
      <c r="BY447" s="883">
        <v>0</v>
      </c>
      <c r="BZ447" s="890"/>
      <c r="CA447" s="883">
        <f t="shared" si="127"/>
        <v>0</v>
      </c>
      <c r="CB447" s="880"/>
      <c r="CC447" s="881"/>
      <c r="CD447" s="883"/>
      <c r="CE447" s="883"/>
      <c r="CF447" s="883"/>
      <c r="CG447" s="883"/>
      <c r="CH447" s="883"/>
      <c r="CI447" s="883"/>
      <c r="CJ447" s="883"/>
      <c r="CK447" s="883"/>
      <c r="CL447" s="883"/>
      <c r="CM447" s="883"/>
      <c r="CN447" s="883"/>
      <c r="CO447" s="883"/>
      <c r="CP447" s="883"/>
      <c r="CQ447" s="883"/>
      <c r="CR447" s="883"/>
      <c r="CS447" s="883"/>
      <c r="CT447" s="883"/>
      <c r="CU447" s="883"/>
    </row>
    <row r="448" spans="1:99" x14ac:dyDescent="0.25">
      <c r="A448" s="880" t="s">
        <v>2847</v>
      </c>
      <c r="B448" s="881" t="s">
        <v>2287</v>
      </c>
      <c r="C448" s="880" t="s">
        <v>2848</v>
      </c>
      <c r="D448" s="880"/>
      <c r="E448" s="884" t="s">
        <v>744</v>
      </c>
      <c r="F448" s="888">
        <v>1</v>
      </c>
      <c r="G448" s="881" t="s">
        <v>1007</v>
      </c>
      <c r="H448" s="881" t="s">
        <v>19</v>
      </c>
      <c r="I448" s="865">
        <v>46133</v>
      </c>
      <c r="J448" s="882" t="s">
        <v>8</v>
      </c>
      <c r="K448" s="880"/>
      <c r="L448" s="880"/>
      <c r="M448" s="883">
        <v>0</v>
      </c>
      <c r="N448" s="883">
        <v>0</v>
      </c>
      <c r="O448" s="883">
        <v>0</v>
      </c>
      <c r="P448" s="883">
        <v>405</v>
      </c>
      <c r="Q448" s="883">
        <v>15</v>
      </c>
      <c r="R448" s="883">
        <f t="shared" si="112"/>
        <v>60.75</v>
      </c>
      <c r="S448" s="883">
        <v>0</v>
      </c>
      <c r="T448" s="883">
        <v>5</v>
      </c>
      <c r="U448" s="883">
        <f t="shared" si="113"/>
        <v>0</v>
      </c>
      <c r="V448" s="883">
        <v>0</v>
      </c>
      <c r="W448" s="883">
        <v>8</v>
      </c>
      <c r="X448" s="883">
        <f t="shared" si="114"/>
        <v>0</v>
      </c>
      <c r="Y448" s="883">
        <v>0</v>
      </c>
      <c r="Z448" s="883">
        <v>0</v>
      </c>
      <c r="AA448" s="883">
        <v>0</v>
      </c>
      <c r="AB448" s="883">
        <f t="shared" si="115"/>
        <v>465.75</v>
      </c>
      <c r="AC448" s="883">
        <v>0</v>
      </c>
      <c r="AD448" s="881"/>
      <c r="AE448" s="880"/>
      <c r="AF448" s="883"/>
      <c r="AG448" s="889"/>
      <c r="AH448" s="880"/>
      <c r="AI448" s="880" t="s">
        <v>1241</v>
      </c>
      <c r="AJ448" s="884">
        <v>411</v>
      </c>
      <c r="AK448" s="883">
        <f t="shared" si="116"/>
        <v>405</v>
      </c>
      <c r="AL448" s="884">
        <v>413</v>
      </c>
      <c r="AM448" s="883">
        <f t="shared" si="117"/>
        <v>0</v>
      </c>
      <c r="AN448" s="884">
        <v>441</v>
      </c>
      <c r="AO448" s="883">
        <f t="shared" si="118"/>
        <v>0</v>
      </c>
      <c r="AP448" s="881"/>
      <c r="AQ448" s="881"/>
      <c r="AR448" s="883">
        <v>0</v>
      </c>
      <c r="AS448" s="883">
        <v>0</v>
      </c>
      <c r="AT448" s="883">
        <v>0</v>
      </c>
      <c r="AU448" s="880"/>
      <c r="AV448" s="886"/>
      <c r="AW448" s="880"/>
      <c r="AX448" s="886"/>
      <c r="AY448" s="880"/>
      <c r="AZ448" s="880"/>
      <c r="BA448" s="881"/>
      <c r="BB448" s="881" t="s">
        <v>57</v>
      </c>
      <c r="BC448" s="881"/>
      <c r="BD448" s="881"/>
      <c r="BE448" s="884">
        <f t="shared" si="119"/>
        <v>4</v>
      </c>
      <c r="BF448" s="887" t="str">
        <f t="shared" si="120"/>
        <v>SI</v>
      </c>
      <c r="BG448" s="883">
        <f t="shared" si="121"/>
        <v>405</v>
      </c>
      <c r="BH448" s="883">
        <f t="shared" si="122"/>
        <v>0</v>
      </c>
      <c r="BI448" s="883">
        <f t="shared" si="123"/>
        <v>0</v>
      </c>
      <c r="BJ448" s="883">
        <f t="shared" si="124"/>
        <v>0</v>
      </c>
      <c r="BK448" s="883">
        <f t="shared" si="125"/>
        <v>0</v>
      </c>
      <c r="BL448" s="883">
        <f t="shared" si="126"/>
        <v>60.75</v>
      </c>
      <c r="BM448" s="881"/>
      <c r="BN448" s="880"/>
      <c r="BO448" s="882" t="s">
        <v>1579</v>
      </c>
      <c r="BP448" s="882" t="s">
        <v>2286</v>
      </c>
      <c r="BQ448" s="882" t="s">
        <v>2285</v>
      </c>
      <c r="BR448" s="880"/>
      <c r="BS448" s="880"/>
      <c r="BT448" s="880"/>
      <c r="BU448" s="880"/>
      <c r="BV448" s="880"/>
      <c r="BW448" s="883">
        <v>0</v>
      </c>
      <c r="BX448" s="883">
        <v>0</v>
      </c>
      <c r="BY448" s="883">
        <v>0</v>
      </c>
      <c r="BZ448" s="890"/>
      <c r="CA448" s="883">
        <f t="shared" si="127"/>
        <v>0</v>
      </c>
      <c r="CB448" s="880"/>
      <c r="CC448" s="881"/>
      <c r="CD448" s="883"/>
      <c r="CE448" s="883"/>
      <c r="CF448" s="883"/>
      <c r="CG448" s="883"/>
      <c r="CH448" s="883"/>
      <c r="CI448" s="883"/>
      <c r="CJ448" s="883"/>
      <c r="CK448" s="883"/>
      <c r="CL448" s="883"/>
      <c r="CM448" s="883"/>
      <c r="CN448" s="883"/>
      <c r="CO448" s="883"/>
      <c r="CP448" s="883"/>
      <c r="CQ448" s="883"/>
      <c r="CR448" s="883"/>
      <c r="CS448" s="883"/>
      <c r="CT448" s="883"/>
      <c r="CU448" s="883"/>
    </row>
    <row r="449" spans="1:99" x14ac:dyDescent="0.25">
      <c r="A449" s="880" t="s">
        <v>2847</v>
      </c>
      <c r="B449" s="881" t="s">
        <v>2287</v>
      </c>
      <c r="C449" s="880" t="s">
        <v>2848</v>
      </c>
      <c r="D449" s="880"/>
      <c r="E449" s="884" t="s">
        <v>744</v>
      </c>
      <c r="F449" s="888">
        <v>1</v>
      </c>
      <c r="G449" s="881" t="s">
        <v>1007</v>
      </c>
      <c r="H449" s="881" t="s">
        <v>19</v>
      </c>
      <c r="I449" s="865">
        <v>46133</v>
      </c>
      <c r="J449" s="882" t="s">
        <v>8</v>
      </c>
      <c r="K449" s="880"/>
      <c r="L449" s="880"/>
      <c r="M449" s="883">
        <v>0</v>
      </c>
      <c r="N449" s="883">
        <v>0</v>
      </c>
      <c r="O449" s="883">
        <v>0</v>
      </c>
      <c r="P449" s="883">
        <v>434</v>
      </c>
      <c r="Q449" s="883">
        <v>15</v>
      </c>
      <c r="R449" s="883">
        <f t="shared" si="112"/>
        <v>65.099999999999994</v>
      </c>
      <c r="S449" s="883">
        <v>0</v>
      </c>
      <c r="T449" s="883">
        <v>5</v>
      </c>
      <c r="U449" s="883">
        <f t="shared" si="113"/>
        <v>0</v>
      </c>
      <c r="V449" s="883">
        <v>0</v>
      </c>
      <c r="W449" s="883">
        <v>8</v>
      </c>
      <c r="X449" s="883">
        <f t="shared" si="114"/>
        <v>0</v>
      </c>
      <c r="Y449" s="883">
        <v>0</v>
      </c>
      <c r="Z449" s="883">
        <v>0</v>
      </c>
      <c r="AA449" s="883">
        <v>0</v>
      </c>
      <c r="AB449" s="883">
        <f t="shared" si="115"/>
        <v>499.1</v>
      </c>
      <c r="AC449" s="883">
        <v>0</v>
      </c>
      <c r="AD449" s="881"/>
      <c r="AE449" s="880"/>
      <c r="AF449" s="883"/>
      <c r="AG449" s="889"/>
      <c r="AH449" s="880"/>
      <c r="AI449" s="880" t="s">
        <v>1241</v>
      </c>
      <c r="AJ449" s="884">
        <v>411</v>
      </c>
      <c r="AK449" s="883">
        <f t="shared" si="116"/>
        <v>434</v>
      </c>
      <c r="AL449" s="884">
        <v>413</v>
      </c>
      <c r="AM449" s="883">
        <f t="shared" si="117"/>
        <v>0</v>
      </c>
      <c r="AN449" s="884">
        <v>441</v>
      </c>
      <c r="AO449" s="883">
        <f t="shared" si="118"/>
        <v>0</v>
      </c>
      <c r="AP449" s="881"/>
      <c r="AQ449" s="881"/>
      <c r="AR449" s="883">
        <v>0</v>
      </c>
      <c r="AS449" s="883">
        <v>0</v>
      </c>
      <c r="AT449" s="883">
        <v>0</v>
      </c>
      <c r="AU449" s="880"/>
      <c r="AV449" s="886"/>
      <c r="AW449" s="880"/>
      <c r="AX449" s="886"/>
      <c r="AY449" s="880"/>
      <c r="AZ449" s="880"/>
      <c r="BA449" s="881"/>
      <c r="BB449" s="881" t="s">
        <v>57</v>
      </c>
      <c r="BC449" s="881"/>
      <c r="BD449" s="881"/>
      <c r="BE449" s="884">
        <f t="shared" si="119"/>
        <v>4</v>
      </c>
      <c r="BF449" s="887" t="str">
        <f t="shared" si="120"/>
        <v>SI</v>
      </c>
      <c r="BG449" s="883">
        <f t="shared" si="121"/>
        <v>434</v>
      </c>
      <c r="BH449" s="883">
        <f t="shared" si="122"/>
        <v>0</v>
      </c>
      <c r="BI449" s="883">
        <f t="shared" si="123"/>
        <v>0</v>
      </c>
      <c r="BJ449" s="883">
        <f t="shared" si="124"/>
        <v>0</v>
      </c>
      <c r="BK449" s="883">
        <f t="shared" si="125"/>
        <v>0</v>
      </c>
      <c r="BL449" s="883">
        <f t="shared" si="126"/>
        <v>65.099999999999994</v>
      </c>
      <c r="BM449" s="881"/>
      <c r="BN449" s="880"/>
      <c r="BO449" s="882" t="s">
        <v>1579</v>
      </c>
      <c r="BP449" s="882" t="s">
        <v>2286</v>
      </c>
      <c r="BQ449" s="882" t="s">
        <v>2285</v>
      </c>
      <c r="BR449" s="880"/>
      <c r="BS449" s="880"/>
      <c r="BT449" s="880"/>
      <c r="BU449" s="880"/>
      <c r="BV449" s="880"/>
      <c r="BW449" s="883">
        <v>0</v>
      </c>
      <c r="BX449" s="883">
        <v>0</v>
      </c>
      <c r="BY449" s="883">
        <v>0</v>
      </c>
      <c r="BZ449" s="890"/>
      <c r="CA449" s="883">
        <f t="shared" si="127"/>
        <v>0</v>
      </c>
      <c r="CB449" s="880"/>
      <c r="CC449" s="881"/>
      <c r="CD449" s="883"/>
      <c r="CE449" s="883"/>
      <c r="CF449" s="883"/>
      <c r="CG449" s="883"/>
      <c r="CH449" s="883"/>
      <c r="CI449" s="883"/>
      <c r="CJ449" s="883"/>
      <c r="CK449" s="883"/>
      <c r="CL449" s="883"/>
      <c r="CM449" s="883"/>
      <c r="CN449" s="883"/>
      <c r="CO449" s="883"/>
      <c r="CP449" s="883"/>
      <c r="CQ449" s="883"/>
      <c r="CR449" s="883"/>
      <c r="CS449" s="883"/>
      <c r="CT449" s="883"/>
      <c r="CU449" s="883"/>
    </row>
    <row r="450" spans="1:99" x14ac:dyDescent="0.25">
      <c r="A450" s="880" t="s">
        <v>2847</v>
      </c>
      <c r="B450" s="881" t="s">
        <v>2287</v>
      </c>
      <c r="C450" s="880" t="s">
        <v>2848</v>
      </c>
      <c r="D450" s="880"/>
      <c r="E450" s="884" t="s">
        <v>744</v>
      </c>
      <c r="F450" s="888">
        <v>1</v>
      </c>
      <c r="G450" s="881" t="s">
        <v>1007</v>
      </c>
      <c r="H450" s="881" t="s">
        <v>19</v>
      </c>
      <c r="I450" s="865">
        <v>46133</v>
      </c>
      <c r="J450" s="882" t="s">
        <v>8</v>
      </c>
      <c r="K450" s="880"/>
      <c r="L450" s="880"/>
      <c r="M450" s="883">
        <v>0</v>
      </c>
      <c r="N450" s="883">
        <v>0</v>
      </c>
      <c r="O450" s="883">
        <v>0</v>
      </c>
      <c r="P450" s="883">
        <v>433.24999999999994</v>
      </c>
      <c r="Q450" s="883">
        <v>15</v>
      </c>
      <c r="R450" s="883">
        <f t="shared" si="112"/>
        <v>64.989999999999995</v>
      </c>
      <c r="S450" s="883">
        <v>0</v>
      </c>
      <c r="T450" s="883">
        <v>5</v>
      </c>
      <c r="U450" s="883">
        <f t="shared" si="113"/>
        <v>0</v>
      </c>
      <c r="V450" s="883">
        <v>0</v>
      </c>
      <c r="W450" s="883">
        <v>8</v>
      </c>
      <c r="X450" s="883">
        <f t="shared" si="114"/>
        <v>0</v>
      </c>
      <c r="Y450" s="883">
        <v>0</v>
      </c>
      <c r="Z450" s="883">
        <v>0</v>
      </c>
      <c r="AA450" s="883">
        <v>0</v>
      </c>
      <c r="AB450" s="883">
        <f t="shared" si="115"/>
        <v>498.24</v>
      </c>
      <c r="AC450" s="883">
        <v>0</v>
      </c>
      <c r="AD450" s="881"/>
      <c r="AE450" s="880"/>
      <c r="AF450" s="883"/>
      <c r="AG450" s="889"/>
      <c r="AH450" s="880"/>
      <c r="AI450" s="880" t="s">
        <v>1241</v>
      </c>
      <c r="AJ450" s="884">
        <v>411</v>
      </c>
      <c r="AK450" s="883">
        <f t="shared" si="116"/>
        <v>433.24999999999994</v>
      </c>
      <c r="AL450" s="884">
        <v>413</v>
      </c>
      <c r="AM450" s="883">
        <f t="shared" si="117"/>
        <v>0</v>
      </c>
      <c r="AN450" s="884">
        <v>441</v>
      </c>
      <c r="AO450" s="883">
        <f t="shared" si="118"/>
        <v>0</v>
      </c>
      <c r="AP450" s="881"/>
      <c r="AQ450" s="881"/>
      <c r="AR450" s="883">
        <v>0</v>
      </c>
      <c r="AS450" s="883">
        <v>0</v>
      </c>
      <c r="AT450" s="883">
        <v>0</v>
      </c>
      <c r="AU450" s="880"/>
      <c r="AV450" s="886"/>
      <c r="AW450" s="880"/>
      <c r="AX450" s="886"/>
      <c r="AY450" s="880"/>
      <c r="AZ450" s="880"/>
      <c r="BA450" s="881"/>
      <c r="BB450" s="881" t="s">
        <v>57</v>
      </c>
      <c r="BC450" s="881"/>
      <c r="BD450" s="881"/>
      <c r="BE450" s="884">
        <f t="shared" si="119"/>
        <v>4</v>
      </c>
      <c r="BF450" s="887" t="str">
        <f t="shared" si="120"/>
        <v>SI</v>
      </c>
      <c r="BG450" s="883">
        <f t="shared" si="121"/>
        <v>433.24999999999994</v>
      </c>
      <c r="BH450" s="883">
        <f t="shared" si="122"/>
        <v>0</v>
      </c>
      <c r="BI450" s="883">
        <f t="shared" si="123"/>
        <v>0</v>
      </c>
      <c r="BJ450" s="883">
        <f t="shared" si="124"/>
        <v>0</v>
      </c>
      <c r="BK450" s="883">
        <f t="shared" si="125"/>
        <v>0</v>
      </c>
      <c r="BL450" s="883">
        <f t="shared" si="126"/>
        <v>64.989999999999995</v>
      </c>
      <c r="BM450" s="881"/>
      <c r="BN450" s="880"/>
      <c r="BO450" s="882" t="s">
        <v>1579</v>
      </c>
      <c r="BP450" s="882" t="s">
        <v>2286</v>
      </c>
      <c r="BQ450" s="882" t="s">
        <v>2285</v>
      </c>
      <c r="BR450" s="880"/>
      <c r="BS450" s="880"/>
      <c r="BT450" s="880"/>
      <c r="BU450" s="880"/>
      <c r="BV450" s="880"/>
      <c r="BW450" s="883">
        <v>0</v>
      </c>
      <c r="BX450" s="883">
        <v>0</v>
      </c>
      <c r="BY450" s="883">
        <v>0</v>
      </c>
      <c r="BZ450" s="890"/>
      <c r="CA450" s="883">
        <f t="shared" si="127"/>
        <v>0</v>
      </c>
      <c r="CB450" s="880"/>
      <c r="CC450" s="881"/>
      <c r="CD450" s="883"/>
      <c r="CE450" s="883"/>
      <c r="CF450" s="883"/>
      <c r="CG450" s="883"/>
      <c r="CH450" s="883"/>
      <c r="CI450" s="883"/>
      <c r="CJ450" s="883"/>
      <c r="CK450" s="883"/>
      <c r="CL450" s="883"/>
      <c r="CM450" s="883"/>
      <c r="CN450" s="883"/>
      <c r="CO450" s="883"/>
      <c r="CP450" s="883"/>
      <c r="CQ450" s="883"/>
      <c r="CR450" s="883"/>
      <c r="CS450" s="883"/>
      <c r="CT450" s="883"/>
      <c r="CU450" s="883"/>
    </row>
    <row r="451" spans="1:99" x14ac:dyDescent="0.25">
      <c r="A451" s="880" t="s">
        <v>2847</v>
      </c>
      <c r="B451" s="881" t="s">
        <v>2287</v>
      </c>
      <c r="C451" s="880" t="s">
        <v>2848</v>
      </c>
      <c r="D451" s="880"/>
      <c r="E451" s="884" t="s">
        <v>744</v>
      </c>
      <c r="F451" s="888">
        <v>1</v>
      </c>
      <c r="G451" s="881" t="s">
        <v>1007</v>
      </c>
      <c r="H451" s="881" t="s">
        <v>19</v>
      </c>
      <c r="I451" s="865">
        <v>46133</v>
      </c>
      <c r="J451" s="882" t="s">
        <v>8</v>
      </c>
      <c r="K451" s="880"/>
      <c r="L451" s="880"/>
      <c r="M451" s="883">
        <v>0</v>
      </c>
      <c r="N451" s="883">
        <v>0</v>
      </c>
      <c r="O451" s="883">
        <v>0</v>
      </c>
      <c r="P451" s="883">
        <v>432</v>
      </c>
      <c r="Q451" s="883">
        <v>15</v>
      </c>
      <c r="R451" s="883">
        <f t="shared" si="112"/>
        <v>64.8</v>
      </c>
      <c r="S451" s="883">
        <v>0</v>
      </c>
      <c r="T451" s="883">
        <v>5</v>
      </c>
      <c r="U451" s="883">
        <f t="shared" si="113"/>
        <v>0</v>
      </c>
      <c r="V451" s="883">
        <v>0</v>
      </c>
      <c r="W451" s="883">
        <v>8</v>
      </c>
      <c r="X451" s="883">
        <f t="shared" si="114"/>
        <v>0</v>
      </c>
      <c r="Y451" s="883">
        <v>0</v>
      </c>
      <c r="Z451" s="883">
        <v>0</v>
      </c>
      <c r="AA451" s="883">
        <v>0</v>
      </c>
      <c r="AB451" s="883">
        <f t="shared" si="115"/>
        <v>496.8</v>
      </c>
      <c r="AC451" s="883">
        <v>0</v>
      </c>
      <c r="AD451" s="881"/>
      <c r="AE451" s="880"/>
      <c r="AF451" s="883"/>
      <c r="AG451" s="889"/>
      <c r="AH451" s="880"/>
      <c r="AI451" s="880" t="s">
        <v>1241</v>
      </c>
      <c r="AJ451" s="884">
        <v>411</v>
      </c>
      <c r="AK451" s="883">
        <f t="shared" si="116"/>
        <v>432</v>
      </c>
      <c r="AL451" s="884">
        <v>413</v>
      </c>
      <c r="AM451" s="883">
        <f t="shared" si="117"/>
        <v>0</v>
      </c>
      <c r="AN451" s="884">
        <v>441</v>
      </c>
      <c r="AO451" s="883">
        <f t="shared" si="118"/>
        <v>0</v>
      </c>
      <c r="AP451" s="881"/>
      <c r="AQ451" s="881"/>
      <c r="AR451" s="883">
        <v>0</v>
      </c>
      <c r="AS451" s="883">
        <v>0</v>
      </c>
      <c r="AT451" s="883">
        <v>0</v>
      </c>
      <c r="AU451" s="880"/>
      <c r="AV451" s="886"/>
      <c r="AW451" s="880"/>
      <c r="AX451" s="886"/>
      <c r="AY451" s="880"/>
      <c r="AZ451" s="880"/>
      <c r="BA451" s="881"/>
      <c r="BB451" s="881" t="s">
        <v>57</v>
      </c>
      <c r="BC451" s="881"/>
      <c r="BD451" s="881"/>
      <c r="BE451" s="884">
        <f t="shared" si="119"/>
        <v>4</v>
      </c>
      <c r="BF451" s="887" t="str">
        <f t="shared" si="120"/>
        <v>SI</v>
      </c>
      <c r="BG451" s="883">
        <f t="shared" si="121"/>
        <v>432</v>
      </c>
      <c r="BH451" s="883">
        <f t="shared" si="122"/>
        <v>0</v>
      </c>
      <c r="BI451" s="883">
        <f t="shared" si="123"/>
        <v>0</v>
      </c>
      <c r="BJ451" s="883">
        <f t="shared" si="124"/>
        <v>0</v>
      </c>
      <c r="BK451" s="883">
        <f t="shared" si="125"/>
        <v>0</v>
      </c>
      <c r="BL451" s="883">
        <f t="shared" si="126"/>
        <v>64.8</v>
      </c>
      <c r="BM451" s="881"/>
      <c r="BN451" s="880"/>
      <c r="BO451" s="882" t="s">
        <v>1579</v>
      </c>
      <c r="BP451" s="882" t="s">
        <v>2286</v>
      </c>
      <c r="BQ451" s="882" t="s">
        <v>2285</v>
      </c>
      <c r="BR451" s="880"/>
      <c r="BS451" s="880"/>
      <c r="BT451" s="880"/>
      <c r="BU451" s="880"/>
      <c r="BV451" s="880"/>
      <c r="BW451" s="883">
        <v>0</v>
      </c>
      <c r="BX451" s="883">
        <v>0</v>
      </c>
      <c r="BY451" s="883">
        <v>0</v>
      </c>
      <c r="BZ451" s="890"/>
      <c r="CA451" s="883">
        <f t="shared" si="127"/>
        <v>0</v>
      </c>
      <c r="CB451" s="880"/>
      <c r="CC451" s="881"/>
      <c r="CD451" s="883"/>
      <c r="CE451" s="883"/>
      <c r="CF451" s="883"/>
      <c r="CG451" s="883"/>
      <c r="CH451" s="883"/>
      <c r="CI451" s="883"/>
      <c r="CJ451" s="883"/>
      <c r="CK451" s="883"/>
      <c r="CL451" s="883"/>
      <c r="CM451" s="883"/>
      <c r="CN451" s="883"/>
      <c r="CO451" s="883"/>
      <c r="CP451" s="883"/>
      <c r="CQ451" s="883"/>
      <c r="CR451" s="883"/>
      <c r="CS451" s="883"/>
      <c r="CT451" s="883"/>
      <c r="CU451" s="883"/>
    </row>
    <row r="452" spans="1:99" x14ac:dyDescent="0.25">
      <c r="A452" s="880" t="s">
        <v>2847</v>
      </c>
      <c r="B452" s="881" t="s">
        <v>2287</v>
      </c>
      <c r="C452" s="880" t="s">
        <v>2848</v>
      </c>
      <c r="D452" s="880"/>
      <c r="E452" s="884" t="s">
        <v>744</v>
      </c>
      <c r="F452" s="888">
        <v>1</v>
      </c>
      <c r="G452" s="881" t="s">
        <v>1007</v>
      </c>
      <c r="H452" s="881" t="s">
        <v>19</v>
      </c>
      <c r="I452" s="865">
        <v>46133</v>
      </c>
      <c r="J452" s="882" t="s">
        <v>8</v>
      </c>
      <c r="K452" s="880"/>
      <c r="L452" s="880"/>
      <c r="M452" s="883">
        <v>0</v>
      </c>
      <c r="N452" s="883">
        <v>0</v>
      </c>
      <c r="O452" s="883">
        <v>0</v>
      </c>
      <c r="P452" s="883">
        <v>406.25</v>
      </c>
      <c r="Q452" s="883">
        <v>15</v>
      </c>
      <c r="R452" s="883">
        <f t="shared" si="112"/>
        <v>60.94</v>
      </c>
      <c r="S452" s="883">
        <v>0</v>
      </c>
      <c r="T452" s="883">
        <v>5</v>
      </c>
      <c r="U452" s="883">
        <f t="shared" si="113"/>
        <v>0</v>
      </c>
      <c r="V452" s="883">
        <v>0</v>
      </c>
      <c r="W452" s="883">
        <v>8</v>
      </c>
      <c r="X452" s="883">
        <f t="shared" si="114"/>
        <v>0</v>
      </c>
      <c r="Y452" s="883">
        <v>0</v>
      </c>
      <c r="Z452" s="883">
        <v>0</v>
      </c>
      <c r="AA452" s="883">
        <v>0</v>
      </c>
      <c r="AB452" s="883">
        <f t="shared" si="115"/>
        <v>467.19</v>
      </c>
      <c r="AC452" s="883">
        <v>0</v>
      </c>
      <c r="AD452" s="881"/>
      <c r="AE452" s="880"/>
      <c r="AF452" s="883"/>
      <c r="AG452" s="889"/>
      <c r="AH452" s="880"/>
      <c r="AI452" s="880" t="s">
        <v>1241</v>
      </c>
      <c r="AJ452" s="884">
        <v>411</v>
      </c>
      <c r="AK452" s="883">
        <f t="shared" si="116"/>
        <v>406.25</v>
      </c>
      <c r="AL452" s="884">
        <v>413</v>
      </c>
      <c r="AM452" s="883">
        <f t="shared" si="117"/>
        <v>0</v>
      </c>
      <c r="AN452" s="884">
        <v>441</v>
      </c>
      <c r="AO452" s="883">
        <f t="shared" si="118"/>
        <v>0</v>
      </c>
      <c r="AP452" s="881"/>
      <c r="AQ452" s="881"/>
      <c r="AR452" s="883">
        <v>0</v>
      </c>
      <c r="AS452" s="883">
        <v>0</v>
      </c>
      <c r="AT452" s="883">
        <v>0</v>
      </c>
      <c r="AU452" s="880"/>
      <c r="AV452" s="886"/>
      <c r="AW452" s="880"/>
      <c r="AX452" s="886"/>
      <c r="AY452" s="880"/>
      <c r="AZ452" s="880"/>
      <c r="BA452" s="881"/>
      <c r="BB452" s="881" t="s">
        <v>57</v>
      </c>
      <c r="BC452" s="881"/>
      <c r="BD452" s="881"/>
      <c r="BE452" s="884">
        <f t="shared" si="119"/>
        <v>4</v>
      </c>
      <c r="BF452" s="887" t="str">
        <f t="shared" si="120"/>
        <v>SI</v>
      </c>
      <c r="BG452" s="883">
        <f t="shared" si="121"/>
        <v>406.25</v>
      </c>
      <c r="BH452" s="883">
        <f t="shared" si="122"/>
        <v>0</v>
      </c>
      <c r="BI452" s="883">
        <f t="shared" si="123"/>
        <v>0</v>
      </c>
      <c r="BJ452" s="883">
        <f t="shared" si="124"/>
        <v>0</v>
      </c>
      <c r="BK452" s="883">
        <f t="shared" si="125"/>
        <v>0</v>
      </c>
      <c r="BL452" s="883">
        <f t="shared" si="126"/>
        <v>60.94</v>
      </c>
      <c r="BM452" s="881"/>
      <c r="BN452" s="880"/>
      <c r="BO452" s="882" t="s">
        <v>1579</v>
      </c>
      <c r="BP452" s="882" t="s">
        <v>2286</v>
      </c>
      <c r="BQ452" s="882" t="s">
        <v>2285</v>
      </c>
      <c r="BR452" s="880"/>
      <c r="BS452" s="880"/>
      <c r="BT452" s="880"/>
      <c r="BU452" s="880"/>
      <c r="BV452" s="880"/>
      <c r="BW452" s="883">
        <v>0</v>
      </c>
      <c r="BX452" s="883">
        <v>0</v>
      </c>
      <c r="BY452" s="883">
        <v>0</v>
      </c>
      <c r="BZ452" s="890"/>
      <c r="CA452" s="883">
        <f t="shared" si="127"/>
        <v>0</v>
      </c>
      <c r="CB452" s="880"/>
      <c r="CC452" s="881"/>
      <c r="CD452" s="883"/>
      <c r="CE452" s="883"/>
      <c r="CF452" s="883"/>
      <c r="CG452" s="883"/>
      <c r="CH452" s="883"/>
      <c r="CI452" s="883"/>
      <c r="CJ452" s="883"/>
      <c r="CK452" s="883"/>
      <c r="CL452" s="883"/>
      <c r="CM452" s="883"/>
      <c r="CN452" s="883"/>
      <c r="CO452" s="883"/>
      <c r="CP452" s="883"/>
      <c r="CQ452" s="883"/>
      <c r="CR452" s="883"/>
      <c r="CS452" s="883"/>
      <c r="CT452" s="883"/>
      <c r="CU452" s="883"/>
    </row>
    <row r="453" spans="1:99" x14ac:dyDescent="0.25">
      <c r="A453" s="880" t="s">
        <v>2847</v>
      </c>
      <c r="B453" s="881" t="s">
        <v>2287</v>
      </c>
      <c r="C453" s="880" t="s">
        <v>2848</v>
      </c>
      <c r="D453" s="880"/>
      <c r="E453" s="884" t="s">
        <v>744</v>
      </c>
      <c r="F453" s="888">
        <v>1</v>
      </c>
      <c r="G453" s="881" t="s">
        <v>1007</v>
      </c>
      <c r="H453" s="881" t="s">
        <v>19</v>
      </c>
      <c r="I453" s="865">
        <v>46134</v>
      </c>
      <c r="J453" s="882" t="s">
        <v>8</v>
      </c>
      <c r="K453" s="880"/>
      <c r="L453" s="880"/>
      <c r="M453" s="883">
        <v>0</v>
      </c>
      <c r="N453" s="883">
        <v>0</v>
      </c>
      <c r="O453" s="883">
        <v>0</v>
      </c>
      <c r="P453" s="883">
        <v>433.24999999999994</v>
      </c>
      <c r="Q453" s="883">
        <v>15</v>
      </c>
      <c r="R453" s="883">
        <f t="shared" ref="R453:R482" si="128">ROUND(P453*Q453%,2)</f>
        <v>64.989999999999995</v>
      </c>
      <c r="S453" s="883">
        <v>0</v>
      </c>
      <c r="T453" s="883">
        <v>5</v>
      </c>
      <c r="U453" s="883">
        <f t="shared" ref="U453:U482" si="129">ROUND(S453*T453%,2)</f>
        <v>0</v>
      </c>
      <c r="V453" s="883">
        <v>0</v>
      </c>
      <c r="W453" s="883">
        <v>8</v>
      </c>
      <c r="X453" s="883">
        <f t="shared" ref="X453:X482" si="130">ROUND(V453*W453%,2)</f>
        <v>0</v>
      </c>
      <c r="Y453" s="883">
        <v>0</v>
      </c>
      <c r="Z453" s="883">
        <v>0</v>
      </c>
      <c r="AA453" s="883">
        <v>0</v>
      </c>
      <c r="AB453" s="883">
        <f t="shared" ref="AB453:AB482" si="131">ROUND(SUM(M453:P453)+SUM(R453:S453)+SUM(U453:V453)+SUM(X453:AA453),2)</f>
        <v>498.24</v>
      </c>
      <c r="AC453" s="883">
        <v>0</v>
      </c>
      <c r="AD453" s="881"/>
      <c r="AE453" s="880"/>
      <c r="AF453" s="883"/>
      <c r="AG453" s="889"/>
      <c r="AH453" s="880"/>
      <c r="AI453" s="880" t="s">
        <v>1241</v>
      </c>
      <c r="AJ453" s="884">
        <v>411</v>
      </c>
      <c r="AK453" s="883">
        <f t="shared" si="5"/>
        <v>433.24999999999994</v>
      </c>
      <c r="AL453" s="884">
        <v>413</v>
      </c>
      <c r="AM453" s="883">
        <f t="shared" si="6"/>
        <v>0</v>
      </c>
      <c r="AN453" s="884">
        <v>441</v>
      </c>
      <c r="AO453" s="883">
        <f t="shared" si="7"/>
        <v>0</v>
      </c>
      <c r="AP453" s="881"/>
      <c r="AQ453" s="881"/>
      <c r="AR453" s="883">
        <v>0</v>
      </c>
      <c r="AS453" s="883">
        <v>0</v>
      </c>
      <c r="AT453" s="883">
        <v>0</v>
      </c>
      <c r="AU453" s="880"/>
      <c r="AV453" s="886"/>
      <c r="AW453" s="880"/>
      <c r="AX453" s="886"/>
      <c r="AY453" s="880"/>
      <c r="AZ453" s="880"/>
      <c r="BA453" s="881"/>
      <c r="BB453" s="881" t="s">
        <v>57</v>
      </c>
      <c r="BC453" s="881"/>
      <c r="BD453" s="881"/>
      <c r="BE453" s="884">
        <f t="shared" ref="BE453:BE482" si="132">IF(ISNUMBER(I453),MONTH(I453),0)</f>
        <v>4</v>
      </c>
      <c r="BF453" s="887" t="str">
        <f t="shared" si="0"/>
        <v>SI</v>
      </c>
      <c r="BG453" s="883">
        <f t="shared" ref="BG453:BG482" si="133">IF(ISBLANK(H453),0,IF(OR((VALUE(LEFT(H453,2))=4),((LEFT(H453,3))="372")),0,AK453))</f>
        <v>433.24999999999994</v>
      </c>
      <c r="BH453" s="883">
        <f t="shared" ref="BH453:BH482" si="134">IF(ISBLANK(H453),0,IF(OR((VALUE(LEFT(H453,2))=4),((LEFT(H453,3))="372")),0,AM453))</f>
        <v>0</v>
      </c>
      <c r="BI453" s="883">
        <f t="shared" ref="BI453:BI482" si="135">IF(ISBLANK(H453),0,IF(OR((VALUE(LEFT(H453,2))=4),((LEFT(H453,3))="372")),0,AO453))</f>
        <v>0</v>
      </c>
      <c r="BJ453" s="883">
        <f t="shared" ref="BJ453:BJ482" si="136">SUM(M453:O453)+SUM(Y453:AA453)</f>
        <v>0</v>
      </c>
      <c r="BK453" s="883">
        <f t="shared" ref="BK453:BK482" si="137">ROUND((IF(AJ453=444,(R453+U453+X453),0)+IF(AL453=444,(R453+U453+X453),0)+IF(AN453=444,(R453+U453+X453),0)),2)</f>
        <v>0</v>
      </c>
      <c r="BL453" s="883">
        <f t="shared" ref="BL453:BL482" si="138">R453+U453+X453-BK453</f>
        <v>64.989999999999995</v>
      </c>
      <c r="BM453" s="881"/>
      <c r="BN453" s="880"/>
      <c r="BO453" s="882" t="s">
        <v>1579</v>
      </c>
      <c r="BP453" s="882" t="s">
        <v>2286</v>
      </c>
      <c r="BQ453" s="882" t="s">
        <v>2285</v>
      </c>
      <c r="BR453" s="880"/>
      <c r="BS453" s="880"/>
      <c r="BT453" s="880"/>
      <c r="BU453" s="880"/>
      <c r="BV453" s="880"/>
      <c r="BW453" s="883">
        <v>0</v>
      </c>
      <c r="BX453" s="883">
        <v>0</v>
      </c>
      <c r="BY453" s="883">
        <v>0</v>
      </c>
      <c r="BZ453" s="890"/>
      <c r="CA453" s="883">
        <f t="shared" ref="CA453:CA482" si="139">ROUND((IF(OR(AJ453=413,AJ453=414),AK453,0)+IF(OR(AL453=413,AL453=414),AM453,0)+IF(OR(AN453=413,AN453=414),AO453,0)),2)</f>
        <v>0</v>
      </c>
      <c r="CB453" s="880"/>
      <c r="CC453" s="881"/>
      <c r="CD453" s="883"/>
      <c r="CE453" s="883"/>
      <c r="CF453" s="883"/>
      <c r="CG453" s="883"/>
      <c r="CH453" s="883"/>
      <c r="CI453" s="883"/>
      <c r="CJ453" s="883"/>
      <c r="CK453" s="883"/>
      <c r="CL453" s="883"/>
      <c r="CM453" s="883"/>
      <c r="CN453" s="883"/>
      <c r="CO453" s="883"/>
      <c r="CP453" s="883"/>
      <c r="CQ453" s="883"/>
      <c r="CR453" s="883"/>
      <c r="CS453" s="883"/>
      <c r="CT453" s="883"/>
      <c r="CU453" s="883"/>
    </row>
    <row r="454" spans="1:99" x14ac:dyDescent="0.25">
      <c r="A454" s="880" t="s">
        <v>2847</v>
      </c>
      <c r="B454" s="881" t="s">
        <v>2287</v>
      </c>
      <c r="C454" s="880" t="s">
        <v>2848</v>
      </c>
      <c r="D454" s="880"/>
      <c r="E454" s="884" t="s">
        <v>744</v>
      </c>
      <c r="F454" s="888">
        <v>1</v>
      </c>
      <c r="G454" s="881" t="s">
        <v>1007</v>
      </c>
      <c r="H454" s="881" t="s">
        <v>19</v>
      </c>
      <c r="I454" s="865">
        <v>46134</v>
      </c>
      <c r="J454" s="882" t="s">
        <v>8</v>
      </c>
      <c r="K454" s="880"/>
      <c r="L454" s="880"/>
      <c r="M454" s="883">
        <v>0</v>
      </c>
      <c r="N454" s="883">
        <v>0</v>
      </c>
      <c r="O454" s="883">
        <v>0</v>
      </c>
      <c r="P454" s="883">
        <v>418.75</v>
      </c>
      <c r="Q454" s="883">
        <v>15</v>
      </c>
      <c r="R454" s="883">
        <f t="shared" si="128"/>
        <v>62.81</v>
      </c>
      <c r="S454" s="883">
        <v>0</v>
      </c>
      <c r="T454" s="883">
        <v>5</v>
      </c>
      <c r="U454" s="883">
        <f t="shared" si="129"/>
        <v>0</v>
      </c>
      <c r="V454" s="883">
        <v>0</v>
      </c>
      <c r="W454" s="883">
        <v>8</v>
      </c>
      <c r="X454" s="883">
        <f t="shared" si="130"/>
        <v>0</v>
      </c>
      <c r="Y454" s="883">
        <v>0</v>
      </c>
      <c r="Z454" s="883">
        <v>0</v>
      </c>
      <c r="AA454" s="883">
        <v>0</v>
      </c>
      <c r="AB454" s="883">
        <f t="shared" si="131"/>
        <v>481.56</v>
      </c>
      <c r="AC454" s="883">
        <v>0</v>
      </c>
      <c r="AD454" s="881"/>
      <c r="AE454" s="880"/>
      <c r="AF454" s="883"/>
      <c r="AG454" s="889"/>
      <c r="AH454" s="880"/>
      <c r="AI454" s="880" t="s">
        <v>1241</v>
      </c>
      <c r="AJ454" s="884">
        <v>411</v>
      </c>
      <c r="AK454" s="883">
        <f t="shared" si="5"/>
        <v>418.75</v>
      </c>
      <c r="AL454" s="884">
        <v>413</v>
      </c>
      <c r="AM454" s="883">
        <f t="shared" si="6"/>
        <v>0</v>
      </c>
      <c r="AN454" s="884">
        <v>441</v>
      </c>
      <c r="AO454" s="883">
        <f t="shared" si="7"/>
        <v>0</v>
      </c>
      <c r="AP454" s="881"/>
      <c r="AQ454" s="881"/>
      <c r="AR454" s="883">
        <v>0</v>
      </c>
      <c r="AS454" s="883">
        <v>0</v>
      </c>
      <c r="AT454" s="883">
        <v>0</v>
      </c>
      <c r="AU454" s="880"/>
      <c r="AV454" s="886"/>
      <c r="AW454" s="880"/>
      <c r="AX454" s="886"/>
      <c r="AY454" s="880"/>
      <c r="AZ454" s="880"/>
      <c r="BA454" s="881"/>
      <c r="BB454" s="881" t="s">
        <v>57</v>
      </c>
      <c r="BC454" s="881"/>
      <c r="BD454" s="881"/>
      <c r="BE454" s="884">
        <f t="shared" si="132"/>
        <v>4</v>
      </c>
      <c r="BF454" s="887" t="str">
        <f t="shared" si="0"/>
        <v>SI</v>
      </c>
      <c r="BG454" s="883">
        <f t="shared" si="133"/>
        <v>418.75</v>
      </c>
      <c r="BH454" s="883">
        <f t="shared" si="134"/>
        <v>0</v>
      </c>
      <c r="BI454" s="883">
        <f t="shared" si="135"/>
        <v>0</v>
      </c>
      <c r="BJ454" s="883">
        <f t="shared" si="136"/>
        <v>0</v>
      </c>
      <c r="BK454" s="883">
        <f t="shared" si="137"/>
        <v>0</v>
      </c>
      <c r="BL454" s="883">
        <f t="shared" si="138"/>
        <v>62.81</v>
      </c>
      <c r="BM454" s="881"/>
      <c r="BN454" s="880"/>
      <c r="BO454" s="882" t="s">
        <v>1579</v>
      </c>
      <c r="BP454" s="882" t="s">
        <v>2286</v>
      </c>
      <c r="BQ454" s="882" t="s">
        <v>2285</v>
      </c>
      <c r="BR454" s="880"/>
      <c r="BS454" s="880"/>
      <c r="BT454" s="880"/>
      <c r="BU454" s="880"/>
      <c r="BV454" s="880"/>
      <c r="BW454" s="883">
        <v>0</v>
      </c>
      <c r="BX454" s="883">
        <v>0</v>
      </c>
      <c r="BY454" s="883">
        <v>0</v>
      </c>
      <c r="BZ454" s="890"/>
      <c r="CA454" s="883">
        <f t="shared" si="139"/>
        <v>0</v>
      </c>
      <c r="CB454" s="880"/>
      <c r="CC454" s="881"/>
      <c r="CD454" s="883"/>
      <c r="CE454" s="883"/>
      <c r="CF454" s="883"/>
      <c r="CG454" s="883"/>
      <c r="CH454" s="883"/>
      <c r="CI454" s="883"/>
      <c r="CJ454" s="883"/>
      <c r="CK454" s="883"/>
      <c r="CL454" s="883"/>
      <c r="CM454" s="883"/>
      <c r="CN454" s="883"/>
      <c r="CO454" s="883"/>
      <c r="CP454" s="883"/>
      <c r="CQ454" s="883"/>
      <c r="CR454" s="883"/>
      <c r="CS454" s="883"/>
      <c r="CT454" s="883"/>
      <c r="CU454" s="883"/>
    </row>
    <row r="455" spans="1:99" x14ac:dyDescent="0.25">
      <c r="A455" s="880" t="s">
        <v>2847</v>
      </c>
      <c r="B455" s="881" t="s">
        <v>2287</v>
      </c>
      <c r="C455" s="880" t="s">
        <v>2848</v>
      </c>
      <c r="D455" s="880"/>
      <c r="E455" s="884" t="s">
        <v>744</v>
      </c>
      <c r="F455" s="888">
        <v>1</v>
      </c>
      <c r="G455" s="881" t="s">
        <v>1007</v>
      </c>
      <c r="H455" s="881" t="s">
        <v>19</v>
      </c>
      <c r="I455" s="865">
        <v>46134</v>
      </c>
      <c r="J455" s="882" t="s">
        <v>8</v>
      </c>
      <c r="K455" s="880"/>
      <c r="L455" s="880"/>
      <c r="M455" s="883">
        <v>0</v>
      </c>
      <c r="N455" s="883">
        <v>0</v>
      </c>
      <c r="O455" s="883">
        <v>0</v>
      </c>
      <c r="P455" s="883">
        <v>390.99999999999994</v>
      </c>
      <c r="Q455" s="883">
        <v>15</v>
      </c>
      <c r="R455" s="883">
        <f t="shared" si="128"/>
        <v>58.65</v>
      </c>
      <c r="S455" s="883">
        <v>0</v>
      </c>
      <c r="T455" s="883">
        <v>5</v>
      </c>
      <c r="U455" s="883">
        <f t="shared" si="129"/>
        <v>0</v>
      </c>
      <c r="V455" s="883">
        <v>0</v>
      </c>
      <c r="W455" s="883">
        <v>8</v>
      </c>
      <c r="X455" s="883">
        <f t="shared" si="130"/>
        <v>0</v>
      </c>
      <c r="Y455" s="883">
        <v>0</v>
      </c>
      <c r="Z455" s="883">
        <v>0</v>
      </c>
      <c r="AA455" s="883">
        <v>0</v>
      </c>
      <c r="AB455" s="883">
        <f t="shared" si="131"/>
        <v>449.65</v>
      </c>
      <c r="AC455" s="883">
        <v>0</v>
      </c>
      <c r="AD455" s="881"/>
      <c r="AE455" s="880"/>
      <c r="AF455" s="883"/>
      <c r="AG455" s="889"/>
      <c r="AH455" s="880"/>
      <c r="AI455" s="880" t="s">
        <v>1241</v>
      </c>
      <c r="AJ455" s="884">
        <v>411</v>
      </c>
      <c r="AK455" s="883">
        <f t="shared" si="5"/>
        <v>390.99999999999994</v>
      </c>
      <c r="AL455" s="884">
        <v>413</v>
      </c>
      <c r="AM455" s="883">
        <f t="shared" si="6"/>
        <v>0</v>
      </c>
      <c r="AN455" s="884">
        <v>441</v>
      </c>
      <c r="AO455" s="883">
        <f t="shared" si="7"/>
        <v>0</v>
      </c>
      <c r="AP455" s="881"/>
      <c r="AQ455" s="881"/>
      <c r="AR455" s="883">
        <v>0</v>
      </c>
      <c r="AS455" s="883">
        <v>0</v>
      </c>
      <c r="AT455" s="883">
        <v>0</v>
      </c>
      <c r="AU455" s="880"/>
      <c r="AV455" s="886"/>
      <c r="AW455" s="880"/>
      <c r="AX455" s="886"/>
      <c r="AY455" s="880"/>
      <c r="AZ455" s="880"/>
      <c r="BA455" s="881"/>
      <c r="BB455" s="881" t="s">
        <v>57</v>
      </c>
      <c r="BC455" s="881"/>
      <c r="BD455" s="881"/>
      <c r="BE455" s="884">
        <f t="shared" si="132"/>
        <v>4</v>
      </c>
      <c r="BF455" s="887" t="str">
        <f t="shared" si="0"/>
        <v>SI</v>
      </c>
      <c r="BG455" s="883">
        <f t="shared" si="133"/>
        <v>390.99999999999994</v>
      </c>
      <c r="BH455" s="883">
        <f t="shared" si="134"/>
        <v>0</v>
      </c>
      <c r="BI455" s="883">
        <f t="shared" si="135"/>
        <v>0</v>
      </c>
      <c r="BJ455" s="883">
        <f t="shared" si="136"/>
        <v>0</v>
      </c>
      <c r="BK455" s="883">
        <f t="shared" si="137"/>
        <v>0</v>
      </c>
      <c r="BL455" s="883">
        <f t="shared" si="138"/>
        <v>58.65</v>
      </c>
      <c r="BM455" s="881"/>
      <c r="BN455" s="880"/>
      <c r="BO455" s="882" t="s">
        <v>1579</v>
      </c>
      <c r="BP455" s="882" t="s">
        <v>2286</v>
      </c>
      <c r="BQ455" s="882" t="s">
        <v>2285</v>
      </c>
      <c r="BR455" s="880"/>
      <c r="BS455" s="880"/>
      <c r="BT455" s="880"/>
      <c r="BU455" s="880"/>
      <c r="BV455" s="880"/>
      <c r="BW455" s="883">
        <v>0</v>
      </c>
      <c r="BX455" s="883">
        <v>0</v>
      </c>
      <c r="BY455" s="883">
        <v>0</v>
      </c>
      <c r="BZ455" s="890"/>
      <c r="CA455" s="883">
        <f t="shared" si="139"/>
        <v>0</v>
      </c>
      <c r="CB455" s="880"/>
      <c r="CC455" s="881"/>
      <c r="CD455" s="883"/>
      <c r="CE455" s="883"/>
      <c r="CF455" s="883"/>
      <c r="CG455" s="883"/>
      <c r="CH455" s="883"/>
      <c r="CI455" s="883"/>
      <c r="CJ455" s="883"/>
      <c r="CK455" s="883"/>
      <c r="CL455" s="883"/>
      <c r="CM455" s="883"/>
      <c r="CN455" s="883"/>
      <c r="CO455" s="883"/>
      <c r="CP455" s="883"/>
      <c r="CQ455" s="883"/>
      <c r="CR455" s="883"/>
      <c r="CS455" s="883"/>
      <c r="CT455" s="883"/>
      <c r="CU455" s="883"/>
    </row>
    <row r="456" spans="1:99" x14ac:dyDescent="0.25">
      <c r="A456" s="880" t="s">
        <v>2847</v>
      </c>
      <c r="B456" s="881" t="s">
        <v>2287</v>
      </c>
      <c r="C456" s="880" t="s">
        <v>2848</v>
      </c>
      <c r="D456" s="880"/>
      <c r="E456" s="884" t="s">
        <v>744</v>
      </c>
      <c r="F456" s="888">
        <v>1</v>
      </c>
      <c r="G456" s="881" t="s">
        <v>1007</v>
      </c>
      <c r="H456" s="881" t="s">
        <v>19</v>
      </c>
      <c r="I456" s="865">
        <v>46134</v>
      </c>
      <c r="J456" s="882" t="s">
        <v>8</v>
      </c>
      <c r="K456" s="880"/>
      <c r="L456" s="880"/>
      <c r="M456" s="883">
        <v>0</v>
      </c>
      <c r="N456" s="883">
        <v>0</v>
      </c>
      <c r="O456" s="883">
        <v>0</v>
      </c>
      <c r="P456" s="883">
        <v>434.1</v>
      </c>
      <c r="Q456" s="883">
        <v>15</v>
      </c>
      <c r="R456" s="883">
        <f t="shared" si="128"/>
        <v>65.12</v>
      </c>
      <c r="S456" s="883">
        <v>0</v>
      </c>
      <c r="T456" s="883">
        <v>5</v>
      </c>
      <c r="U456" s="883">
        <f t="shared" si="129"/>
        <v>0</v>
      </c>
      <c r="V456" s="883">
        <v>0</v>
      </c>
      <c r="W456" s="883">
        <v>8</v>
      </c>
      <c r="X456" s="883">
        <f t="shared" si="130"/>
        <v>0</v>
      </c>
      <c r="Y456" s="883">
        <v>0</v>
      </c>
      <c r="Z456" s="883">
        <v>0</v>
      </c>
      <c r="AA456" s="883">
        <v>0</v>
      </c>
      <c r="AB456" s="883">
        <f t="shared" si="131"/>
        <v>499.22</v>
      </c>
      <c r="AC456" s="883">
        <v>0</v>
      </c>
      <c r="AD456" s="881"/>
      <c r="AE456" s="880"/>
      <c r="AF456" s="883"/>
      <c r="AG456" s="889"/>
      <c r="AH456" s="880"/>
      <c r="AI456" s="880" t="s">
        <v>1241</v>
      </c>
      <c r="AJ456" s="884">
        <v>411</v>
      </c>
      <c r="AK456" s="883">
        <f t="shared" si="5"/>
        <v>434.1</v>
      </c>
      <c r="AL456" s="884">
        <v>413</v>
      </c>
      <c r="AM456" s="883">
        <f t="shared" si="6"/>
        <v>0</v>
      </c>
      <c r="AN456" s="884">
        <v>441</v>
      </c>
      <c r="AO456" s="883">
        <f t="shared" si="7"/>
        <v>0</v>
      </c>
      <c r="AP456" s="881"/>
      <c r="AQ456" s="881"/>
      <c r="AR456" s="883">
        <v>0</v>
      </c>
      <c r="AS456" s="883">
        <v>0</v>
      </c>
      <c r="AT456" s="883">
        <v>0</v>
      </c>
      <c r="AU456" s="880"/>
      <c r="AV456" s="886"/>
      <c r="AW456" s="880"/>
      <c r="AX456" s="886"/>
      <c r="AY456" s="880"/>
      <c r="AZ456" s="880"/>
      <c r="BA456" s="881"/>
      <c r="BB456" s="881" t="s">
        <v>57</v>
      </c>
      <c r="BC456" s="881"/>
      <c r="BD456" s="881"/>
      <c r="BE456" s="884">
        <f t="shared" si="132"/>
        <v>4</v>
      </c>
      <c r="BF456" s="887" t="str">
        <f t="shared" si="0"/>
        <v>SI</v>
      </c>
      <c r="BG456" s="883">
        <f t="shared" si="133"/>
        <v>434.1</v>
      </c>
      <c r="BH456" s="883">
        <f t="shared" si="134"/>
        <v>0</v>
      </c>
      <c r="BI456" s="883">
        <f t="shared" si="135"/>
        <v>0</v>
      </c>
      <c r="BJ456" s="883">
        <f t="shared" si="136"/>
        <v>0</v>
      </c>
      <c r="BK456" s="883">
        <f t="shared" si="137"/>
        <v>0</v>
      </c>
      <c r="BL456" s="883">
        <f t="shared" si="138"/>
        <v>65.12</v>
      </c>
      <c r="BM456" s="881"/>
      <c r="BN456" s="880"/>
      <c r="BO456" s="882" t="s">
        <v>1579</v>
      </c>
      <c r="BP456" s="882" t="s">
        <v>2286</v>
      </c>
      <c r="BQ456" s="882" t="s">
        <v>2285</v>
      </c>
      <c r="BR456" s="880"/>
      <c r="BS456" s="880"/>
      <c r="BT456" s="880"/>
      <c r="BU456" s="880"/>
      <c r="BV456" s="880"/>
      <c r="BW456" s="883">
        <v>0</v>
      </c>
      <c r="BX456" s="883">
        <v>0</v>
      </c>
      <c r="BY456" s="883">
        <v>0</v>
      </c>
      <c r="BZ456" s="890"/>
      <c r="CA456" s="883">
        <f t="shared" si="139"/>
        <v>0</v>
      </c>
      <c r="CB456" s="880"/>
      <c r="CC456" s="881"/>
      <c r="CD456" s="883"/>
      <c r="CE456" s="883"/>
      <c r="CF456" s="883"/>
      <c r="CG456" s="883"/>
      <c r="CH456" s="883"/>
      <c r="CI456" s="883"/>
      <c r="CJ456" s="883"/>
      <c r="CK456" s="883"/>
      <c r="CL456" s="883"/>
      <c r="CM456" s="883"/>
      <c r="CN456" s="883"/>
      <c r="CO456" s="883"/>
      <c r="CP456" s="883"/>
      <c r="CQ456" s="883"/>
      <c r="CR456" s="883"/>
      <c r="CS456" s="883"/>
      <c r="CT456" s="883"/>
      <c r="CU456" s="883"/>
    </row>
    <row r="457" spans="1:99" x14ac:dyDescent="0.25">
      <c r="A457" s="880" t="s">
        <v>2847</v>
      </c>
      <c r="B457" s="881" t="s">
        <v>2287</v>
      </c>
      <c r="C457" s="880" t="s">
        <v>2848</v>
      </c>
      <c r="D457" s="880"/>
      <c r="E457" s="884" t="s">
        <v>744</v>
      </c>
      <c r="F457" s="888">
        <v>1</v>
      </c>
      <c r="G457" s="881" t="s">
        <v>1007</v>
      </c>
      <c r="H457" s="881" t="s">
        <v>19</v>
      </c>
      <c r="I457" s="865">
        <v>46134</v>
      </c>
      <c r="J457" s="882" t="s">
        <v>8</v>
      </c>
      <c r="K457" s="880"/>
      <c r="L457" s="880"/>
      <c r="M457" s="883">
        <v>0</v>
      </c>
      <c r="N457" s="883">
        <v>0</v>
      </c>
      <c r="O457" s="883">
        <v>0</v>
      </c>
      <c r="P457" s="883">
        <v>433.24999999999994</v>
      </c>
      <c r="Q457" s="883">
        <v>15</v>
      </c>
      <c r="R457" s="883">
        <f t="shared" si="128"/>
        <v>64.989999999999995</v>
      </c>
      <c r="S457" s="883">
        <v>0</v>
      </c>
      <c r="T457" s="883">
        <v>5</v>
      </c>
      <c r="U457" s="883">
        <f t="shared" si="129"/>
        <v>0</v>
      </c>
      <c r="V457" s="883">
        <v>0</v>
      </c>
      <c r="W457" s="883">
        <v>8</v>
      </c>
      <c r="X457" s="883">
        <f t="shared" si="130"/>
        <v>0</v>
      </c>
      <c r="Y457" s="883">
        <v>0</v>
      </c>
      <c r="Z457" s="883">
        <v>0</v>
      </c>
      <c r="AA457" s="883">
        <v>0</v>
      </c>
      <c r="AB457" s="883">
        <f t="shared" si="131"/>
        <v>498.24</v>
      </c>
      <c r="AC457" s="883">
        <v>0</v>
      </c>
      <c r="AD457" s="881"/>
      <c r="AE457" s="880"/>
      <c r="AF457" s="883"/>
      <c r="AG457" s="889"/>
      <c r="AH457" s="880"/>
      <c r="AI457" s="880" t="s">
        <v>1241</v>
      </c>
      <c r="AJ457" s="884">
        <v>411</v>
      </c>
      <c r="AK457" s="883">
        <f t="shared" si="5"/>
        <v>433.24999999999994</v>
      </c>
      <c r="AL457" s="884">
        <v>413</v>
      </c>
      <c r="AM457" s="883">
        <f t="shared" si="6"/>
        <v>0</v>
      </c>
      <c r="AN457" s="884">
        <v>441</v>
      </c>
      <c r="AO457" s="883">
        <f t="shared" si="7"/>
        <v>0</v>
      </c>
      <c r="AP457" s="881"/>
      <c r="AQ457" s="881"/>
      <c r="AR457" s="883">
        <v>0</v>
      </c>
      <c r="AS457" s="883">
        <v>0</v>
      </c>
      <c r="AT457" s="883">
        <v>0</v>
      </c>
      <c r="AU457" s="880"/>
      <c r="AV457" s="886"/>
      <c r="AW457" s="880"/>
      <c r="AX457" s="886"/>
      <c r="AY457" s="880"/>
      <c r="AZ457" s="880"/>
      <c r="BA457" s="881"/>
      <c r="BB457" s="881" t="s">
        <v>57</v>
      </c>
      <c r="BC457" s="881"/>
      <c r="BD457" s="881"/>
      <c r="BE457" s="884">
        <f t="shared" si="132"/>
        <v>4</v>
      </c>
      <c r="BF457" s="887" t="str">
        <f t="shared" si="0"/>
        <v>SI</v>
      </c>
      <c r="BG457" s="883">
        <f t="shared" si="133"/>
        <v>433.24999999999994</v>
      </c>
      <c r="BH457" s="883">
        <f t="shared" si="134"/>
        <v>0</v>
      </c>
      <c r="BI457" s="883">
        <f t="shared" si="135"/>
        <v>0</v>
      </c>
      <c r="BJ457" s="883">
        <f t="shared" si="136"/>
        <v>0</v>
      </c>
      <c r="BK457" s="883">
        <f t="shared" si="137"/>
        <v>0</v>
      </c>
      <c r="BL457" s="883">
        <f t="shared" si="138"/>
        <v>64.989999999999995</v>
      </c>
      <c r="BM457" s="881"/>
      <c r="BN457" s="880"/>
      <c r="BO457" s="882" t="s">
        <v>1579</v>
      </c>
      <c r="BP457" s="882" t="s">
        <v>2286</v>
      </c>
      <c r="BQ457" s="882" t="s">
        <v>2285</v>
      </c>
      <c r="BR457" s="880"/>
      <c r="BS457" s="880"/>
      <c r="BT457" s="880"/>
      <c r="BU457" s="880"/>
      <c r="BV457" s="880"/>
      <c r="BW457" s="883">
        <v>0</v>
      </c>
      <c r="BX457" s="883">
        <v>0</v>
      </c>
      <c r="BY457" s="883">
        <v>0</v>
      </c>
      <c r="BZ457" s="890"/>
      <c r="CA457" s="883">
        <f t="shared" si="139"/>
        <v>0</v>
      </c>
      <c r="CB457" s="880"/>
      <c r="CC457" s="881"/>
      <c r="CD457" s="883"/>
      <c r="CE457" s="883"/>
      <c r="CF457" s="883"/>
      <c r="CG457" s="883"/>
      <c r="CH457" s="883"/>
      <c r="CI457" s="883"/>
      <c r="CJ457" s="883"/>
      <c r="CK457" s="883"/>
      <c r="CL457" s="883"/>
      <c r="CM457" s="883"/>
      <c r="CN457" s="883"/>
      <c r="CO457" s="883"/>
      <c r="CP457" s="883"/>
      <c r="CQ457" s="883"/>
      <c r="CR457" s="883"/>
      <c r="CS457" s="883"/>
      <c r="CT457" s="883"/>
      <c r="CU457" s="883"/>
    </row>
    <row r="458" spans="1:99" x14ac:dyDescent="0.25">
      <c r="A458" s="880" t="s">
        <v>2847</v>
      </c>
      <c r="B458" s="881" t="s">
        <v>2287</v>
      </c>
      <c r="C458" s="880" t="s">
        <v>2848</v>
      </c>
      <c r="D458" s="880"/>
      <c r="E458" s="884" t="s">
        <v>744</v>
      </c>
      <c r="F458" s="888">
        <v>1</v>
      </c>
      <c r="G458" s="881" t="s">
        <v>1007</v>
      </c>
      <c r="H458" s="881" t="s">
        <v>19</v>
      </c>
      <c r="I458" s="865">
        <v>46135</v>
      </c>
      <c r="J458" s="882" t="s">
        <v>8</v>
      </c>
      <c r="K458" s="880"/>
      <c r="L458" s="880"/>
      <c r="M458" s="883">
        <v>0</v>
      </c>
      <c r="N458" s="883">
        <v>0</v>
      </c>
      <c r="O458" s="883">
        <v>0</v>
      </c>
      <c r="P458" s="883">
        <v>432</v>
      </c>
      <c r="Q458" s="883">
        <v>15</v>
      </c>
      <c r="R458" s="883">
        <f t="shared" si="128"/>
        <v>64.8</v>
      </c>
      <c r="S458" s="883">
        <v>0</v>
      </c>
      <c r="T458" s="883">
        <v>5</v>
      </c>
      <c r="U458" s="883">
        <f t="shared" si="129"/>
        <v>0</v>
      </c>
      <c r="V458" s="883">
        <v>0</v>
      </c>
      <c r="W458" s="883">
        <v>8</v>
      </c>
      <c r="X458" s="883">
        <f t="shared" si="130"/>
        <v>0</v>
      </c>
      <c r="Y458" s="883">
        <v>0</v>
      </c>
      <c r="Z458" s="883">
        <v>0</v>
      </c>
      <c r="AA458" s="883">
        <v>0</v>
      </c>
      <c r="AB458" s="883">
        <f t="shared" si="131"/>
        <v>496.8</v>
      </c>
      <c r="AC458" s="883">
        <v>0</v>
      </c>
      <c r="AD458" s="881"/>
      <c r="AE458" s="880"/>
      <c r="AF458" s="883"/>
      <c r="AG458" s="889"/>
      <c r="AH458" s="880"/>
      <c r="AI458" s="880" t="s">
        <v>1241</v>
      </c>
      <c r="AJ458" s="884">
        <v>411</v>
      </c>
      <c r="AK458" s="883">
        <f t="shared" si="5"/>
        <v>432</v>
      </c>
      <c r="AL458" s="884">
        <v>413</v>
      </c>
      <c r="AM458" s="883">
        <f t="shared" si="6"/>
        <v>0</v>
      </c>
      <c r="AN458" s="884">
        <v>441</v>
      </c>
      <c r="AO458" s="883">
        <f t="shared" si="7"/>
        <v>0</v>
      </c>
      <c r="AP458" s="881"/>
      <c r="AQ458" s="881"/>
      <c r="AR458" s="883">
        <v>0</v>
      </c>
      <c r="AS458" s="883">
        <v>0</v>
      </c>
      <c r="AT458" s="883">
        <v>0</v>
      </c>
      <c r="AU458" s="880"/>
      <c r="AV458" s="886"/>
      <c r="AW458" s="880"/>
      <c r="AX458" s="886"/>
      <c r="AY458" s="880"/>
      <c r="AZ458" s="880"/>
      <c r="BA458" s="881"/>
      <c r="BB458" s="881" t="s">
        <v>57</v>
      </c>
      <c r="BC458" s="881"/>
      <c r="BD458" s="881"/>
      <c r="BE458" s="884">
        <f t="shared" si="132"/>
        <v>4</v>
      </c>
      <c r="BF458" s="887" t="str">
        <f t="shared" si="0"/>
        <v>SI</v>
      </c>
      <c r="BG458" s="883">
        <f t="shared" si="133"/>
        <v>432</v>
      </c>
      <c r="BH458" s="883">
        <f t="shared" si="134"/>
        <v>0</v>
      </c>
      <c r="BI458" s="883">
        <f t="shared" si="135"/>
        <v>0</v>
      </c>
      <c r="BJ458" s="883">
        <f t="shared" si="136"/>
        <v>0</v>
      </c>
      <c r="BK458" s="883">
        <f t="shared" si="137"/>
        <v>0</v>
      </c>
      <c r="BL458" s="883">
        <f t="shared" si="138"/>
        <v>64.8</v>
      </c>
      <c r="BM458" s="881"/>
      <c r="BN458" s="880"/>
      <c r="BO458" s="882" t="s">
        <v>1579</v>
      </c>
      <c r="BP458" s="882" t="s">
        <v>2286</v>
      </c>
      <c r="BQ458" s="882" t="s">
        <v>2285</v>
      </c>
      <c r="BR458" s="880"/>
      <c r="BS458" s="880"/>
      <c r="BT458" s="880"/>
      <c r="BU458" s="880"/>
      <c r="BV458" s="880"/>
      <c r="BW458" s="883">
        <v>0</v>
      </c>
      <c r="BX458" s="883">
        <v>0</v>
      </c>
      <c r="BY458" s="883">
        <v>0</v>
      </c>
      <c r="BZ458" s="890"/>
      <c r="CA458" s="883">
        <f t="shared" si="139"/>
        <v>0</v>
      </c>
      <c r="CB458" s="880"/>
      <c r="CC458" s="881"/>
      <c r="CD458" s="883"/>
      <c r="CE458" s="883"/>
      <c r="CF458" s="883"/>
      <c r="CG458" s="883"/>
      <c r="CH458" s="883"/>
      <c r="CI458" s="883"/>
      <c r="CJ458" s="883"/>
      <c r="CK458" s="883"/>
      <c r="CL458" s="883"/>
      <c r="CM458" s="883"/>
      <c r="CN458" s="883"/>
      <c r="CO458" s="883"/>
      <c r="CP458" s="883"/>
      <c r="CQ458" s="883"/>
      <c r="CR458" s="883"/>
      <c r="CS458" s="883"/>
      <c r="CT458" s="883"/>
      <c r="CU458" s="883"/>
    </row>
    <row r="459" spans="1:99" x14ac:dyDescent="0.25">
      <c r="A459" s="880" t="s">
        <v>2847</v>
      </c>
      <c r="B459" s="881" t="s">
        <v>2287</v>
      </c>
      <c r="C459" s="880" t="s">
        <v>2848</v>
      </c>
      <c r="D459" s="880"/>
      <c r="E459" s="884" t="s">
        <v>744</v>
      </c>
      <c r="F459" s="888">
        <v>1</v>
      </c>
      <c r="G459" s="881" t="s">
        <v>1007</v>
      </c>
      <c r="H459" s="881" t="s">
        <v>19</v>
      </c>
      <c r="I459" s="865">
        <v>46135</v>
      </c>
      <c r="J459" s="882" t="s">
        <v>8</v>
      </c>
      <c r="K459" s="880"/>
      <c r="L459" s="880"/>
      <c r="M459" s="883">
        <v>0</v>
      </c>
      <c r="N459" s="883">
        <v>0</v>
      </c>
      <c r="O459" s="883">
        <v>0</v>
      </c>
      <c r="P459" s="883">
        <v>426.70000000000005</v>
      </c>
      <c r="Q459" s="883">
        <v>15</v>
      </c>
      <c r="R459" s="883">
        <f t="shared" si="128"/>
        <v>64.010000000000005</v>
      </c>
      <c r="S459" s="883">
        <v>0</v>
      </c>
      <c r="T459" s="883">
        <v>5</v>
      </c>
      <c r="U459" s="883">
        <f t="shared" si="129"/>
        <v>0</v>
      </c>
      <c r="V459" s="883">
        <v>0</v>
      </c>
      <c r="W459" s="883">
        <v>8</v>
      </c>
      <c r="X459" s="883">
        <f t="shared" si="130"/>
        <v>0</v>
      </c>
      <c r="Y459" s="883">
        <v>0</v>
      </c>
      <c r="Z459" s="883">
        <v>0</v>
      </c>
      <c r="AA459" s="883">
        <v>0</v>
      </c>
      <c r="AB459" s="883">
        <f t="shared" si="131"/>
        <v>490.71</v>
      </c>
      <c r="AC459" s="883">
        <v>0</v>
      </c>
      <c r="AD459" s="881"/>
      <c r="AE459" s="880"/>
      <c r="AF459" s="883"/>
      <c r="AG459" s="889"/>
      <c r="AH459" s="880"/>
      <c r="AI459" s="880" t="s">
        <v>1241</v>
      </c>
      <c r="AJ459" s="884">
        <v>411</v>
      </c>
      <c r="AK459" s="883">
        <f t="shared" si="5"/>
        <v>426.70000000000005</v>
      </c>
      <c r="AL459" s="884">
        <v>413</v>
      </c>
      <c r="AM459" s="883">
        <f t="shared" si="6"/>
        <v>0</v>
      </c>
      <c r="AN459" s="884">
        <v>441</v>
      </c>
      <c r="AO459" s="883">
        <f t="shared" si="7"/>
        <v>0</v>
      </c>
      <c r="AP459" s="881"/>
      <c r="AQ459" s="881"/>
      <c r="AR459" s="883">
        <v>0</v>
      </c>
      <c r="AS459" s="883">
        <v>0</v>
      </c>
      <c r="AT459" s="883">
        <v>0</v>
      </c>
      <c r="AU459" s="880"/>
      <c r="AV459" s="886"/>
      <c r="AW459" s="880"/>
      <c r="AX459" s="886"/>
      <c r="AY459" s="880"/>
      <c r="AZ459" s="880"/>
      <c r="BA459" s="881"/>
      <c r="BB459" s="881" t="s">
        <v>57</v>
      </c>
      <c r="BC459" s="881"/>
      <c r="BD459" s="881"/>
      <c r="BE459" s="884">
        <f t="shared" si="132"/>
        <v>4</v>
      </c>
      <c r="BF459" s="887" t="str">
        <f t="shared" si="0"/>
        <v>SI</v>
      </c>
      <c r="BG459" s="883">
        <f t="shared" si="133"/>
        <v>426.70000000000005</v>
      </c>
      <c r="BH459" s="883">
        <f t="shared" si="134"/>
        <v>0</v>
      </c>
      <c r="BI459" s="883">
        <f t="shared" si="135"/>
        <v>0</v>
      </c>
      <c r="BJ459" s="883">
        <f t="shared" si="136"/>
        <v>0</v>
      </c>
      <c r="BK459" s="883">
        <f t="shared" si="137"/>
        <v>0</v>
      </c>
      <c r="BL459" s="883">
        <f t="shared" si="138"/>
        <v>64.010000000000005</v>
      </c>
      <c r="BM459" s="881"/>
      <c r="BN459" s="880"/>
      <c r="BO459" s="882" t="s">
        <v>1579</v>
      </c>
      <c r="BP459" s="882" t="s">
        <v>2286</v>
      </c>
      <c r="BQ459" s="882" t="s">
        <v>2285</v>
      </c>
      <c r="BR459" s="880"/>
      <c r="BS459" s="880"/>
      <c r="BT459" s="880"/>
      <c r="BU459" s="880"/>
      <c r="BV459" s="880"/>
      <c r="BW459" s="883">
        <v>0</v>
      </c>
      <c r="BX459" s="883">
        <v>0</v>
      </c>
      <c r="BY459" s="883">
        <v>0</v>
      </c>
      <c r="BZ459" s="890"/>
      <c r="CA459" s="883">
        <f t="shared" si="139"/>
        <v>0</v>
      </c>
      <c r="CB459" s="880"/>
      <c r="CC459" s="881"/>
      <c r="CD459" s="883"/>
      <c r="CE459" s="883"/>
      <c r="CF459" s="883"/>
      <c r="CG459" s="883"/>
      <c r="CH459" s="883"/>
      <c r="CI459" s="883"/>
      <c r="CJ459" s="883"/>
      <c r="CK459" s="883"/>
      <c r="CL459" s="883"/>
      <c r="CM459" s="883"/>
      <c r="CN459" s="883"/>
      <c r="CO459" s="883"/>
      <c r="CP459" s="883"/>
      <c r="CQ459" s="883"/>
      <c r="CR459" s="883"/>
      <c r="CS459" s="883"/>
      <c r="CT459" s="883"/>
      <c r="CU459" s="883"/>
    </row>
    <row r="460" spans="1:99" x14ac:dyDescent="0.25">
      <c r="A460" s="880" t="s">
        <v>2847</v>
      </c>
      <c r="B460" s="881" t="s">
        <v>2287</v>
      </c>
      <c r="C460" s="880" t="s">
        <v>2848</v>
      </c>
      <c r="D460" s="880"/>
      <c r="E460" s="884" t="s">
        <v>744</v>
      </c>
      <c r="F460" s="888">
        <v>1</v>
      </c>
      <c r="G460" s="881" t="s">
        <v>1007</v>
      </c>
      <c r="H460" s="881" t="s">
        <v>19</v>
      </c>
      <c r="I460" s="865">
        <v>46135</v>
      </c>
      <c r="J460" s="882" t="s">
        <v>8</v>
      </c>
      <c r="K460" s="880"/>
      <c r="L460" s="880"/>
      <c r="M460" s="883">
        <v>0</v>
      </c>
      <c r="N460" s="883">
        <v>0</v>
      </c>
      <c r="O460" s="883">
        <v>0</v>
      </c>
      <c r="P460" s="883">
        <v>430.4</v>
      </c>
      <c r="Q460" s="883">
        <v>15</v>
      </c>
      <c r="R460" s="883">
        <f t="shared" si="128"/>
        <v>64.56</v>
      </c>
      <c r="S460" s="883">
        <v>0</v>
      </c>
      <c r="T460" s="883">
        <v>5</v>
      </c>
      <c r="U460" s="883">
        <f t="shared" si="129"/>
        <v>0</v>
      </c>
      <c r="V460" s="883">
        <v>0</v>
      </c>
      <c r="W460" s="883">
        <v>8</v>
      </c>
      <c r="X460" s="883">
        <f t="shared" si="130"/>
        <v>0</v>
      </c>
      <c r="Y460" s="883">
        <v>0</v>
      </c>
      <c r="Z460" s="883">
        <v>0</v>
      </c>
      <c r="AA460" s="883">
        <v>0</v>
      </c>
      <c r="AB460" s="883">
        <f t="shared" si="131"/>
        <v>494.96</v>
      </c>
      <c r="AC460" s="883">
        <v>0</v>
      </c>
      <c r="AD460" s="881"/>
      <c r="AE460" s="880"/>
      <c r="AF460" s="883"/>
      <c r="AG460" s="889"/>
      <c r="AH460" s="880"/>
      <c r="AI460" s="880" t="s">
        <v>1241</v>
      </c>
      <c r="AJ460" s="884">
        <v>411</v>
      </c>
      <c r="AK460" s="883">
        <f t="shared" si="5"/>
        <v>430.4</v>
      </c>
      <c r="AL460" s="884">
        <v>413</v>
      </c>
      <c r="AM460" s="883">
        <f t="shared" si="6"/>
        <v>0</v>
      </c>
      <c r="AN460" s="884">
        <v>441</v>
      </c>
      <c r="AO460" s="883">
        <f t="shared" si="7"/>
        <v>0</v>
      </c>
      <c r="AP460" s="881"/>
      <c r="AQ460" s="881"/>
      <c r="AR460" s="883">
        <v>0</v>
      </c>
      <c r="AS460" s="883">
        <v>0</v>
      </c>
      <c r="AT460" s="883">
        <v>0</v>
      </c>
      <c r="AU460" s="880"/>
      <c r="AV460" s="886"/>
      <c r="AW460" s="880"/>
      <c r="AX460" s="886"/>
      <c r="AY460" s="880"/>
      <c r="AZ460" s="880"/>
      <c r="BA460" s="881"/>
      <c r="BB460" s="881" t="s">
        <v>57</v>
      </c>
      <c r="BC460" s="881"/>
      <c r="BD460" s="881"/>
      <c r="BE460" s="884">
        <f t="shared" si="132"/>
        <v>4</v>
      </c>
      <c r="BF460" s="887" t="str">
        <f t="shared" si="0"/>
        <v>SI</v>
      </c>
      <c r="BG460" s="883">
        <f t="shared" si="133"/>
        <v>430.4</v>
      </c>
      <c r="BH460" s="883">
        <f t="shared" si="134"/>
        <v>0</v>
      </c>
      <c r="BI460" s="883">
        <f t="shared" si="135"/>
        <v>0</v>
      </c>
      <c r="BJ460" s="883">
        <f t="shared" si="136"/>
        <v>0</v>
      </c>
      <c r="BK460" s="883">
        <f t="shared" si="137"/>
        <v>0</v>
      </c>
      <c r="BL460" s="883">
        <f t="shared" si="138"/>
        <v>64.56</v>
      </c>
      <c r="BM460" s="881"/>
      <c r="BN460" s="880"/>
      <c r="BO460" s="882" t="s">
        <v>1579</v>
      </c>
      <c r="BP460" s="882" t="s">
        <v>2286</v>
      </c>
      <c r="BQ460" s="882" t="s">
        <v>2285</v>
      </c>
      <c r="BR460" s="880"/>
      <c r="BS460" s="880"/>
      <c r="BT460" s="880"/>
      <c r="BU460" s="880"/>
      <c r="BV460" s="880"/>
      <c r="BW460" s="883">
        <v>0</v>
      </c>
      <c r="BX460" s="883">
        <v>0</v>
      </c>
      <c r="BY460" s="883">
        <v>0</v>
      </c>
      <c r="BZ460" s="890"/>
      <c r="CA460" s="883">
        <f t="shared" si="139"/>
        <v>0</v>
      </c>
      <c r="CB460" s="880"/>
      <c r="CC460" s="881"/>
      <c r="CD460" s="883"/>
      <c r="CE460" s="883"/>
      <c r="CF460" s="883"/>
      <c r="CG460" s="883"/>
      <c r="CH460" s="883"/>
      <c r="CI460" s="883"/>
      <c r="CJ460" s="883"/>
      <c r="CK460" s="883"/>
      <c r="CL460" s="883"/>
      <c r="CM460" s="883"/>
      <c r="CN460" s="883"/>
      <c r="CO460" s="883"/>
      <c r="CP460" s="883"/>
      <c r="CQ460" s="883"/>
      <c r="CR460" s="883"/>
      <c r="CS460" s="883"/>
      <c r="CT460" s="883"/>
      <c r="CU460" s="883"/>
    </row>
    <row r="461" spans="1:99" x14ac:dyDescent="0.25">
      <c r="A461" s="880" t="s">
        <v>2847</v>
      </c>
      <c r="B461" s="881" t="s">
        <v>2287</v>
      </c>
      <c r="C461" s="880" t="s">
        <v>2848</v>
      </c>
      <c r="D461" s="880"/>
      <c r="E461" s="884" t="s">
        <v>744</v>
      </c>
      <c r="F461" s="888">
        <v>1</v>
      </c>
      <c r="G461" s="881" t="s">
        <v>1007</v>
      </c>
      <c r="H461" s="881" t="s">
        <v>19</v>
      </c>
      <c r="I461" s="865">
        <v>46135</v>
      </c>
      <c r="J461" s="882" t="s">
        <v>8</v>
      </c>
      <c r="K461" s="880"/>
      <c r="L461" s="880"/>
      <c r="M461" s="883">
        <v>0</v>
      </c>
      <c r="N461" s="883">
        <v>0</v>
      </c>
      <c r="O461" s="883">
        <v>0</v>
      </c>
      <c r="P461" s="883">
        <v>431.25</v>
      </c>
      <c r="Q461" s="883">
        <v>15</v>
      </c>
      <c r="R461" s="883">
        <f t="shared" si="128"/>
        <v>64.69</v>
      </c>
      <c r="S461" s="883">
        <v>0</v>
      </c>
      <c r="T461" s="883">
        <v>5</v>
      </c>
      <c r="U461" s="883">
        <f t="shared" si="129"/>
        <v>0</v>
      </c>
      <c r="V461" s="883">
        <v>0</v>
      </c>
      <c r="W461" s="883">
        <v>8</v>
      </c>
      <c r="X461" s="883">
        <f t="shared" si="130"/>
        <v>0</v>
      </c>
      <c r="Y461" s="883">
        <v>0</v>
      </c>
      <c r="Z461" s="883">
        <v>0</v>
      </c>
      <c r="AA461" s="883">
        <v>0</v>
      </c>
      <c r="AB461" s="883">
        <f t="shared" si="131"/>
        <v>495.94</v>
      </c>
      <c r="AC461" s="883">
        <v>0</v>
      </c>
      <c r="AD461" s="881"/>
      <c r="AE461" s="880"/>
      <c r="AF461" s="883"/>
      <c r="AG461" s="889"/>
      <c r="AH461" s="880"/>
      <c r="AI461" s="880" t="s">
        <v>1241</v>
      </c>
      <c r="AJ461" s="884">
        <v>411</v>
      </c>
      <c r="AK461" s="883">
        <f t="shared" si="5"/>
        <v>431.25</v>
      </c>
      <c r="AL461" s="884">
        <v>413</v>
      </c>
      <c r="AM461" s="883">
        <f t="shared" si="6"/>
        <v>0</v>
      </c>
      <c r="AN461" s="884">
        <v>441</v>
      </c>
      <c r="AO461" s="883">
        <f t="shared" si="7"/>
        <v>0</v>
      </c>
      <c r="AP461" s="881"/>
      <c r="AQ461" s="881"/>
      <c r="AR461" s="883">
        <v>0</v>
      </c>
      <c r="AS461" s="883">
        <v>0</v>
      </c>
      <c r="AT461" s="883">
        <v>0</v>
      </c>
      <c r="AU461" s="880"/>
      <c r="AV461" s="886"/>
      <c r="AW461" s="880"/>
      <c r="AX461" s="886"/>
      <c r="AY461" s="880"/>
      <c r="AZ461" s="880"/>
      <c r="BA461" s="881"/>
      <c r="BB461" s="881" t="s">
        <v>57</v>
      </c>
      <c r="BC461" s="881"/>
      <c r="BD461" s="881"/>
      <c r="BE461" s="884">
        <f t="shared" si="132"/>
        <v>4</v>
      </c>
      <c r="BF461" s="887" t="str">
        <f t="shared" si="0"/>
        <v>SI</v>
      </c>
      <c r="BG461" s="883">
        <f t="shared" si="133"/>
        <v>431.25</v>
      </c>
      <c r="BH461" s="883">
        <f t="shared" si="134"/>
        <v>0</v>
      </c>
      <c r="BI461" s="883">
        <f t="shared" si="135"/>
        <v>0</v>
      </c>
      <c r="BJ461" s="883">
        <f t="shared" si="136"/>
        <v>0</v>
      </c>
      <c r="BK461" s="883">
        <f t="shared" si="137"/>
        <v>0</v>
      </c>
      <c r="BL461" s="883">
        <f t="shared" si="138"/>
        <v>64.69</v>
      </c>
      <c r="BM461" s="881"/>
      <c r="BN461" s="880"/>
      <c r="BO461" s="882" t="s">
        <v>1579</v>
      </c>
      <c r="BP461" s="882" t="s">
        <v>2286</v>
      </c>
      <c r="BQ461" s="882" t="s">
        <v>2285</v>
      </c>
      <c r="BR461" s="880"/>
      <c r="BS461" s="880"/>
      <c r="BT461" s="880"/>
      <c r="BU461" s="880"/>
      <c r="BV461" s="880"/>
      <c r="BW461" s="883">
        <v>0</v>
      </c>
      <c r="BX461" s="883">
        <v>0</v>
      </c>
      <c r="BY461" s="883">
        <v>0</v>
      </c>
      <c r="BZ461" s="890"/>
      <c r="CA461" s="883">
        <f t="shared" si="139"/>
        <v>0</v>
      </c>
      <c r="CB461" s="880"/>
      <c r="CC461" s="881"/>
      <c r="CD461" s="883"/>
      <c r="CE461" s="883"/>
      <c r="CF461" s="883"/>
      <c r="CG461" s="883"/>
      <c r="CH461" s="883"/>
      <c r="CI461" s="883"/>
      <c r="CJ461" s="883"/>
      <c r="CK461" s="883"/>
      <c r="CL461" s="883"/>
      <c r="CM461" s="883"/>
      <c r="CN461" s="883"/>
      <c r="CO461" s="883"/>
      <c r="CP461" s="883"/>
      <c r="CQ461" s="883"/>
      <c r="CR461" s="883"/>
      <c r="CS461" s="883"/>
      <c r="CT461" s="883"/>
      <c r="CU461" s="883"/>
    </row>
    <row r="462" spans="1:99" x14ac:dyDescent="0.25">
      <c r="A462" s="880" t="s">
        <v>2847</v>
      </c>
      <c r="B462" s="881" t="s">
        <v>2287</v>
      </c>
      <c r="C462" s="880" t="s">
        <v>2848</v>
      </c>
      <c r="D462" s="880"/>
      <c r="E462" s="884" t="s">
        <v>744</v>
      </c>
      <c r="F462" s="888">
        <v>1</v>
      </c>
      <c r="G462" s="881" t="s">
        <v>1007</v>
      </c>
      <c r="H462" s="881" t="s">
        <v>19</v>
      </c>
      <c r="I462" s="865">
        <v>46135</v>
      </c>
      <c r="J462" s="882" t="s">
        <v>8</v>
      </c>
      <c r="K462" s="880"/>
      <c r="L462" s="880"/>
      <c r="M462" s="883">
        <v>0</v>
      </c>
      <c r="N462" s="883">
        <v>0</v>
      </c>
      <c r="O462" s="883">
        <v>0</v>
      </c>
      <c r="P462" s="883">
        <v>411.6</v>
      </c>
      <c r="Q462" s="883">
        <v>15</v>
      </c>
      <c r="R462" s="883">
        <f t="shared" si="128"/>
        <v>61.74</v>
      </c>
      <c r="S462" s="883">
        <v>0</v>
      </c>
      <c r="T462" s="883">
        <v>5</v>
      </c>
      <c r="U462" s="883">
        <f t="shared" si="129"/>
        <v>0</v>
      </c>
      <c r="V462" s="883">
        <v>0</v>
      </c>
      <c r="W462" s="883">
        <v>8</v>
      </c>
      <c r="X462" s="883">
        <f t="shared" si="130"/>
        <v>0</v>
      </c>
      <c r="Y462" s="883">
        <v>0</v>
      </c>
      <c r="Z462" s="883">
        <v>0</v>
      </c>
      <c r="AA462" s="883">
        <v>0</v>
      </c>
      <c r="AB462" s="883">
        <f t="shared" si="131"/>
        <v>473.34</v>
      </c>
      <c r="AC462" s="883">
        <v>0</v>
      </c>
      <c r="AD462" s="881"/>
      <c r="AE462" s="880"/>
      <c r="AF462" s="883"/>
      <c r="AG462" s="889"/>
      <c r="AH462" s="880"/>
      <c r="AI462" s="880" t="s">
        <v>1241</v>
      </c>
      <c r="AJ462" s="884">
        <v>411</v>
      </c>
      <c r="AK462" s="883">
        <f t="shared" si="5"/>
        <v>411.6</v>
      </c>
      <c r="AL462" s="884">
        <v>413</v>
      </c>
      <c r="AM462" s="883">
        <f t="shared" si="6"/>
        <v>0</v>
      </c>
      <c r="AN462" s="884">
        <v>441</v>
      </c>
      <c r="AO462" s="883">
        <f t="shared" si="7"/>
        <v>0</v>
      </c>
      <c r="AP462" s="881"/>
      <c r="AQ462" s="881"/>
      <c r="AR462" s="883">
        <v>0</v>
      </c>
      <c r="AS462" s="883">
        <v>0</v>
      </c>
      <c r="AT462" s="883">
        <v>0</v>
      </c>
      <c r="AU462" s="880"/>
      <c r="AV462" s="886"/>
      <c r="AW462" s="880"/>
      <c r="AX462" s="886"/>
      <c r="AY462" s="880"/>
      <c r="AZ462" s="880"/>
      <c r="BA462" s="881"/>
      <c r="BB462" s="881" t="s">
        <v>57</v>
      </c>
      <c r="BC462" s="881"/>
      <c r="BD462" s="881"/>
      <c r="BE462" s="884">
        <f t="shared" si="132"/>
        <v>4</v>
      </c>
      <c r="BF462" s="887" t="str">
        <f t="shared" si="0"/>
        <v>SI</v>
      </c>
      <c r="BG462" s="883">
        <f t="shared" si="133"/>
        <v>411.6</v>
      </c>
      <c r="BH462" s="883">
        <f t="shared" si="134"/>
        <v>0</v>
      </c>
      <c r="BI462" s="883">
        <f t="shared" si="135"/>
        <v>0</v>
      </c>
      <c r="BJ462" s="883">
        <f t="shared" si="136"/>
        <v>0</v>
      </c>
      <c r="BK462" s="883">
        <f t="shared" si="137"/>
        <v>0</v>
      </c>
      <c r="BL462" s="883">
        <f t="shared" si="138"/>
        <v>61.74</v>
      </c>
      <c r="BM462" s="881"/>
      <c r="BN462" s="880"/>
      <c r="BO462" s="882" t="s">
        <v>1579</v>
      </c>
      <c r="BP462" s="882" t="s">
        <v>2286</v>
      </c>
      <c r="BQ462" s="882" t="s">
        <v>2285</v>
      </c>
      <c r="BR462" s="880"/>
      <c r="BS462" s="880"/>
      <c r="BT462" s="880"/>
      <c r="BU462" s="880"/>
      <c r="BV462" s="880"/>
      <c r="BW462" s="883">
        <v>0</v>
      </c>
      <c r="BX462" s="883">
        <v>0</v>
      </c>
      <c r="BY462" s="883">
        <v>0</v>
      </c>
      <c r="BZ462" s="890"/>
      <c r="CA462" s="883">
        <f t="shared" si="139"/>
        <v>0</v>
      </c>
      <c r="CB462" s="880"/>
      <c r="CC462" s="881"/>
      <c r="CD462" s="883"/>
      <c r="CE462" s="883"/>
      <c r="CF462" s="883"/>
      <c r="CG462" s="883"/>
      <c r="CH462" s="883"/>
      <c r="CI462" s="883"/>
      <c r="CJ462" s="883"/>
      <c r="CK462" s="883"/>
      <c r="CL462" s="883"/>
      <c r="CM462" s="883"/>
      <c r="CN462" s="883"/>
      <c r="CO462" s="883"/>
      <c r="CP462" s="883"/>
      <c r="CQ462" s="883"/>
      <c r="CR462" s="883"/>
      <c r="CS462" s="883"/>
      <c r="CT462" s="883"/>
      <c r="CU462" s="883"/>
    </row>
    <row r="463" spans="1:99" x14ac:dyDescent="0.25">
      <c r="A463" s="880" t="s">
        <v>2847</v>
      </c>
      <c r="B463" s="881" t="s">
        <v>2287</v>
      </c>
      <c r="C463" s="880" t="s">
        <v>2848</v>
      </c>
      <c r="D463" s="880"/>
      <c r="E463" s="884" t="s">
        <v>744</v>
      </c>
      <c r="F463" s="888">
        <v>1</v>
      </c>
      <c r="G463" s="881" t="s">
        <v>1007</v>
      </c>
      <c r="H463" s="881" t="s">
        <v>19</v>
      </c>
      <c r="I463" s="865">
        <v>46136</v>
      </c>
      <c r="J463" s="882" t="s">
        <v>8</v>
      </c>
      <c r="K463" s="880"/>
      <c r="L463" s="880"/>
      <c r="M463" s="883">
        <v>0</v>
      </c>
      <c r="N463" s="883">
        <v>0</v>
      </c>
      <c r="O463" s="883">
        <v>0</v>
      </c>
      <c r="P463" s="883">
        <v>426.70000000000005</v>
      </c>
      <c r="Q463" s="883">
        <v>15</v>
      </c>
      <c r="R463" s="883">
        <f t="shared" si="128"/>
        <v>64.010000000000005</v>
      </c>
      <c r="S463" s="883">
        <v>0</v>
      </c>
      <c r="T463" s="883">
        <v>5</v>
      </c>
      <c r="U463" s="883">
        <f t="shared" si="129"/>
        <v>0</v>
      </c>
      <c r="V463" s="883">
        <v>0</v>
      </c>
      <c r="W463" s="883">
        <v>8</v>
      </c>
      <c r="X463" s="883">
        <f t="shared" si="130"/>
        <v>0</v>
      </c>
      <c r="Y463" s="883">
        <v>0</v>
      </c>
      <c r="Z463" s="883">
        <v>0</v>
      </c>
      <c r="AA463" s="883">
        <v>0</v>
      </c>
      <c r="AB463" s="883">
        <f t="shared" si="131"/>
        <v>490.71</v>
      </c>
      <c r="AC463" s="883">
        <v>0</v>
      </c>
      <c r="AD463" s="881"/>
      <c r="AE463" s="880"/>
      <c r="AF463" s="883"/>
      <c r="AG463" s="889"/>
      <c r="AH463" s="880"/>
      <c r="AI463" s="880" t="s">
        <v>1241</v>
      </c>
      <c r="AJ463" s="884">
        <v>411</v>
      </c>
      <c r="AK463" s="883">
        <f t="shared" si="5"/>
        <v>426.70000000000005</v>
      </c>
      <c r="AL463" s="884">
        <v>413</v>
      </c>
      <c r="AM463" s="883">
        <f t="shared" si="6"/>
        <v>0</v>
      </c>
      <c r="AN463" s="884">
        <v>441</v>
      </c>
      <c r="AO463" s="883">
        <f t="shared" si="7"/>
        <v>0</v>
      </c>
      <c r="AP463" s="881"/>
      <c r="AQ463" s="881"/>
      <c r="AR463" s="883">
        <v>0</v>
      </c>
      <c r="AS463" s="883">
        <v>0</v>
      </c>
      <c r="AT463" s="883">
        <v>0</v>
      </c>
      <c r="AU463" s="880"/>
      <c r="AV463" s="886"/>
      <c r="AW463" s="880"/>
      <c r="AX463" s="886"/>
      <c r="AY463" s="880"/>
      <c r="AZ463" s="880"/>
      <c r="BA463" s="881"/>
      <c r="BB463" s="881" t="s">
        <v>57</v>
      </c>
      <c r="BC463" s="881"/>
      <c r="BD463" s="881"/>
      <c r="BE463" s="884">
        <f t="shared" si="132"/>
        <v>4</v>
      </c>
      <c r="BF463" s="887" t="str">
        <f t="shared" si="0"/>
        <v>SI</v>
      </c>
      <c r="BG463" s="883">
        <f t="shared" si="133"/>
        <v>426.70000000000005</v>
      </c>
      <c r="BH463" s="883">
        <f t="shared" si="134"/>
        <v>0</v>
      </c>
      <c r="BI463" s="883">
        <f t="shared" si="135"/>
        <v>0</v>
      </c>
      <c r="BJ463" s="883">
        <f t="shared" si="136"/>
        <v>0</v>
      </c>
      <c r="BK463" s="883">
        <f t="shared" si="137"/>
        <v>0</v>
      </c>
      <c r="BL463" s="883">
        <f t="shared" si="138"/>
        <v>64.010000000000005</v>
      </c>
      <c r="BM463" s="881"/>
      <c r="BN463" s="880"/>
      <c r="BO463" s="882" t="s">
        <v>1579</v>
      </c>
      <c r="BP463" s="882" t="s">
        <v>2286</v>
      </c>
      <c r="BQ463" s="882" t="s">
        <v>2285</v>
      </c>
      <c r="BR463" s="880"/>
      <c r="BS463" s="880"/>
      <c r="BT463" s="880"/>
      <c r="BU463" s="880"/>
      <c r="BV463" s="880"/>
      <c r="BW463" s="883">
        <v>0</v>
      </c>
      <c r="BX463" s="883">
        <v>0</v>
      </c>
      <c r="BY463" s="883">
        <v>0</v>
      </c>
      <c r="BZ463" s="890"/>
      <c r="CA463" s="883">
        <f t="shared" si="139"/>
        <v>0</v>
      </c>
      <c r="CB463" s="880"/>
      <c r="CC463" s="881"/>
      <c r="CD463" s="883"/>
      <c r="CE463" s="883"/>
      <c r="CF463" s="883"/>
      <c r="CG463" s="883"/>
      <c r="CH463" s="883"/>
      <c r="CI463" s="883"/>
      <c r="CJ463" s="883"/>
      <c r="CK463" s="883"/>
      <c r="CL463" s="883"/>
      <c r="CM463" s="883"/>
      <c r="CN463" s="883"/>
      <c r="CO463" s="883"/>
      <c r="CP463" s="883"/>
      <c r="CQ463" s="883"/>
      <c r="CR463" s="883"/>
      <c r="CS463" s="883"/>
      <c r="CT463" s="883"/>
      <c r="CU463" s="883"/>
    </row>
    <row r="464" spans="1:99" x14ac:dyDescent="0.25">
      <c r="A464" s="880" t="s">
        <v>2847</v>
      </c>
      <c r="B464" s="881" t="s">
        <v>2287</v>
      </c>
      <c r="C464" s="880" t="s">
        <v>2848</v>
      </c>
      <c r="D464" s="880"/>
      <c r="E464" s="884" t="s">
        <v>744</v>
      </c>
      <c r="F464" s="888">
        <v>1</v>
      </c>
      <c r="G464" s="881" t="s">
        <v>1007</v>
      </c>
      <c r="H464" s="881" t="s">
        <v>19</v>
      </c>
      <c r="I464" s="865">
        <v>46136</v>
      </c>
      <c r="J464" s="882" t="s">
        <v>8</v>
      </c>
      <c r="K464" s="880"/>
      <c r="L464" s="880"/>
      <c r="M464" s="883">
        <v>0</v>
      </c>
      <c r="N464" s="883">
        <v>0</v>
      </c>
      <c r="O464" s="883">
        <v>0</v>
      </c>
      <c r="P464" s="883">
        <v>432</v>
      </c>
      <c r="Q464" s="883">
        <v>15</v>
      </c>
      <c r="R464" s="883">
        <f t="shared" si="128"/>
        <v>64.8</v>
      </c>
      <c r="S464" s="883">
        <v>0</v>
      </c>
      <c r="T464" s="883">
        <v>5</v>
      </c>
      <c r="U464" s="883">
        <f t="shared" si="129"/>
        <v>0</v>
      </c>
      <c r="V464" s="883">
        <v>0</v>
      </c>
      <c r="W464" s="883">
        <v>8</v>
      </c>
      <c r="X464" s="883">
        <f t="shared" si="130"/>
        <v>0</v>
      </c>
      <c r="Y464" s="883">
        <v>0</v>
      </c>
      <c r="Z464" s="883">
        <v>0</v>
      </c>
      <c r="AA464" s="883">
        <v>0</v>
      </c>
      <c r="AB464" s="883">
        <f t="shared" si="131"/>
        <v>496.8</v>
      </c>
      <c r="AC464" s="883">
        <v>0</v>
      </c>
      <c r="AD464" s="881"/>
      <c r="AE464" s="880"/>
      <c r="AF464" s="883"/>
      <c r="AG464" s="889"/>
      <c r="AH464" s="880"/>
      <c r="AI464" s="880" t="s">
        <v>1241</v>
      </c>
      <c r="AJ464" s="884">
        <v>411</v>
      </c>
      <c r="AK464" s="883">
        <f t="shared" si="5"/>
        <v>432</v>
      </c>
      <c r="AL464" s="884">
        <v>413</v>
      </c>
      <c r="AM464" s="883">
        <f t="shared" si="6"/>
        <v>0</v>
      </c>
      <c r="AN464" s="884">
        <v>441</v>
      </c>
      <c r="AO464" s="883">
        <f t="shared" si="7"/>
        <v>0</v>
      </c>
      <c r="AP464" s="881"/>
      <c r="AQ464" s="881"/>
      <c r="AR464" s="883">
        <v>0</v>
      </c>
      <c r="AS464" s="883">
        <v>0</v>
      </c>
      <c r="AT464" s="883">
        <v>0</v>
      </c>
      <c r="AU464" s="880"/>
      <c r="AV464" s="886"/>
      <c r="AW464" s="880"/>
      <c r="AX464" s="886"/>
      <c r="AY464" s="880"/>
      <c r="AZ464" s="880"/>
      <c r="BA464" s="881"/>
      <c r="BB464" s="881" t="s">
        <v>57</v>
      </c>
      <c r="BC464" s="881"/>
      <c r="BD464" s="881"/>
      <c r="BE464" s="884">
        <f t="shared" si="132"/>
        <v>4</v>
      </c>
      <c r="BF464" s="887" t="str">
        <f t="shared" si="0"/>
        <v>SI</v>
      </c>
      <c r="BG464" s="883">
        <f t="shared" si="133"/>
        <v>432</v>
      </c>
      <c r="BH464" s="883">
        <f t="shared" si="134"/>
        <v>0</v>
      </c>
      <c r="BI464" s="883">
        <f t="shared" si="135"/>
        <v>0</v>
      </c>
      <c r="BJ464" s="883">
        <f t="shared" si="136"/>
        <v>0</v>
      </c>
      <c r="BK464" s="883">
        <f t="shared" si="137"/>
        <v>0</v>
      </c>
      <c r="BL464" s="883">
        <f t="shared" si="138"/>
        <v>64.8</v>
      </c>
      <c r="BM464" s="881"/>
      <c r="BN464" s="880"/>
      <c r="BO464" s="882" t="s">
        <v>1579</v>
      </c>
      <c r="BP464" s="882" t="s">
        <v>2286</v>
      </c>
      <c r="BQ464" s="882" t="s">
        <v>2285</v>
      </c>
      <c r="BR464" s="880"/>
      <c r="BS464" s="880"/>
      <c r="BT464" s="880"/>
      <c r="BU464" s="880"/>
      <c r="BV464" s="880"/>
      <c r="BW464" s="883">
        <v>0</v>
      </c>
      <c r="BX464" s="883">
        <v>0</v>
      </c>
      <c r="BY464" s="883">
        <v>0</v>
      </c>
      <c r="BZ464" s="890"/>
      <c r="CA464" s="883">
        <f t="shared" si="139"/>
        <v>0</v>
      </c>
      <c r="CB464" s="880"/>
      <c r="CC464" s="881"/>
      <c r="CD464" s="883"/>
      <c r="CE464" s="883"/>
      <c r="CF464" s="883"/>
      <c r="CG464" s="883"/>
      <c r="CH464" s="883"/>
      <c r="CI464" s="883"/>
      <c r="CJ464" s="883"/>
      <c r="CK464" s="883"/>
      <c r="CL464" s="883"/>
      <c r="CM464" s="883"/>
      <c r="CN464" s="883"/>
      <c r="CO464" s="883"/>
      <c r="CP464" s="883"/>
      <c r="CQ464" s="883"/>
      <c r="CR464" s="883"/>
      <c r="CS464" s="883"/>
      <c r="CT464" s="883"/>
      <c r="CU464" s="883"/>
    </row>
    <row r="465" spans="1:99" x14ac:dyDescent="0.25">
      <c r="A465" s="880" t="s">
        <v>2847</v>
      </c>
      <c r="B465" s="881" t="s">
        <v>2287</v>
      </c>
      <c r="C465" s="880" t="s">
        <v>2848</v>
      </c>
      <c r="D465" s="880"/>
      <c r="E465" s="884" t="s">
        <v>744</v>
      </c>
      <c r="F465" s="888">
        <v>1</v>
      </c>
      <c r="G465" s="881" t="s">
        <v>1007</v>
      </c>
      <c r="H465" s="881" t="s">
        <v>19</v>
      </c>
      <c r="I465" s="865">
        <v>46136</v>
      </c>
      <c r="J465" s="882" t="s">
        <v>8</v>
      </c>
      <c r="K465" s="880"/>
      <c r="L465" s="880"/>
      <c r="M465" s="883">
        <v>0</v>
      </c>
      <c r="N465" s="883">
        <v>0</v>
      </c>
      <c r="O465" s="883">
        <v>0</v>
      </c>
      <c r="P465" s="883">
        <v>426.70000000000005</v>
      </c>
      <c r="Q465" s="883">
        <v>15</v>
      </c>
      <c r="R465" s="883">
        <f t="shared" si="128"/>
        <v>64.010000000000005</v>
      </c>
      <c r="S465" s="883">
        <v>0</v>
      </c>
      <c r="T465" s="883">
        <v>5</v>
      </c>
      <c r="U465" s="883">
        <f t="shared" si="129"/>
        <v>0</v>
      </c>
      <c r="V465" s="883">
        <v>0</v>
      </c>
      <c r="W465" s="883">
        <v>8</v>
      </c>
      <c r="X465" s="883">
        <f t="shared" si="130"/>
        <v>0</v>
      </c>
      <c r="Y465" s="883">
        <v>0</v>
      </c>
      <c r="Z465" s="883">
        <v>0</v>
      </c>
      <c r="AA465" s="883">
        <v>0</v>
      </c>
      <c r="AB465" s="883">
        <f t="shared" si="131"/>
        <v>490.71</v>
      </c>
      <c r="AC465" s="883">
        <v>0</v>
      </c>
      <c r="AD465" s="881"/>
      <c r="AE465" s="880"/>
      <c r="AF465" s="883"/>
      <c r="AG465" s="889"/>
      <c r="AH465" s="880"/>
      <c r="AI465" s="880" t="s">
        <v>1241</v>
      </c>
      <c r="AJ465" s="884">
        <v>411</v>
      </c>
      <c r="AK465" s="883">
        <f t="shared" si="5"/>
        <v>426.70000000000005</v>
      </c>
      <c r="AL465" s="884">
        <v>413</v>
      </c>
      <c r="AM465" s="883">
        <f t="shared" si="6"/>
        <v>0</v>
      </c>
      <c r="AN465" s="884">
        <v>441</v>
      </c>
      <c r="AO465" s="883">
        <f t="shared" si="7"/>
        <v>0</v>
      </c>
      <c r="AP465" s="881"/>
      <c r="AQ465" s="881"/>
      <c r="AR465" s="883">
        <v>0</v>
      </c>
      <c r="AS465" s="883">
        <v>0</v>
      </c>
      <c r="AT465" s="883">
        <v>0</v>
      </c>
      <c r="AU465" s="880"/>
      <c r="AV465" s="886"/>
      <c r="AW465" s="880"/>
      <c r="AX465" s="886"/>
      <c r="AY465" s="880"/>
      <c r="AZ465" s="880"/>
      <c r="BA465" s="881"/>
      <c r="BB465" s="881" t="s">
        <v>57</v>
      </c>
      <c r="BC465" s="881"/>
      <c r="BD465" s="881"/>
      <c r="BE465" s="884">
        <f t="shared" si="132"/>
        <v>4</v>
      </c>
      <c r="BF465" s="887" t="str">
        <f t="shared" si="0"/>
        <v>SI</v>
      </c>
      <c r="BG465" s="883">
        <f t="shared" si="133"/>
        <v>426.70000000000005</v>
      </c>
      <c r="BH465" s="883">
        <f t="shared" si="134"/>
        <v>0</v>
      </c>
      <c r="BI465" s="883">
        <f t="shared" si="135"/>
        <v>0</v>
      </c>
      <c r="BJ465" s="883">
        <f t="shared" si="136"/>
        <v>0</v>
      </c>
      <c r="BK465" s="883">
        <f t="shared" si="137"/>
        <v>0</v>
      </c>
      <c r="BL465" s="883">
        <f t="shared" si="138"/>
        <v>64.010000000000005</v>
      </c>
      <c r="BM465" s="881"/>
      <c r="BN465" s="880"/>
      <c r="BO465" s="882" t="s">
        <v>1579</v>
      </c>
      <c r="BP465" s="882" t="s">
        <v>2286</v>
      </c>
      <c r="BQ465" s="882" t="s">
        <v>2285</v>
      </c>
      <c r="BR465" s="880"/>
      <c r="BS465" s="880"/>
      <c r="BT465" s="880"/>
      <c r="BU465" s="880"/>
      <c r="BV465" s="880"/>
      <c r="BW465" s="883">
        <v>0</v>
      </c>
      <c r="BX465" s="883">
        <v>0</v>
      </c>
      <c r="BY465" s="883">
        <v>0</v>
      </c>
      <c r="BZ465" s="890"/>
      <c r="CA465" s="883">
        <f t="shared" si="139"/>
        <v>0</v>
      </c>
      <c r="CB465" s="880"/>
      <c r="CC465" s="881"/>
      <c r="CD465" s="883"/>
      <c r="CE465" s="883"/>
      <c r="CF465" s="883"/>
      <c r="CG465" s="883"/>
      <c r="CH465" s="883"/>
      <c r="CI465" s="883"/>
      <c r="CJ465" s="883"/>
      <c r="CK465" s="883"/>
      <c r="CL465" s="883"/>
      <c r="CM465" s="883"/>
      <c r="CN465" s="883"/>
      <c r="CO465" s="883"/>
      <c r="CP465" s="883"/>
      <c r="CQ465" s="883"/>
      <c r="CR465" s="883"/>
      <c r="CS465" s="883"/>
      <c r="CT465" s="883"/>
      <c r="CU465" s="883"/>
    </row>
    <row r="466" spans="1:99" x14ac:dyDescent="0.25">
      <c r="A466" s="880" t="s">
        <v>2847</v>
      </c>
      <c r="B466" s="881" t="s">
        <v>2287</v>
      </c>
      <c r="C466" s="880" t="s">
        <v>2848</v>
      </c>
      <c r="D466" s="880"/>
      <c r="E466" s="884" t="s">
        <v>744</v>
      </c>
      <c r="F466" s="888">
        <v>1</v>
      </c>
      <c r="G466" s="881" t="s">
        <v>1007</v>
      </c>
      <c r="H466" s="881" t="s">
        <v>19</v>
      </c>
      <c r="I466" s="865">
        <v>46136</v>
      </c>
      <c r="J466" s="882" t="s">
        <v>8</v>
      </c>
      <c r="K466" s="880"/>
      <c r="L466" s="880"/>
      <c r="M466" s="883">
        <v>0</v>
      </c>
      <c r="N466" s="883">
        <v>0</v>
      </c>
      <c r="O466" s="883">
        <v>0</v>
      </c>
      <c r="P466" s="883">
        <v>366.4</v>
      </c>
      <c r="Q466" s="883">
        <v>15</v>
      </c>
      <c r="R466" s="883">
        <f t="shared" si="128"/>
        <v>54.96</v>
      </c>
      <c r="S466" s="883">
        <v>0</v>
      </c>
      <c r="T466" s="883">
        <v>5</v>
      </c>
      <c r="U466" s="883">
        <f t="shared" si="129"/>
        <v>0</v>
      </c>
      <c r="V466" s="883">
        <v>0</v>
      </c>
      <c r="W466" s="883">
        <v>8</v>
      </c>
      <c r="X466" s="883">
        <f t="shared" si="130"/>
        <v>0</v>
      </c>
      <c r="Y466" s="883">
        <v>0</v>
      </c>
      <c r="Z466" s="883">
        <v>0</v>
      </c>
      <c r="AA466" s="883">
        <v>0</v>
      </c>
      <c r="AB466" s="883">
        <f t="shared" si="131"/>
        <v>421.36</v>
      </c>
      <c r="AC466" s="883">
        <v>0</v>
      </c>
      <c r="AD466" s="881"/>
      <c r="AE466" s="880"/>
      <c r="AF466" s="883"/>
      <c r="AG466" s="889"/>
      <c r="AH466" s="880"/>
      <c r="AI466" s="880" t="s">
        <v>1241</v>
      </c>
      <c r="AJ466" s="884">
        <v>411</v>
      </c>
      <c r="AK466" s="883">
        <f t="shared" si="5"/>
        <v>366.4</v>
      </c>
      <c r="AL466" s="884">
        <v>413</v>
      </c>
      <c r="AM466" s="883">
        <f t="shared" si="6"/>
        <v>0</v>
      </c>
      <c r="AN466" s="884">
        <v>441</v>
      </c>
      <c r="AO466" s="883">
        <f t="shared" si="7"/>
        <v>0</v>
      </c>
      <c r="AP466" s="881"/>
      <c r="AQ466" s="881"/>
      <c r="AR466" s="883">
        <v>0</v>
      </c>
      <c r="AS466" s="883">
        <v>0</v>
      </c>
      <c r="AT466" s="883">
        <v>0</v>
      </c>
      <c r="AU466" s="880"/>
      <c r="AV466" s="886"/>
      <c r="AW466" s="880"/>
      <c r="AX466" s="886"/>
      <c r="AY466" s="880"/>
      <c r="AZ466" s="880"/>
      <c r="BA466" s="881"/>
      <c r="BB466" s="881" t="s">
        <v>57</v>
      </c>
      <c r="BC466" s="881"/>
      <c r="BD466" s="881"/>
      <c r="BE466" s="884">
        <f t="shared" si="132"/>
        <v>4</v>
      </c>
      <c r="BF466" s="887" t="str">
        <f t="shared" si="0"/>
        <v>SI</v>
      </c>
      <c r="BG466" s="883">
        <f t="shared" si="133"/>
        <v>366.4</v>
      </c>
      <c r="BH466" s="883">
        <f t="shared" si="134"/>
        <v>0</v>
      </c>
      <c r="BI466" s="883">
        <f t="shared" si="135"/>
        <v>0</v>
      </c>
      <c r="BJ466" s="883">
        <f t="shared" si="136"/>
        <v>0</v>
      </c>
      <c r="BK466" s="883">
        <f t="shared" si="137"/>
        <v>0</v>
      </c>
      <c r="BL466" s="883">
        <f t="shared" si="138"/>
        <v>54.96</v>
      </c>
      <c r="BM466" s="881"/>
      <c r="BN466" s="880"/>
      <c r="BO466" s="882" t="s">
        <v>1579</v>
      </c>
      <c r="BP466" s="882" t="s">
        <v>2286</v>
      </c>
      <c r="BQ466" s="882" t="s">
        <v>2285</v>
      </c>
      <c r="BR466" s="880"/>
      <c r="BS466" s="880"/>
      <c r="BT466" s="880"/>
      <c r="BU466" s="880"/>
      <c r="BV466" s="880"/>
      <c r="BW466" s="883">
        <v>0</v>
      </c>
      <c r="BX466" s="883">
        <v>0</v>
      </c>
      <c r="BY466" s="883">
        <v>0</v>
      </c>
      <c r="BZ466" s="890"/>
      <c r="CA466" s="883">
        <f t="shared" si="139"/>
        <v>0</v>
      </c>
      <c r="CB466" s="880"/>
      <c r="CC466" s="881"/>
      <c r="CD466" s="883"/>
      <c r="CE466" s="883"/>
      <c r="CF466" s="883"/>
      <c r="CG466" s="883"/>
      <c r="CH466" s="883"/>
      <c r="CI466" s="883"/>
      <c r="CJ466" s="883"/>
      <c r="CK466" s="883"/>
      <c r="CL466" s="883"/>
      <c r="CM466" s="883"/>
      <c r="CN466" s="883"/>
      <c r="CO466" s="883"/>
      <c r="CP466" s="883"/>
      <c r="CQ466" s="883"/>
      <c r="CR466" s="883"/>
      <c r="CS466" s="883"/>
      <c r="CT466" s="883"/>
      <c r="CU466" s="883"/>
    </row>
    <row r="467" spans="1:99" x14ac:dyDescent="0.25">
      <c r="A467" s="880" t="s">
        <v>2847</v>
      </c>
      <c r="B467" s="881" t="s">
        <v>2287</v>
      </c>
      <c r="C467" s="880" t="s">
        <v>2848</v>
      </c>
      <c r="D467" s="880"/>
      <c r="E467" s="884" t="s">
        <v>744</v>
      </c>
      <c r="F467" s="888">
        <v>1</v>
      </c>
      <c r="G467" s="881" t="s">
        <v>1007</v>
      </c>
      <c r="H467" s="881" t="s">
        <v>19</v>
      </c>
      <c r="I467" s="865">
        <v>46139</v>
      </c>
      <c r="J467" s="882" t="s">
        <v>8</v>
      </c>
      <c r="K467" s="880"/>
      <c r="L467" s="880"/>
      <c r="M467" s="883">
        <v>0</v>
      </c>
      <c r="N467" s="883">
        <v>0</v>
      </c>
      <c r="O467" s="883">
        <v>0</v>
      </c>
      <c r="P467" s="883">
        <v>431.25</v>
      </c>
      <c r="Q467" s="883">
        <v>15</v>
      </c>
      <c r="R467" s="883">
        <f t="shared" si="128"/>
        <v>64.69</v>
      </c>
      <c r="S467" s="883">
        <v>0</v>
      </c>
      <c r="T467" s="883">
        <v>5</v>
      </c>
      <c r="U467" s="883">
        <f t="shared" si="129"/>
        <v>0</v>
      </c>
      <c r="V467" s="883">
        <v>0</v>
      </c>
      <c r="W467" s="883">
        <v>8</v>
      </c>
      <c r="X467" s="883">
        <f t="shared" si="130"/>
        <v>0</v>
      </c>
      <c r="Y467" s="883">
        <v>0</v>
      </c>
      <c r="Z467" s="883">
        <v>0</v>
      </c>
      <c r="AA467" s="883">
        <v>0</v>
      </c>
      <c r="AB467" s="883">
        <f t="shared" si="131"/>
        <v>495.94</v>
      </c>
      <c r="AC467" s="883">
        <v>0</v>
      </c>
      <c r="AD467" s="881"/>
      <c r="AE467" s="880"/>
      <c r="AF467" s="883"/>
      <c r="AG467" s="889"/>
      <c r="AH467" s="880"/>
      <c r="AI467" s="880" t="s">
        <v>1241</v>
      </c>
      <c r="AJ467" s="884">
        <v>411</v>
      </c>
      <c r="AK467" s="883">
        <f t="shared" si="5"/>
        <v>431.25</v>
      </c>
      <c r="AL467" s="884">
        <v>413</v>
      </c>
      <c r="AM467" s="883">
        <f t="shared" si="6"/>
        <v>0</v>
      </c>
      <c r="AN467" s="884">
        <v>441</v>
      </c>
      <c r="AO467" s="883">
        <f t="shared" si="7"/>
        <v>0</v>
      </c>
      <c r="AP467" s="881"/>
      <c r="AQ467" s="881"/>
      <c r="AR467" s="883">
        <v>0</v>
      </c>
      <c r="AS467" s="883">
        <v>0</v>
      </c>
      <c r="AT467" s="883">
        <v>0</v>
      </c>
      <c r="AU467" s="880"/>
      <c r="AV467" s="886"/>
      <c r="AW467" s="880"/>
      <c r="AX467" s="886"/>
      <c r="AY467" s="880"/>
      <c r="AZ467" s="880"/>
      <c r="BA467" s="881"/>
      <c r="BB467" s="881" t="s">
        <v>57</v>
      </c>
      <c r="BC467" s="881"/>
      <c r="BD467" s="881"/>
      <c r="BE467" s="884">
        <f t="shared" si="132"/>
        <v>4</v>
      </c>
      <c r="BF467" s="887" t="str">
        <f t="shared" si="0"/>
        <v>SI</v>
      </c>
      <c r="BG467" s="883">
        <f t="shared" si="133"/>
        <v>431.25</v>
      </c>
      <c r="BH467" s="883">
        <f t="shared" si="134"/>
        <v>0</v>
      </c>
      <c r="BI467" s="883">
        <f t="shared" si="135"/>
        <v>0</v>
      </c>
      <c r="BJ467" s="883">
        <f t="shared" si="136"/>
        <v>0</v>
      </c>
      <c r="BK467" s="883">
        <f t="shared" si="137"/>
        <v>0</v>
      </c>
      <c r="BL467" s="883">
        <f t="shared" si="138"/>
        <v>64.69</v>
      </c>
      <c r="BM467" s="881"/>
      <c r="BN467" s="880"/>
      <c r="BO467" s="882" t="s">
        <v>1579</v>
      </c>
      <c r="BP467" s="882" t="s">
        <v>2286</v>
      </c>
      <c r="BQ467" s="882" t="s">
        <v>2285</v>
      </c>
      <c r="BR467" s="880"/>
      <c r="BS467" s="880"/>
      <c r="BT467" s="880"/>
      <c r="BU467" s="880"/>
      <c r="BV467" s="880"/>
      <c r="BW467" s="883">
        <v>0</v>
      </c>
      <c r="BX467" s="883">
        <v>0</v>
      </c>
      <c r="BY467" s="883">
        <v>0</v>
      </c>
      <c r="BZ467" s="890"/>
      <c r="CA467" s="883">
        <f t="shared" si="139"/>
        <v>0</v>
      </c>
      <c r="CB467" s="880"/>
      <c r="CC467" s="881"/>
      <c r="CD467" s="883"/>
      <c r="CE467" s="883"/>
      <c r="CF467" s="883"/>
      <c r="CG467" s="883"/>
      <c r="CH467" s="883"/>
      <c r="CI467" s="883"/>
      <c r="CJ467" s="883"/>
      <c r="CK467" s="883"/>
      <c r="CL467" s="883"/>
      <c r="CM467" s="883"/>
      <c r="CN467" s="883"/>
      <c r="CO467" s="883"/>
      <c r="CP467" s="883"/>
      <c r="CQ467" s="883"/>
      <c r="CR467" s="883"/>
      <c r="CS467" s="883"/>
      <c r="CT467" s="883"/>
      <c r="CU467" s="883"/>
    </row>
    <row r="468" spans="1:99" x14ac:dyDescent="0.25">
      <c r="A468" s="880" t="s">
        <v>2847</v>
      </c>
      <c r="B468" s="881" t="s">
        <v>2287</v>
      </c>
      <c r="C468" s="880" t="s">
        <v>2848</v>
      </c>
      <c r="D468" s="880"/>
      <c r="E468" s="884" t="s">
        <v>744</v>
      </c>
      <c r="F468" s="888">
        <v>1</v>
      </c>
      <c r="G468" s="881" t="s">
        <v>1007</v>
      </c>
      <c r="H468" s="881" t="s">
        <v>19</v>
      </c>
      <c r="I468" s="865">
        <v>46139</v>
      </c>
      <c r="J468" s="882" t="s">
        <v>8</v>
      </c>
      <c r="K468" s="880"/>
      <c r="L468" s="880"/>
      <c r="M468" s="883">
        <v>0</v>
      </c>
      <c r="N468" s="883">
        <v>0</v>
      </c>
      <c r="O468" s="883">
        <v>0</v>
      </c>
      <c r="P468" s="883">
        <v>411.6</v>
      </c>
      <c r="Q468" s="883">
        <v>15</v>
      </c>
      <c r="R468" s="883">
        <f t="shared" si="128"/>
        <v>61.74</v>
      </c>
      <c r="S468" s="883">
        <v>0</v>
      </c>
      <c r="T468" s="883">
        <v>5</v>
      </c>
      <c r="U468" s="883">
        <f t="shared" si="129"/>
        <v>0</v>
      </c>
      <c r="V468" s="883">
        <v>0</v>
      </c>
      <c r="W468" s="883">
        <v>8</v>
      </c>
      <c r="X468" s="883">
        <f t="shared" si="130"/>
        <v>0</v>
      </c>
      <c r="Y468" s="883">
        <v>0</v>
      </c>
      <c r="Z468" s="883">
        <v>0</v>
      </c>
      <c r="AA468" s="883">
        <v>0</v>
      </c>
      <c r="AB468" s="883">
        <f t="shared" si="131"/>
        <v>473.34</v>
      </c>
      <c r="AC468" s="883">
        <v>0</v>
      </c>
      <c r="AD468" s="881"/>
      <c r="AE468" s="880"/>
      <c r="AF468" s="883"/>
      <c r="AG468" s="889"/>
      <c r="AH468" s="880"/>
      <c r="AI468" s="880" t="s">
        <v>1241</v>
      </c>
      <c r="AJ468" s="884">
        <v>411</v>
      </c>
      <c r="AK468" s="883">
        <f t="shared" si="5"/>
        <v>411.6</v>
      </c>
      <c r="AL468" s="884">
        <v>413</v>
      </c>
      <c r="AM468" s="883">
        <f t="shared" si="6"/>
        <v>0</v>
      </c>
      <c r="AN468" s="884">
        <v>441</v>
      </c>
      <c r="AO468" s="883">
        <f t="shared" si="7"/>
        <v>0</v>
      </c>
      <c r="AP468" s="881"/>
      <c r="AQ468" s="881"/>
      <c r="AR468" s="883">
        <v>0</v>
      </c>
      <c r="AS468" s="883">
        <v>0</v>
      </c>
      <c r="AT468" s="883">
        <v>0</v>
      </c>
      <c r="AU468" s="880"/>
      <c r="AV468" s="886"/>
      <c r="AW468" s="880"/>
      <c r="AX468" s="886"/>
      <c r="AY468" s="880"/>
      <c r="AZ468" s="880"/>
      <c r="BA468" s="881"/>
      <c r="BB468" s="881" t="s">
        <v>57</v>
      </c>
      <c r="BC468" s="881"/>
      <c r="BD468" s="881"/>
      <c r="BE468" s="884">
        <f t="shared" si="132"/>
        <v>4</v>
      </c>
      <c r="BF468" s="887" t="str">
        <f t="shared" si="0"/>
        <v>SI</v>
      </c>
      <c r="BG468" s="883">
        <f t="shared" si="133"/>
        <v>411.6</v>
      </c>
      <c r="BH468" s="883">
        <f t="shared" si="134"/>
        <v>0</v>
      </c>
      <c r="BI468" s="883">
        <f t="shared" si="135"/>
        <v>0</v>
      </c>
      <c r="BJ468" s="883">
        <f t="shared" si="136"/>
        <v>0</v>
      </c>
      <c r="BK468" s="883">
        <f t="shared" si="137"/>
        <v>0</v>
      </c>
      <c r="BL468" s="883">
        <f t="shared" si="138"/>
        <v>61.74</v>
      </c>
      <c r="BM468" s="881"/>
      <c r="BN468" s="880"/>
      <c r="BO468" s="882" t="s">
        <v>1579</v>
      </c>
      <c r="BP468" s="882" t="s">
        <v>2286</v>
      </c>
      <c r="BQ468" s="882" t="s">
        <v>2285</v>
      </c>
      <c r="BR468" s="880"/>
      <c r="BS468" s="880"/>
      <c r="BT468" s="880"/>
      <c r="BU468" s="880"/>
      <c r="BV468" s="880"/>
      <c r="BW468" s="883">
        <v>0</v>
      </c>
      <c r="BX468" s="883">
        <v>0</v>
      </c>
      <c r="BY468" s="883">
        <v>0</v>
      </c>
      <c r="BZ468" s="890"/>
      <c r="CA468" s="883">
        <f t="shared" si="139"/>
        <v>0</v>
      </c>
      <c r="CB468" s="880"/>
      <c r="CC468" s="881"/>
      <c r="CD468" s="883"/>
      <c r="CE468" s="883"/>
      <c r="CF468" s="883"/>
      <c r="CG468" s="883"/>
      <c r="CH468" s="883"/>
      <c r="CI468" s="883"/>
      <c r="CJ468" s="883"/>
      <c r="CK468" s="883"/>
      <c r="CL468" s="883"/>
      <c r="CM468" s="883"/>
      <c r="CN468" s="883"/>
      <c r="CO468" s="883"/>
      <c r="CP468" s="883"/>
      <c r="CQ468" s="883"/>
      <c r="CR468" s="883"/>
      <c r="CS468" s="883"/>
      <c r="CT468" s="883"/>
      <c r="CU468" s="883"/>
    </row>
    <row r="469" spans="1:99" hidden="1" x14ac:dyDescent="0.25">
      <c r="A469" s="880" t="s">
        <v>2847</v>
      </c>
      <c r="B469" s="881" t="s">
        <v>2287</v>
      </c>
      <c r="C469" s="880" t="s">
        <v>2848</v>
      </c>
      <c r="D469" s="880"/>
      <c r="E469" s="884" t="s">
        <v>744</v>
      </c>
      <c r="F469" s="888">
        <v>1</v>
      </c>
      <c r="G469" s="881" t="s">
        <v>1007</v>
      </c>
      <c r="H469" s="881" t="s">
        <v>19</v>
      </c>
      <c r="I469" s="865">
        <v>46140</v>
      </c>
      <c r="J469" s="882" t="s">
        <v>8</v>
      </c>
      <c r="K469" s="880"/>
      <c r="L469" s="880"/>
      <c r="M469" s="883">
        <v>0</v>
      </c>
      <c r="N469" s="883">
        <v>0</v>
      </c>
      <c r="O469" s="883">
        <v>0</v>
      </c>
      <c r="P469" s="883">
        <v>441.6</v>
      </c>
      <c r="Q469" s="883">
        <v>15</v>
      </c>
      <c r="R469" s="883">
        <f t="shared" si="128"/>
        <v>66.239999999999995</v>
      </c>
      <c r="S469" s="883">
        <v>0</v>
      </c>
      <c r="T469" s="883">
        <v>5</v>
      </c>
      <c r="U469" s="883">
        <f t="shared" si="129"/>
        <v>0</v>
      </c>
      <c r="V469" s="883">
        <v>0</v>
      </c>
      <c r="W469" s="883">
        <v>8</v>
      </c>
      <c r="X469" s="883">
        <f t="shared" si="130"/>
        <v>0</v>
      </c>
      <c r="Y469" s="883">
        <v>0</v>
      </c>
      <c r="Z469" s="883">
        <v>0</v>
      </c>
      <c r="AA469" s="883">
        <v>0</v>
      </c>
      <c r="AB469" s="883">
        <f t="shared" si="131"/>
        <v>507.84</v>
      </c>
      <c r="AC469" s="883">
        <v>0</v>
      </c>
      <c r="AD469" s="881"/>
      <c r="AE469" s="880"/>
      <c r="AF469" s="883"/>
      <c r="AG469" s="889"/>
      <c r="AH469" s="880"/>
      <c r="AI469" s="880" t="s">
        <v>1241</v>
      </c>
      <c r="AJ469" s="884">
        <v>411</v>
      </c>
      <c r="AK469" s="883">
        <f t="shared" si="5"/>
        <v>441.6</v>
      </c>
      <c r="AL469" s="884">
        <v>413</v>
      </c>
      <c r="AM469" s="883">
        <f t="shared" si="6"/>
        <v>0</v>
      </c>
      <c r="AN469" s="884">
        <v>441</v>
      </c>
      <c r="AO469" s="883">
        <f t="shared" si="7"/>
        <v>0</v>
      </c>
      <c r="AP469" s="881"/>
      <c r="AQ469" s="881"/>
      <c r="AR469" s="883">
        <v>0</v>
      </c>
      <c r="AS469" s="883">
        <v>0</v>
      </c>
      <c r="AT469" s="883">
        <v>0</v>
      </c>
      <c r="AU469" s="880"/>
      <c r="AV469" s="886"/>
      <c r="AW469" s="880"/>
      <c r="AX469" s="886"/>
      <c r="AY469" s="880"/>
      <c r="AZ469" s="880"/>
      <c r="BA469" s="881"/>
      <c r="BB469" s="881" t="s">
        <v>76</v>
      </c>
      <c r="BC469" s="881"/>
      <c r="BD469" s="881"/>
      <c r="BE469" s="884">
        <f t="shared" si="132"/>
        <v>4</v>
      </c>
      <c r="BF469" s="887" t="str">
        <f t="shared" si="0"/>
        <v>SI</v>
      </c>
      <c r="BG469" s="883">
        <f t="shared" si="133"/>
        <v>441.6</v>
      </c>
      <c r="BH469" s="883">
        <f t="shared" si="134"/>
        <v>0</v>
      </c>
      <c r="BI469" s="883">
        <f t="shared" si="135"/>
        <v>0</v>
      </c>
      <c r="BJ469" s="883">
        <f t="shared" si="136"/>
        <v>0</v>
      </c>
      <c r="BK469" s="883">
        <f t="shared" si="137"/>
        <v>0</v>
      </c>
      <c r="BL469" s="883">
        <f t="shared" si="138"/>
        <v>66.239999999999995</v>
      </c>
      <c r="BM469" s="881"/>
      <c r="BN469" s="880"/>
      <c r="BO469" s="882" t="s">
        <v>1579</v>
      </c>
      <c r="BP469" s="882" t="s">
        <v>2286</v>
      </c>
      <c r="BQ469" s="882" t="s">
        <v>2285</v>
      </c>
      <c r="BR469" s="880"/>
      <c r="BS469" s="880"/>
      <c r="BT469" s="880"/>
      <c r="BU469" s="880"/>
      <c r="BV469" s="880"/>
      <c r="BW469" s="883">
        <v>0</v>
      </c>
      <c r="BX469" s="883">
        <v>0</v>
      </c>
      <c r="BY469" s="883">
        <v>0</v>
      </c>
      <c r="BZ469" s="890"/>
      <c r="CA469" s="883">
        <f t="shared" si="139"/>
        <v>0</v>
      </c>
      <c r="CB469" s="880"/>
      <c r="CC469" s="881"/>
      <c r="CD469" s="883"/>
      <c r="CE469" s="883"/>
      <c r="CF469" s="883"/>
      <c r="CG469" s="883"/>
      <c r="CH469" s="883"/>
      <c r="CI469" s="883"/>
      <c r="CJ469" s="883"/>
      <c r="CK469" s="883"/>
      <c r="CL469" s="883"/>
      <c r="CM469" s="883"/>
      <c r="CN469" s="883"/>
      <c r="CO469" s="883"/>
      <c r="CP469" s="883"/>
      <c r="CQ469" s="883"/>
      <c r="CR469" s="883"/>
      <c r="CS469" s="883"/>
      <c r="CT469" s="883"/>
      <c r="CU469" s="883"/>
    </row>
    <row r="470" spans="1:99" hidden="1" x14ac:dyDescent="0.25">
      <c r="A470" s="880" t="s">
        <v>2847</v>
      </c>
      <c r="B470" s="881" t="s">
        <v>2287</v>
      </c>
      <c r="C470" s="880" t="s">
        <v>2848</v>
      </c>
      <c r="D470" s="880"/>
      <c r="E470" s="884" t="s">
        <v>744</v>
      </c>
      <c r="F470" s="888">
        <v>1</v>
      </c>
      <c r="G470" s="881" t="s">
        <v>1007</v>
      </c>
      <c r="H470" s="881" t="s">
        <v>19</v>
      </c>
      <c r="I470" s="865">
        <v>46140</v>
      </c>
      <c r="J470" s="882" t="s">
        <v>8</v>
      </c>
      <c r="K470" s="880"/>
      <c r="L470" s="880"/>
      <c r="M470" s="883">
        <v>0</v>
      </c>
      <c r="N470" s="883">
        <v>0</v>
      </c>
      <c r="O470" s="883">
        <v>0</v>
      </c>
      <c r="P470" s="883">
        <v>445</v>
      </c>
      <c r="Q470" s="883">
        <v>15</v>
      </c>
      <c r="R470" s="883">
        <f t="shared" si="128"/>
        <v>66.75</v>
      </c>
      <c r="S470" s="883">
        <v>0</v>
      </c>
      <c r="T470" s="883">
        <v>5</v>
      </c>
      <c r="U470" s="883">
        <f t="shared" si="129"/>
        <v>0</v>
      </c>
      <c r="V470" s="883">
        <v>0</v>
      </c>
      <c r="W470" s="883">
        <v>8</v>
      </c>
      <c r="X470" s="883">
        <f t="shared" si="130"/>
        <v>0</v>
      </c>
      <c r="Y470" s="883">
        <v>0</v>
      </c>
      <c r="Z470" s="883">
        <v>0</v>
      </c>
      <c r="AA470" s="883">
        <v>0</v>
      </c>
      <c r="AB470" s="883">
        <f t="shared" si="131"/>
        <v>511.75</v>
      </c>
      <c r="AC470" s="883">
        <v>0</v>
      </c>
      <c r="AD470" s="881"/>
      <c r="AE470" s="880"/>
      <c r="AF470" s="883"/>
      <c r="AG470" s="889"/>
      <c r="AH470" s="880"/>
      <c r="AI470" s="880" t="s">
        <v>1241</v>
      </c>
      <c r="AJ470" s="884">
        <v>411</v>
      </c>
      <c r="AK470" s="883">
        <f t="shared" si="5"/>
        <v>445</v>
      </c>
      <c r="AL470" s="884">
        <v>413</v>
      </c>
      <c r="AM470" s="883">
        <f t="shared" si="6"/>
        <v>0</v>
      </c>
      <c r="AN470" s="884">
        <v>441</v>
      </c>
      <c r="AO470" s="883">
        <f t="shared" si="7"/>
        <v>0</v>
      </c>
      <c r="AP470" s="881"/>
      <c r="AQ470" s="881"/>
      <c r="AR470" s="883">
        <v>0</v>
      </c>
      <c r="AS470" s="883">
        <v>0</v>
      </c>
      <c r="AT470" s="883">
        <v>0</v>
      </c>
      <c r="AU470" s="880"/>
      <c r="AV470" s="886"/>
      <c r="AW470" s="880"/>
      <c r="AX470" s="886"/>
      <c r="AY470" s="880"/>
      <c r="AZ470" s="880"/>
      <c r="BA470" s="881"/>
      <c r="BB470" s="881" t="s">
        <v>76</v>
      </c>
      <c r="BC470" s="881"/>
      <c r="BD470" s="881"/>
      <c r="BE470" s="884">
        <f t="shared" si="132"/>
        <v>4</v>
      </c>
      <c r="BF470" s="887" t="str">
        <f t="shared" si="0"/>
        <v>SI</v>
      </c>
      <c r="BG470" s="883">
        <f t="shared" si="133"/>
        <v>445</v>
      </c>
      <c r="BH470" s="883">
        <f t="shared" si="134"/>
        <v>0</v>
      </c>
      <c r="BI470" s="883">
        <f t="shared" si="135"/>
        <v>0</v>
      </c>
      <c r="BJ470" s="883">
        <f t="shared" si="136"/>
        <v>0</v>
      </c>
      <c r="BK470" s="883">
        <f t="shared" si="137"/>
        <v>0</v>
      </c>
      <c r="BL470" s="883">
        <f t="shared" si="138"/>
        <v>66.75</v>
      </c>
      <c r="BM470" s="881"/>
      <c r="BN470" s="880"/>
      <c r="BO470" s="882" t="s">
        <v>1579</v>
      </c>
      <c r="BP470" s="882" t="s">
        <v>2286</v>
      </c>
      <c r="BQ470" s="882" t="s">
        <v>2285</v>
      </c>
      <c r="BR470" s="880"/>
      <c r="BS470" s="880"/>
      <c r="BT470" s="880"/>
      <c r="BU470" s="880"/>
      <c r="BV470" s="880"/>
      <c r="BW470" s="883">
        <v>0</v>
      </c>
      <c r="BX470" s="883">
        <v>0</v>
      </c>
      <c r="BY470" s="883">
        <v>0</v>
      </c>
      <c r="BZ470" s="890"/>
      <c r="CA470" s="883">
        <f t="shared" si="139"/>
        <v>0</v>
      </c>
      <c r="CB470" s="880"/>
      <c r="CC470" s="881"/>
      <c r="CD470" s="883"/>
      <c r="CE470" s="883"/>
      <c r="CF470" s="883"/>
      <c r="CG470" s="883"/>
      <c r="CH470" s="883"/>
      <c r="CI470" s="883"/>
      <c r="CJ470" s="883"/>
      <c r="CK470" s="883"/>
      <c r="CL470" s="883"/>
      <c r="CM470" s="883"/>
      <c r="CN470" s="883"/>
      <c r="CO470" s="883"/>
      <c r="CP470" s="883"/>
      <c r="CQ470" s="883"/>
      <c r="CR470" s="883"/>
      <c r="CS470" s="883"/>
      <c r="CT470" s="883"/>
      <c r="CU470" s="883"/>
    </row>
    <row r="471" spans="1:99" s="939" customFormat="1" x14ac:dyDescent="0.25">
      <c r="A471" s="940" t="s">
        <v>2849</v>
      </c>
      <c r="B471" s="941" t="s">
        <v>2287</v>
      </c>
      <c r="C471" s="940" t="s">
        <v>2850</v>
      </c>
      <c r="D471" s="940"/>
      <c r="E471" s="942" t="s">
        <v>744</v>
      </c>
      <c r="F471" s="943">
        <v>1</v>
      </c>
      <c r="G471" s="941" t="s">
        <v>1007</v>
      </c>
      <c r="H471" s="941" t="s">
        <v>19</v>
      </c>
      <c r="I471" s="931">
        <v>46142</v>
      </c>
      <c r="J471" s="944" t="s">
        <v>8</v>
      </c>
      <c r="K471" s="940"/>
      <c r="L471" s="940"/>
      <c r="M471" s="945">
        <v>0</v>
      </c>
      <c r="N471" s="945">
        <v>0</v>
      </c>
      <c r="O471" s="945">
        <v>0</v>
      </c>
      <c r="P471" s="945">
        <v>17.39</v>
      </c>
      <c r="Q471" s="945">
        <v>15</v>
      </c>
      <c r="R471" s="945">
        <f t="shared" si="128"/>
        <v>2.61</v>
      </c>
      <c r="S471" s="945">
        <v>0</v>
      </c>
      <c r="T471" s="945">
        <v>5</v>
      </c>
      <c r="U471" s="945">
        <f t="shared" si="129"/>
        <v>0</v>
      </c>
      <c r="V471" s="945">
        <v>0</v>
      </c>
      <c r="W471" s="945">
        <v>8</v>
      </c>
      <c r="X471" s="945">
        <f t="shared" si="130"/>
        <v>0</v>
      </c>
      <c r="Y471" s="945">
        <v>0</v>
      </c>
      <c r="Z471" s="945">
        <v>0</v>
      </c>
      <c r="AA471" s="945">
        <v>0</v>
      </c>
      <c r="AB471" s="945">
        <f t="shared" si="131"/>
        <v>20</v>
      </c>
      <c r="AC471" s="945">
        <v>0</v>
      </c>
      <c r="AD471" s="941"/>
      <c r="AE471" s="940"/>
      <c r="AF471" s="945"/>
      <c r="AG471" s="946"/>
      <c r="AH471" s="940"/>
      <c r="AI471" s="940" t="s">
        <v>1241</v>
      </c>
      <c r="AJ471" s="942">
        <v>411</v>
      </c>
      <c r="AK471" s="945">
        <f t="shared" si="5"/>
        <v>17.39</v>
      </c>
      <c r="AL471" s="942">
        <v>413</v>
      </c>
      <c r="AM471" s="945">
        <f t="shared" si="6"/>
        <v>0</v>
      </c>
      <c r="AN471" s="942">
        <v>441</v>
      </c>
      <c r="AO471" s="945">
        <f t="shared" si="7"/>
        <v>0</v>
      </c>
      <c r="AP471" s="941"/>
      <c r="AQ471" s="941"/>
      <c r="AR471" s="945">
        <v>0</v>
      </c>
      <c r="AS471" s="945">
        <v>0</v>
      </c>
      <c r="AT471" s="945">
        <v>0</v>
      </c>
      <c r="AU471" s="940"/>
      <c r="AV471" s="947"/>
      <c r="AW471" s="940"/>
      <c r="AX471" s="947"/>
      <c r="AY471" s="940"/>
      <c r="AZ471" s="940"/>
      <c r="BA471" s="941"/>
      <c r="BB471" s="941" t="s">
        <v>57</v>
      </c>
      <c r="BC471" s="941"/>
      <c r="BD471" s="941"/>
      <c r="BE471" s="942">
        <f t="shared" si="132"/>
        <v>4</v>
      </c>
      <c r="BF471" s="948" t="str">
        <f t="shared" si="0"/>
        <v>SI</v>
      </c>
      <c r="BG471" s="945">
        <f t="shared" si="133"/>
        <v>17.39</v>
      </c>
      <c r="BH471" s="945">
        <f t="shared" si="134"/>
        <v>0</v>
      </c>
      <c r="BI471" s="945">
        <f t="shared" si="135"/>
        <v>0</v>
      </c>
      <c r="BJ471" s="945">
        <f t="shared" si="136"/>
        <v>0</v>
      </c>
      <c r="BK471" s="945">
        <f t="shared" si="137"/>
        <v>0</v>
      </c>
      <c r="BL471" s="945">
        <f t="shared" si="138"/>
        <v>2.61</v>
      </c>
      <c r="BM471" s="941"/>
      <c r="BN471" s="940"/>
      <c r="BO471" s="944" t="s">
        <v>1579</v>
      </c>
      <c r="BP471" s="944" t="s">
        <v>2286</v>
      </c>
      <c r="BQ471" s="944" t="s">
        <v>2285</v>
      </c>
      <c r="BR471" s="940"/>
      <c r="BS471" s="940"/>
      <c r="BT471" s="940"/>
      <c r="BU471" s="940"/>
      <c r="BV471" s="940"/>
      <c r="BW471" s="945">
        <v>0</v>
      </c>
      <c r="BX471" s="945">
        <v>0</v>
      </c>
      <c r="BY471" s="945">
        <v>0</v>
      </c>
      <c r="BZ471" s="949"/>
      <c r="CA471" s="945">
        <f t="shared" si="139"/>
        <v>0</v>
      </c>
      <c r="CB471" s="940"/>
      <c r="CC471" s="941"/>
      <c r="CD471" s="945"/>
      <c r="CE471" s="945"/>
      <c r="CF471" s="945"/>
      <c r="CG471" s="945"/>
      <c r="CH471" s="945"/>
      <c r="CI471" s="945"/>
      <c r="CJ471" s="945"/>
      <c r="CK471" s="945"/>
      <c r="CL471" s="945"/>
      <c r="CM471" s="945"/>
      <c r="CN471" s="945"/>
      <c r="CO471" s="945"/>
      <c r="CP471" s="945"/>
      <c r="CQ471" s="945"/>
      <c r="CR471" s="945"/>
      <c r="CS471" s="945"/>
      <c r="CT471" s="945"/>
      <c r="CU471" s="945"/>
    </row>
    <row r="472" spans="1:99" hidden="1" x14ac:dyDescent="0.25">
      <c r="A472" s="880" t="s">
        <v>2851</v>
      </c>
      <c r="B472" s="881" t="s">
        <v>2287</v>
      </c>
      <c r="C472" s="880" t="s">
        <v>2852</v>
      </c>
      <c r="D472" s="880"/>
      <c r="E472" s="884" t="s">
        <v>744</v>
      </c>
      <c r="F472" s="888">
        <v>1</v>
      </c>
      <c r="G472" s="881" t="s">
        <v>1007</v>
      </c>
      <c r="H472" s="881" t="s">
        <v>19</v>
      </c>
      <c r="I472" s="865">
        <v>46141</v>
      </c>
      <c r="J472" s="882" t="s">
        <v>8</v>
      </c>
      <c r="K472" s="880"/>
      <c r="L472" s="880"/>
      <c r="M472" s="883">
        <v>0</v>
      </c>
      <c r="N472" s="883">
        <v>0</v>
      </c>
      <c r="O472" s="883">
        <v>0</v>
      </c>
      <c r="P472" s="883">
        <v>739.13</v>
      </c>
      <c r="Q472" s="883">
        <v>15</v>
      </c>
      <c r="R472" s="883">
        <f t="shared" si="128"/>
        <v>110.87</v>
      </c>
      <c r="S472" s="883">
        <v>0</v>
      </c>
      <c r="T472" s="883">
        <v>5</v>
      </c>
      <c r="U472" s="883">
        <f t="shared" si="129"/>
        <v>0</v>
      </c>
      <c r="V472" s="883">
        <v>0</v>
      </c>
      <c r="W472" s="883">
        <v>8</v>
      </c>
      <c r="X472" s="883">
        <f t="shared" si="130"/>
        <v>0</v>
      </c>
      <c r="Y472" s="883">
        <v>0</v>
      </c>
      <c r="Z472" s="883">
        <v>0</v>
      </c>
      <c r="AA472" s="883">
        <v>0</v>
      </c>
      <c r="AB472" s="883">
        <f t="shared" si="131"/>
        <v>850</v>
      </c>
      <c r="AC472" s="883">
        <v>0</v>
      </c>
      <c r="AD472" s="881"/>
      <c r="AE472" s="880"/>
      <c r="AF472" s="883"/>
      <c r="AG472" s="889"/>
      <c r="AH472" s="880"/>
      <c r="AI472" s="880" t="s">
        <v>1241</v>
      </c>
      <c r="AJ472" s="884">
        <v>411</v>
      </c>
      <c r="AK472" s="883">
        <f t="shared" si="5"/>
        <v>739.13</v>
      </c>
      <c r="AL472" s="884">
        <v>413</v>
      </c>
      <c r="AM472" s="883">
        <f t="shared" si="6"/>
        <v>0</v>
      </c>
      <c r="AN472" s="884">
        <v>441</v>
      </c>
      <c r="AO472" s="883">
        <f t="shared" si="7"/>
        <v>0</v>
      </c>
      <c r="AP472" s="881"/>
      <c r="AQ472" s="881" t="s">
        <v>1222</v>
      </c>
      <c r="AR472" s="883">
        <v>77.61</v>
      </c>
      <c r="AS472" s="883">
        <v>22.17</v>
      </c>
      <c r="AT472" s="883">
        <v>0</v>
      </c>
      <c r="AU472" s="880"/>
      <c r="AV472" s="886"/>
      <c r="AW472" s="880"/>
      <c r="AX472" s="886"/>
      <c r="AY472" s="880"/>
      <c r="AZ472" s="880"/>
      <c r="BA472" s="881"/>
      <c r="BB472" s="881" t="s">
        <v>76</v>
      </c>
      <c r="BC472" s="881"/>
      <c r="BD472" s="881"/>
      <c r="BE472" s="884">
        <f t="shared" si="132"/>
        <v>4</v>
      </c>
      <c r="BF472" s="887" t="str">
        <f t="shared" si="0"/>
        <v>SI</v>
      </c>
      <c r="BG472" s="883">
        <f t="shared" si="133"/>
        <v>739.13</v>
      </c>
      <c r="BH472" s="883">
        <f t="shared" si="134"/>
        <v>0</v>
      </c>
      <c r="BI472" s="883">
        <f t="shared" si="135"/>
        <v>0</v>
      </c>
      <c r="BJ472" s="883">
        <f t="shared" si="136"/>
        <v>0</v>
      </c>
      <c r="BK472" s="883">
        <f t="shared" si="137"/>
        <v>0</v>
      </c>
      <c r="BL472" s="883">
        <f t="shared" si="138"/>
        <v>110.87</v>
      </c>
      <c r="BM472" s="881"/>
      <c r="BN472" s="880"/>
      <c r="BO472" s="882" t="s">
        <v>1579</v>
      </c>
      <c r="BP472" s="882" t="s">
        <v>2286</v>
      </c>
      <c r="BQ472" s="882" t="s">
        <v>2285</v>
      </c>
      <c r="BR472" s="880"/>
      <c r="BS472" s="880"/>
      <c r="BT472" s="880"/>
      <c r="BU472" s="880"/>
      <c r="BV472" s="880"/>
      <c r="BW472" s="883">
        <v>0</v>
      </c>
      <c r="BX472" s="883">
        <v>0</v>
      </c>
      <c r="BY472" s="883">
        <v>0</v>
      </c>
      <c r="BZ472" s="890"/>
      <c r="CA472" s="883">
        <f t="shared" si="139"/>
        <v>0</v>
      </c>
      <c r="CB472" s="880"/>
      <c r="CC472" s="881"/>
      <c r="CD472" s="883"/>
      <c r="CE472" s="883"/>
      <c r="CF472" s="883"/>
      <c r="CG472" s="883"/>
      <c r="CH472" s="883"/>
      <c r="CI472" s="883"/>
      <c r="CJ472" s="883"/>
      <c r="CK472" s="883"/>
      <c r="CL472" s="883"/>
      <c r="CM472" s="883"/>
      <c r="CN472" s="883"/>
      <c r="CO472" s="883"/>
      <c r="CP472" s="883"/>
      <c r="CQ472" s="883"/>
      <c r="CR472" s="883"/>
      <c r="CS472" s="883"/>
      <c r="CT472" s="883"/>
      <c r="CU472" s="883"/>
    </row>
    <row r="473" spans="1:99" x14ac:dyDescent="0.25">
      <c r="A473" s="880" t="s">
        <v>2853</v>
      </c>
      <c r="B473" s="881" t="s">
        <v>2287</v>
      </c>
      <c r="C473" s="880" t="s">
        <v>2854</v>
      </c>
      <c r="D473" s="880"/>
      <c r="E473" s="884" t="s">
        <v>744</v>
      </c>
      <c r="F473" s="888">
        <v>1</v>
      </c>
      <c r="G473" s="881" t="s">
        <v>1007</v>
      </c>
      <c r="H473" s="881" t="s">
        <v>19</v>
      </c>
      <c r="I473" s="865">
        <v>46140</v>
      </c>
      <c r="J473" s="882" t="s">
        <v>8</v>
      </c>
      <c r="K473" s="880"/>
      <c r="L473" s="880"/>
      <c r="M473" s="883">
        <v>0</v>
      </c>
      <c r="N473" s="883">
        <v>0</v>
      </c>
      <c r="O473" s="883">
        <v>0</v>
      </c>
      <c r="P473" s="883">
        <v>21.74</v>
      </c>
      <c r="Q473" s="883">
        <v>15</v>
      </c>
      <c r="R473" s="883">
        <f t="shared" si="128"/>
        <v>3.26</v>
      </c>
      <c r="S473" s="883">
        <v>0</v>
      </c>
      <c r="T473" s="883">
        <v>5</v>
      </c>
      <c r="U473" s="883">
        <f t="shared" si="129"/>
        <v>0</v>
      </c>
      <c r="V473" s="883">
        <v>0</v>
      </c>
      <c r="W473" s="883">
        <v>8</v>
      </c>
      <c r="X473" s="883">
        <f t="shared" si="130"/>
        <v>0</v>
      </c>
      <c r="Y473" s="883">
        <v>0</v>
      </c>
      <c r="Z473" s="883">
        <v>0</v>
      </c>
      <c r="AA473" s="883">
        <v>0</v>
      </c>
      <c r="AB473" s="883">
        <f t="shared" si="131"/>
        <v>25</v>
      </c>
      <c r="AC473" s="883">
        <v>0</v>
      </c>
      <c r="AD473" s="881"/>
      <c r="AE473" s="880"/>
      <c r="AF473" s="883"/>
      <c r="AG473" s="889"/>
      <c r="AH473" s="880"/>
      <c r="AI473" s="880" t="s">
        <v>1241</v>
      </c>
      <c r="AJ473" s="884">
        <v>411</v>
      </c>
      <c r="AK473" s="883">
        <f t="shared" si="5"/>
        <v>21.74</v>
      </c>
      <c r="AL473" s="884">
        <v>413</v>
      </c>
      <c r="AM473" s="883">
        <f t="shared" si="6"/>
        <v>0</v>
      </c>
      <c r="AN473" s="884">
        <v>441</v>
      </c>
      <c r="AO473" s="883">
        <f t="shared" si="7"/>
        <v>0</v>
      </c>
      <c r="AP473" s="881"/>
      <c r="AQ473" s="881"/>
      <c r="AR473" s="883">
        <v>0</v>
      </c>
      <c r="AS473" s="883">
        <v>0</v>
      </c>
      <c r="AT473" s="883">
        <v>0</v>
      </c>
      <c r="AU473" s="880"/>
      <c r="AV473" s="886"/>
      <c r="AW473" s="880"/>
      <c r="AX473" s="886"/>
      <c r="AY473" s="880"/>
      <c r="AZ473" s="880"/>
      <c r="BA473" s="881"/>
      <c r="BB473" s="881" t="s">
        <v>57</v>
      </c>
      <c r="BC473" s="881"/>
      <c r="BD473" s="881"/>
      <c r="BE473" s="884">
        <f t="shared" si="132"/>
        <v>4</v>
      </c>
      <c r="BF473" s="887" t="str">
        <f t="shared" si="0"/>
        <v>SI</v>
      </c>
      <c r="BG473" s="883">
        <f t="shared" si="133"/>
        <v>21.74</v>
      </c>
      <c r="BH473" s="883">
        <f t="shared" si="134"/>
        <v>0</v>
      </c>
      <c r="BI473" s="883">
        <f t="shared" si="135"/>
        <v>0</v>
      </c>
      <c r="BJ473" s="883">
        <f t="shared" si="136"/>
        <v>0</v>
      </c>
      <c r="BK473" s="883">
        <f t="shared" si="137"/>
        <v>0</v>
      </c>
      <c r="BL473" s="883">
        <f t="shared" si="138"/>
        <v>3.26</v>
      </c>
      <c r="BM473" s="881"/>
      <c r="BN473" s="880"/>
      <c r="BO473" s="882" t="s">
        <v>1579</v>
      </c>
      <c r="BP473" s="882" t="s">
        <v>2286</v>
      </c>
      <c r="BQ473" s="882" t="s">
        <v>2285</v>
      </c>
      <c r="BR473" s="880"/>
      <c r="BS473" s="880"/>
      <c r="BT473" s="880"/>
      <c r="BU473" s="880"/>
      <c r="BV473" s="880"/>
      <c r="BW473" s="883">
        <v>0</v>
      </c>
      <c r="BX473" s="883">
        <v>0</v>
      </c>
      <c r="BY473" s="883">
        <v>0</v>
      </c>
      <c r="BZ473" s="890"/>
      <c r="CA473" s="883">
        <f t="shared" si="139"/>
        <v>0</v>
      </c>
      <c r="CB473" s="880"/>
      <c r="CC473" s="881"/>
      <c r="CD473" s="883"/>
      <c r="CE473" s="883"/>
      <c r="CF473" s="883"/>
      <c r="CG473" s="883"/>
      <c r="CH473" s="883"/>
      <c r="CI473" s="883"/>
      <c r="CJ473" s="883"/>
      <c r="CK473" s="883"/>
      <c r="CL473" s="883"/>
      <c r="CM473" s="883"/>
      <c r="CN473" s="883"/>
      <c r="CO473" s="883"/>
      <c r="CP473" s="883"/>
      <c r="CQ473" s="883"/>
      <c r="CR473" s="883"/>
      <c r="CS473" s="883"/>
      <c r="CT473" s="883"/>
      <c r="CU473" s="883"/>
    </row>
    <row r="474" spans="1:99" x14ac:dyDescent="0.25">
      <c r="A474" s="880" t="s">
        <v>2855</v>
      </c>
      <c r="B474" s="881" t="s">
        <v>2287</v>
      </c>
      <c r="C474" s="880" t="s">
        <v>2759</v>
      </c>
      <c r="D474" s="880"/>
      <c r="E474" s="884" t="s">
        <v>744</v>
      </c>
      <c r="F474" s="888">
        <v>1</v>
      </c>
      <c r="G474" s="881" t="s">
        <v>1007</v>
      </c>
      <c r="H474" s="881" t="s">
        <v>19</v>
      </c>
      <c r="I474" s="865">
        <v>46139</v>
      </c>
      <c r="J474" s="882" t="s">
        <v>8</v>
      </c>
      <c r="K474" s="880"/>
      <c r="L474" s="880"/>
      <c r="M474" s="883">
        <v>0</v>
      </c>
      <c r="N474" s="883">
        <v>0</v>
      </c>
      <c r="O474" s="883">
        <v>0</v>
      </c>
      <c r="P474" s="883">
        <v>24.35</v>
      </c>
      <c r="Q474" s="883">
        <v>15</v>
      </c>
      <c r="R474" s="883">
        <f t="shared" si="128"/>
        <v>3.65</v>
      </c>
      <c r="S474" s="883">
        <v>0</v>
      </c>
      <c r="T474" s="883">
        <v>5</v>
      </c>
      <c r="U474" s="883">
        <f t="shared" si="129"/>
        <v>0</v>
      </c>
      <c r="V474" s="883">
        <v>0</v>
      </c>
      <c r="W474" s="883">
        <v>8</v>
      </c>
      <c r="X474" s="883">
        <f t="shared" si="130"/>
        <v>0</v>
      </c>
      <c r="Y474" s="883">
        <v>0</v>
      </c>
      <c r="Z474" s="883">
        <v>0</v>
      </c>
      <c r="AA474" s="883">
        <v>0</v>
      </c>
      <c r="AB474" s="883">
        <f t="shared" si="131"/>
        <v>28</v>
      </c>
      <c r="AC474" s="883">
        <v>0</v>
      </c>
      <c r="AD474" s="881"/>
      <c r="AE474" s="880"/>
      <c r="AF474" s="883"/>
      <c r="AG474" s="889"/>
      <c r="AH474" s="880"/>
      <c r="AI474" s="880" t="s">
        <v>1241</v>
      </c>
      <c r="AJ474" s="884">
        <v>411</v>
      </c>
      <c r="AK474" s="883">
        <f t="shared" si="5"/>
        <v>24.35</v>
      </c>
      <c r="AL474" s="884">
        <v>413</v>
      </c>
      <c r="AM474" s="883">
        <f t="shared" si="6"/>
        <v>0</v>
      </c>
      <c r="AN474" s="884">
        <v>441</v>
      </c>
      <c r="AO474" s="883">
        <f t="shared" si="7"/>
        <v>0</v>
      </c>
      <c r="AP474" s="881"/>
      <c r="AQ474" s="881" t="s">
        <v>1222</v>
      </c>
      <c r="AR474" s="883">
        <v>2.56</v>
      </c>
      <c r="AS474" s="883">
        <v>0.73</v>
      </c>
      <c r="AT474" s="883">
        <v>0</v>
      </c>
      <c r="AU474" s="880"/>
      <c r="AV474" s="886"/>
      <c r="AW474" s="880"/>
      <c r="AX474" s="886"/>
      <c r="AY474" s="880"/>
      <c r="AZ474" s="880"/>
      <c r="BA474" s="881"/>
      <c r="BB474" s="881" t="s">
        <v>57</v>
      </c>
      <c r="BC474" s="881"/>
      <c r="BD474" s="881"/>
      <c r="BE474" s="884">
        <f t="shared" si="132"/>
        <v>4</v>
      </c>
      <c r="BF474" s="887" t="str">
        <f t="shared" si="0"/>
        <v>SI</v>
      </c>
      <c r="BG474" s="883">
        <f t="shared" si="133"/>
        <v>24.35</v>
      </c>
      <c r="BH474" s="883">
        <f t="shared" si="134"/>
        <v>0</v>
      </c>
      <c r="BI474" s="883">
        <f t="shared" si="135"/>
        <v>0</v>
      </c>
      <c r="BJ474" s="883">
        <f t="shared" si="136"/>
        <v>0</v>
      </c>
      <c r="BK474" s="883">
        <f t="shared" si="137"/>
        <v>0</v>
      </c>
      <c r="BL474" s="883">
        <f t="shared" si="138"/>
        <v>3.65</v>
      </c>
      <c r="BM474" s="881"/>
      <c r="BN474" s="880"/>
      <c r="BO474" s="882" t="s">
        <v>1579</v>
      </c>
      <c r="BP474" s="882" t="s">
        <v>2286</v>
      </c>
      <c r="BQ474" s="882" t="s">
        <v>2285</v>
      </c>
      <c r="BR474" s="880"/>
      <c r="BS474" s="880"/>
      <c r="BT474" s="880"/>
      <c r="BU474" s="880"/>
      <c r="BV474" s="880"/>
      <c r="BW474" s="883">
        <v>0</v>
      </c>
      <c r="BX474" s="883">
        <v>0</v>
      </c>
      <c r="BY474" s="883">
        <v>0</v>
      </c>
      <c r="BZ474" s="890"/>
      <c r="CA474" s="883">
        <f t="shared" si="139"/>
        <v>0</v>
      </c>
      <c r="CB474" s="880"/>
      <c r="CC474" s="881"/>
      <c r="CD474" s="883"/>
      <c r="CE474" s="883"/>
      <c r="CF474" s="883"/>
      <c r="CG474" s="883"/>
      <c r="CH474" s="883"/>
      <c r="CI474" s="883"/>
      <c r="CJ474" s="883"/>
      <c r="CK474" s="883"/>
      <c r="CL474" s="883"/>
      <c r="CM474" s="883"/>
      <c r="CN474" s="883"/>
      <c r="CO474" s="883"/>
      <c r="CP474" s="883"/>
      <c r="CQ474" s="883"/>
      <c r="CR474" s="883"/>
      <c r="CS474" s="883"/>
      <c r="CT474" s="883"/>
      <c r="CU474" s="883"/>
    </row>
    <row r="475" spans="1:99" x14ac:dyDescent="0.25">
      <c r="A475" s="880" t="s">
        <v>2856</v>
      </c>
      <c r="B475" s="881" t="s">
        <v>2453</v>
      </c>
      <c r="C475" s="880" t="s">
        <v>2857</v>
      </c>
      <c r="D475" s="880"/>
      <c r="E475" s="884" t="s">
        <v>744</v>
      </c>
      <c r="F475" s="888">
        <v>1</v>
      </c>
      <c r="G475" s="881" t="s">
        <v>1007</v>
      </c>
      <c r="H475" s="881" t="s">
        <v>19</v>
      </c>
      <c r="I475" s="865">
        <v>46134</v>
      </c>
      <c r="J475" s="882" t="s">
        <v>8</v>
      </c>
      <c r="K475" s="880"/>
      <c r="L475" s="880"/>
      <c r="M475" s="883">
        <v>0</v>
      </c>
      <c r="N475" s="883">
        <v>0</v>
      </c>
      <c r="O475" s="883">
        <v>0</v>
      </c>
      <c r="P475" s="883">
        <v>26.09</v>
      </c>
      <c r="Q475" s="883">
        <v>15</v>
      </c>
      <c r="R475" s="883">
        <f t="shared" si="128"/>
        <v>3.91</v>
      </c>
      <c r="S475" s="883">
        <v>0</v>
      </c>
      <c r="T475" s="883">
        <v>5</v>
      </c>
      <c r="U475" s="883">
        <f t="shared" si="129"/>
        <v>0</v>
      </c>
      <c r="V475" s="883">
        <v>0</v>
      </c>
      <c r="W475" s="883">
        <v>8</v>
      </c>
      <c r="X475" s="883">
        <f t="shared" si="130"/>
        <v>0</v>
      </c>
      <c r="Y475" s="883">
        <v>0</v>
      </c>
      <c r="Z475" s="883">
        <v>0</v>
      </c>
      <c r="AA475" s="883">
        <v>0</v>
      </c>
      <c r="AB475" s="883">
        <f t="shared" si="131"/>
        <v>30</v>
      </c>
      <c r="AC475" s="883">
        <v>0</v>
      </c>
      <c r="AD475" s="881"/>
      <c r="AE475" s="880"/>
      <c r="AF475" s="883"/>
      <c r="AG475" s="889"/>
      <c r="AH475" s="880"/>
      <c r="AI475" s="880" t="s">
        <v>1241</v>
      </c>
      <c r="AJ475" s="884">
        <v>411</v>
      </c>
      <c r="AK475" s="883">
        <f t="shared" si="5"/>
        <v>26.09</v>
      </c>
      <c r="AL475" s="884">
        <v>413</v>
      </c>
      <c r="AM475" s="883">
        <f t="shared" si="6"/>
        <v>0</v>
      </c>
      <c r="AN475" s="884">
        <v>441</v>
      </c>
      <c r="AO475" s="883">
        <f t="shared" si="7"/>
        <v>0</v>
      </c>
      <c r="AP475" s="881"/>
      <c r="AQ475" s="881"/>
      <c r="AR475" s="883">
        <v>0</v>
      </c>
      <c r="AS475" s="883">
        <v>0</v>
      </c>
      <c r="AT475" s="883">
        <v>0</v>
      </c>
      <c r="AU475" s="880"/>
      <c r="AV475" s="886"/>
      <c r="AW475" s="880"/>
      <c r="AX475" s="886"/>
      <c r="AY475" s="880"/>
      <c r="AZ475" s="880"/>
      <c r="BA475" s="881"/>
      <c r="BB475" s="881" t="s">
        <v>57</v>
      </c>
      <c r="BC475" s="881"/>
      <c r="BD475" s="881"/>
      <c r="BE475" s="884">
        <f t="shared" si="132"/>
        <v>4</v>
      </c>
      <c r="BF475" s="887" t="str">
        <f t="shared" si="0"/>
        <v>SI</v>
      </c>
      <c r="BG475" s="883">
        <f t="shared" si="133"/>
        <v>26.09</v>
      </c>
      <c r="BH475" s="883">
        <f t="shared" si="134"/>
        <v>0</v>
      </c>
      <c r="BI475" s="883">
        <f t="shared" si="135"/>
        <v>0</v>
      </c>
      <c r="BJ475" s="883">
        <f t="shared" si="136"/>
        <v>0</v>
      </c>
      <c r="BK475" s="883">
        <f t="shared" si="137"/>
        <v>0</v>
      </c>
      <c r="BL475" s="883">
        <f t="shared" si="138"/>
        <v>3.91</v>
      </c>
      <c r="BM475" s="881"/>
      <c r="BN475" s="880"/>
      <c r="BO475" s="882" t="s">
        <v>1579</v>
      </c>
      <c r="BP475" s="882" t="s">
        <v>2286</v>
      </c>
      <c r="BQ475" s="882" t="s">
        <v>2285</v>
      </c>
      <c r="BR475" s="880"/>
      <c r="BS475" s="880"/>
      <c r="BT475" s="880"/>
      <c r="BU475" s="880"/>
      <c r="BV475" s="880"/>
      <c r="BW475" s="883">
        <v>0</v>
      </c>
      <c r="BX475" s="883">
        <v>0</v>
      </c>
      <c r="BY475" s="883">
        <v>0</v>
      </c>
      <c r="BZ475" s="890"/>
      <c r="CA475" s="883">
        <f t="shared" si="139"/>
        <v>0</v>
      </c>
      <c r="CB475" s="880"/>
      <c r="CC475" s="881"/>
      <c r="CD475" s="883"/>
      <c r="CE475" s="883"/>
      <c r="CF475" s="883"/>
      <c r="CG475" s="883"/>
      <c r="CH475" s="883"/>
      <c r="CI475" s="883"/>
      <c r="CJ475" s="883"/>
      <c r="CK475" s="883"/>
      <c r="CL475" s="883"/>
      <c r="CM475" s="883"/>
      <c r="CN475" s="883"/>
      <c r="CO475" s="883"/>
      <c r="CP475" s="883"/>
      <c r="CQ475" s="883"/>
      <c r="CR475" s="883"/>
      <c r="CS475" s="883"/>
      <c r="CT475" s="883"/>
      <c r="CU475" s="883"/>
    </row>
    <row r="476" spans="1:99" x14ac:dyDescent="0.25">
      <c r="A476" s="880" t="s">
        <v>2858</v>
      </c>
      <c r="B476" s="881" t="s">
        <v>2453</v>
      </c>
      <c r="C476" s="880" t="s">
        <v>2859</v>
      </c>
      <c r="D476" s="880"/>
      <c r="E476" s="884" t="s">
        <v>744</v>
      </c>
      <c r="F476" s="888">
        <v>1</v>
      </c>
      <c r="G476" s="881" t="s">
        <v>1007</v>
      </c>
      <c r="H476" s="881" t="s">
        <v>19</v>
      </c>
      <c r="I476" s="865">
        <v>46128</v>
      </c>
      <c r="J476" s="882" t="s">
        <v>8</v>
      </c>
      <c r="K476" s="880"/>
      <c r="L476" s="880"/>
      <c r="M476" s="883">
        <v>0</v>
      </c>
      <c r="N476" s="883">
        <v>0</v>
      </c>
      <c r="O476" s="883">
        <v>0</v>
      </c>
      <c r="P476" s="883">
        <v>17.39</v>
      </c>
      <c r="Q476" s="883">
        <v>15</v>
      </c>
      <c r="R476" s="883">
        <f t="shared" si="128"/>
        <v>2.61</v>
      </c>
      <c r="S476" s="883">
        <v>0</v>
      </c>
      <c r="T476" s="883">
        <v>5</v>
      </c>
      <c r="U476" s="883">
        <f t="shared" si="129"/>
        <v>0</v>
      </c>
      <c r="V476" s="883">
        <v>0</v>
      </c>
      <c r="W476" s="883">
        <v>8</v>
      </c>
      <c r="X476" s="883">
        <f t="shared" si="130"/>
        <v>0</v>
      </c>
      <c r="Y476" s="883">
        <v>0</v>
      </c>
      <c r="Z476" s="883">
        <v>0</v>
      </c>
      <c r="AA476" s="883">
        <v>0</v>
      </c>
      <c r="AB476" s="883">
        <f t="shared" si="131"/>
        <v>20</v>
      </c>
      <c r="AC476" s="883">
        <v>0</v>
      </c>
      <c r="AD476" s="881"/>
      <c r="AE476" s="880"/>
      <c r="AF476" s="883"/>
      <c r="AG476" s="889"/>
      <c r="AH476" s="880"/>
      <c r="AI476" s="880" t="s">
        <v>1241</v>
      </c>
      <c r="AJ476" s="884">
        <v>411</v>
      </c>
      <c r="AK476" s="883">
        <f t="shared" si="5"/>
        <v>17.39</v>
      </c>
      <c r="AL476" s="884">
        <v>413</v>
      </c>
      <c r="AM476" s="883">
        <f t="shared" si="6"/>
        <v>0</v>
      </c>
      <c r="AN476" s="884">
        <v>441</v>
      </c>
      <c r="AO476" s="883">
        <f t="shared" si="7"/>
        <v>0</v>
      </c>
      <c r="AP476" s="881"/>
      <c r="AQ476" s="881"/>
      <c r="AR476" s="883">
        <v>0</v>
      </c>
      <c r="AS476" s="883">
        <v>0</v>
      </c>
      <c r="AT476" s="883">
        <v>0</v>
      </c>
      <c r="AU476" s="880"/>
      <c r="AV476" s="886"/>
      <c r="AW476" s="880"/>
      <c r="AX476" s="886"/>
      <c r="AY476" s="880"/>
      <c r="AZ476" s="880"/>
      <c r="BA476" s="881"/>
      <c r="BB476" s="881" t="s">
        <v>57</v>
      </c>
      <c r="BC476" s="881"/>
      <c r="BD476" s="881"/>
      <c r="BE476" s="884">
        <f t="shared" si="132"/>
        <v>4</v>
      </c>
      <c r="BF476" s="887" t="str">
        <f t="shared" si="0"/>
        <v>SI</v>
      </c>
      <c r="BG476" s="883">
        <f t="shared" si="133"/>
        <v>17.39</v>
      </c>
      <c r="BH476" s="883">
        <f t="shared" si="134"/>
        <v>0</v>
      </c>
      <c r="BI476" s="883">
        <f t="shared" si="135"/>
        <v>0</v>
      </c>
      <c r="BJ476" s="883">
        <f t="shared" si="136"/>
        <v>0</v>
      </c>
      <c r="BK476" s="883">
        <f t="shared" si="137"/>
        <v>0</v>
      </c>
      <c r="BL476" s="883">
        <f t="shared" si="138"/>
        <v>2.61</v>
      </c>
      <c r="BM476" s="881"/>
      <c r="BN476" s="880"/>
      <c r="BO476" s="882" t="s">
        <v>1579</v>
      </c>
      <c r="BP476" s="882" t="s">
        <v>2286</v>
      </c>
      <c r="BQ476" s="882" t="s">
        <v>2285</v>
      </c>
      <c r="BR476" s="880"/>
      <c r="BS476" s="880"/>
      <c r="BT476" s="880"/>
      <c r="BU476" s="880"/>
      <c r="BV476" s="880"/>
      <c r="BW476" s="883">
        <v>0</v>
      </c>
      <c r="BX476" s="883">
        <v>0</v>
      </c>
      <c r="BY476" s="883">
        <v>0</v>
      </c>
      <c r="BZ476" s="890"/>
      <c r="CA476" s="883">
        <f t="shared" si="139"/>
        <v>0</v>
      </c>
      <c r="CB476" s="880"/>
      <c r="CC476" s="881"/>
      <c r="CD476" s="883"/>
      <c r="CE476" s="883"/>
      <c r="CF476" s="883"/>
      <c r="CG476" s="883"/>
      <c r="CH476" s="883"/>
      <c r="CI476" s="883"/>
      <c r="CJ476" s="883"/>
      <c r="CK476" s="883"/>
      <c r="CL476" s="883"/>
      <c r="CM476" s="883"/>
      <c r="CN476" s="883"/>
      <c r="CO476" s="883"/>
      <c r="CP476" s="883"/>
      <c r="CQ476" s="883"/>
      <c r="CR476" s="883"/>
      <c r="CS476" s="883"/>
      <c r="CT476" s="883"/>
      <c r="CU476" s="883"/>
    </row>
    <row r="477" spans="1:99" x14ac:dyDescent="0.25">
      <c r="A477" s="880" t="s">
        <v>2860</v>
      </c>
      <c r="B477" s="881" t="s">
        <v>2453</v>
      </c>
      <c r="C477" s="880" t="s">
        <v>2861</v>
      </c>
      <c r="D477" s="880"/>
      <c r="E477" s="884" t="s">
        <v>744</v>
      </c>
      <c r="F477" s="888">
        <v>1</v>
      </c>
      <c r="G477" s="881" t="s">
        <v>1007</v>
      </c>
      <c r="H477" s="881" t="s">
        <v>19</v>
      </c>
      <c r="I477" s="865">
        <v>46127</v>
      </c>
      <c r="J477" s="882" t="s">
        <v>8</v>
      </c>
      <c r="K477" s="880"/>
      <c r="L477" s="880"/>
      <c r="M477" s="883">
        <v>0</v>
      </c>
      <c r="N477" s="883">
        <v>0</v>
      </c>
      <c r="O477" s="883">
        <v>0</v>
      </c>
      <c r="P477" s="883">
        <v>26.09</v>
      </c>
      <c r="Q477" s="883">
        <v>15</v>
      </c>
      <c r="R477" s="883">
        <f t="shared" si="128"/>
        <v>3.91</v>
      </c>
      <c r="S477" s="883">
        <v>0</v>
      </c>
      <c r="T477" s="883">
        <v>5</v>
      </c>
      <c r="U477" s="883">
        <f t="shared" si="129"/>
        <v>0</v>
      </c>
      <c r="V477" s="883">
        <v>0</v>
      </c>
      <c r="W477" s="883">
        <v>8</v>
      </c>
      <c r="X477" s="883">
        <f t="shared" si="130"/>
        <v>0</v>
      </c>
      <c r="Y477" s="883">
        <v>0</v>
      </c>
      <c r="Z477" s="883">
        <v>0</v>
      </c>
      <c r="AA477" s="883">
        <v>0</v>
      </c>
      <c r="AB477" s="883">
        <f t="shared" si="131"/>
        <v>30</v>
      </c>
      <c r="AC477" s="883">
        <v>0</v>
      </c>
      <c r="AD477" s="881"/>
      <c r="AE477" s="880"/>
      <c r="AF477" s="883"/>
      <c r="AG477" s="889"/>
      <c r="AH477" s="880"/>
      <c r="AI477" s="880" t="s">
        <v>1241</v>
      </c>
      <c r="AJ477" s="884">
        <v>411</v>
      </c>
      <c r="AK477" s="883">
        <f t="shared" si="5"/>
        <v>26.09</v>
      </c>
      <c r="AL477" s="884">
        <v>413</v>
      </c>
      <c r="AM477" s="883">
        <f t="shared" si="6"/>
        <v>0</v>
      </c>
      <c r="AN477" s="884">
        <v>441</v>
      </c>
      <c r="AO477" s="883">
        <f t="shared" si="7"/>
        <v>0</v>
      </c>
      <c r="AP477" s="881"/>
      <c r="AQ477" s="881"/>
      <c r="AR477" s="883">
        <v>0</v>
      </c>
      <c r="AS477" s="883">
        <v>0</v>
      </c>
      <c r="AT477" s="883">
        <v>0</v>
      </c>
      <c r="AU477" s="880"/>
      <c r="AV477" s="886"/>
      <c r="AW477" s="880"/>
      <c r="AX477" s="886"/>
      <c r="AY477" s="880"/>
      <c r="AZ477" s="880"/>
      <c r="BA477" s="881"/>
      <c r="BB477" s="881" t="s">
        <v>57</v>
      </c>
      <c r="BC477" s="881"/>
      <c r="BD477" s="881"/>
      <c r="BE477" s="884">
        <f t="shared" si="132"/>
        <v>4</v>
      </c>
      <c r="BF477" s="887" t="str">
        <f t="shared" si="0"/>
        <v>SI</v>
      </c>
      <c r="BG477" s="883">
        <f t="shared" si="133"/>
        <v>26.09</v>
      </c>
      <c r="BH477" s="883">
        <f t="shared" si="134"/>
        <v>0</v>
      </c>
      <c r="BI477" s="883">
        <f t="shared" si="135"/>
        <v>0</v>
      </c>
      <c r="BJ477" s="883">
        <f t="shared" si="136"/>
        <v>0</v>
      </c>
      <c r="BK477" s="883">
        <f t="shared" si="137"/>
        <v>0</v>
      </c>
      <c r="BL477" s="883">
        <f t="shared" si="138"/>
        <v>3.91</v>
      </c>
      <c r="BM477" s="881"/>
      <c r="BN477" s="880"/>
      <c r="BO477" s="882" t="s">
        <v>1579</v>
      </c>
      <c r="BP477" s="882" t="s">
        <v>2286</v>
      </c>
      <c r="BQ477" s="882" t="s">
        <v>2285</v>
      </c>
      <c r="BR477" s="880"/>
      <c r="BS477" s="880"/>
      <c r="BT477" s="880"/>
      <c r="BU477" s="880"/>
      <c r="BV477" s="880"/>
      <c r="BW477" s="883">
        <v>0</v>
      </c>
      <c r="BX477" s="883">
        <v>0</v>
      </c>
      <c r="BY477" s="883">
        <v>0</v>
      </c>
      <c r="BZ477" s="890"/>
      <c r="CA477" s="883">
        <f t="shared" si="139"/>
        <v>0</v>
      </c>
      <c r="CB477" s="880"/>
      <c r="CC477" s="881"/>
      <c r="CD477" s="883"/>
      <c r="CE477" s="883"/>
      <c r="CF477" s="883"/>
      <c r="CG477" s="883"/>
      <c r="CH477" s="883"/>
      <c r="CI477" s="883"/>
      <c r="CJ477" s="883"/>
      <c r="CK477" s="883"/>
      <c r="CL477" s="883"/>
      <c r="CM477" s="883"/>
      <c r="CN477" s="883"/>
      <c r="CO477" s="883"/>
      <c r="CP477" s="883"/>
      <c r="CQ477" s="883"/>
      <c r="CR477" s="883"/>
      <c r="CS477" s="883"/>
      <c r="CT477" s="883"/>
      <c r="CU477" s="883"/>
    </row>
    <row r="478" spans="1:99" x14ac:dyDescent="0.25">
      <c r="A478" s="880" t="s">
        <v>2862</v>
      </c>
      <c r="B478" s="881" t="s">
        <v>2453</v>
      </c>
      <c r="C478" s="880" t="s">
        <v>2863</v>
      </c>
      <c r="D478" s="880"/>
      <c r="E478" s="884" t="s">
        <v>744</v>
      </c>
      <c r="F478" s="888">
        <v>1</v>
      </c>
      <c r="G478" s="881" t="s">
        <v>1007</v>
      </c>
      <c r="H478" s="881" t="s">
        <v>19</v>
      </c>
      <c r="I478" s="865">
        <v>46127</v>
      </c>
      <c r="J478" s="882" t="s">
        <v>8</v>
      </c>
      <c r="K478" s="880"/>
      <c r="L478" s="880"/>
      <c r="M478" s="883">
        <v>0</v>
      </c>
      <c r="N478" s="883">
        <v>0</v>
      </c>
      <c r="O478" s="883">
        <v>0</v>
      </c>
      <c r="P478" s="883">
        <v>26.09</v>
      </c>
      <c r="Q478" s="883">
        <v>15</v>
      </c>
      <c r="R478" s="883">
        <f t="shared" si="128"/>
        <v>3.91</v>
      </c>
      <c r="S478" s="883">
        <v>0</v>
      </c>
      <c r="T478" s="883">
        <v>5</v>
      </c>
      <c r="U478" s="883">
        <f t="shared" si="129"/>
        <v>0</v>
      </c>
      <c r="V478" s="883">
        <v>0</v>
      </c>
      <c r="W478" s="883">
        <v>8</v>
      </c>
      <c r="X478" s="883">
        <f t="shared" si="130"/>
        <v>0</v>
      </c>
      <c r="Y478" s="883">
        <v>0</v>
      </c>
      <c r="Z478" s="883">
        <v>0</v>
      </c>
      <c r="AA478" s="883">
        <v>0</v>
      </c>
      <c r="AB478" s="883">
        <f t="shared" si="131"/>
        <v>30</v>
      </c>
      <c r="AC478" s="883">
        <v>0</v>
      </c>
      <c r="AD478" s="881"/>
      <c r="AE478" s="880"/>
      <c r="AF478" s="883"/>
      <c r="AG478" s="889"/>
      <c r="AH478" s="880"/>
      <c r="AI478" s="880" t="s">
        <v>1241</v>
      </c>
      <c r="AJ478" s="884">
        <v>411</v>
      </c>
      <c r="AK478" s="883">
        <f t="shared" si="5"/>
        <v>26.09</v>
      </c>
      <c r="AL478" s="884">
        <v>413</v>
      </c>
      <c r="AM478" s="883">
        <f t="shared" si="6"/>
        <v>0</v>
      </c>
      <c r="AN478" s="884">
        <v>441</v>
      </c>
      <c r="AO478" s="883">
        <f t="shared" si="7"/>
        <v>0</v>
      </c>
      <c r="AP478" s="881"/>
      <c r="AQ478" s="881"/>
      <c r="AR478" s="883">
        <v>0</v>
      </c>
      <c r="AS478" s="883">
        <v>0</v>
      </c>
      <c r="AT478" s="883">
        <v>0</v>
      </c>
      <c r="AU478" s="880"/>
      <c r="AV478" s="886"/>
      <c r="AW478" s="880"/>
      <c r="AX478" s="886"/>
      <c r="AY478" s="880"/>
      <c r="AZ478" s="880"/>
      <c r="BA478" s="881"/>
      <c r="BB478" s="881" t="s">
        <v>57</v>
      </c>
      <c r="BC478" s="881"/>
      <c r="BD478" s="881"/>
      <c r="BE478" s="884">
        <f t="shared" si="132"/>
        <v>4</v>
      </c>
      <c r="BF478" s="887" t="str">
        <f t="shared" si="0"/>
        <v>SI</v>
      </c>
      <c r="BG478" s="883">
        <f t="shared" si="133"/>
        <v>26.09</v>
      </c>
      <c r="BH478" s="883">
        <f t="shared" si="134"/>
        <v>0</v>
      </c>
      <c r="BI478" s="883">
        <f t="shared" si="135"/>
        <v>0</v>
      </c>
      <c r="BJ478" s="883">
        <f t="shared" si="136"/>
        <v>0</v>
      </c>
      <c r="BK478" s="883">
        <f t="shared" si="137"/>
        <v>0</v>
      </c>
      <c r="BL478" s="883">
        <f t="shared" si="138"/>
        <v>3.91</v>
      </c>
      <c r="BM478" s="881"/>
      <c r="BN478" s="880"/>
      <c r="BO478" s="882" t="s">
        <v>1579</v>
      </c>
      <c r="BP478" s="882" t="s">
        <v>2286</v>
      </c>
      <c r="BQ478" s="882" t="s">
        <v>2285</v>
      </c>
      <c r="BR478" s="880"/>
      <c r="BS478" s="880"/>
      <c r="BT478" s="880"/>
      <c r="BU478" s="880"/>
      <c r="BV478" s="880"/>
      <c r="BW478" s="883">
        <v>0</v>
      </c>
      <c r="BX478" s="883">
        <v>0</v>
      </c>
      <c r="BY478" s="883">
        <v>0</v>
      </c>
      <c r="BZ478" s="890"/>
      <c r="CA478" s="883">
        <f t="shared" si="139"/>
        <v>0</v>
      </c>
      <c r="CB478" s="880"/>
      <c r="CC478" s="881"/>
      <c r="CD478" s="883"/>
      <c r="CE478" s="883"/>
      <c r="CF478" s="883"/>
      <c r="CG478" s="883"/>
      <c r="CH478" s="883"/>
      <c r="CI478" s="883"/>
      <c r="CJ478" s="883"/>
      <c r="CK478" s="883"/>
      <c r="CL478" s="883"/>
      <c r="CM478" s="883"/>
      <c r="CN478" s="883"/>
      <c r="CO478" s="883"/>
      <c r="CP478" s="883"/>
      <c r="CQ478" s="883"/>
      <c r="CR478" s="883"/>
      <c r="CS478" s="883"/>
      <c r="CT478" s="883"/>
      <c r="CU478" s="883"/>
    </row>
    <row r="479" spans="1:99" x14ac:dyDescent="0.25">
      <c r="A479" s="880" t="s">
        <v>2864</v>
      </c>
      <c r="B479" s="881" t="s">
        <v>2287</v>
      </c>
      <c r="C479" s="880" t="s">
        <v>2865</v>
      </c>
      <c r="D479" s="880"/>
      <c r="E479" s="884" t="s">
        <v>744</v>
      </c>
      <c r="F479" s="888">
        <v>1</v>
      </c>
      <c r="G479" s="881" t="s">
        <v>1007</v>
      </c>
      <c r="H479" s="881" t="s">
        <v>19</v>
      </c>
      <c r="I479" s="865">
        <v>46126</v>
      </c>
      <c r="J479" s="882" t="s">
        <v>8</v>
      </c>
      <c r="K479" s="880"/>
      <c r="L479" s="880"/>
      <c r="M479" s="883">
        <v>0</v>
      </c>
      <c r="N479" s="883">
        <v>0</v>
      </c>
      <c r="O479" s="883">
        <v>0</v>
      </c>
      <c r="P479" s="883">
        <v>65.22</v>
      </c>
      <c r="Q479" s="883">
        <v>15</v>
      </c>
      <c r="R479" s="883">
        <f t="shared" si="128"/>
        <v>9.7799999999999994</v>
      </c>
      <c r="S479" s="883">
        <v>0</v>
      </c>
      <c r="T479" s="883">
        <v>5</v>
      </c>
      <c r="U479" s="883">
        <f t="shared" si="129"/>
        <v>0</v>
      </c>
      <c r="V479" s="883">
        <v>0</v>
      </c>
      <c r="W479" s="883">
        <v>8</v>
      </c>
      <c r="X479" s="883">
        <f t="shared" si="130"/>
        <v>0</v>
      </c>
      <c r="Y479" s="883">
        <v>0</v>
      </c>
      <c r="Z479" s="883">
        <v>0</v>
      </c>
      <c r="AA479" s="883">
        <v>0</v>
      </c>
      <c r="AB479" s="883">
        <f t="shared" si="131"/>
        <v>75</v>
      </c>
      <c r="AC479" s="883">
        <v>0</v>
      </c>
      <c r="AD479" s="881"/>
      <c r="AE479" s="880"/>
      <c r="AF479" s="883"/>
      <c r="AG479" s="889"/>
      <c r="AH479" s="880"/>
      <c r="AI479" s="880" t="s">
        <v>1241</v>
      </c>
      <c r="AJ479" s="884">
        <v>411</v>
      </c>
      <c r="AK479" s="883">
        <f t="shared" si="5"/>
        <v>65.22</v>
      </c>
      <c r="AL479" s="884">
        <v>413</v>
      </c>
      <c r="AM479" s="883">
        <f t="shared" si="6"/>
        <v>0</v>
      </c>
      <c r="AN479" s="884">
        <v>441</v>
      </c>
      <c r="AO479" s="883">
        <f t="shared" si="7"/>
        <v>0</v>
      </c>
      <c r="AP479" s="881"/>
      <c r="AQ479" s="881"/>
      <c r="AR479" s="883">
        <v>0</v>
      </c>
      <c r="AS479" s="883">
        <v>0</v>
      </c>
      <c r="AT479" s="883">
        <v>0</v>
      </c>
      <c r="AU479" s="880"/>
      <c r="AV479" s="886"/>
      <c r="AW479" s="880"/>
      <c r="AX479" s="886"/>
      <c r="AY479" s="880"/>
      <c r="AZ479" s="880"/>
      <c r="BA479" s="881"/>
      <c r="BB479" s="881" t="s">
        <v>57</v>
      </c>
      <c r="BC479" s="881"/>
      <c r="BD479" s="881"/>
      <c r="BE479" s="884">
        <f t="shared" si="132"/>
        <v>4</v>
      </c>
      <c r="BF479" s="887" t="str">
        <f t="shared" si="0"/>
        <v>SI</v>
      </c>
      <c r="BG479" s="883">
        <f t="shared" si="133"/>
        <v>65.22</v>
      </c>
      <c r="BH479" s="883">
        <f t="shared" si="134"/>
        <v>0</v>
      </c>
      <c r="BI479" s="883">
        <f t="shared" si="135"/>
        <v>0</v>
      </c>
      <c r="BJ479" s="883">
        <f t="shared" si="136"/>
        <v>0</v>
      </c>
      <c r="BK479" s="883">
        <f t="shared" si="137"/>
        <v>0</v>
      </c>
      <c r="BL479" s="883">
        <f t="shared" si="138"/>
        <v>9.7799999999999994</v>
      </c>
      <c r="BM479" s="881"/>
      <c r="BN479" s="880"/>
      <c r="BO479" s="882" t="s">
        <v>1579</v>
      </c>
      <c r="BP479" s="882" t="s">
        <v>2286</v>
      </c>
      <c r="BQ479" s="882" t="s">
        <v>2285</v>
      </c>
      <c r="BR479" s="880"/>
      <c r="BS479" s="880"/>
      <c r="BT479" s="880"/>
      <c r="BU479" s="880"/>
      <c r="BV479" s="880"/>
      <c r="BW479" s="883">
        <v>0</v>
      </c>
      <c r="BX479" s="883">
        <v>0</v>
      </c>
      <c r="BY479" s="883">
        <v>0</v>
      </c>
      <c r="BZ479" s="890"/>
      <c r="CA479" s="883">
        <f t="shared" si="139"/>
        <v>0</v>
      </c>
      <c r="CB479" s="880"/>
      <c r="CC479" s="881"/>
      <c r="CD479" s="883"/>
      <c r="CE479" s="883"/>
      <c r="CF479" s="883"/>
      <c r="CG479" s="883"/>
      <c r="CH479" s="883"/>
      <c r="CI479" s="883"/>
      <c r="CJ479" s="883"/>
      <c r="CK479" s="883"/>
      <c r="CL479" s="883"/>
      <c r="CM479" s="883"/>
      <c r="CN479" s="883"/>
      <c r="CO479" s="883"/>
      <c r="CP479" s="883"/>
      <c r="CQ479" s="883"/>
      <c r="CR479" s="883"/>
      <c r="CS479" s="883"/>
      <c r="CT479" s="883"/>
      <c r="CU479" s="883"/>
    </row>
    <row r="480" spans="1:99" x14ac:dyDescent="0.25">
      <c r="A480" s="880" t="s">
        <v>2866</v>
      </c>
      <c r="B480" s="881" t="s">
        <v>2287</v>
      </c>
      <c r="C480" s="880" t="s">
        <v>2867</v>
      </c>
      <c r="D480" s="880"/>
      <c r="E480" s="884" t="s">
        <v>744</v>
      </c>
      <c r="F480" s="888">
        <v>1</v>
      </c>
      <c r="G480" s="881" t="s">
        <v>1007</v>
      </c>
      <c r="H480" s="881" t="s">
        <v>19</v>
      </c>
      <c r="I480" s="865">
        <v>46121</v>
      </c>
      <c r="J480" s="882" t="s">
        <v>8</v>
      </c>
      <c r="K480" s="880"/>
      <c r="L480" s="880"/>
      <c r="M480" s="883">
        <v>0</v>
      </c>
      <c r="N480" s="883">
        <v>0</v>
      </c>
      <c r="O480" s="883">
        <v>0</v>
      </c>
      <c r="P480" s="883">
        <v>21.74</v>
      </c>
      <c r="Q480" s="883">
        <v>15</v>
      </c>
      <c r="R480" s="883">
        <f t="shared" si="128"/>
        <v>3.26</v>
      </c>
      <c r="S480" s="883">
        <v>0</v>
      </c>
      <c r="T480" s="883">
        <v>5</v>
      </c>
      <c r="U480" s="883">
        <f t="shared" si="129"/>
        <v>0</v>
      </c>
      <c r="V480" s="883">
        <v>0</v>
      </c>
      <c r="W480" s="883">
        <v>8</v>
      </c>
      <c r="X480" s="883">
        <f t="shared" si="130"/>
        <v>0</v>
      </c>
      <c r="Y480" s="883">
        <v>0</v>
      </c>
      <c r="Z480" s="883">
        <v>0</v>
      </c>
      <c r="AA480" s="883">
        <v>0</v>
      </c>
      <c r="AB480" s="883">
        <f t="shared" si="131"/>
        <v>25</v>
      </c>
      <c r="AC480" s="883">
        <v>0</v>
      </c>
      <c r="AD480" s="881"/>
      <c r="AE480" s="880"/>
      <c r="AF480" s="883"/>
      <c r="AG480" s="889"/>
      <c r="AH480" s="880"/>
      <c r="AI480" s="880" t="s">
        <v>1241</v>
      </c>
      <c r="AJ480" s="884">
        <v>411</v>
      </c>
      <c r="AK480" s="883">
        <f t="shared" si="5"/>
        <v>21.74</v>
      </c>
      <c r="AL480" s="884">
        <v>413</v>
      </c>
      <c r="AM480" s="883">
        <f t="shared" si="6"/>
        <v>0</v>
      </c>
      <c r="AN480" s="884">
        <v>441</v>
      </c>
      <c r="AO480" s="883">
        <f t="shared" si="7"/>
        <v>0</v>
      </c>
      <c r="AP480" s="881"/>
      <c r="AQ480" s="881"/>
      <c r="AR480" s="883">
        <v>0</v>
      </c>
      <c r="AS480" s="883">
        <v>0</v>
      </c>
      <c r="AT480" s="883">
        <v>0</v>
      </c>
      <c r="AU480" s="880"/>
      <c r="AV480" s="886"/>
      <c r="AW480" s="880"/>
      <c r="AX480" s="886"/>
      <c r="AY480" s="880"/>
      <c r="AZ480" s="880"/>
      <c r="BA480" s="881"/>
      <c r="BB480" s="881" t="s">
        <v>57</v>
      </c>
      <c r="BC480" s="881"/>
      <c r="BD480" s="881"/>
      <c r="BE480" s="884">
        <f t="shared" si="132"/>
        <v>4</v>
      </c>
      <c r="BF480" s="887" t="str">
        <f t="shared" si="0"/>
        <v>SI</v>
      </c>
      <c r="BG480" s="883">
        <f t="shared" si="133"/>
        <v>21.74</v>
      </c>
      <c r="BH480" s="883">
        <f t="shared" si="134"/>
        <v>0</v>
      </c>
      <c r="BI480" s="883">
        <f t="shared" si="135"/>
        <v>0</v>
      </c>
      <c r="BJ480" s="883">
        <f t="shared" si="136"/>
        <v>0</v>
      </c>
      <c r="BK480" s="883">
        <f t="shared" si="137"/>
        <v>0</v>
      </c>
      <c r="BL480" s="883">
        <f t="shared" si="138"/>
        <v>3.26</v>
      </c>
      <c r="BM480" s="881"/>
      <c r="BN480" s="880"/>
      <c r="BO480" s="882" t="s">
        <v>1579</v>
      </c>
      <c r="BP480" s="882" t="s">
        <v>2286</v>
      </c>
      <c r="BQ480" s="882" t="s">
        <v>2285</v>
      </c>
      <c r="BR480" s="880"/>
      <c r="BS480" s="880"/>
      <c r="BT480" s="880"/>
      <c r="BU480" s="880"/>
      <c r="BV480" s="880"/>
      <c r="BW480" s="883">
        <v>0</v>
      </c>
      <c r="BX480" s="883">
        <v>0</v>
      </c>
      <c r="BY480" s="883">
        <v>0</v>
      </c>
      <c r="BZ480" s="890"/>
      <c r="CA480" s="883">
        <f t="shared" si="139"/>
        <v>0</v>
      </c>
      <c r="CB480" s="880"/>
      <c r="CC480" s="881"/>
      <c r="CD480" s="883"/>
      <c r="CE480" s="883"/>
      <c r="CF480" s="883"/>
      <c r="CG480" s="883"/>
      <c r="CH480" s="883"/>
      <c r="CI480" s="883"/>
      <c r="CJ480" s="883"/>
      <c r="CK480" s="883"/>
      <c r="CL480" s="883"/>
      <c r="CM480" s="883"/>
      <c r="CN480" s="883"/>
      <c r="CO480" s="883"/>
      <c r="CP480" s="883"/>
      <c r="CQ480" s="883"/>
      <c r="CR480" s="883"/>
      <c r="CS480" s="883"/>
      <c r="CT480" s="883"/>
      <c r="CU480" s="883"/>
    </row>
    <row r="481" spans="1:99" x14ac:dyDescent="0.25">
      <c r="A481" s="880" t="s">
        <v>2868</v>
      </c>
      <c r="B481" s="881" t="s">
        <v>2453</v>
      </c>
      <c r="C481" s="880" t="s">
        <v>2869</v>
      </c>
      <c r="D481" s="880"/>
      <c r="E481" s="884" t="s">
        <v>744</v>
      </c>
      <c r="F481" s="888">
        <v>1</v>
      </c>
      <c r="G481" s="881" t="s">
        <v>1007</v>
      </c>
      <c r="H481" s="881" t="s">
        <v>19</v>
      </c>
      <c r="I481" s="865">
        <v>46118</v>
      </c>
      <c r="J481" s="882" t="s">
        <v>8</v>
      </c>
      <c r="K481" s="880"/>
      <c r="L481" s="880"/>
      <c r="M481" s="883">
        <v>0</v>
      </c>
      <c r="N481" s="883">
        <v>0</v>
      </c>
      <c r="O481" s="883">
        <v>0</v>
      </c>
      <c r="P481" s="883">
        <v>21.74</v>
      </c>
      <c r="Q481" s="883">
        <v>15</v>
      </c>
      <c r="R481" s="883">
        <f t="shared" si="128"/>
        <v>3.26</v>
      </c>
      <c r="S481" s="883">
        <v>0</v>
      </c>
      <c r="T481" s="883">
        <v>5</v>
      </c>
      <c r="U481" s="883">
        <f t="shared" si="129"/>
        <v>0</v>
      </c>
      <c r="V481" s="883">
        <v>0</v>
      </c>
      <c r="W481" s="883">
        <v>8</v>
      </c>
      <c r="X481" s="883">
        <f t="shared" si="130"/>
        <v>0</v>
      </c>
      <c r="Y481" s="883">
        <v>0</v>
      </c>
      <c r="Z481" s="883">
        <v>0</v>
      </c>
      <c r="AA481" s="883">
        <v>0</v>
      </c>
      <c r="AB481" s="883">
        <f t="shared" si="131"/>
        <v>25</v>
      </c>
      <c r="AC481" s="883">
        <v>0</v>
      </c>
      <c r="AD481" s="881"/>
      <c r="AE481" s="880"/>
      <c r="AF481" s="883"/>
      <c r="AG481" s="889"/>
      <c r="AH481" s="880"/>
      <c r="AI481" s="880" t="s">
        <v>1241</v>
      </c>
      <c r="AJ481" s="884">
        <v>411</v>
      </c>
      <c r="AK481" s="883">
        <f t="shared" si="5"/>
        <v>21.74</v>
      </c>
      <c r="AL481" s="884">
        <v>413</v>
      </c>
      <c r="AM481" s="883">
        <f t="shared" si="6"/>
        <v>0</v>
      </c>
      <c r="AN481" s="884">
        <v>441</v>
      </c>
      <c r="AO481" s="883">
        <f t="shared" si="7"/>
        <v>0</v>
      </c>
      <c r="AP481" s="881"/>
      <c r="AQ481" s="881"/>
      <c r="AR481" s="883">
        <v>0</v>
      </c>
      <c r="AS481" s="883">
        <v>0</v>
      </c>
      <c r="AT481" s="883">
        <v>0</v>
      </c>
      <c r="AU481" s="880"/>
      <c r="AV481" s="886"/>
      <c r="AW481" s="880"/>
      <c r="AX481" s="886"/>
      <c r="AY481" s="880"/>
      <c r="AZ481" s="880"/>
      <c r="BA481" s="881"/>
      <c r="BB481" s="881" t="s">
        <v>57</v>
      </c>
      <c r="BC481" s="881"/>
      <c r="BD481" s="881"/>
      <c r="BE481" s="884">
        <f t="shared" si="132"/>
        <v>4</v>
      </c>
      <c r="BF481" s="887" t="str">
        <f t="shared" si="0"/>
        <v>SI</v>
      </c>
      <c r="BG481" s="883">
        <f t="shared" si="133"/>
        <v>21.74</v>
      </c>
      <c r="BH481" s="883">
        <f t="shared" si="134"/>
        <v>0</v>
      </c>
      <c r="BI481" s="883">
        <f t="shared" si="135"/>
        <v>0</v>
      </c>
      <c r="BJ481" s="883">
        <f t="shared" si="136"/>
        <v>0</v>
      </c>
      <c r="BK481" s="883">
        <f t="shared" si="137"/>
        <v>0</v>
      </c>
      <c r="BL481" s="883">
        <f t="shared" si="138"/>
        <v>3.26</v>
      </c>
      <c r="BM481" s="881"/>
      <c r="BN481" s="880"/>
      <c r="BO481" s="882" t="s">
        <v>1579</v>
      </c>
      <c r="BP481" s="882" t="s">
        <v>2286</v>
      </c>
      <c r="BQ481" s="882" t="s">
        <v>2285</v>
      </c>
      <c r="BR481" s="880"/>
      <c r="BS481" s="880"/>
      <c r="BT481" s="880"/>
      <c r="BU481" s="880"/>
      <c r="BV481" s="880"/>
      <c r="BW481" s="883">
        <v>0</v>
      </c>
      <c r="BX481" s="883">
        <v>0</v>
      </c>
      <c r="BY481" s="883">
        <v>0</v>
      </c>
      <c r="BZ481" s="890"/>
      <c r="CA481" s="883">
        <f t="shared" si="139"/>
        <v>0</v>
      </c>
      <c r="CB481" s="880"/>
      <c r="CC481" s="881"/>
      <c r="CD481" s="883"/>
      <c r="CE481" s="883"/>
      <c r="CF481" s="883"/>
      <c r="CG481" s="883"/>
      <c r="CH481" s="883"/>
      <c r="CI481" s="883"/>
      <c r="CJ481" s="883"/>
      <c r="CK481" s="883"/>
      <c r="CL481" s="883"/>
      <c r="CM481" s="883"/>
      <c r="CN481" s="883"/>
      <c r="CO481" s="883"/>
      <c r="CP481" s="883"/>
      <c r="CQ481" s="883"/>
      <c r="CR481" s="883"/>
      <c r="CS481" s="883"/>
      <c r="CT481" s="883"/>
      <c r="CU481" s="883"/>
    </row>
    <row r="482" spans="1:99" hidden="1" x14ac:dyDescent="0.25">
      <c r="A482" s="880" t="s">
        <v>2870</v>
      </c>
      <c r="B482" s="881" t="s">
        <v>2287</v>
      </c>
      <c r="C482" s="880" t="s">
        <v>2871</v>
      </c>
      <c r="D482" s="880"/>
      <c r="E482" s="884" t="s">
        <v>744</v>
      </c>
      <c r="F482" s="888">
        <v>1</v>
      </c>
      <c r="G482" s="881" t="s">
        <v>1007</v>
      </c>
      <c r="H482" s="881" t="s">
        <v>19</v>
      </c>
      <c r="I482" s="865">
        <v>46118</v>
      </c>
      <c r="J482" s="882" t="s">
        <v>8</v>
      </c>
      <c r="K482" s="880"/>
      <c r="L482" s="880"/>
      <c r="M482" s="883">
        <v>0</v>
      </c>
      <c r="N482" s="883">
        <v>0</v>
      </c>
      <c r="O482" s="883">
        <v>0</v>
      </c>
      <c r="P482" s="883">
        <v>500</v>
      </c>
      <c r="Q482" s="883">
        <v>15</v>
      </c>
      <c r="R482" s="883">
        <f t="shared" si="128"/>
        <v>75</v>
      </c>
      <c r="S482" s="883">
        <v>0</v>
      </c>
      <c r="T482" s="883">
        <v>5</v>
      </c>
      <c r="U482" s="883">
        <f t="shared" si="129"/>
        <v>0</v>
      </c>
      <c r="V482" s="883">
        <v>0</v>
      </c>
      <c r="W482" s="883">
        <v>8</v>
      </c>
      <c r="X482" s="883">
        <f t="shared" si="130"/>
        <v>0</v>
      </c>
      <c r="Y482" s="883">
        <v>0</v>
      </c>
      <c r="Z482" s="883">
        <v>0</v>
      </c>
      <c r="AA482" s="883">
        <v>0</v>
      </c>
      <c r="AB482" s="883">
        <f t="shared" si="131"/>
        <v>575</v>
      </c>
      <c r="AC482" s="883">
        <v>0</v>
      </c>
      <c r="AD482" s="881"/>
      <c r="AE482" s="880"/>
      <c r="AF482" s="883"/>
      <c r="AG482" s="889"/>
      <c r="AH482" s="880"/>
      <c r="AI482" s="880" t="s">
        <v>1241</v>
      </c>
      <c r="AJ482" s="884">
        <v>411</v>
      </c>
      <c r="AK482" s="883">
        <f t="shared" si="5"/>
        <v>500</v>
      </c>
      <c r="AL482" s="884">
        <v>413</v>
      </c>
      <c r="AM482" s="883">
        <f t="shared" si="6"/>
        <v>0</v>
      </c>
      <c r="AN482" s="884">
        <v>441</v>
      </c>
      <c r="AO482" s="883">
        <f t="shared" si="7"/>
        <v>0</v>
      </c>
      <c r="AP482" s="881"/>
      <c r="AQ482" s="881"/>
      <c r="AR482" s="883">
        <v>0</v>
      </c>
      <c r="AS482" s="883">
        <v>0</v>
      </c>
      <c r="AT482" s="883">
        <v>0</v>
      </c>
      <c r="AU482" s="880"/>
      <c r="AV482" s="886"/>
      <c r="AW482" s="880"/>
      <c r="AX482" s="886"/>
      <c r="AY482" s="880"/>
      <c r="AZ482" s="880"/>
      <c r="BA482" s="881"/>
      <c r="BB482" s="881" t="s">
        <v>76</v>
      </c>
      <c r="BC482" s="881"/>
      <c r="BD482" s="881"/>
      <c r="BE482" s="884">
        <f t="shared" si="132"/>
        <v>4</v>
      </c>
      <c r="BF482" s="887" t="str">
        <f t="shared" si="0"/>
        <v>SI</v>
      </c>
      <c r="BG482" s="883">
        <f t="shared" si="133"/>
        <v>500</v>
      </c>
      <c r="BH482" s="883">
        <f t="shared" si="134"/>
        <v>0</v>
      </c>
      <c r="BI482" s="883">
        <f t="shared" si="135"/>
        <v>0</v>
      </c>
      <c r="BJ482" s="883">
        <f t="shared" si="136"/>
        <v>0</v>
      </c>
      <c r="BK482" s="883">
        <f t="shared" si="137"/>
        <v>0</v>
      </c>
      <c r="BL482" s="883">
        <f t="shared" si="138"/>
        <v>75</v>
      </c>
      <c r="BM482" s="881"/>
      <c r="BN482" s="880"/>
      <c r="BO482" s="882" t="s">
        <v>1579</v>
      </c>
      <c r="BP482" s="882" t="s">
        <v>2286</v>
      </c>
      <c r="BQ482" s="882" t="s">
        <v>2285</v>
      </c>
      <c r="BR482" s="880"/>
      <c r="BS482" s="880"/>
      <c r="BT482" s="880"/>
      <c r="BU482" s="880"/>
      <c r="BV482" s="880"/>
      <c r="BW482" s="883">
        <v>0</v>
      </c>
      <c r="BX482" s="883">
        <v>0</v>
      </c>
      <c r="BY482" s="883">
        <v>0</v>
      </c>
      <c r="BZ482" s="890"/>
      <c r="CA482" s="883">
        <f t="shared" si="139"/>
        <v>0</v>
      </c>
      <c r="CB482" s="880"/>
      <c r="CC482" s="881"/>
      <c r="CD482" s="883"/>
      <c r="CE482" s="883"/>
      <c r="CF482" s="883"/>
      <c r="CG482" s="883"/>
      <c r="CH482" s="883"/>
      <c r="CI482" s="883"/>
      <c r="CJ482" s="883"/>
      <c r="CK482" s="883"/>
      <c r="CL482" s="883"/>
      <c r="CM482" s="883"/>
      <c r="CN482" s="883"/>
      <c r="CO482" s="883"/>
      <c r="CP482" s="883"/>
      <c r="CQ482" s="883"/>
      <c r="CR482" s="883"/>
      <c r="CS482" s="883"/>
      <c r="CT482" s="883"/>
      <c r="CU482" s="883"/>
    </row>
    <row r="483" spans="1:99" x14ac:dyDescent="0.25">
      <c r="A483" s="880" t="s">
        <v>2872</v>
      </c>
      <c r="B483" s="881" t="s">
        <v>2287</v>
      </c>
      <c r="C483" s="880" t="s">
        <v>2873</v>
      </c>
      <c r="D483" s="880"/>
      <c r="E483" s="884" t="s">
        <v>744</v>
      </c>
      <c r="F483" s="888">
        <v>1</v>
      </c>
      <c r="G483" s="881" t="s">
        <v>1007</v>
      </c>
      <c r="H483" s="881" t="s">
        <v>19</v>
      </c>
      <c r="I483" s="865">
        <v>46118</v>
      </c>
      <c r="J483" s="882" t="s">
        <v>8</v>
      </c>
      <c r="K483" s="880"/>
      <c r="L483" s="880"/>
      <c r="M483" s="883">
        <v>0</v>
      </c>
      <c r="N483" s="883">
        <v>0</v>
      </c>
      <c r="O483" s="883">
        <v>0</v>
      </c>
      <c r="P483" s="883">
        <v>26.09</v>
      </c>
      <c r="Q483" s="883">
        <v>15</v>
      </c>
      <c r="R483" s="883">
        <f t="shared" si="1"/>
        <v>3.91</v>
      </c>
      <c r="S483" s="883">
        <v>0</v>
      </c>
      <c r="T483" s="883">
        <v>5</v>
      </c>
      <c r="U483" s="883">
        <f t="shared" si="2"/>
        <v>0</v>
      </c>
      <c r="V483" s="883">
        <v>0</v>
      </c>
      <c r="W483" s="883">
        <v>8</v>
      </c>
      <c r="X483" s="883">
        <f t="shared" si="3"/>
        <v>0</v>
      </c>
      <c r="Y483" s="883">
        <v>0</v>
      </c>
      <c r="Z483" s="883">
        <v>0</v>
      </c>
      <c r="AA483" s="883">
        <v>0</v>
      </c>
      <c r="AB483" s="883">
        <f t="shared" si="4"/>
        <v>30</v>
      </c>
      <c r="AC483" s="883">
        <v>0</v>
      </c>
      <c r="AD483" s="881"/>
      <c r="AE483" s="880"/>
      <c r="AF483" s="883"/>
      <c r="AG483" s="889"/>
      <c r="AH483" s="880"/>
      <c r="AI483" s="880" t="s">
        <v>1241</v>
      </c>
      <c r="AJ483" s="884">
        <v>411</v>
      </c>
      <c r="AK483" s="883">
        <f t="shared" si="5"/>
        <v>26.09</v>
      </c>
      <c r="AL483" s="884">
        <v>413</v>
      </c>
      <c r="AM483" s="883">
        <f t="shared" si="6"/>
        <v>0</v>
      </c>
      <c r="AN483" s="884">
        <v>441</v>
      </c>
      <c r="AO483" s="883">
        <f t="shared" si="7"/>
        <v>0</v>
      </c>
      <c r="AP483" s="881"/>
      <c r="AQ483" s="881"/>
      <c r="AR483" s="883">
        <v>0</v>
      </c>
      <c r="AS483" s="883">
        <v>0</v>
      </c>
      <c r="AT483" s="883">
        <v>0</v>
      </c>
      <c r="AU483" s="880"/>
      <c r="AV483" s="886"/>
      <c r="AW483" s="880"/>
      <c r="AX483" s="886"/>
      <c r="AY483" s="880"/>
      <c r="AZ483" s="880"/>
      <c r="BA483" s="881"/>
      <c r="BB483" s="881" t="s">
        <v>57</v>
      </c>
      <c r="BC483" s="881"/>
      <c r="BD483" s="881"/>
      <c r="BE483" s="884">
        <f t="shared" si="8"/>
        <v>4</v>
      </c>
      <c r="BF483" s="887" t="str">
        <f t="shared" si="0"/>
        <v>SI</v>
      </c>
      <c r="BG483" s="883">
        <f t="shared" si="9"/>
        <v>26.09</v>
      </c>
      <c r="BH483" s="883">
        <f t="shared" si="10"/>
        <v>0</v>
      </c>
      <c r="BI483" s="883">
        <f t="shared" si="11"/>
        <v>0</v>
      </c>
      <c r="BJ483" s="883">
        <f t="shared" si="12"/>
        <v>0</v>
      </c>
      <c r="BK483" s="883">
        <f t="shared" si="13"/>
        <v>0</v>
      </c>
      <c r="BL483" s="883">
        <f t="shared" si="14"/>
        <v>3.91</v>
      </c>
      <c r="BM483" s="881"/>
      <c r="BN483" s="880"/>
      <c r="BO483" s="882" t="s">
        <v>1579</v>
      </c>
      <c r="BP483" s="882" t="s">
        <v>2286</v>
      </c>
      <c r="BQ483" s="882" t="s">
        <v>2285</v>
      </c>
      <c r="BR483" s="880"/>
      <c r="BS483" s="880"/>
      <c r="BT483" s="880"/>
      <c r="BU483" s="880"/>
      <c r="BV483" s="880"/>
      <c r="BW483" s="883">
        <v>0</v>
      </c>
      <c r="BX483" s="883">
        <v>0</v>
      </c>
      <c r="BY483" s="883">
        <v>0</v>
      </c>
      <c r="BZ483" s="890"/>
      <c r="CA483" s="883">
        <f t="shared" si="15"/>
        <v>0</v>
      </c>
      <c r="CB483" s="880"/>
      <c r="CC483" s="881"/>
      <c r="CD483" s="883"/>
      <c r="CE483" s="883"/>
      <c r="CF483" s="883"/>
      <c r="CG483" s="883"/>
      <c r="CH483" s="883"/>
      <c r="CI483" s="883"/>
      <c r="CJ483" s="883"/>
      <c r="CK483" s="883"/>
      <c r="CL483" s="883"/>
      <c r="CM483" s="883"/>
      <c r="CN483" s="883"/>
      <c r="CO483" s="883"/>
      <c r="CP483" s="883"/>
      <c r="CQ483" s="883"/>
      <c r="CR483" s="883"/>
      <c r="CS483" s="883"/>
      <c r="CT483" s="883"/>
      <c r="CU483" s="883"/>
    </row>
    <row r="484" spans="1:99" x14ac:dyDescent="0.25">
      <c r="A484" s="880"/>
      <c r="B484" s="881" t="s">
        <v>1788</v>
      </c>
      <c r="C484" s="880"/>
      <c r="D484" s="880"/>
      <c r="E484" s="884" t="s">
        <v>744</v>
      </c>
      <c r="F484" s="888">
        <v>1</v>
      </c>
      <c r="G484" s="881" t="s">
        <v>1007</v>
      </c>
      <c r="H484" s="881" t="s">
        <v>19</v>
      </c>
      <c r="I484" s="865">
        <v>46142</v>
      </c>
      <c r="J484" s="882" t="s">
        <v>8</v>
      </c>
      <c r="K484" s="880"/>
      <c r="L484" s="880"/>
      <c r="M484" s="883">
        <v>0</v>
      </c>
      <c r="N484" s="883">
        <v>0</v>
      </c>
      <c r="O484" s="883">
        <v>0</v>
      </c>
      <c r="P484" s="883">
        <v>0</v>
      </c>
      <c r="Q484" s="883">
        <v>15</v>
      </c>
      <c r="R484" s="883">
        <f t="shared" si="1"/>
        <v>0</v>
      </c>
      <c r="S484" s="883">
        <v>0</v>
      </c>
      <c r="T484" s="883">
        <v>5</v>
      </c>
      <c r="U484" s="883">
        <f t="shared" si="2"/>
        <v>0</v>
      </c>
      <c r="V484" s="883">
        <v>0</v>
      </c>
      <c r="W484" s="883">
        <v>8</v>
      </c>
      <c r="X484" s="883">
        <f t="shared" si="3"/>
        <v>0</v>
      </c>
      <c r="Y484" s="883">
        <v>0</v>
      </c>
      <c r="Z484" s="883">
        <v>0</v>
      </c>
      <c r="AA484" s="883">
        <v>0</v>
      </c>
      <c r="AB484" s="883">
        <f t="shared" si="4"/>
        <v>0</v>
      </c>
      <c r="AC484" s="883">
        <v>0</v>
      </c>
      <c r="AD484" s="881"/>
      <c r="AE484" s="880"/>
      <c r="AF484" s="883"/>
      <c r="AG484" s="889"/>
      <c r="AH484" s="880"/>
      <c r="AI484" s="880" t="s">
        <v>1241</v>
      </c>
      <c r="AJ484" s="884">
        <v>411</v>
      </c>
      <c r="AK484" s="883">
        <f t="shared" si="5"/>
        <v>0</v>
      </c>
      <c r="AL484" s="884">
        <v>413</v>
      </c>
      <c r="AM484" s="883">
        <f t="shared" si="6"/>
        <v>0</v>
      </c>
      <c r="AN484" s="884">
        <v>441</v>
      </c>
      <c r="AO484" s="883">
        <f t="shared" si="7"/>
        <v>0</v>
      </c>
      <c r="AP484" s="881"/>
      <c r="AQ484" s="881"/>
      <c r="AR484" s="883">
        <v>0</v>
      </c>
      <c r="AS484" s="883">
        <v>0</v>
      </c>
      <c r="AT484" s="883">
        <v>0</v>
      </c>
      <c r="AU484" s="880"/>
      <c r="AV484" s="886"/>
      <c r="AW484" s="880"/>
      <c r="AX484" s="886"/>
      <c r="AY484" s="880"/>
      <c r="AZ484" s="880"/>
      <c r="BA484" s="881"/>
      <c r="BB484" s="881" t="s">
        <v>57</v>
      </c>
      <c r="BC484" s="881"/>
      <c r="BD484" s="881"/>
      <c r="BE484" s="884">
        <f t="shared" si="8"/>
        <v>4</v>
      </c>
      <c r="BF484" s="887" t="str">
        <f t="shared" si="0"/>
        <v>SI</v>
      </c>
      <c r="BG484" s="883">
        <f t="shared" si="9"/>
        <v>0</v>
      </c>
      <c r="BH484" s="883">
        <f t="shared" si="10"/>
        <v>0</v>
      </c>
      <c r="BI484" s="883">
        <f t="shared" si="11"/>
        <v>0</v>
      </c>
      <c r="BJ484" s="883">
        <f t="shared" si="12"/>
        <v>0</v>
      </c>
      <c r="BK484" s="883">
        <f t="shared" si="13"/>
        <v>0</v>
      </c>
      <c r="BL484" s="883">
        <f t="shared" si="14"/>
        <v>0</v>
      </c>
      <c r="BM484" s="881"/>
      <c r="BN484" s="880"/>
      <c r="BO484" s="882" t="s">
        <v>1579</v>
      </c>
      <c r="BP484" s="882" t="s">
        <v>2286</v>
      </c>
      <c r="BQ484" s="882" t="s">
        <v>2285</v>
      </c>
      <c r="BR484" s="880"/>
      <c r="BS484" s="880"/>
      <c r="BT484" s="880"/>
      <c r="BU484" s="880"/>
      <c r="BV484" s="880"/>
      <c r="BW484" s="883">
        <v>0</v>
      </c>
      <c r="BX484" s="883">
        <v>0</v>
      </c>
      <c r="BY484" s="883">
        <v>0</v>
      </c>
      <c r="BZ484" s="890"/>
      <c r="CA484" s="883">
        <f t="shared" si="15"/>
        <v>0</v>
      </c>
      <c r="CB484" s="880"/>
      <c r="CC484" s="881"/>
      <c r="CD484" s="883"/>
      <c r="CE484" s="883"/>
      <c r="CF484" s="883"/>
      <c r="CG484" s="883"/>
      <c r="CH484" s="883"/>
      <c r="CI484" s="883"/>
      <c r="CJ484" s="883"/>
      <c r="CK484" s="883"/>
      <c r="CL484" s="883"/>
      <c r="CM484" s="883"/>
      <c r="CN484" s="883"/>
      <c r="CO484" s="883"/>
      <c r="CP484" s="883"/>
      <c r="CQ484" s="883"/>
      <c r="CR484" s="883"/>
      <c r="CS484" s="883"/>
      <c r="CT484" s="883"/>
      <c r="CU484" s="883"/>
    </row>
    <row r="485" spans="1:99" x14ac:dyDescent="0.25">
      <c r="A485" s="880" t="s">
        <v>1787</v>
      </c>
      <c r="B485" s="881" t="s">
        <v>1788</v>
      </c>
      <c r="C485" s="880"/>
      <c r="D485" s="880"/>
      <c r="E485" s="884" t="s">
        <v>744</v>
      </c>
      <c r="F485" s="888">
        <v>1</v>
      </c>
      <c r="G485" s="881" t="s">
        <v>1007</v>
      </c>
      <c r="H485" s="881" t="s">
        <v>19</v>
      </c>
      <c r="I485" s="865">
        <v>46142</v>
      </c>
      <c r="J485" s="882" t="s">
        <v>8</v>
      </c>
      <c r="K485" s="880"/>
      <c r="L485" s="880"/>
      <c r="M485" s="883">
        <v>0</v>
      </c>
      <c r="N485" s="883">
        <v>0</v>
      </c>
      <c r="O485" s="883">
        <v>0</v>
      </c>
      <c r="P485" s="883">
        <v>0</v>
      </c>
      <c r="Q485" s="883">
        <v>15</v>
      </c>
      <c r="R485" s="883">
        <f t="shared" si="1"/>
        <v>0</v>
      </c>
      <c r="S485" s="883">
        <v>0</v>
      </c>
      <c r="T485" s="883">
        <v>5</v>
      </c>
      <c r="U485" s="883">
        <f t="shared" si="2"/>
        <v>0</v>
      </c>
      <c r="V485" s="883">
        <v>0</v>
      </c>
      <c r="W485" s="883">
        <v>8</v>
      </c>
      <c r="X485" s="883">
        <f t="shared" si="3"/>
        <v>0</v>
      </c>
      <c r="Y485" s="883">
        <v>0</v>
      </c>
      <c r="Z485" s="883">
        <v>0</v>
      </c>
      <c r="AA485" s="883">
        <v>0</v>
      </c>
      <c r="AB485" s="883">
        <f t="shared" si="4"/>
        <v>0</v>
      </c>
      <c r="AC485" s="883">
        <v>0</v>
      </c>
      <c r="AD485" s="881"/>
      <c r="AE485" s="880"/>
      <c r="AF485" s="883"/>
      <c r="AG485" s="889"/>
      <c r="AH485" s="880"/>
      <c r="AI485" s="880" t="s">
        <v>1241</v>
      </c>
      <c r="AJ485" s="884">
        <v>411</v>
      </c>
      <c r="AK485" s="883">
        <f t="shared" si="5"/>
        <v>0</v>
      </c>
      <c r="AL485" s="884">
        <v>413</v>
      </c>
      <c r="AM485" s="883">
        <f t="shared" si="6"/>
        <v>0</v>
      </c>
      <c r="AN485" s="884">
        <v>441</v>
      </c>
      <c r="AO485" s="883">
        <f t="shared" si="7"/>
        <v>0</v>
      </c>
      <c r="AP485" s="881"/>
      <c r="AQ485" s="881"/>
      <c r="AR485" s="883">
        <v>0</v>
      </c>
      <c r="AS485" s="883">
        <v>0</v>
      </c>
      <c r="AT485" s="883">
        <v>0</v>
      </c>
      <c r="AU485" s="880"/>
      <c r="AV485" s="886"/>
      <c r="AW485" s="880"/>
      <c r="AX485" s="886"/>
      <c r="AY485" s="880"/>
      <c r="AZ485" s="880"/>
      <c r="BA485" s="881"/>
      <c r="BB485" s="881" t="s">
        <v>76</v>
      </c>
      <c r="BC485" s="881"/>
      <c r="BD485" s="881"/>
      <c r="BE485" s="884">
        <f t="shared" si="8"/>
        <v>4</v>
      </c>
      <c r="BF485" s="887" t="str">
        <f t="shared" si="0"/>
        <v>SI</v>
      </c>
      <c r="BG485" s="883">
        <f t="shared" si="9"/>
        <v>0</v>
      </c>
      <c r="BH485" s="883">
        <f t="shared" si="10"/>
        <v>0</v>
      </c>
      <c r="BI485" s="883">
        <f t="shared" si="11"/>
        <v>0</v>
      </c>
      <c r="BJ485" s="883">
        <f t="shared" si="12"/>
        <v>0</v>
      </c>
      <c r="BK485" s="883">
        <f t="shared" si="13"/>
        <v>0</v>
      </c>
      <c r="BL485" s="883">
        <f t="shared" si="14"/>
        <v>0</v>
      </c>
      <c r="BM485" s="881"/>
      <c r="BN485" s="880"/>
      <c r="BO485" s="882" t="s">
        <v>1579</v>
      </c>
      <c r="BP485" s="882" t="s">
        <v>2286</v>
      </c>
      <c r="BQ485" s="882" t="s">
        <v>2285</v>
      </c>
      <c r="BR485" s="880"/>
      <c r="BS485" s="880"/>
      <c r="BT485" s="880"/>
      <c r="BU485" s="880"/>
      <c r="BV485" s="880"/>
      <c r="BW485" s="883">
        <v>0</v>
      </c>
      <c r="BX485" s="883">
        <v>0</v>
      </c>
      <c r="BY485" s="883">
        <v>0</v>
      </c>
      <c r="BZ485" s="890"/>
      <c r="CA485" s="883">
        <f t="shared" si="15"/>
        <v>0</v>
      </c>
      <c r="CB485" s="880"/>
      <c r="CC485" s="881"/>
      <c r="CD485" s="883"/>
      <c r="CE485" s="883"/>
      <c r="CF485" s="883"/>
      <c r="CG485" s="883"/>
      <c r="CH485" s="883"/>
      <c r="CI485" s="883"/>
      <c r="CJ485" s="883"/>
      <c r="CK485" s="883"/>
      <c r="CL485" s="883"/>
      <c r="CM485" s="883"/>
      <c r="CN485" s="883"/>
      <c r="CO485" s="883"/>
      <c r="CP485" s="883"/>
      <c r="CQ485" s="883"/>
      <c r="CR485" s="883"/>
      <c r="CS485" s="883"/>
      <c r="CT485" s="883"/>
      <c r="CU485" s="883"/>
    </row>
    <row r="486" spans="1:99" x14ac:dyDescent="0.25">
      <c r="A486" s="863" t="s">
        <v>1787</v>
      </c>
      <c r="B486" s="434" t="s">
        <v>1788</v>
      </c>
      <c r="C486" s="863"/>
      <c r="D486" s="863"/>
      <c r="E486" s="867" t="s">
        <v>744</v>
      </c>
      <c r="F486" s="875">
        <v>1</v>
      </c>
      <c r="G486" s="881" t="s">
        <v>1007</v>
      </c>
      <c r="H486" s="434" t="s">
        <v>19</v>
      </c>
      <c r="I486" s="865">
        <v>46142</v>
      </c>
      <c r="J486" s="864" t="s">
        <v>8</v>
      </c>
      <c r="K486" s="863"/>
      <c r="L486" s="863"/>
      <c r="M486" s="866">
        <v>0</v>
      </c>
      <c r="N486" s="866">
        <v>0</v>
      </c>
      <c r="O486" s="866">
        <v>0</v>
      </c>
      <c r="P486" s="866">
        <v>0</v>
      </c>
      <c r="Q486" s="866">
        <v>15</v>
      </c>
      <c r="R486" s="866">
        <f>ROUND(P486*Q486%,2)</f>
        <v>0</v>
      </c>
      <c r="S486" s="866">
        <v>0</v>
      </c>
      <c r="T486" s="866">
        <v>5</v>
      </c>
      <c r="U486" s="866">
        <f>ROUND(S486*T486%,2)</f>
        <v>0</v>
      </c>
      <c r="V486" s="866">
        <v>0</v>
      </c>
      <c r="W486" s="866">
        <v>8</v>
      </c>
      <c r="X486" s="866">
        <f>ROUND(V486*W486%,2)</f>
        <v>0</v>
      </c>
      <c r="Y486" s="866">
        <v>0</v>
      </c>
      <c r="Z486" s="866">
        <v>0</v>
      </c>
      <c r="AA486" s="866">
        <v>0</v>
      </c>
      <c r="AB486" s="866">
        <f>ROUND(SUM(M486:P486)+SUM(R486:S486)+SUM(U486:V486)+SUM(X486:AA486),2)</f>
        <v>0</v>
      </c>
      <c r="AC486" s="866">
        <v>0</v>
      </c>
      <c r="AD486" s="434"/>
      <c r="AE486" s="863"/>
      <c r="AF486" s="866"/>
      <c r="AG486" s="876"/>
      <c r="AH486" s="863"/>
      <c r="AI486" s="863" t="s">
        <v>1241</v>
      </c>
      <c r="AJ486" s="867">
        <v>411</v>
      </c>
      <c r="AK486" s="866">
        <f>IF(OR(AJ486=441,AJ486=444,AJ486=417,AJ486=418),IF(AJ486=441,SUM($M486:$N486)+SUM($Y486:$AA486),SUM($M486:$P486)+$S486+$V486),IF(AND(AJ486&gt;412,AJ486&lt;417),$O486,IF(OR(AJ486=411,AJ486=412),$P486,IF(AJ486=420,$V486,IF(AJ486=435,$S486,0)))))</f>
        <v>0</v>
      </c>
      <c r="AL486" s="867">
        <v>413</v>
      </c>
      <c r="AM486" s="866">
        <f>IF(OR(AL486=441,AL486=444,AL486=417,AL486=418),IF(AL486=441,SUM($M486:$N486)+SUM($Y486:$AA486),SUM($M486:$P486)+$S486+$V486),IF(AND(AL486&gt;412,AL486&lt;417),$O486,IF(OR(AL486=411,AL486=412),$P486,IF(AL486=420,$V486,IF(AL486=435,$S486,0)))))</f>
        <v>0</v>
      </c>
      <c r="AN486" s="867">
        <v>441</v>
      </c>
      <c r="AO486" s="866">
        <f>IF(OR(AN486=441,AN486=444,AN486=417,AN486=418),IF(AN486=441,SUM($M486:$N486)+SUM($Y486:$AA486),SUM($M486:$P486)+$S486+$V486),IF(AND(AN486&gt;412,AN486&lt;417),$O486,IF(OR(AN486=411,AN486=412),$P486,IF(AN486=420,$V486,IF(AN486=435,$S486,0)))))</f>
        <v>0</v>
      </c>
      <c r="AP486" s="434"/>
      <c r="AQ486" s="434"/>
      <c r="AR486" s="866">
        <v>0</v>
      </c>
      <c r="AS486" s="866">
        <v>0</v>
      </c>
      <c r="AT486" s="866">
        <v>0</v>
      </c>
      <c r="AU486" s="863"/>
      <c r="AV486" s="871"/>
      <c r="AW486" s="863"/>
      <c r="AX486" s="871"/>
      <c r="AY486" s="863"/>
      <c r="AZ486" s="863"/>
      <c r="BA486" s="434"/>
      <c r="BB486" s="434" t="s">
        <v>57</v>
      </c>
      <c r="BC486" s="434"/>
      <c r="BD486" s="434"/>
      <c r="BE486" s="867">
        <f>IF(ISNUMBER(I486),MONTH(I486),0)</f>
        <v>4</v>
      </c>
      <c r="BF486" s="872" t="str">
        <f t="shared" si="0"/>
        <v>SI</v>
      </c>
      <c r="BG486" s="866">
        <f>IF(ISBLANK(H486),0,IF(OR((VALUE(LEFT(H486,2))=4),((LEFT(H486,3))="372")),0,AK486))</f>
        <v>0</v>
      </c>
      <c r="BH486" s="866">
        <f>IF(ISBLANK(H486),0,IF(OR((VALUE(LEFT(H486,2))=4),((LEFT(H486,3))="372")),0,AM486))</f>
        <v>0</v>
      </c>
      <c r="BI486" s="866">
        <f>IF(ISBLANK(H486),0,IF(OR((VALUE(LEFT(H486,2))=4),((LEFT(H486,3))="372")),0,AO486))</f>
        <v>0</v>
      </c>
      <c r="BJ486" s="866">
        <f>SUM(M486:O486)+SUM(Y486:AA486)</f>
        <v>0</v>
      </c>
      <c r="BK486" s="866">
        <f>ROUND((IF(AJ486=444,(R486+U486+X486),0)+IF(AL486=444,(R486+U486+X486),0)+IF(AN486=444,(R486+U486+X486),0)),2)</f>
        <v>0</v>
      </c>
      <c r="BL486" s="866">
        <f>R486+U486+X486-BK486</f>
        <v>0</v>
      </c>
      <c r="BM486" s="434"/>
      <c r="BN486" s="863"/>
      <c r="BO486" s="864" t="s">
        <v>1579</v>
      </c>
      <c r="BP486" s="864" t="s">
        <v>2286</v>
      </c>
      <c r="BQ486" s="864" t="s">
        <v>2285</v>
      </c>
      <c r="BR486" s="863"/>
      <c r="BS486" s="863"/>
      <c r="BT486" s="863"/>
      <c r="BU486" s="863"/>
      <c r="BV486" s="863"/>
      <c r="BW486" s="866">
        <v>0</v>
      </c>
      <c r="BX486" s="866">
        <v>0</v>
      </c>
      <c r="BY486" s="866">
        <v>0</v>
      </c>
      <c r="BZ486" s="877"/>
      <c r="CA486" s="866">
        <f>ROUND((IF(OR(AJ486=413,AJ486=414),AK486,0)+IF(OR(AL486=413,AL486=414),AM486,0)+IF(OR(AN486=413,AN486=414),AO486,0)),2)</f>
        <v>0</v>
      </c>
      <c r="CB486" s="863"/>
      <c r="CC486" s="434"/>
      <c r="CD486" s="866"/>
      <c r="CE486" s="866"/>
      <c r="CF486" s="866"/>
      <c r="CG486" s="866"/>
      <c r="CH486" s="866"/>
      <c r="CI486" s="866"/>
      <c r="CJ486" s="866"/>
      <c r="CK486" s="866"/>
      <c r="CL486" s="866"/>
      <c r="CM486" s="866"/>
      <c r="CN486" s="866"/>
      <c r="CO486" s="866"/>
      <c r="CP486" s="866"/>
      <c r="CQ486" s="866"/>
      <c r="CR486" s="866"/>
      <c r="CS486" s="866"/>
      <c r="CT486" s="866"/>
      <c r="CU486" s="866"/>
    </row>
  </sheetData>
  <autoFilter ref="A6:CV486" xr:uid="{00000000-0009-0000-0000-00000A000000}">
    <filterColumn colId="27">
      <filters>
        <filter val="-"/>
        <filter val="10.01"/>
        <filter val="10.26"/>
        <filter val="10.27"/>
        <filter val="15.00"/>
        <filter val="15.40"/>
        <filter val="20.00"/>
        <filter val="20.53"/>
        <filter val="20.54"/>
        <filter val="23.62"/>
        <filter val="24.99"/>
        <filter val="25.00"/>
        <filter val="25.67"/>
        <filter val="28.00"/>
        <filter val="29.99"/>
        <filter val="30.00"/>
        <filter val="30.80"/>
        <filter val="30.81"/>
        <filter val="33.60"/>
        <filter val="35.94"/>
        <filter val="40.00"/>
        <filter val="41.07"/>
        <filter val="421.36"/>
        <filter val="449.65"/>
        <filter val="46.20"/>
        <filter val="46.21"/>
        <filter val="465.75"/>
        <filter val="467.19"/>
        <filter val="473.34"/>
        <filter val="481.56"/>
        <filter val="49.99"/>
        <filter val="490.71"/>
        <filter val="494.96"/>
        <filter val="495.94"/>
        <filter val="496.80"/>
        <filter val="498.24"/>
        <filter val="499.10"/>
        <filter val="499.22"/>
        <filter val="5.00"/>
        <filter val="5.13"/>
        <filter val="50.00"/>
        <filter val="75.00"/>
        <filter val="9.99"/>
        <filter val="99.99"/>
      </filters>
    </filterColumn>
  </autoFilter>
  <mergeCells count="43">
    <mergeCell ref="AI5:AI6"/>
    <mergeCell ref="AW5:AW6"/>
    <mergeCell ref="A5:A6"/>
    <mergeCell ref="BE5:BE6"/>
    <mergeCell ref="L5:L6"/>
    <mergeCell ref="K5:K6"/>
    <mergeCell ref="J5:J6"/>
    <mergeCell ref="I5:I6"/>
    <mergeCell ref="H5:H6"/>
    <mergeCell ref="T5:T6"/>
    <mergeCell ref="W5:W6"/>
    <mergeCell ref="BF5:BF6"/>
    <mergeCell ref="BK5:BK6"/>
    <mergeCell ref="BG5:BG6"/>
    <mergeCell ref="C5:C6"/>
    <mergeCell ref="B5:B6"/>
    <mergeCell ref="AU5:AU6"/>
    <mergeCell ref="AF5:AH5"/>
    <mergeCell ref="AJ5:AJ6"/>
    <mergeCell ref="AL5:AL6"/>
    <mergeCell ref="AN5:AN6"/>
    <mergeCell ref="AX5:AZ5"/>
    <mergeCell ref="AE5:AE6"/>
    <mergeCell ref="BI5:BI6"/>
    <mergeCell ref="D5:D6"/>
    <mergeCell ref="Q5:Q6"/>
    <mergeCell ref="AQ5:AQ6"/>
    <mergeCell ref="CJ4:CU4"/>
    <mergeCell ref="CD4:CI4"/>
    <mergeCell ref="G5:G6"/>
    <mergeCell ref="F5:F6"/>
    <mergeCell ref="E5:E6"/>
    <mergeCell ref="CA5:CA6"/>
    <mergeCell ref="CB5:CB6"/>
    <mergeCell ref="BN5:BX5"/>
    <mergeCell ref="BY5:BY6"/>
    <mergeCell ref="BZ5:BZ6"/>
    <mergeCell ref="BL5:BL6"/>
    <mergeCell ref="BJ5:BJ6"/>
    <mergeCell ref="BH5:BH6"/>
    <mergeCell ref="BC5:BC6"/>
    <mergeCell ref="BB5:BB6"/>
    <mergeCell ref="AV5:AV6"/>
  </mergeCells>
  <phoneticPr fontId="55" type="noConversion"/>
  <conditionalFormatting sqref="A7:AD536 AF7:CV536">
    <cfRule type="expression" dxfId="7" priority="33">
      <formula>ROW()=RowVEN</formula>
    </cfRule>
  </conditionalFormatting>
  <dataValidations count="11">
    <dataValidation type="list" allowBlank="1" showInputMessage="1" showErrorMessage="1" sqref="AQ7:AQ1048576 G7:G1048576" xr:uid="{00000000-0002-0000-0A00-000000000000}">
      <formula1>"F-Fisico,E-Electronico"</formula1>
    </dataValidation>
    <dataValidation type="list" allowBlank="1" showInputMessage="1" showErrorMessage="1" sqref="D7:D1048576" xr:uid="{00000000-0002-0000-0A00-000001000000}">
      <formula1>"01-Persona Natural,02-Sociedad"</formula1>
    </dataValidation>
    <dataValidation type="list" allowBlank="1" showInputMessage="1" showErrorMessage="1" errorTitle="Anexos con Excel" error="Debe seleccionar 12 o 14" sqref="Q7:Q1048576 W7:W1048576 T7:T1048576" xr:uid="{00000000-0002-0000-0A00-000002000000}">
      <formula1>tarifasIVA</formula1>
    </dataValidation>
    <dataValidation type="list" allowBlank="1" showInputMessage="1" showErrorMessage="1" sqref="E7:E1048576" xr:uid="{00000000-0002-0000-0A00-000003000000}">
      <formula1>"SI,NO"</formula1>
    </dataValidation>
    <dataValidation type="textLength" errorStyle="warning" operator="equal" allowBlank="1" showInputMessage="1" showErrorMessage="1" errorTitle="Validación de datos" error="Debe ingresar los 3 caracteres correspondientes en cada celda ó dejarla vacia de ser el caso." sqref="J7:J1048576" xr:uid="{00000000-0002-0000-0A00-000004000000}">
      <formula1>3</formula1>
    </dataValidation>
    <dataValidation type="list" allowBlank="1" showInputMessage="1" showErrorMessage="1" sqref="B7:B1048576" xr:uid="{00000000-0002-0000-0A00-000005000000}">
      <formula1>"R-Ruc,C-Cédula,F-Consumidor Final,P-Pasaporte,E-ID Exterior,M-Placa/RAMV/CPN"</formula1>
    </dataValidation>
    <dataValidation type="list" allowBlank="1" showInputMessage="1" showErrorMessage="1" sqref="H7:H1048576" xr:uid="{00000000-0002-0000-0A00-000006000000}">
      <formula1>ComprobantesVEN</formula1>
    </dataValidation>
    <dataValidation type="list" allowBlank="1" showInputMessage="1" showErrorMessage="1" sqref="AI7:AI1048576" xr:uid="{00000000-0002-0000-0A00-000007000000}">
      <formula1>ListaActividades</formula1>
    </dataValidation>
    <dataValidation type="list" allowBlank="1" showInputMessage="1" showErrorMessage="1" sqref="AF7:AF1048576" xr:uid="{00000000-0002-0000-0A00-000008000000}">
      <formula1>gruContable</formula1>
    </dataValidation>
    <dataValidation type="list" allowBlank="1" showInputMessage="1" showErrorMessage="1" sqref="AX7:AX1048576" xr:uid="{00000000-0002-0000-0A00-000009000000}">
      <formula1>gruContableING</formula1>
    </dataValidation>
    <dataValidation type="list" allowBlank="1" showInputMessage="1" showErrorMessage="1" sqref="BB7:BC1048576" xr:uid="{00000000-0002-0000-0A00-00000A000000}">
      <formula1>IF($H7="04-Nota de credito","",pagos)</formula1>
    </dataValidation>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3"/>
  <dimension ref="A1:AF9"/>
  <sheetViews>
    <sheetView showGridLines="0" zoomScaleNormal="100" workbookViewId="0">
      <pane xSplit="3" ySplit="6" topLeftCell="D7" activePane="bottomRight" state="frozen"/>
      <selection activeCell="D7" sqref="D7"/>
      <selection pane="topRight" activeCell="D7" sqref="D7"/>
      <selection pane="bottomLeft" activeCell="D7" sqref="D7"/>
      <selection pane="bottomRight" activeCell="D7" sqref="D7"/>
    </sheetView>
  </sheetViews>
  <sheetFormatPr baseColWidth="10" defaultColWidth="10.90625" defaultRowHeight="11.5" outlineLevelCol="1" x14ac:dyDescent="0.25"/>
  <cols>
    <col min="1" max="1" width="15" style="350" customWidth="1"/>
    <col min="2" max="2" width="27.54296875" style="350" customWidth="1"/>
    <col min="3" max="3" width="15.453125" style="350" customWidth="1"/>
    <col min="4" max="4" width="9.36328125" style="333" customWidth="1"/>
    <col min="5" max="5" width="14.36328125" style="350" customWidth="1"/>
    <col min="6" max="6" width="19.54296875" style="350" customWidth="1"/>
    <col min="7" max="8" width="12.08984375" style="333" customWidth="1"/>
    <col min="9" max="9" width="18.36328125" style="333" customWidth="1"/>
    <col min="10" max="11" width="5.90625" style="368" customWidth="1"/>
    <col min="12" max="12" width="10.90625" style="350"/>
    <col min="13" max="13" width="18.90625" style="350" customWidth="1"/>
    <col min="14" max="14" width="11.6328125" style="352" customWidth="1"/>
    <col min="15" max="16" width="11.453125" style="353" customWidth="1" outlineLevel="1"/>
    <col min="17" max="18" width="10.90625" style="353"/>
    <col min="19" max="19" width="8" style="353" customWidth="1"/>
    <col min="20" max="20" width="10.90625" style="353"/>
    <col min="21" max="21" width="9.36328125" style="351" customWidth="1" outlineLevel="1"/>
    <col min="22" max="24" width="10.90625" style="353" customWidth="1" outlineLevel="1"/>
    <col min="25" max="25" width="10.90625" style="353"/>
    <col min="26" max="26" width="10.90625" style="353" customWidth="1"/>
    <col min="27" max="27" width="30" style="350" customWidth="1"/>
    <col min="28" max="28" width="10.54296875" style="350" customWidth="1" outlineLevel="1"/>
    <col min="29" max="29" width="7.90625" style="368" customWidth="1" outlineLevel="1"/>
    <col min="30" max="30" width="10" style="350" customWidth="1" outlineLevel="1"/>
    <col min="31" max="31" width="19.6328125" style="333" customWidth="1" outlineLevel="1"/>
    <col min="32" max="32" width="5.08984375" style="368" customWidth="1" outlineLevel="1"/>
    <col min="33" max="16384" width="10.90625" style="333"/>
  </cols>
  <sheetData>
    <row r="1" spans="1:32" ht="20.149999999999999" customHeight="1" x14ac:dyDescent="0.25">
      <c r="A1" s="372" t="str">
        <f>Parametros!D4&amp;" - "&amp;Parametros!D5</f>
        <v>0917809451001 - GARCIA RODRIGUEZ CHARLES MILTON</v>
      </c>
      <c r="B1" s="323"/>
      <c r="C1" s="322"/>
      <c r="D1" s="322"/>
      <c r="E1" s="322"/>
      <c r="F1" s="322"/>
      <c r="G1" s="322"/>
      <c r="H1" s="322"/>
      <c r="I1" s="322"/>
      <c r="J1" s="323"/>
      <c r="K1" s="323"/>
      <c r="L1" s="322"/>
      <c r="M1" s="322"/>
      <c r="N1" s="324"/>
      <c r="O1" s="326"/>
      <c r="P1" s="326"/>
      <c r="Q1" s="326"/>
      <c r="R1" s="326"/>
      <c r="S1" s="326"/>
      <c r="T1" s="326"/>
      <c r="U1" s="321"/>
      <c r="V1" s="326"/>
      <c r="W1" s="326"/>
      <c r="X1" s="326"/>
      <c r="Y1" s="326"/>
      <c r="Z1" s="326"/>
      <c r="AA1" s="367"/>
      <c r="AB1" s="367"/>
      <c r="AC1" s="566"/>
      <c r="AD1" s="367"/>
      <c r="AE1" s="325"/>
      <c r="AF1" s="566"/>
    </row>
    <row r="2" spans="1:32" ht="19.5" customHeight="1" x14ac:dyDescent="0.25">
      <c r="A2" s="373" t="s">
        <v>1240</v>
      </c>
      <c r="B2" s="334"/>
      <c r="C2" s="334"/>
      <c r="D2" s="322"/>
      <c r="E2" s="322"/>
      <c r="F2" s="322"/>
      <c r="G2" s="322"/>
      <c r="H2" s="322"/>
      <c r="I2" s="322"/>
      <c r="J2" s="323"/>
      <c r="K2" s="323"/>
      <c r="L2" s="322"/>
      <c r="M2" s="322"/>
      <c r="N2" s="324"/>
      <c r="O2" s="326"/>
      <c r="P2" s="326"/>
      <c r="Q2" s="326"/>
      <c r="R2" s="326"/>
      <c r="S2" s="326"/>
      <c r="T2" s="326"/>
      <c r="U2" s="321"/>
      <c r="V2" s="326"/>
      <c r="W2" s="326"/>
      <c r="X2" s="326"/>
      <c r="Y2" s="326"/>
      <c r="Z2" s="326"/>
      <c r="AA2" s="367"/>
      <c r="AB2" s="367"/>
      <c r="AC2" s="566"/>
      <c r="AD2" s="367"/>
      <c r="AE2" s="325"/>
      <c r="AF2" s="566"/>
    </row>
    <row r="3" spans="1:32" ht="15.9" hidden="1" customHeight="1" x14ac:dyDescent="0.25">
      <c r="A3" s="336"/>
      <c r="B3" s="338"/>
      <c r="C3" s="338"/>
      <c r="D3" s="338"/>
      <c r="E3" s="338"/>
      <c r="F3" s="338"/>
      <c r="G3" s="338"/>
      <c r="H3" s="338"/>
      <c r="I3" s="338"/>
      <c r="J3" s="338"/>
      <c r="K3" s="338"/>
      <c r="L3" s="338"/>
      <c r="M3" s="338"/>
      <c r="N3" s="339"/>
      <c r="O3" s="340"/>
      <c r="P3" s="340"/>
      <c r="Q3" s="340"/>
      <c r="R3" s="340"/>
      <c r="S3" s="340"/>
      <c r="T3" s="340"/>
      <c r="U3" s="337"/>
      <c r="V3" s="340"/>
      <c r="W3" s="340"/>
      <c r="X3" s="340"/>
      <c r="Y3" s="340"/>
      <c r="Z3" s="340"/>
      <c r="AA3" s="336"/>
      <c r="AB3" s="336"/>
      <c r="AC3" s="336"/>
      <c r="AD3" s="336"/>
      <c r="AE3" s="337"/>
      <c r="AF3" s="336"/>
    </row>
    <row r="4" spans="1:32" s="615" customFormat="1" ht="14.4" customHeight="1" x14ac:dyDescent="0.25">
      <c r="A4" s="370"/>
      <c r="B4" s="371" t="str">
        <f>"# Registros REEMBOLSOS : " &amp; COUNTIF(N:N,"&gt;0")</f>
        <v># Registros REEMBOLSOS : 3</v>
      </c>
      <c r="C4" s="598"/>
      <c r="D4" s="565" t="s">
        <v>1274</v>
      </c>
      <c r="E4" s="601"/>
      <c r="F4" s="601"/>
      <c r="G4" s="597"/>
      <c r="H4" s="597"/>
      <c r="I4" s="601"/>
      <c r="J4" s="601"/>
      <c r="K4" s="601"/>
      <c r="L4" s="601"/>
      <c r="M4" s="601"/>
      <c r="N4" s="620"/>
      <c r="O4" s="599" t="s">
        <v>1275</v>
      </c>
      <c r="P4" s="537"/>
      <c r="Q4" s="537"/>
      <c r="R4" s="600"/>
      <c r="S4" s="599" t="s">
        <v>1975</v>
      </c>
      <c r="T4" s="537"/>
      <c r="U4" s="646"/>
      <c r="V4" s="537"/>
      <c r="W4" s="537"/>
      <c r="X4" s="537"/>
      <c r="Y4" s="537"/>
      <c r="Z4" s="600"/>
      <c r="AA4" s="650"/>
      <c r="AB4" s="651"/>
      <c r="AC4" s="652"/>
      <c r="AD4" s="651"/>
      <c r="AE4" s="613"/>
      <c r="AF4" s="652"/>
    </row>
    <row r="5" spans="1:32" ht="15.9" customHeight="1" x14ac:dyDescent="0.25">
      <c r="A5" s="1334" t="s">
        <v>679</v>
      </c>
      <c r="B5" s="1336" t="s">
        <v>994</v>
      </c>
      <c r="C5" s="1336" t="s">
        <v>1276</v>
      </c>
      <c r="D5" s="1332" t="s">
        <v>680</v>
      </c>
      <c r="E5" s="1336" t="s">
        <v>679</v>
      </c>
      <c r="F5" s="1336" t="s">
        <v>994</v>
      </c>
      <c r="G5" s="1332" t="s">
        <v>682</v>
      </c>
      <c r="H5" s="1332" t="s">
        <v>1000</v>
      </c>
      <c r="I5" s="1332" t="s">
        <v>684</v>
      </c>
      <c r="J5" s="1336" t="s">
        <v>685</v>
      </c>
      <c r="K5" s="1336" t="s">
        <v>686</v>
      </c>
      <c r="L5" s="1336" t="s">
        <v>687</v>
      </c>
      <c r="M5" s="1336" t="s">
        <v>688</v>
      </c>
      <c r="N5" s="1330" t="s">
        <v>689</v>
      </c>
      <c r="O5" s="812">
        <f>SUBTOTAL(9,O$6:O969)</f>
        <v>0</v>
      </c>
      <c r="P5" s="813">
        <f>SUBTOTAL(9,P$6:P969)</f>
        <v>0</v>
      </c>
      <c r="Q5" s="592">
        <f>SUBTOTAL(9,Q$6:Q969)</f>
        <v>0</v>
      </c>
      <c r="R5" s="592">
        <f>SUBTOTAL(9,R$6:R969)</f>
        <v>0</v>
      </c>
      <c r="S5" s="1377" t="s">
        <v>699</v>
      </c>
      <c r="T5" s="592">
        <f>SUBTOTAL(9,T$6:T969)</f>
        <v>0</v>
      </c>
      <c r="U5" s="1379" t="s">
        <v>701</v>
      </c>
      <c r="V5" s="812">
        <f>SUBTOTAL(9,V$6:V969)</f>
        <v>0</v>
      </c>
      <c r="W5" s="812">
        <f>SUBTOTAL(9,W$6:W969)</f>
        <v>0</v>
      </c>
      <c r="X5" s="813">
        <f>SUBTOTAL(9,X$6:X969)</f>
        <v>0</v>
      </c>
      <c r="Y5" s="592">
        <f>SUBTOTAL(9,Y$6:Y969)</f>
        <v>0</v>
      </c>
      <c r="Z5" s="592">
        <f>SUBTOTAL(9,Z$6:Z969)</f>
        <v>0</v>
      </c>
      <c r="AA5" s="1340" t="s">
        <v>2118</v>
      </c>
      <c r="AB5" s="1381" t="s">
        <v>1568</v>
      </c>
      <c r="AC5" s="1385" t="s">
        <v>1557</v>
      </c>
      <c r="AD5" s="1381" t="s">
        <v>1556</v>
      </c>
      <c r="AE5" s="1383" t="s">
        <v>1567</v>
      </c>
      <c r="AF5" s="1381" t="s">
        <v>2155</v>
      </c>
    </row>
    <row r="6" spans="1:32" ht="47.15" customHeight="1" x14ac:dyDescent="0.25">
      <c r="A6" s="1335"/>
      <c r="B6" s="1337"/>
      <c r="C6" s="1337"/>
      <c r="D6" s="1333"/>
      <c r="E6" s="1337"/>
      <c r="F6" s="1337"/>
      <c r="G6" s="1333"/>
      <c r="H6" s="1333"/>
      <c r="I6" s="1333"/>
      <c r="J6" s="1337"/>
      <c r="K6" s="1337"/>
      <c r="L6" s="1337"/>
      <c r="M6" s="1337"/>
      <c r="N6" s="1331"/>
      <c r="O6" s="862" t="s">
        <v>695</v>
      </c>
      <c r="P6" s="862" t="s">
        <v>696</v>
      </c>
      <c r="Q6" s="859" t="s">
        <v>697</v>
      </c>
      <c r="R6" s="859" t="s">
        <v>698</v>
      </c>
      <c r="S6" s="1378"/>
      <c r="T6" s="859" t="s">
        <v>700</v>
      </c>
      <c r="U6" s="1380"/>
      <c r="V6" s="862" t="s">
        <v>995</v>
      </c>
      <c r="W6" s="862" t="s">
        <v>1258</v>
      </c>
      <c r="X6" s="862" t="s">
        <v>1884</v>
      </c>
      <c r="Y6" s="859" t="s">
        <v>996</v>
      </c>
      <c r="Z6" s="862" t="s">
        <v>1257</v>
      </c>
      <c r="AA6" s="1341"/>
      <c r="AB6" s="1382"/>
      <c r="AC6" s="1386"/>
      <c r="AD6" s="1382"/>
      <c r="AE6" s="1384"/>
      <c r="AF6" s="1382"/>
    </row>
    <row r="7" spans="1:32" x14ac:dyDescent="0.25">
      <c r="A7" s="880"/>
      <c r="B7" s="880"/>
      <c r="C7" s="880"/>
      <c r="D7" s="881" t="s">
        <v>2287</v>
      </c>
      <c r="E7" s="880"/>
      <c r="F7" s="880"/>
      <c r="G7" s="881" t="s">
        <v>2292</v>
      </c>
      <c r="H7" s="881" t="s">
        <v>1007</v>
      </c>
      <c r="I7" s="881" t="s">
        <v>1031</v>
      </c>
      <c r="J7" s="882" t="s">
        <v>8</v>
      </c>
      <c r="K7" s="882" t="s">
        <v>8</v>
      </c>
      <c r="L7" s="880"/>
      <c r="M7" s="880"/>
      <c r="N7" s="868">
        <v>46023</v>
      </c>
      <c r="O7" s="883">
        <v>0</v>
      </c>
      <c r="P7" s="883">
        <v>0</v>
      </c>
      <c r="Q7" s="883">
        <v>0</v>
      </c>
      <c r="R7" s="883">
        <v>0</v>
      </c>
      <c r="S7" s="883">
        <v>15</v>
      </c>
      <c r="T7" s="883">
        <f>ROUND(R7*S7%,2)</f>
        <v>0</v>
      </c>
      <c r="U7" s="884" t="s">
        <v>744</v>
      </c>
      <c r="V7" s="883">
        <f>IF(U7="SI",IF(S7&lt;14,0,ROUND((R7*2%),2)),0)</f>
        <v>0</v>
      </c>
      <c r="W7" s="883">
        <v>0</v>
      </c>
      <c r="X7" s="883">
        <v>0</v>
      </c>
      <c r="Y7" s="883">
        <f>ROUND(SUM(O7:R7)+T7-V7+SUM(W7:X7),2)</f>
        <v>0</v>
      </c>
      <c r="Z7" s="883">
        <v>0</v>
      </c>
      <c r="AA7" s="880"/>
      <c r="AB7" s="880"/>
      <c r="AC7" s="882"/>
      <c r="AD7" s="880"/>
      <c r="AE7" s="881"/>
      <c r="AF7" s="882" t="s">
        <v>1524</v>
      </c>
    </row>
    <row r="8" spans="1:32" x14ac:dyDescent="0.25">
      <c r="A8" s="880"/>
      <c r="B8" s="880"/>
      <c r="C8" s="880"/>
      <c r="D8" s="881" t="s">
        <v>2287</v>
      </c>
      <c r="E8" s="880"/>
      <c r="F8" s="880"/>
      <c r="G8" s="881" t="s">
        <v>2292</v>
      </c>
      <c r="H8" s="881" t="s">
        <v>1007</v>
      </c>
      <c r="I8" s="881" t="s">
        <v>1031</v>
      </c>
      <c r="J8" s="882" t="s">
        <v>8</v>
      </c>
      <c r="K8" s="882" t="s">
        <v>8</v>
      </c>
      <c r="L8" s="880"/>
      <c r="M8" s="880"/>
      <c r="N8" s="868">
        <v>46023</v>
      </c>
      <c r="O8" s="883">
        <v>0</v>
      </c>
      <c r="P8" s="883">
        <v>0</v>
      </c>
      <c r="Q8" s="883">
        <v>0</v>
      </c>
      <c r="R8" s="883">
        <v>0</v>
      </c>
      <c r="S8" s="883">
        <v>15</v>
      </c>
      <c r="T8" s="883">
        <f>ROUND(R8*S8%,2)</f>
        <v>0</v>
      </c>
      <c r="U8" s="884" t="s">
        <v>744</v>
      </c>
      <c r="V8" s="883">
        <f>IF(U8="SI",IF(S8&lt;14,0,ROUND((R8*2%),2)),0)</f>
        <v>0</v>
      </c>
      <c r="W8" s="883">
        <v>0</v>
      </c>
      <c r="X8" s="883">
        <v>0</v>
      </c>
      <c r="Y8" s="883">
        <f>ROUND(SUM(O8:R8)+T8-V8+SUM(W8:X8),2)</f>
        <v>0</v>
      </c>
      <c r="Z8" s="883">
        <v>0</v>
      </c>
      <c r="AA8" s="880"/>
      <c r="AB8" s="880"/>
      <c r="AC8" s="882"/>
      <c r="AD8" s="880"/>
      <c r="AE8" s="881"/>
      <c r="AF8" s="882" t="s">
        <v>1524</v>
      </c>
    </row>
    <row r="9" spans="1:32" x14ac:dyDescent="0.25">
      <c r="A9" s="863"/>
      <c r="B9" s="863"/>
      <c r="C9" s="863"/>
      <c r="D9" s="434" t="s">
        <v>2287</v>
      </c>
      <c r="E9" s="863"/>
      <c r="F9" s="863"/>
      <c r="G9" s="434" t="s">
        <v>2292</v>
      </c>
      <c r="H9" s="434" t="s">
        <v>1007</v>
      </c>
      <c r="I9" s="434" t="s">
        <v>1031</v>
      </c>
      <c r="J9" s="864" t="s">
        <v>8</v>
      </c>
      <c r="K9" s="864" t="s">
        <v>8</v>
      </c>
      <c r="L9" s="863"/>
      <c r="M9" s="863"/>
      <c r="N9" s="868">
        <v>46023</v>
      </c>
      <c r="O9" s="866">
        <v>0</v>
      </c>
      <c r="P9" s="866">
        <v>0</v>
      </c>
      <c r="Q9" s="866">
        <v>0</v>
      </c>
      <c r="R9" s="866">
        <v>0</v>
      </c>
      <c r="S9" s="866">
        <v>15</v>
      </c>
      <c r="T9" s="866">
        <f>ROUND(R9*S9%,2)</f>
        <v>0</v>
      </c>
      <c r="U9" s="867" t="s">
        <v>744</v>
      </c>
      <c r="V9" s="866">
        <f>IF(U9="SI",IF(S9&lt;14,0,ROUND((R9*2%),2)),0)</f>
        <v>0</v>
      </c>
      <c r="W9" s="866">
        <v>0</v>
      </c>
      <c r="X9" s="866">
        <v>0</v>
      </c>
      <c r="Y9" s="866">
        <f>ROUND(SUM(O9:R9)+T9-V9+SUM(W9:X9),2)</f>
        <v>0</v>
      </c>
      <c r="Z9" s="866">
        <v>0</v>
      </c>
      <c r="AA9" s="863"/>
      <c r="AB9" s="863"/>
      <c r="AC9" s="864"/>
      <c r="AD9" s="863"/>
      <c r="AE9" s="434"/>
      <c r="AF9" s="864" t="s">
        <v>1524</v>
      </c>
    </row>
  </sheetData>
  <autoFilter ref="A6:AE6" xr:uid="{00000000-0009-0000-0000-00000B000000}"/>
  <mergeCells count="22">
    <mergeCell ref="AF5:AF6"/>
    <mergeCell ref="AE5:AE6"/>
    <mergeCell ref="AB5:AB6"/>
    <mergeCell ref="AC5:AC6"/>
    <mergeCell ref="AD5:AD6"/>
    <mergeCell ref="G5:G6"/>
    <mergeCell ref="N5:N6"/>
    <mergeCell ref="S5:S6"/>
    <mergeCell ref="U5:U6"/>
    <mergeCell ref="AA5:AA6"/>
    <mergeCell ref="H5:H6"/>
    <mergeCell ref="I5:I6"/>
    <mergeCell ref="J5:J6"/>
    <mergeCell ref="K5:K6"/>
    <mergeCell ref="L5:L6"/>
    <mergeCell ref="M5:M6"/>
    <mergeCell ref="F5:F6"/>
    <mergeCell ref="A5:A6"/>
    <mergeCell ref="B5:B6"/>
    <mergeCell ref="C5:C6"/>
    <mergeCell ref="D5:D6"/>
    <mergeCell ref="E5:E6"/>
  </mergeCells>
  <phoneticPr fontId="55" type="noConversion"/>
  <conditionalFormatting sqref="A7:AD370 AF7:AF370">
    <cfRule type="expression" dxfId="6" priority="36">
      <formula>ROW()=RowREE</formula>
    </cfRule>
  </conditionalFormatting>
  <dataValidations count="10">
    <dataValidation type="textLength" errorStyle="warning" operator="equal" allowBlank="1" showInputMessage="1" showErrorMessage="1" errorTitle="Validación de datos" error="Debe ingresar los 10 caracteres correspondientes en cada celda ó dejarla vacia de ser el caso." sqref="M5" xr:uid="{00000000-0002-0000-0B00-000000000000}">
      <formula1>10</formula1>
    </dataValidation>
    <dataValidation type="textLength" errorStyle="warning" operator="equal" allowBlank="1" showInputMessage="1" showErrorMessage="1" errorTitle="Validación de datos" error="Debe ingresar los 3 caracteres correspondientes en cada celda ó dejarla vacia de ser el caso." sqref="J5:K5 J7:K1048576" xr:uid="{00000000-0002-0000-0B00-000001000000}">
      <formula1>3</formula1>
    </dataValidation>
    <dataValidation type="list" allowBlank="1" showInputMessage="1" showErrorMessage="1" sqref="D7:D1048576" xr:uid="{00000000-0002-0000-0B00-000002000000}">
      <formula1>"R-Ruc,C-Cédula,P-Pasaporte,E-ID Exterior"</formula1>
    </dataValidation>
    <dataValidation type="list" allowBlank="1" showInputMessage="1" showErrorMessage="1" sqref="U7:U1048576" xr:uid="{00000000-0002-0000-0B00-000003000000}">
      <formula1>"SI,NO"</formula1>
    </dataValidation>
    <dataValidation type="textLength" errorStyle="warning" allowBlank="1" showInputMessage="1" showErrorMessage="1" errorTitle="Validación de datos" error="Debe ingresar los 10 o 37 o 49 caracteres correspondientes en cada celda ó dejarla vacia de ser el caso." sqref="M7:M1048576" xr:uid="{00000000-0002-0000-0B00-000004000000}">
      <formula1>10</formula1>
      <formula2>49</formula2>
    </dataValidation>
    <dataValidation type="list" allowBlank="1" showInputMessage="1" showErrorMessage="1" sqref="I7:I1048576" xr:uid="{00000000-0002-0000-0B00-000005000000}">
      <formula1>ComprobantesCOM</formula1>
    </dataValidation>
    <dataValidation type="list" allowBlank="1" showInputMessage="1" showErrorMessage="1" sqref="H7:H1048576" xr:uid="{00000000-0002-0000-0B00-000006000000}">
      <formula1>"F-Fisico,E-Electronico"</formula1>
    </dataValidation>
    <dataValidation type="list" allowBlank="1" showInputMessage="1" showErrorMessage="1" sqref="G7:G1048576" xr:uid="{00000000-0002-0000-0B00-000007000000}">
      <formula1>"01-Persona Natural,02-Sociedad"</formula1>
    </dataValidation>
    <dataValidation type="list" allowBlank="1" showInputMessage="1" showErrorMessage="1" sqref="S7:S1048576" xr:uid="{00000000-0002-0000-0B00-000008000000}">
      <formula1>tarifasIVA</formula1>
    </dataValidation>
    <dataValidation type="list" allowBlank="1" showInputMessage="1" showErrorMessage="1" sqref="AE7:AE1048576" xr:uid="{00000000-0002-0000-0B00-000009000000}">
      <formula1>IF($BZ7="02-PARAISO FISCAL",paises17b,IF($BZ7="01-REGIMEN GENERAL",$CA7,paises))</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7"/>
  <dimension ref="A1:AR9"/>
  <sheetViews>
    <sheetView showGridLines="0" zoomScaleNormal="100" workbookViewId="0">
      <pane xSplit="3" ySplit="6" topLeftCell="D7" activePane="bottomRight" state="frozen"/>
      <selection activeCell="D7" sqref="D7"/>
      <selection pane="topRight" activeCell="D7" sqref="D7"/>
      <selection pane="bottomLeft" activeCell="D7" sqref="D7"/>
      <selection pane="bottomRight" activeCell="D7" sqref="D7"/>
    </sheetView>
  </sheetViews>
  <sheetFormatPr baseColWidth="10" defaultColWidth="10.90625" defaultRowHeight="11.5" outlineLevelCol="1" x14ac:dyDescent="0.25"/>
  <cols>
    <col min="1" max="1" width="15" style="350" customWidth="1"/>
    <col min="2" max="2" width="10.90625" style="333" customWidth="1"/>
    <col min="3" max="3" width="32.36328125" style="350" customWidth="1"/>
    <col min="4" max="4" width="17.453125" style="333" bestFit="1" customWidth="1"/>
    <col min="5" max="5" width="7.90625" style="351" customWidth="1"/>
    <col min="6" max="6" width="21.08984375" style="333" bestFit="1" customWidth="1"/>
    <col min="7" max="9" width="21.90625" style="333" hidden="1" customWidth="1" outlineLevel="1"/>
    <col min="10" max="10" width="21.90625" style="333" customWidth="1" collapsed="1"/>
    <col min="11" max="11" width="7.90625" style="368" customWidth="1"/>
    <col min="12" max="12" width="33.90625" style="333" bestFit="1" customWidth="1"/>
    <col min="13" max="13" width="23" style="333" hidden="1" customWidth="1" outlineLevel="1"/>
    <col min="14" max="14" width="8.453125" style="351" hidden="1" customWidth="1" outlineLevel="1"/>
    <col min="15" max="15" width="12.36328125" style="353" hidden="1" customWidth="1" outlineLevel="1"/>
    <col min="16" max="16" width="18.90625" style="333" customWidth="1" collapsed="1"/>
    <col min="17" max="17" width="24.453125" style="333" customWidth="1"/>
    <col min="18" max="18" width="12.54296875" style="352" bestFit="1" customWidth="1"/>
    <col min="19" max="19" width="13" style="350" customWidth="1"/>
    <col min="20" max="20" width="10.90625" style="333"/>
    <col min="21" max="21" width="9.08984375" style="333" customWidth="1"/>
    <col min="22" max="22" width="12" style="350" customWidth="1"/>
    <col min="23" max="24" width="12.08984375" style="333" customWidth="1"/>
    <col min="25" max="25" width="15.54296875" style="333" customWidth="1"/>
    <col min="26" max="27" width="6.08984375" style="350" customWidth="1"/>
    <col min="28" max="28" width="10.90625" style="350"/>
    <col min="29" max="29" width="12.36328125" style="350" customWidth="1"/>
    <col min="30" max="30" width="13" style="352" customWidth="1"/>
    <col min="31" max="32" width="13" style="353" customWidth="1"/>
    <col min="33" max="33" width="6.453125" style="431" customWidth="1"/>
    <col min="34" max="34" width="13.08984375" style="353" customWidth="1"/>
    <col min="35" max="35" width="6.453125" style="431" customWidth="1"/>
    <col min="36" max="36" width="11" style="353" bestFit="1" customWidth="1"/>
    <col min="37" max="37" width="1.08984375" style="333" customWidth="1"/>
    <col min="38" max="38" width="8.54296875" style="351" customWidth="1"/>
    <col min="39" max="39" width="8.453125" style="351" customWidth="1"/>
    <col min="40" max="40" width="11" style="353" hidden="1" customWidth="1" outlineLevel="1"/>
    <col min="41" max="41" width="0" style="353" hidden="1" customWidth="1" outlineLevel="1"/>
    <col min="42" max="42" width="22.90625" style="350" customWidth="1" collapsed="1"/>
    <col min="43" max="43" width="48" style="333" customWidth="1"/>
    <col min="44" max="16384" width="10.90625" style="333"/>
  </cols>
  <sheetData>
    <row r="1" spans="1:44" ht="20.149999999999999" customHeight="1" x14ac:dyDescent="0.25">
      <c r="A1" s="372" t="str">
        <f>Parametros!D4&amp;" - "&amp;Parametros!D5</f>
        <v>0917809451001 - GARCIA RODRIGUEZ CHARLES MILTON</v>
      </c>
      <c r="B1" s="321"/>
      <c r="C1" s="322"/>
      <c r="D1" s="322"/>
      <c r="E1" s="323"/>
      <c r="F1" s="322"/>
      <c r="G1" s="322"/>
      <c r="H1" s="322"/>
      <c r="I1" s="322"/>
      <c r="J1" s="322"/>
      <c r="K1" s="323"/>
      <c r="L1" s="322"/>
      <c r="M1" s="322"/>
      <c r="N1" s="323"/>
      <c r="O1" s="326"/>
      <c r="P1" s="322"/>
      <c r="Q1" s="322"/>
      <c r="R1" s="324"/>
      <c r="S1" s="322"/>
      <c r="T1" s="322"/>
      <c r="U1" s="325"/>
      <c r="V1" s="322"/>
      <c r="W1" s="322"/>
      <c r="X1" s="322"/>
      <c r="Y1" s="322"/>
      <c r="Z1" s="322"/>
      <c r="AA1" s="322"/>
      <c r="AB1" s="322"/>
      <c r="AC1" s="322"/>
      <c r="AD1" s="324"/>
      <c r="AE1" s="326"/>
      <c r="AF1" s="326"/>
      <c r="AG1" s="429"/>
      <c r="AH1" s="326"/>
      <c r="AI1" s="432"/>
      <c r="AJ1" s="326"/>
      <c r="AK1" s="325"/>
      <c r="AL1" s="321"/>
      <c r="AM1" s="321"/>
      <c r="AN1" s="326"/>
      <c r="AO1" s="326"/>
      <c r="AP1" s="322"/>
      <c r="AQ1" s="325"/>
      <c r="AR1" s="325"/>
    </row>
    <row r="2" spans="1:44" ht="19.5" customHeight="1" x14ac:dyDescent="0.25">
      <c r="A2" s="373" t="s">
        <v>1239</v>
      </c>
      <c r="B2" s="334"/>
      <c r="C2" s="334"/>
      <c r="D2" s="334"/>
      <c r="E2" s="323"/>
      <c r="F2" s="322"/>
      <c r="G2" s="322"/>
      <c r="H2" s="322"/>
      <c r="I2" s="322"/>
      <c r="J2" s="322"/>
      <c r="K2" s="323"/>
      <c r="L2" s="322"/>
      <c r="M2" s="322"/>
      <c r="N2" s="323"/>
      <c r="O2" s="326"/>
      <c r="P2" s="322"/>
      <c r="Q2" s="322"/>
      <c r="R2" s="324"/>
      <c r="S2" s="322"/>
      <c r="T2" s="322"/>
      <c r="U2" s="325"/>
      <c r="V2" s="322"/>
      <c r="W2" s="322"/>
      <c r="X2" s="322"/>
      <c r="Y2" s="322"/>
      <c r="Z2" s="322"/>
      <c r="AA2" s="322"/>
      <c r="AB2" s="322"/>
      <c r="AC2" s="322"/>
      <c r="AD2" s="324"/>
      <c r="AE2" s="326"/>
      <c r="AF2" s="326"/>
      <c r="AG2" s="429"/>
      <c r="AH2" s="326"/>
      <c r="AI2" s="432"/>
      <c r="AJ2" s="326"/>
      <c r="AK2" s="325"/>
      <c r="AL2" s="321"/>
      <c r="AM2" s="321"/>
      <c r="AN2" s="326"/>
      <c r="AO2" s="326"/>
      <c r="AP2" s="322"/>
      <c r="AQ2" s="325"/>
      <c r="AR2" s="325"/>
    </row>
    <row r="3" spans="1:44" ht="15.9" hidden="1" customHeight="1" x14ac:dyDescent="0.25">
      <c r="A3" s="336"/>
      <c r="B3" s="337"/>
      <c r="C3" s="338"/>
      <c r="D3" s="338"/>
      <c r="E3" s="338"/>
      <c r="F3" s="338"/>
      <c r="G3" s="338"/>
      <c r="H3" s="338"/>
      <c r="I3" s="338"/>
      <c r="J3" s="338"/>
      <c r="K3" s="338"/>
      <c r="L3" s="338"/>
      <c r="M3" s="338"/>
      <c r="N3" s="338"/>
      <c r="O3" s="340"/>
      <c r="P3" s="338"/>
      <c r="Q3" s="338"/>
      <c r="R3" s="339"/>
      <c r="S3" s="338"/>
      <c r="T3" s="338"/>
      <c r="U3" s="337"/>
      <c r="V3" s="338"/>
      <c r="W3" s="338"/>
      <c r="X3" s="365"/>
      <c r="Y3" s="338"/>
      <c r="Z3" s="338"/>
      <c r="AA3" s="338"/>
      <c r="AB3" s="338"/>
      <c r="AC3" s="338"/>
      <c r="AD3" s="339"/>
      <c r="AE3" s="340"/>
      <c r="AF3" s="340"/>
      <c r="AG3" s="430"/>
      <c r="AH3" s="340"/>
      <c r="AI3" s="433"/>
      <c r="AJ3" s="340"/>
      <c r="AK3" s="337"/>
      <c r="AL3" s="337"/>
      <c r="AM3" s="337"/>
      <c r="AN3" s="340"/>
      <c r="AO3" s="340"/>
      <c r="AP3" s="338"/>
      <c r="AQ3" s="337"/>
      <c r="AR3" s="366"/>
    </row>
    <row r="4" spans="1:44" s="649" customFormat="1" ht="14.4" customHeight="1" x14ac:dyDescent="0.35">
      <c r="A4" s="379"/>
      <c r="B4" s="371" t="str">
        <f>"# Registros EXPORTACIONES : " &amp; COUNTIF(R:R,"&gt;0")</f>
        <v># Registros EXPORTACIONES : 3</v>
      </c>
      <c r="C4" s="595" t="s">
        <v>1277</v>
      </c>
      <c r="D4" s="804"/>
      <c r="E4" s="610"/>
      <c r="F4" s="597" t="s">
        <v>2124</v>
      </c>
      <c r="G4" s="610"/>
      <c r="H4" s="610"/>
      <c r="I4" s="610"/>
      <c r="J4" s="610"/>
      <c r="K4" s="610"/>
      <c r="L4" s="597" t="s">
        <v>2126</v>
      </c>
      <c r="M4" s="646" t="s">
        <v>2123</v>
      </c>
      <c r="N4" s="653"/>
      <c r="O4" s="654"/>
      <c r="P4" s="608" t="s">
        <v>2125</v>
      </c>
      <c r="Q4" s="608" t="s">
        <v>2125</v>
      </c>
      <c r="R4" s="648"/>
      <c r="S4" s="646" t="s">
        <v>2127</v>
      </c>
      <c r="T4" s="646"/>
      <c r="U4" s="646"/>
      <c r="V4" s="601"/>
      <c r="W4" s="646"/>
      <c r="X4" s="595" t="s">
        <v>1278</v>
      </c>
      <c r="Y4" s="653"/>
      <c r="Z4" s="653"/>
      <c r="AA4" s="653"/>
      <c r="AB4" s="653"/>
      <c r="AC4" s="653"/>
      <c r="AD4" s="805"/>
      <c r="AE4" s="806"/>
      <c r="AF4" s="807"/>
      <c r="AG4" s="604" t="s">
        <v>1279</v>
      </c>
      <c r="AH4" s="806"/>
      <c r="AI4" s="808"/>
      <c r="AJ4" s="807"/>
      <c r="AK4" s="534"/>
      <c r="AL4" s="534" t="s">
        <v>678</v>
      </c>
      <c r="AM4" s="534" t="s">
        <v>678</v>
      </c>
      <c r="AN4" s="647" t="s">
        <v>678</v>
      </c>
      <c r="AO4" s="647" t="s">
        <v>678</v>
      </c>
      <c r="AP4" s="610"/>
      <c r="AQ4" s="534"/>
      <c r="AR4" s="534"/>
    </row>
    <row r="5" spans="1:44" ht="15.9" customHeight="1" thickBot="1" x14ac:dyDescent="0.3">
      <c r="A5" s="1389" t="s">
        <v>679</v>
      </c>
      <c r="B5" s="1387" t="s">
        <v>680</v>
      </c>
      <c r="C5" s="1391" t="s">
        <v>681</v>
      </c>
      <c r="D5" s="1387" t="s">
        <v>682</v>
      </c>
      <c r="E5" s="1387" t="s">
        <v>683</v>
      </c>
      <c r="F5" s="1393" t="s">
        <v>732</v>
      </c>
      <c r="G5" s="1393" t="s">
        <v>1008</v>
      </c>
      <c r="H5" s="1393" t="s">
        <v>1009</v>
      </c>
      <c r="I5" s="1395" t="s">
        <v>1010</v>
      </c>
      <c r="J5" s="1393" t="s">
        <v>1011</v>
      </c>
      <c r="K5" s="1391" t="s">
        <v>1012</v>
      </c>
      <c r="L5" s="1387" t="s">
        <v>1013</v>
      </c>
      <c r="M5" s="1387" t="s">
        <v>1014</v>
      </c>
      <c r="N5" s="1387" t="s">
        <v>1015</v>
      </c>
      <c r="O5" s="809">
        <f>SUBTOTAL(9,O$6:O466)</f>
        <v>0</v>
      </c>
      <c r="P5" s="1387" t="s">
        <v>1017</v>
      </c>
      <c r="Q5" s="1387" t="s">
        <v>1018</v>
      </c>
      <c r="R5" s="1397" t="s">
        <v>1019</v>
      </c>
      <c r="S5" s="1391" t="s">
        <v>1020</v>
      </c>
      <c r="T5" s="1391" t="s">
        <v>1021</v>
      </c>
      <c r="U5" s="1387" t="s">
        <v>1022</v>
      </c>
      <c r="V5" s="1391" t="s">
        <v>1023</v>
      </c>
      <c r="W5" s="1391" t="s">
        <v>1024</v>
      </c>
      <c r="X5" s="1387" t="s">
        <v>1000</v>
      </c>
      <c r="Y5" s="1387" t="s">
        <v>684</v>
      </c>
      <c r="Z5" s="1391" t="s">
        <v>685</v>
      </c>
      <c r="AA5" s="1391" t="s">
        <v>686</v>
      </c>
      <c r="AB5" s="1391" t="s">
        <v>687</v>
      </c>
      <c r="AC5" s="1391" t="s">
        <v>688</v>
      </c>
      <c r="AD5" s="1397" t="s">
        <v>689</v>
      </c>
      <c r="AE5" s="810">
        <f>SUBTOTAL(9,AE$6:AE466)</f>
        <v>0</v>
      </c>
      <c r="AF5" s="592">
        <f>SUBTOTAL(9,AF$6:AF466)</f>
        <v>0</v>
      </c>
      <c r="AG5" s="1365" t="s">
        <v>1960</v>
      </c>
      <c r="AH5" s="588">
        <f>SUBTOTAL(9,AH$6:AH993)</f>
        <v>0</v>
      </c>
      <c r="AI5" s="1365" t="s">
        <v>1961</v>
      </c>
      <c r="AJ5" s="588">
        <f>SUBTOTAL(9,AJ$6:AJ993)</f>
        <v>0</v>
      </c>
      <c r="AK5" s="346"/>
      <c r="AL5" s="1401" t="s">
        <v>1182</v>
      </c>
      <c r="AM5" s="1401" t="s">
        <v>1262</v>
      </c>
      <c r="AN5" s="1403" t="s">
        <v>739</v>
      </c>
      <c r="AO5" s="1403" t="s">
        <v>740</v>
      </c>
      <c r="AP5" s="1405" t="s">
        <v>742</v>
      </c>
      <c r="AQ5" s="1399" t="s">
        <v>1180</v>
      </c>
      <c r="AR5" s="346"/>
    </row>
    <row r="6" spans="1:44" ht="47.15" customHeight="1" x14ac:dyDescent="0.25">
      <c r="A6" s="1390"/>
      <c r="B6" s="1388"/>
      <c r="C6" s="1392"/>
      <c r="D6" s="1388"/>
      <c r="E6" s="1388"/>
      <c r="F6" s="1394"/>
      <c r="G6" s="1394"/>
      <c r="H6" s="1394"/>
      <c r="I6" s="1396"/>
      <c r="J6" s="1394"/>
      <c r="K6" s="1392"/>
      <c r="L6" s="1388"/>
      <c r="M6" s="1388"/>
      <c r="N6" s="1388"/>
      <c r="O6" s="873" t="s">
        <v>1016</v>
      </c>
      <c r="P6" s="1388"/>
      <c r="Q6" s="1388"/>
      <c r="R6" s="1398"/>
      <c r="S6" s="1392"/>
      <c r="T6" s="1392"/>
      <c r="U6" s="1388"/>
      <c r="V6" s="1392"/>
      <c r="W6" s="1392"/>
      <c r="X6" s="1388"/>
      <c r="Y6" s="1388"/>
      <c r="Z6" s="1392"/>
      <c r="AA6" s="1392"/>
      <c r="AB6" s="1392"/>
      <c r="AC6" s="1392"/>
      <c r="AD6" s="1398"/>
      <c r="AE6" s="873" t="s">
        <v>1025</v>
      </c>
      <c r="AF6" s="874" t="s">
        <v>1026</v>
      </c>
      <c r="AG6" s="1291"/>
      <c r="AH6" s="590" t="s">
        <v>703</v>
      </c>
      <c r="AI6" s="1291"/>
      <c r="AJ6" s="590" t="s">
        <v>703</v>
      </c>
      <c r="AK6" s="349"/>
      <c r="AL6" s="1402"/>
      <c r="AM6" s="1402"/>
      <c r="AN6" s="1404"/>
      <c r="AO6" s="1404"/>
      <c r="AP6" s="1406"/>
      <c r="AQ6" s="1400"/>
      <c r="AR6" s="349"/>
    </row>
    <row r="7" spans="1:44" x14ac:dyDescent="0.25">
      <c r="A7" s="880"/>
      <c r="B7" s="881" t="s">
        <v>2287</v>
      </c>
      <c r="C7" s="880"/>
      <c r="D7" s="881"/>
      <c r="E7" s="884" t="s">
        <v>744</v>
      </c>
      <c r="F7" s="881" t="s">
        <v>2283</v>
      </c>
      <c r="G7" s="881"/>
      <c r="H7" s="881"/>
      <c r="I7" s="881"/>
      <c r="J7" s="881"/>
      <c r="K7" s="882" t="s">
        <v>744</v>
      </c>
      <c r="L7" s="881" t="s">
        <v>589</v>
      </c>
      <c r="M7" s="881"/>
      <c r="N7" s="884" t="s">
        <v>744</v>
      </c>
      <c r="O7" s="883">
        <v>0</v>
      </c>
      <c r="P7" s="881" t="s">
        <v>593</v>
      </c>
      <c r="Q7" s="881" t="s">
        <v>579</v>
      </c>
      <c r="R7" s="885">
        <v>46023</v>
      </c>
      <c r="S7" s="880"/>
      <c r="T7" s="881"/>
      <c r="U7" s="881">
        <f>YEAR(R7)</f>
        <v>2026</v>
      </c>
      <c r="V7" s="880"/>
      <c r="W7" s="881"/>
      <c r="X7" s="881" t="s">
        <v>1007</v>
      </c>
      <c r="Y7" s="881" t="s">
        <v>1031</v>
      </c>
      <c r="Z7" s="880"/>
      <c r="AA7" s="880"/>
      <c r="AB7" s="880"/>
      <c r="AC7" s="880"/>
      <c r="AD7" s="886"/>
      <c r="AE7" s="883">
        <v>0</v>
      </c>
      <c r="AF7" s="883">
        <v>0</v>
      </c>
      <c r="AG7" s="884">
        <v>417</v>
      </c>
      <c r="AH7" s="883">
        <f>IF(ISBLANK($L7),0,IF(AG7=417,IF(OR(VALUE(LEFT($L7,2))=1,VALUE(LEFT($L7,2))=2),$AF7,0),IF(AG7=418,IF(VALUE(LEFT($L7,2))=3,$AF7,0),0)))</f>
        <v>0</v>
      </c>
      <c r="AI7" s="884">
        <v>418</v>
      </c>
      <c r="AJ7" s="883">
        <f>IF(ISBLANK($L7),0,IF(AI7=417,IF(OR(VALUE(LEFT($L7,2))=1,VALUE(LEFT($L7,2))=2),$AF7,0),IF(AI7=418,IF(VALUE(LEFT($L7,2))=3,$AF7,0),0)))</f>
        <v>0</v>
      </c>
      <c r="AK7" s="881"/>
      <c r="AL7" s="884">
        <f>IF(ISNUMBER(R7),MONTH(R7),0)</f>
        <v>1</v>
      </c>
      <c r="AM7" s="887" t="str">
        <f>IF(ISNUMBER(R7),IF(ISERROR(HLOOKUP(MONTH(R7),meses_104,1,0)),"NO","SI"),"NO")</f>
        <v>NO</v>
      </c>
      <c r="AN7" s="883">
        <f>IF(ISBLANK(Y7),0,IF(VALUE(LEFT(Y7,2))=4,0,AH7))</f>
        <v>0</v>
      </c>
      <c r="AO7" s="883">
        <f>IF(ISBLANK(Y7),0,IF(VALUE(LEFT(Y7,2))=4,0,AJ7))</f>
        <v>0</v>
      </c>
      <c r="AP7" s="880"/>
      <c r="AQ7" s="881" t="s">
        <v>1241</v>
      </c>
    </row>
    <row r="8" spans="1:44" x14ac:dyDescent="0.25">
      <c r="A8" s="880"/>
      <c r="B8" s="881" t="s">
        <v>2287</v>
      </c>
      <c r="C8" s="880"/>
      <c r="D8" s="881"/>
      <c r="E8" s="884" t="s">
        <v>744</v>
      </c>
      <c r="F8" s="881" t="s">
        <v>2283</v>
      </c>
      <c r="G8" s="881"/>
      <c r="H8" s="881"/>
      <c r="I8" s="881"/>
      <c r="J8" s="881"/>
      <c r="K8" s="882" t="s">
        <v>744</v>
      </c>
      <c r="L8" s="881" t="s">
        <v>589</v>
      </c>
      <c r="M8" s="881"/>
      <c r="N8" s="884" t="s">
        <v>744</v>
      </c>
      <c r="O8" s="883">
        <v>0</v>
      </c>
      <c r="P8" s="881" t="s">
        <v>593</v>
      </c>
      <c r="Q8" s="881" t="s">
        <v>579</v>
      </c>
      <c r="R8" s="885">
        <v>46023</v>
      </c>
      <c r="S8" s="880"/>
      <c r="T8" s="881"/>
      <c r="U8" s="881">
        <f>YEAR(R8)</f>
        <v>2026</v>
      </c>
      <c r="V8" s="880"/>
      <c r="W8" s="881"/>
      <c r="X8" s="881" t="s">
        <v>1007</v>
      </c>
      <c r="Y8" s="881" t="s">
        <v>1031</v>
      </c>
      <c r="Z8" s="880"/>
      <c r="AA8" s="880"/>
      <c r="AB8" s="880"/>
      <c r="AC8" s="880"/>
      <c r="AD8" s="886"/>
      <c r="AE8" s="883">
        <v>0</v>
      </c>
      <c r="AF8" s="883">
        <v>0</v>
      </c>
      <c r="AG8" s="884">
        <v>417</v>
      </c>
      <c r="AH8" s="883">
        <f>IF(ISBLANK($L8),0,IF(AG8=417,IF(OR(VALUE(LEFT($L8,2))=1,VALUE(LEFT($L8,2))=2),$AF8,0),IF(AG8=418,IF(VALUE(LEFT($L8,2))=3,$AF8,0),0)))</f>
        <v>0</v>
      </c>
      <c r="AI8" s="884">
        <v>418</v>
      </c>
      <c r="AJ8" s="883">
        <f>IF(ISBLANK($L8),0,IF(AI8=417,IF(OR(VALUE(LEFT($L8,2))=1,VALUE(LEFT($L8,2))=2),$AF8,0),IF(AI8=418,IF(VALUE(LEFT($L8,2))=3,$AF8,0),0)))</f>
        <v>0</v>
      </c>
      <c r="AK8" s="881"/>
      <c r="AL8" s="884">
        <f>IF(ISNUMBER(R8),MONTH(R8),0)</f>
        <v>1</v>
      </c>
      <c r="AM8" s="887" t="str">
        <f>IF(ISNUMBER(R8),IF(ISERROR(HLOOKUP(MONTH(R8),meses_104,1,0)),"NO","SI"),"NO")</f>
        <v>NO</v>
      </c>
      <c r="AN8" s="883">
        <f>IF(ISBLANK(Y8),0,IF(VALUE(LEFT(Y8,2))=4,0,AH8))</f>
        <v>0</v>
      </c>
      <c r="AO8" s="883">
        <f>IF(ISBLANK(Y8),0,IF(VALUE(LEFT(Y8,2))=4,0,AJ8))</f>
        <v>0</v>
      </c>
      <c r="AP8" s="880"/>
      <c r="AQ8" s="881" t="s">
        <v>1241</v>
      </c>
    </row>
    <row r="9" spans="1:44" x14ac:dyDescent="0.25">
      <c r="A9" s="863"/>
      <c r="B9" s="434" t="s">
        <v>2287</v>
      </c>
      <c r="C9" s="863"/>
      <c r="D9" s="434"/>
      <c r="E9" s="867" t="s">
        <v>744</v>
      </c>
      <c r="F9" s="434" t="s">
        <v>2283</v>
      </c>
      <c r="G9" s="434"/>
      <c r="H9" s="434"/>
      <c r="I9" s="434"/>
      <c r="J9" s="434"/>
      <c r="K9" s="864" t="s">
        <v>744</v>
      </c>
      <c r="L9" s="434" t="s">
        <v>589</v>
      </c>
      <c r="M9" s="434"/>
      <c r="N9" s="867" t="s">
        <v>744</v>
      </c>
      <c r="O9" s="866">
        <v>0</v>
      </c>
      <c r="P9" s="434" t="s">
        <v>593</v>
      </c>
      <c r="Q9" s="434" t="s">
        <v>579</v>
      </c>
      <c r="R9" s="865">
        <v>46023</v>
      </c>
      <c r="S9" s="863"/>
      <c r="T9" s="434"/>
      <c r="U9" s="434">
        <f>YEAR(R9)</f>
        <v>2026</v>
      </c>
      <c r="V9" s="863"/>
      <c r="W9" s="434"/>
      <c r="X9" s="434" t="s">
        <v>1007</v>
      </c>
      <c r="Y9" s="434" t="s">
        <v>1031</v>
      </c>
      <c r="Z9" s="863"/>
      <c r="AA9" s="863"/>
      <c r="AB9" s="863"/>
      <c r="AC9" s="863"/>
      <c r="AD9" s="871"/>
      <c r="AE9" s="866">
        <v>0</v>
      </c>
      <c r="AF9" s="866">
        <v>0</v>
      </c>
      <c r="AG9" s="867">
        <v>417</v>
      </c>
      <c r="AH9" s="866">
        <f>IF(ISBLANK($L9),0,IF(AG9=417,IF(OR(VALUE(LEFT($L9,2))=1,VALUE(LEFT($L9,2))=2),$AF9,0),IF(AG9=418,IF(VALUE(LEFT($L9,2))=3,$AF9,0),0)))</f>
        <v>0</v>
      </c>
      <c r="AI9" s="867">
        <v>418</v>
      </c>
      <c r="AJ9" s="866">
        <f>IF(ISBLANK($L9),0,IF(AI9=417,IF(OR(VALUE(LEFT($L9,2))=1,VALUE(LEFT($L9,2))=2),$AF9,0),IF(AI9=418,IF(VALUE(LEFT($L9,2))=3,$AF9,0),0)))</f>
        <v>0</v>
      </c>
      <c r="AK9" s="434"/>
      <c r="AL9" s="867">
        <f>IF(ISNUMBER(R9),MONTH(R9),0)</f>
        <v>1</v>
      </c>
      <c r="AM9" s="872" t="str">
        <f>IF(ISNUMBER(R9),IF(ISERROR(HLOOKUP(MONTH(R9),meses_104,1,0)),"NO","SI"),"NO")</f>
        <v>NO</v>
      </c>
      <c r="AN9" s="866">
        <f>IF(ISBLANK(Y9),0,IF(VALUE(LEFT(Y9,2))=4,0,AH9))</f>
        <v>0</v>
      </c>
      <c r="AO9" s="866">
        <f>IF(ISBLANK(Y9),0,IF(VALUE(LEFT(Y9,2))=4,0,AJ9))</f>
        <v>0</v>
      </c>
      <c r="AP9" s="863"/>
      <c r="AQ9" s="434" t="s">
        <v>1241</v>
      </c>
    </row>
  </sheetData>
  <autoFilter ref="A6:AR6" xr:uid="{00000000-0009-0000-0000-00000C000000}"/>
  <mergeCells count="37">
    <mergeCell ref="AQ5:AQ6"/>
    <mergeCell ref="AD5:AD6"/>
    <mergeCell ref="AL5:AL6"/>
    <mergeCell ref="AM5:AM6"/>
    <mergeCell ref="AN5:AN6"/>
    <mergeCell ref="AO5:AO6"/>
    <mergeCell ref="AP5:AP6"/>
    <mergeCell ref="AG5:AG6"/>
    <mergeCell ref="AI5:AI6"/>
    <mergeCell ref="AC5:AC6"/>
    <mergeCell ref="P5:P6"/>
    <mergeCell ref="Q5:Q6"/>
    <mergeCell ref="R5:R6"/>
    <mergeCell ref="S5:S6"/>
    <mergeCell ref="T5:T6"/>
    <mergeCell ref="U5:U6"/>
    <mergeCell ref="Z5:Z6"/>
    <mergeCell ref="V5:V6"/>
    <mergeCell ref="W5:W6"/>
    <mergeCell ref="X5:X6"/>
    <mergeCell ref="AA5:AA6"/>
    <mergeCell ref="AB5:AB6"/>
    <mergeCell ref="N5:N6"/>
    <mergeCell ref="A5:A6"/>
    <mergeCell ref="B5:B6"/>
    <mergeCell ref="C5:C6"/>
    <mergeCell ref="Y5:Y6"/>
    <mergeCell ref="D5:D6"/>
    <mergeCell ref="E5:E6"/>
    <mergeCell ref="F5:F6"/>
    <mergeCell ref="G5:G6"/>
    <mergeCell ref="H5:H6"/>
    <mergeCell ref="I5:I6"/>
    <mergeCell ref="J5:J6"/>
    <mergeCell ref="K5:K6"/>
    <mergeCell ref="L5:L6"/>
    <mergeCell ref="M5:M6"/>
  </mergeCells>
  <conditionalFormatting sqref="A7:AQ391">
    <cfRule type="expression" dxfId="5" priority="47">
      <formula>ROW()=RowEXP</formula>
    </cfRule>
  </conditionalFormatting>
  <dataValidations count="24">
    <dataValidation type="textLength" errorStyle="warning" operator="equal" allowBlank="1" showInputMessage="1" showErrorMessage="1" errorTitle="Validación de datos" error="Debe ingresar los 3 caracteres correspondientes en cada celda ó dejarla vacia de ser el caso." sqref="U5 Z5:AA5 Z7:AA1048576" xr:uid="{00000000-0002-0000-0C00-000000000000}">
      <formula1>3</formula1>
    </dataValidation>
    <dataValidation type="textLength" errorStyle="warning" operator="equal" allowBlank="1" showInputMessage="1" showErrorMessage="1" errorTitle="Validación de datos" error="Debe ingresar los 10 caracteres correspondientes en cada celda ó dejarla vacia de ser el caso." sqref="AC5" xr:uid="{00000000-0002-0000-0C00-000001000000}">
      <formula1>10</formula1>
    </dataValidation>
    <dataValidation type="textLength" errorStyle="warning" operator="equal" allowBlank="1" showInputMessage="1" showErrorMessage="1" errorTitle="Validación de datos" error="Debe ingresar los 6 caracteres correspondientes en cada celda ó dejarla vacia de ser el caso." sqref="W5" xr:uid="{00000000-0002-0000-0C00-000002000000}">
      <formula1>6</formula1>
    </dataValidation>
    <dataValidation errorStyle="warning" operator="equal" allowBlank="1" showInputMessage="1" showErrorMessage="1" errorTitle="Validación de datos" error="Debe ingresar los 10 caracteres correspondientes en cada celda ó dejarla vacia de ser el caso." sqref="S5" xr:uid="{00000000-0002-0000-0C00-000003000000}"/>
    <dataValidation type="textLength" errorStyle="warning" allowBlank="1" showInputMessage="1" showErrorMessage="1" errorTitle="Validación de datos" error="Debe ingresar los 6 caracteres correspondientes en cada celda ó dejarla vacia de ser el caso." sqref="T5 V5 V7:V1048576" xr:uid="{00000000-0002-0000-0C00-000004000000}">
      <formula1>6</formula1>
      <formula2>8</formula2>
    </dataValidation>
    <dataValidation type="list" allowBlank="1" showInputMessage="1" showErrorMessage="1" sqref="F7:F1048576" xr:uid="{00000000-0002-0000-0C00-000005000000}">
      <formula1>"01-REGIMEN GENERAL,02-PARAISO FISCAL,03-REGIMEN FISCAL PREFERENTE"</formula1>
    </dataValidation>
    <dataValidation type="list" allowBlank="1" showInputMessage="1" showErrorMessage="1" sqref="D7:D1048576" xr:uid="{00000000-0002-0000-0C00-000006000000}">
      <formula1>"01-Persona Natural,02-Sociedad"</formula1>
    </dataValidation>
    <dataValidation type="list" allowBlank="1" showInputMessage="1" showErrorMessage="1" sqref="B7:B1048576" xr:uid="{00000000-0002-0000-0C00-000007000000}">
      <formula1>"R-Ruc,P-Pasaporte,E-ID Exterior"</formula1>
    </dataValidation>
    <dataValidation type="list" allowBlank="1" showInputMessage="1" showErrorMessage="1" sqref="L7:L1048576" xr:uid="{00000000-0002-0000-0C00-000008000000}">
      <formula1>tiposexp</formula1>
    </dataValidation>
    <dataValidation type="list" allowBlank="1" showInputMessage="1" showErrorMessage="1" sqref="N7:N1048576 K7:K1048576 E7:E1048576" xr:uid="{00000000-0002-0000-0C00-000009000000}">
      <formula1>"SI,NO"</formula1>
    </dataValidation>
    <dataValidation type="textLength" errorStyle="warning" operator="equal" allowBlank="1" showInputMessage="1" showErrorMessage="1" errorTitle="Validación de datos" error="Debe ingresar los 4 caracteres correspondientes en cada celda ó dejarla vacia de ser el caso." sqref="U7:U1048576" xr:uid="{00000000-0002-0000-0C00-00000A000000}">
      <formula1>4</formula1>
    </dataValidation>
    <dataValidation type="list" allowBlank="1" showInputMessage="1" showErrorMessage="1" sqref="P7:P1048576" xr:uid="{00000000-0002-0000-0C00-00000B000000}">
      <formula1>Distritos</formula1>
    </dataValidation>
    <dataValidation type="list" allowBlank="1" showInputMessage="1" showErrorMessage="1" sqref="Q7:Q1048576" xr:uid="{00000000-0002-0000-0C00-00000C000000}">
      <formula1>Regimenes</formula1>
    </dataValidation>
    <dataValidation type="textLength" errorStyle="warning" operator="equal" allowBlank="1" showInputMessage="1" showErrorMessage="1" errorTitle="Validación de datos" error="Debe ingresar los 1 caracteres correspondientes en cada celda ó dejarla vacia de ser el caso." sqref="W7:W1048576" xr:uid="{00000000-0002-0000-0C00-00000D000000}">
      <formula1>1</formula1>
    </dataValidation>
    <dataValidation type="textLength" errorStyle="warning" allowBlank="1" showInputMessage="1" showErrorMessage="1" errorTitle="Validación de datos" error="Debe ingresar los 3 y 13 caracteres correspondientes en cada celda ó dejarla vacia de ser el caso." sqref="S7:S1048576" xr:uid="{00000000-0002-0000-0C00-00000E000000}">
      <formula1>3</formula1>
      <formula2>13</formula2>
    </dataValidation>
    <dataValidation type="textLength" errorStyle="warning" operator="equal" allowBlank="1" showInputMessage="1" showErrorMessage="1" errorTitle="Validación de datos" error="Debe ingresar los 13 caracteres correspondientes en cada celda ó dejarla vacia de ser el caso." sqref="T7:T1048576" xr:uid="{00000000-0002-0000-0C00-00000F000000}">
      <formula1>13</formula1>
    </dataValidation>
    <dataValidation type="list" allowBlank="1" showInputMessage="1" showErrorMessage="1" sqref="Y7:Y1048576" xr:uid="{00000000-0002-0000-0C00-000010000000}">
      <formula1>ComprobantesEXP</formula1>
    </dataValidation>
    <dataValidation type="textLength" errorStyle="warning" allowBlank="1" showInputMessage="1" showErrorMessage="1" errorTitle="Validación de datos" error="Debe ingresar los 10 o 37 o 49 caracteres correspondientes en cada celda ó dejarla vacia de ser el caso." sqref="AC7:AC1048576" xr:uid="{00000000-0002-0000-0C00-000011000000}">
      <formula1>10</formula1>
      <formula2>49</formula2>
    </dataValidation>
    <dataValidation type="list" allowBlank="1" showInputMessage="1" showErrorMessage="1" sqref="X7:X1048576" xr:uid="{00000000-0002-0000-0C00-000012000000}">
      <formula1>"F-Fisico,E-Electronico"</formula1>
    </dataValidation>
    <dataValidation type="list" allowBlank="1" showInputMessage="1" showErrorMessage="1" sqref="AQ7:AQ1048576" xr:uid="{00000000-0002-0000-0C00-000013000000}">
      <formula1>ListaActividades</formula1>
    </dataValidation>
    <dataValidation type="list" allowBlank="1" showInputMessage="1" showErrorMessage="1" sqref="G7:G1048576" xr:uid="{00000000-0002-0000-0C00-000014000000}">
      <formula1>IF($F7="01-REGIMEN GENERAL",paises,"")</formula1>
    </dataValidation>
    <dataValidation type="list" allowBlank="1" showInputMessage="1" showErrorMessage="1" sqref="J7:J1048576" xr:uid="{00000000-0002-0000-0C00-000015000000}">
      <formula1>IF($F7="02-PARAISO FISCAL",paises17b,IF($F7="01-REGIMEN GENERAL",$G7,paises))</formula1>
    </dataValidation>
    <dataValidation type="list" allowBlank="1" showInputMessage="1" showErrorMessage="1" sqref="H7:H1048576" xr:uid="{00000000-0002-0000-0C00-000016000000}">
      <formula1>IF($F7="02-PARAISO FISCAL",paises17a,"")</formula1>
    </dataValidation>
    <dataValidation type="list" allowBlank="1" showInputMessage="1" showErrorMessage="1" sqref="M7:M1048576" xr:uid="{00000000-0002-0000-0C00-000017000000}">
      <formula1>IF($L7="03-Exportaciones de servicios",ingExterior,"")</formula1>
    </dataValidation>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8"/>
  <dimension ref="A1:K8"/>
  <sheetViews>
    <sheetView showGridLines="0" zoomScaleNormal="100" workbookViewId="0">
      <pane ySplit="6" topLeftCell="A7" activePane="bottomLeft" state="frozen"/>
      <selection activeCell="D7" sqref="D7"/>
      <selection pane="bottomLeft" activeCell="A7" sqref="A7"/>
    </sheetView>
  </sheetViews>
  <sheetFormatPr baseColWidth="10" defaultColWidth="10.90625" defaultRowHeight="11.5" x14ac:dyDescent="0.25"/>
  <cols>
    <col min="1" max="1" width="23.453125" style="333" customWidth="1"/>
    <col min="2" max="3" width="9.453125" style="368" customWidth="1"/>
    <col min="4" max="5" width="12" style="350" customWidth="1"/>
    <col min="6" max="6" width="26.54296875" style="350" customWidth="1"/>
    <col min="7" max="7" width="12.54296875" style="333" customWidth="1"/>
    <col min="8" max="8" width="13.54296875" style="352" customWidth="1"/>
    <col min="9" max="9" width="8.6328125" style="351" customWidth="1"/>
    <col min="10" max="10" width="32.08984375" style="350" customWidth="1"/>
    <col min="11" max="11" width="23.453125" style="333" customWidth="1"/>
    <col min="12" max="16384" width="10.90625" style="333"/>
  </cols>
  <sheetData>
    <row r="1" spans="1:11" ht="20.149999999999999" customHeight="1" x14ac:dyDescent="0.25">
      <c r="A1" s="372" t="str">
        <f>Parametros!D4&amp;" - "&amp;Parametros!D5</f>
        <v>0917809451001 - GARCIA RODRIGUEZ CHARLES MILTON</v>
      </c>
      <c r="B1" s="323"/>
      <c r="C1" s="323"/>
      <c r="D1" s="322"/>
      <c r="E1" s="322"/>
      <c r="F1" s="322"/>
      <c r="G1" s="322"/>
      <c r="H1" s="324"/>
      <c r="I1" s="323"/>
      <c r="J1" s="322"/>
    </row>
    <row r="2" spans="1:11" ht="19.5" customHeight="1" x14ac:dyDescent="0.25">
      <c r="A2" s="373" t="s">
        <v>1238</v>
      </c>
      <c r="B2" s="381"/>
      <c r="C2" s="381"/>
      <c r="D2" s="322"/>
      <c r="E2" s="322"/>
      <c r="F2" s="322"/>
      <c r="G2" s="322"/>
      <c r="H2" s="324"/>
      <c r="I2" s="323"/>
      <c r="J2" s="322"/>
    </row>
    <row r="3" spans="1:11" s="344" customFormat="1" ht="15.9" hidden="1" customHeight="1" x14ac:dyDescent="0.25">
      <c r="A3" s="341"/>
      <c r="B3" s="336"/>
      <c r="C3" s="338"/>
      <c r="D3" s="338"/>
      <c r="E3" s="338"/>
      <c r="F3" s="338"/>
      <c r="H3" s="362"/>
      <c r="I3" s="363"/>
      <c r="J3" s="338"/>
    </row>
    <row r="4" spans="1:11" ht="14.4" customHeight="1" x14ac:dyDescent="0.25">
      <c r="A4" s="364"/>
      <c r="B4" s="323"/>
      <c r="C4" s="323"/>
      <c r="D4" s="322"/>
      <c r="E4" s="322"/>
      <c r="F4" s="322"/>
      <c r="G4" s="322"/>
      <c r="H4" s="324"/>
      <c r="I4" s="323"/>
      <c r="J4" s="322"/>
    </row>
    <row r="5" spans="1:11" s="655" customFormat="1" ht="15.9" customHeight="1" x14ac:dyDescent="0.25">
      <c r="A5" s="800"/>
      <c r="B5" s="801" t="str">
        <f>"# Registros ANULADOS : " &amp; COUNTIF(H:H,"&gt;0")</f>
        <v># Registros ANULADOS : 0</v>
      </c>
      <c r="C5" s="802"/>
      <c r="D5" s="800"/>
      <c r="E5" s="800"/>
      <c r="F5" s="800"/>
      <c r="G5" s="800"/>
      <c r="H5" s="803"/>
      <c r="I5" s="802"/>
      <c r="J5" s="802"/>
      <c r="K5" s="333"/>
    </row>
    <row r="6" spans="1:11" ht="47.15" customHeight="1" x14ac:dyDescent="0.25">
      <c r="A6" s="852" t="s">
        <v>1001</v>
      </c>
      <c r="B6" s="861" t="s">
        <v>1027</v>
      </c>
      <c r="C6" s="861" t="s">
        <v>1028</v>
      </c>
      <c r="D6" s="861" t="s">
        <v>1029</v>
      </c>
      <c r="E6" s="861" t="s">
        <v>1030</v>
      </c>
      <c r="F6" s="861" t="s">
        <v>688</v>
      </c>
      <c r="G6" s="852" t="s">
        <v>1000</v>
      </c>
      <c r="H6" s="860" t="s">
        <v>1184</v>
      </c>
      <c r="I6" s="878" t="s">
        <v>1262</v>
      </c>
      <c r="J6" s="879" t="s">
        <v>742</v>
      </c>
    </row>
    <row r="7" spans="1:11" x14ac:dyDescent="0.25">
      <c r="A7" s="881"/>
      <c r="B7" s="882" t="s">
        <v>8</v>
      </c>
      <c r="C7" s="882" t="s">
        <v>8</v>
      </c>
      <c r="D7" s="880"/>
      <c r="E7" s="880"/>
      <c r="F7" s="880"/>
      <c r="G7" s="881"/>
      <c r="H7" s="885"/>
      <c r="I7" s="887" t="str">
        <f>IF(ISNUMBER(H7),IF(ISERROR(HLOOKUP(MONTH(H7),meses_104,1,0)),"NO","SI"),"NO")</f>
        <v>NO</v>
      </c>
      <c r="J7" s="880"/>
    </row>
    <row r="8" spans="1:11" x14ac:dyDescent="0.25">
      <c r="A8" s="434"/>
      <c r="B8" s="864" t="s">
        <v>8</v>
      </c>
      <c r="C8" s="864" t="s">
        <v>8</v>
      </c>
      <c r="D8" s="863"/>
      <c r="E8" s="863"/>
      <c r="F8" s="863"/>
      <c r="G8" s="434"/>
      <c r="H8" s="865"/>
      <c r="I8" s="872" t="str">
        <f>IF(ISNUMBER(H8),IF(ISERROR(HLOOKUP(MONTH(H8),meses_104,1,0)),"NO","SI"),"NO")</f>
        <v>NO</v>
      </c>
      <c r="J8" s="863"/>
    </row>
  </sheetData>
  <autoFilter ref="A6:J6" xr:uid="{00000000-0009-0000-0000-00000D000000}"/>
  <conditionalFormatting sqref="A7:J23">
    <cfRule type="expression" dxfId="4" priority="24">
      <formula>ROW()=RowANU</formula>
    </cfRule>
  </conditionalFormatting>
  <dataValidations count="2">
    <dataValidation type="list" allowBlank="1" showInputMessage="1" showErrorMessage="1" sqref="G7:G1048576" xr:uid="{00000000-0002-0000-0D00-000000000000}">
      <formula1>"F-Fisico,E-Electronico"</formula1>
    </dataValidation>
    <dataValidation type="list" allowBlank="1" showInputMessage="1" showErrorMessage="1" sqref="A7:A1048576" xr:uid="{00000000-0002-0000-0D00-000001000000}">
      <formula1>ComprobantesCOM</formula1>
    </dataValidation>
  </dataValidation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9"/>
  <sheetViews>
    <sheetView showGridLines="0" zoomScaleNormal="100" workbookViewId="0">
      <pane xSplit="2" ySplit="6" topLeftCell="C7" activePane="bottomRight" state="frozen"/>
      <selection activeCell="A5" sqref="A5:A6"/>
      <selection pane="topRight" activeCell="A5" sqref="A5:A6"/>
      <selection pane="bottomLeft" activeCell="A5" sqref="A5:A6"/>
      <selection pane="bottomRight" activeCell="C7" sqref="C7"/>
    </sheetView>
  </sheetViews>
  <sheetFormatPr baseColWidth="10" defaultColWidth="10.90625" defaultRowHeight="11.5" outlineLevelCol="1" x14ac:dyDescent="0.25"/>
  <cols>
    <col min="1" max="1" width="15" style="350" customWidth="1"/>
    <col min="2" max="2" width="35.6328125" style="350" customWidth="1"/>
    <col min="3" max="3" width="16.54296875" style="333" customWidth="1" outlineLevel="1"/>
    <col min="4" max="4" width="19.36328125" style="350" customWidth="1"/>
    <col min="5" max="6" width="5.6328125" style="368" customWidth="1"/>
    <col min="7" max="7" width="9.90625" style="350" customWidth="1"/>
    <col min="8" max="8" width="45.90625" style="350" bestFit="1" customWidth="1"/>
    <col min="9" max="9" width="2.453125" style="333" customWidth="1"/>
    <col min="10" max="10" width="15" style="350" customWidth="1"/>
    <col min="11" max="11" width="35.6328125" style="350" customWidth="1"/>
    <col min="12" max="12" width="10.453125" style="350" customWidth="1"/>
    <col min="13" max="13" width="10.6328125" style="352" customWidth="1"/>
    <col min="14" max="14" width="11.08984375" style="352" customWidth="1"/>
    <col min="15" max="15" width="35.6328125" style="350" customWidth="1"/>
    <col min="16" max="16" width="2.453125" style="333" customWidth="1"/>
    <col min="17" max="17" width="15" style="350" customWidth="1"/>
    <col min="18" max="18" width="35.6328125" style="350" customWidth="1"/>
    <col min="19" max="19" width="21.36328125" style="350" customWidth="1"/>
    <col min="20" max="20" width="11.54296875" style="350" customWidth="1"/>
    <col min="21" max="21" width="17.453125" style="350" customWidth="1"/>
    <col min="22" max="22" width="10.90625" style="352" customWidth="1"/>
    <col min="23" max="23" width="45.90625" style="350" bestFit="1" customWidth="1"/>
    <col min="24" max="26" width="35.6328125" style="350" customWidth="1"/>
    <col min="27" max="27" width="27.6328125" style="350" customWidth="1"/>
    <col min="28" max="28" width="13.08984375" style="350" customWidth="1"/>
    <col min="29" max="29" width="2.453125" style="333" customWidth="1"/>
    <col min="30" max="16384" width="10.90625" style="333"/>
  </cols>
  <sheetData>
    <row r="1" spans="1:29" ht="20.149999999999999" customHeight="1" x14ac:dyDescent="0.25">
      <c r="A1" s="372" t="str">
        <f>Parametros!D4&amp;" - "&amp;Parametros!D5</f>
        <v>0917809451001 - GARCIA RODRIGUEZ CHARLES MILTON</v>
      </c>
      <c r="B1" s="322"/>
      <c r="C1" s="322"/>
      <c r="D1" s="322"/>
      <c r="E1" s="323"/>
      <c r="F1" s="323"/>
      <c r="G1" s="322"/>
      <c r="H1" s="322"/>
      <c r="I1" s="325"/>
      <c r="J1" s="372"/>
      <c r="K1" s="322"/>
      <c r="L1" s="322"/>
      <c r="M1" s="324"/>
      <c r="N1" s="324"/>
      <c r="O1" s="322"/>
      <c r="P1" s="325"/>
      <c r="Q1" s="372"/>
      <c r="R1" s="322"/>
      <c r="S1" s="322"/>
      <c r="T1" s="322"/>
      <c r="U1" s="322"/>
      <c r="V1" s="324"/>
      <c r="W1" s="322"/>
      <c r="X1" s="322"/>
      <c r="Y1" s="322"/>
      <c r="Z1" s="322"/>
      <c r="AA1" s="322"/>
      <c r="AB1" s="322"/>
      <c r="AC1" s="325"/>
    </row>
    <row r="2" spans="1:29" ht="19.5" customHeight="1" x14ac:dyDescent="0.25">
      <c r="A2" s="373" t="s">
        <v>2161</v>
      </c>
      <c r="B2" s="334"/>
      <c r="C2" s="322"/>
      <c r="D2" s="322"/>
      <c r="E2" s="323"/>
      <c r="F2" s="323"/>
      <c r="G2" s="322"/>
      <c r="H2" s="322"/>
      <c r="I2" s="325"/>
      <c r="J2" s="373"/>
      <c r="K2" s="334"/>
      <c r="L2" s="334"/>
      <c r="M2" s="324"/>
      <c r="N2" s="324"/>
      <c r="O2" s="334"/>
      <c r="P2" s="325"/>
      <c r="Q2" s="373"/>
      <c r="R2" s="334"/>
      <c r="S2" s="334"/>
      <c r="T2" s="322"/>
      <c r="U2" s="334"/>
      <c r="V2" s="324"/>
      <c r="W2" s="322"/>
      <c r="X2" s="334"/>
      <c r="Y2" s="334"/>
      <c r="Z2" s="334"/>
      <c r="AA2" s="322"/>
      <c r="AB2" s="322"/>
      <c r="AC2" s="325"/>
    </row>
    <row r="3" spans="1:29" s="344" customFormat="1" ht="15.9" hidden="1" customHeight="1" x14ac:dyDescent="0.25">
      <c r="A3" s="336"/>
      <c r="B3" s="338"/>
      <c r="C3" s="338"/>
      <c r="D3" s="338"/>
      <c r="E3" s="338"/>
      <c r="F3" s="338"/>
      <c r="G3" s="338"/>
      <c r="H3" s="338"/>
      <c r="I3" s="337"/>
      <c r="J3" s="336"/>
      <c r="K3" s="338"/>
      <c r="L3" s="338"/>
      <c r="M3" s="339"/>
      <c r="N3" s="339"/>
      <c r="O3" s="338"/>
      <c r="P3" s="337"/>
      <c r="Q3" s="336"/>
      <c r="R3" s="338"/>
      <c r="S3" s="338"/>
      <c r="T3" s="338"/>
      <c r="U3" s="338"/>
      <c r="V3" s="339"/>
      <c r="W3" s="338"/>
      <c r="X3" s="338"/>
      <c r="Y3" s="338"/>
      <c r="Z3" s="338"/>
      <c r="AA3" s="338"/>
      <c r="AB3" s="338"/>
      <c r="AC3" s="337"/>
    </row>
    <row r="4" spans="1:29" s="615" customFormat="1" ht="14.4" customHeight="1" x14ac:dyDescent="0.35">
      <c r="A4" s="370"/>
      <c r="B4" s="775" t="str">
        <f>"# Registros COMPRAS : " &amp; COUNTIF(M:M,"&gt;0")</f>
        <v># Registros COMPRAS : 3</v>
      </c>
      <c r="C4" s="616"/>
      <c r="D4" s="595" t="s">
        <v>2180</v>
      </c>
      <c r="E4" s="601"/>
      <c r="F4" s="601"/>
      <c r="G4" s="601"/>
      <c r="H4" s="777"/>
      <c r="I4" s="613"/>
      <c r="J4" s="595" t="s">
        <v>2181</v>
      </c>
      <c r="K4" s="595"/>
      <c r="L4" s="595"/>
      <c r="M4" s="619"/>
      <c r="N4" s="620"/>
      <c r="O4" s="595"/>
      <c r="P4" s="613"/>
      <c r="Q4" s="776" t="s">
        <v>2182</v>
      </c>
      <c r="R4" s="595"/>
      <c r="S4" s="776"/>
      <c r="T4" s="595" t="s">
        <v>2177</v>
      </c>
      <c r="U4" s="595"/>
      <c r="V4" s="619"/>
      <c r="W4" s="601"/>
      <c r="X4" s="778"/>
      <c r="Y4" s="595"/>
      <c r="Z4" s="776"/>
      <c r="AA4" s="598"/>
      <c r="AB4" s="598"/>
      <c r="AC4" s="613"/>
    </row>
    <row r="5" spans="1:29" s="351" customFormat="1" ht="15.9" customHeight="1" x14ac:dyDescent="0.25">
      <c r="A5" s="1334" t="s">
        <v>2179</v>
      </c>
      <c r="B5" s="1336" t="s">
        <v>2178</v>
      </c>
      <c r="C5" s="1332" t="s">
        <v>2159</v>
      </c>
      <c r="D5" s="1336" t="s">
        <v>684</v>
      </c>
      <c r="E5" s="1336" t="s">
        <v>685</v>
      </c>
      <c r="F5" s="1336" t="s">
        <v>686</v>
      </c>
      <c r="G5" s="1336" t="s">
        <v>687</v>
      </c>
      <c r="H5" s="1340" t="s">
        <v>688</v>
      </c>
      <c r="I5" s="811"/>
      <c r="J5" s="1334" t="s">
        <v>2162</v>
      </c>
      <c r="K5" s="1336" t="s">
        <v>2163</v>
      </c>
      <c r="L5" s="1336" t="s">
        <v>2164</v>
      </c>
      <c r="M5" s="1330" t="s">
        <v>2166</v>
      </c>
      <c r="N5" s="1330" t="s">
        <v>2165</v>
      </c>
      <c r="O5" s="1340" t="s">
        <v>2167</v>
      </c>
      <c r="P5" s="811"/>
      <c r="Q5" s="1334" t="s">
        <v>2168</v>
      </c>
      <c r="R5" s="1336" t="s">
        <v>2169</v>
      </c>
      <c r="S5" s="1336" t="s">
        <v>2172</v>
      </c>
      <c r="T5" s="1336" t="s">
        <v>2174</v>
      </c>
      <c r="U5" s="1336" t="s">
        <v>2175</v>
      </c>
      <c r="V5" s="1330" t="s">
        <v>2183</v>
      </c>
      <c r="W5" s="1336" t="s">
        <v>2176</v>
      </c>
      <c r="X5" s="1336" t="s">
        <v>2170</v>
      </c>
      <c r="Y5" s="1336" t="s">
        <v>2173</v>
      </c>
      <c r="Z5" s="1336" t="s">
        <v>2171</v>
      </c>
      <c r="AA5" s="1409" t="s">
        <v>742</v>
      </c>
      <c r="AB5" s="1407" t="s">
        <v>2187</v>
      </c>
      <c r="AC5" s="534"/>
    </row>
    <row r="6" spans="1:29" s="536" customFormat="1" ht="47.15" customHeight="1" x14ac:dyDescent="0.35">
      <c r="A6" s="1335"/>
      <c r="B6" s="1337"/>
      <c r="C6" s="1333"/>
      <c r="D6" s="1337"/>
      <c r="E6" s="1337"/>
      <c r="F6" s="1337"/>
      <c r="G6" s="1337"/>
      <c r="H6" s="1341"/>
      <c r="I6" s="915"/>
      <c r="J6" s="1335"/>
      <c r="K6" s="1337"/>
      <c r="L6" s="1337"/>
      <c r="M6" s="1331"/>
      <c r="N6" s="1331"/>
      <c r="O6" s="1341"/>
      <c r="P6" s="915"/>
      <c r="Q6" s="1335"/>
      <c r="R6" s="1337"/>
      <c r="S6" s="1337"/>
      <c r="T6" s="1337"/>
      <c r="U6" s="1337"/>
      <c r="V6" s="1331"/>
      <c r="W6" s="1337"/>
      <c r="X6" s="1337"/>
      <c r="Y6" s="1337"/>
      <c r="Z6" s="1337"/>
      <c r="AA6" s="1410"/>
      <c r="AB6" s="1408"/>
      <c r="AC6" s="535"/>
    </row>
    <row r="7" spans="1:29" x14ac:dyDescent="0.25">
      <c r="A7" s="880"/>
      <c r="B7" s="880"/>
      <c r="C7" s="881"/>
      <c r="D7" s="880" t="s">
        <v>26</v>
      </c>
      <c r="E7" s="882" t="s">
        <v>8</v>
      </c>
      <c r="F7" s="882" t="s">
        <v>8</v>
      </c>
      <c r="G7" s="880"/>
      <c r="H7" s="880"/>
      <c r="I7" s="881"/>
      <c r="J7" s="880"/>
      <c r="K7" s="880"/>
      <c r="L7" s="880"/>
      <c r="M7" s="865">
        <v>46023</v>
      </c>
      <c r="N7" s="865">
        <v>46023</v>
      </c>
      <c r="O7" s="880"/>
      <c r="P7" s="881"/>
      <c r="Q7" s="880"/>
      <c r="R7" s="880"/>
      <c r="S7" s="880"/>
      <c r="T7" s="880" t="s">
        <v>1031</v>
      </c>
      <c r="U7" s="880"/>
      <c r="V7" s="885">
        <v>45462</v>
      </c>
      <c r="W7" s="880"/>
      <c r="X7" s="880"/>
      <c r="Y7" s="880"/>
      <c r="Z7" s="880"/>
      <c r="AA7" s="880"/>
      <c r="AB7" s="880"/>
    </row>
    <row r="8" spans="1:29" x14ac:dyDescent="0.25">
      <c r="A8" s="880"/>
      <c r="B8" s="880"/>
      <c r="C8" s="881"/>
      <c r="D8" s="880" t="s">
        <v>26</v>
      </c>
      <c r="E8" s="882" t="s">
        <v>8</v>
      </c>
      <c r="F8" s="882" t="s">
        <v>8</v>
      </c>
      <c r="G8" s="880"/>
      <c r="H8" s="880"/>
      <c r="I8" s="881"/>
      <c r="J8" s="880"/>
      <c r="K8" s="880"/>
      <c r="L8" s="880"/>
      <c r="M8" s="865">
        <v>46023</v>
      </c>
      <c r="N8" s="865">
        <v>46023</v>
      </c>
      <c r="O8" s="880"/>
      <c r="P8" s="881"/>
      <c r="Q8" s="880"/>
      <c r="R8" s="880"/>
      <c r="S8" s="880"/>
      <c r="T8" s="880" t="s">
        <v>1031</v>
      </c>
      <c r="U8" s="880"/>
      <c r="V8" s="885">
        <v>45462</v>
      </c>
      <c r="W8" s="880"/>
      <c r="X8" s="880"/>
      <c r="Y8" s="880"/>
      <c r="Z8" s="880"/>
      <c r="AA8" s="880"/>
      <c r="AB8" s="880"/>
    </row>
    <row r="9" spans="1:29" x14ac:dyDescent="0.25">
      <c r="A9" s="863"/>
      <c r="B9" s="863"/>
      <c r="C9" s="434"/>
      <c r="D9" s="863" t="s">
        <v>26</v>
      </c>
      <c r="E9" s="864" t="s">
        <v>8</v>
      </c>
      <c r="F9" s="864" t="s">
        <v>8</v>
      </c>
      <c r="G9" s="863"/>
      <c r="H9" s="863"/>
      <c r="I9" s="434"/>
      <c r="J9" s="863"/>
      <c r="K9" s="863"/>
      <c r="L9" s="863"/>
      <c r="M9" s="865">
        <v>46023</v>
      </c>
      <c r="N9" s="865">
        <v>46023</v>
      </c>
      <c r="O9" s="863"/>
      <c r="P9" s="434"/>
      <c r="Q9" s="863"/>
      <c r="R9" s="863"/>
      <c r="S9" s="863"/>
      <c r="T9" s="863" t="s">
        <v>1031</v>
      </c>
      <c r="U9" s="863"/>
      <c r="V9" s="865">
        <v>45462</v>
      </c>
      <c r="W9" s="863"/>
      <c r="X9" s="863"/>
      <c r="Y9" s="863"/>
      <c r="Z9" s="863"/>
      <c r="AA9" s="863"/>
      <c r="AB9" s="863"/>
    </row>
  </sheetData>
  <autoFilter ref="A6:AC6" xr:uid="{00000000-0009-0000-0000-00000E000000}"/>
  <mergeCells count="26">
    <mergeCell ref="AA5:AA6"/>
    <mergeCell ref="Y5:Y6"/>
    <mergeCell ref="M5:M6"/>
    <mergeCell ref="N5:N6"/>
    <mergeCell ref="L5:L6"/>
    <mergeCell ref="O5:O6"/>
    <mergeCell ref="V5:V6"/>
    <mergeCell ref="W5:W6"/>
    <mergeCell ref="Q5:Q6"/>
    <mergeCell ref="R5:R6"/>
    <mergeCell ref="A5:A6"/>
    <mergeCell ref="B5:B6"/>
    <mergeCell ref="C5:C6"/>
    <mergeCell ref="AB5:AB6"/>
    <mergeCell ref="D5:D6"/>
    <mergeCell ref="E5:E6"/>
    <mergeCell ref="F5:F6"/>
    <mergeCell ref="G5:G6"/>
    <mergeCell ref="H5:H6"/>
    <mergeCell ref="Z5:Z6"/>
    <mergeCell ref="S5:S6"/>
    <mergeCell ref="J5:J6"/>
    <mergeCell ref="K5:K6"/>
    <mergeCell ref="X5:X6"/>
    <mergeCell ref="T5:T6"/>
    <mergeCell ref="U5:U6"/>
  </mergeCells>
  <dataValidations count="5">
    <dataValidation type="textLength" errorStyle="warning" allowBlank="1" showInputMessage="1" showErrorMessage="1" errorTitle="Validación de datos" error="Debe ingresar los 10 o 37 o 49 caracteres correspondientes en cada celda ó dejarla vacia de ser el caso." sqref="H1 W1:Z1 W7:Z1048576 H7:H1048576" xr:uid="{00000000-0002-0000-0E00-000000000000}">
      <formula1>10</formula1>
      <formula2>49</formula2>
    </dataValidation>
    <dataValidation type="textLength" errorStyle="warning" operator="equal" allowBlank="1" showInputMessage="1" showErrorMessage="1" errorTitle="Validación de datos" error="Debe ingresar los 3 caracteres correspondientes en cada celda ó dejarla vacia de ser el caso." sqref="E5:F5 E7:F1048576" xr:uid="{00000000-0002-0000-0E00-000001000000}">
      <formula1>3</formula1>
    </dataValidation>
    <dataValidation type="textLength" errorStyle="warning" operator="equal" allowBlank="1" showInputMessage="1" showErrorMessage="1" errorTitle="Validación de datos" error="Debe ingresar los 10 caracteres correspondientes en cada celda ó dejarla vacia de ser el caso." sqref="H5 W5:Z5" xr:uid="{00000000-0002-0000-0E00-000002000000}">
      <formula1>10</formula1>
    </dataValidation>
    <dataValidation type="list" allowBlank="1" showInputMessage="1" showErrorMessage="1" sqref="T7:T1048576 D7:D1048576" xr:uid="{00000000-0002-0000-0E00-000003000000}">
      <formula1>ComprobantesCOM</formula1>
    </dataValidation>
    <dataValidation type="list" allowBlank="1" showInputMessage="1" showErrorMessage="1" sqref="C7:C1048576" xr:uid="{00000000-0002-0000-0E00-000004000000}">
      <formula1>"E-EMITIDO,R-RECIBIDO"</formula1>
    </dataValidation>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20">
    <pageSetUpPr fitToPage="1"/>
  </sheetPr>
  <dimension ref="A1:K313"/>
  <sheetViews>
    <sheetView showGridLines="0" showRowColHeaders="0" topLeftCell="C292" zoomScale="80" zoomScaleNormal="80" workbookViewId="0">
      <selection activeCell="C1" sqref="C1"/>
    </sheetView>
  </sheetViews>
  <sheetFormatPr baseColWidth="10" defaultColWidth="10.90625" defaultRowHeight="14.5" x14ac:dyDescent="0.35"/>
  <cols>
    <col min="1" max="1" width="10.453125" style="1" hidden="1" customWidth="1"/>
    <col min="2" max="2" width="12.08984375" style="2" hidden="1" customWidth="1"/>
    <col min="3" max="3" width="10.90625" style="384"/>
    <col min="4" max="4" width="5.54296875" style="385" hidden="1" customWidth="1"/>
    <col min="5" max="5" width="54.90625" style="1" customWidth="1"/>
    <col min="6" max="6" width="10.36328125" style="1" customWidth="1"/>
    <col min="7" max="9" width="11.453125" style="1" customWidth="1"/>
    <col min="10" max="10" width="12.36328125" style="1" customWidth="1"/>
    <col min="11" max="11" width="11.453125" style="1" customWidth="1"/>
    <col min="12" max="16384" width="10.90625" style="1"/>
  </cols>
  <sheetData>
    <row r="1" spans="1:11" x14ac:dyDescent="0.35">
      <c r="C1" s="393" t="s">
        <v>1405</v>
      </c>
      <c r="D1" s="394"/>
      <c r="E1" s="395"/>
      <c r="F1" s="395"/>
      <c r="G1" s="395"/>
      <c r="H1" s="395"/>
      <c r="I1" s="395"/>
      <c r="J1" s="395"/>
      <c r="K1" s="395"/>
    </row>
    <row r="2" spans="1:11" x14ac:dyDescent="0.35">
      <c r="C2" s="393" t="s">
        <v>1406</v>
      </c>
      <c r="D2" s="394"/>
      <c r="E2" s="395"/>
      <c r="F2" s="395"/>
      <c r="G2" s="395"/>
      <c r="H2" s="395"/>
      <c r="I2" s="395"/>
      <c r="J2" s="395"/>
      <c r="K2" s="395"/>
    </row>
    <row r="3" spans="1:11" x14ac:dyDescent="0.35">
      <c r="C3" s="393" t="s">
        <v>1407</v>
      </c>
      <c r="D3" s="394"/>
      <c r="E3" s="395"/>
      <c r="F3" s="395"/>
      <c r="G3" s="395"/>
      <c r="H3" s="395"/>
      <c r="I3" s="395"/>
      <c r="J3" s="395"/>
      <c r="K3" s="395"/>
    </row>
    <row r="4" spans="1:11" x14ac:dyDescent="0.35">
      <c r="C4" s="395" t="s">
        <v>1483</v>
      </c>
      <c r="D4" s="394"/>
      <c r="E4" s="395"/>
      <c r="F4" s="395"/>
      <c r="G4" s="395"/>
      <c r="H4" s="395"/>
      <c r="I4" s="395"/>
      <c r="J4" s="395"/>
      <c r="K4" s="395"/>
    </row>
    <row r="5" spans="1:11" x14ac:dyDescent="0.35">
      <c r="C5" s="395" t="s">
        <v>2301</v>
      </c>
      <c r="D5" s="394"/>
      <c r="E5" s="395"/>
      <c r="F5" s="395"/>
      <c r="G5" s="395"/>
      <c r="H5" s="395"/>
      <c r="I5" s="395"/>
      <c r="J5" s="395"/>
      <c r="K5" s="395"/>
    </row>
    <row r="6" spans="1:11" x14ac:dyDescent="0.35">
      <c r="C6" s="395" t="s">
        <v>2289</v>
      </c>
      <c r="D6" s="395"/>
      <c r="E6" s="395"/>
      <c r="F6" s="395"/>
      <c r="G6" s="395"/>
      <c r="H6" s="395"/>
      <c r="I6" s="395"/>
      <c r="J6" s="395"/>
      <c r="K6" s="395"/>
    </row>
    <row r="7" spans="1:11" x14ac:dyDescent="0.35">
      <c r="C7" s="395" t="s">
        <v>2290</v>
      </c>
      <c r="D7" s="394"/>
      <c r="E7" s="395"/>
      <c r="F7" s="395"/>
      <c r="G7" s="395"/>
      <c r="H7" s="395"/>
      <c r="I7" s="395"/>
      <c r="J7" s="395"/>
      <c r="K7" s="395"/>
    </row>
    <row r="8" spans="1:11" x14ac:dyDescent="0.35">
      <c r="C8" s="395"/>
      <c r="D8" s="394"/>
      <c r="E8" s="395"/>
      <c r="F8" s="395"/>
      <c r="G8" s="395"/>
      <c r="H8" s="395"/>
      <c r="I8" s="395"/>
      <c r="J8" s="395"/>
      <c r="K8" s="395"/>
    </row>
    <row r="9" spans="1:11" x14ac:dyDescent="0.35">
      <c r="C9" s="395"/>
      <c r="D9" s="394"/>
      <c r="E9" s="395"/>
      <c r="F9" s="395"/>
      <c r="G9" s="395"/>
      <c r="H9" s="395"/>
      <c r="I9" s="395"/>
      <c r="J9" s="395"/>
      <c r="K9" s="395"/>
    </row>
    <row r="10" spans="1:11" x14ac:dyDescent="0.35">
      <c r="C10" s="384" t="s">
        <v>2288</v>
      </c>
      <c r="E10" s="382"/>
    </row>
    <row r="11" spans="1:11" x14ac:dyDescent="0.35">
      <c r="E11" s="382"/>
    </row>
    <row r="12" spans="1:11" x14ac:dyDescent="0.35">
      <c r="B12" s="2" t="str">
        <f>IF(SUM(F$14:K$42)&gt;0,"SI","NO")</f>
        <v>SI</v>
      </c>
      <c r="C12" s="386" t="s">
        <v>1281</v>
      </c>
      <c r="D12" s="387"/>
      <c r="E12" s="388"/>
      <c r="F12" s="388"/>
      <c r="G12" s="388"/>
      <c r="H12" s="388"/>
      <c r="I12" s="388"/>
      <c r="J12" s="388"/>
      <c r="K12" s="389"/>
    </row>
    <row r="13" spans="1:11" s="402" customFormat="1" ht="44.15" customHeight="1" x14ac:dyDescent="0.35">
      <c r="B13" s="2" t="str">
        <f>IF(SUM(F$14:K$42)&gt;0,"SI","NO")</f>
        <v>SI</v>
      </c>
      <c r="C13" s="400" t="s">
        <v>1296</v>
      </c>
      <c r="D13" s="400"/>
      <c r="E13" s="401" t="s">
        <v>1282</v>
      </c>
      <c r="F13" s="401" t="s">
        <v>1297</v>
      </c>
      <c r="G13" s="401" t="s">
        <v>1409</v>
      </c>
      <c r="H13" s="401" t="s">
        <v>1410</v>
      </c>
      <c r="I13" s="401" t="s">
        <v>1411</v>
      </c>
      <c r="J13" s="401" t="s">
        <v>1415</v>
      </c>
      <c r="K13" s="401" t="s">
        <v>1298</v>
      </c>
    </row>
    <row r="14" spans="1:11" x14ac:dyDescent="0.35">
      <c r="A14" s="1" t="s">
        <v>1281</v>
      </c>
      <c r="B14" s="2" t="str">
        <f>IF(SUM(F14:K14)&gt;0,"SI","NO")</f>
        <v>SI</v>
      </c>
      <c r="C14" s="390" t="s">
        <v>607</v>
      </c>
      <c r="D14" s="417" t="s">
        <v>769</v>
      </c>
      <c r="E14" s="391" t="s">
        <v>1286</v>
      </c>
      <c r="F14" s="422">
        <v>48</v>
      </c>
      <c r="G14" s="420">
        <v>0</v>
      </c>
      <c r="H14" s="420">
        <v>0</v>
      </c>
      <c r="I14" s="420">
        <v>0</v>
      </c>
      <c r="J14" s="420">
        <v>0</v>
      </c>
      <c r="K14" s="420">
        <v>0</v>
      </c>
    </row>
    <row r="15" spans="1:11" x14ac:dyDescent="0.35">
      <c r="A15" s="1" t="s">
        <v>1281</v>
      </c>
      <c r="B15" s="2" t="str">
        <f t="shared" ref="B15:B42" si="0">IF(SUM(F15:K15)&gt;0,"SI","NO")</f>
        <v>NO</v>
      </c>
      <c r="C15" s="390" t="s">
        <v>608</v>
      </c>
      <c r="D15" s="417" t="s">
        <v>769</v>
      </c>
      <c r="E15" s="391" t="s">
        <v>1299</v>
      </c>
      <c r="F15" s="422"/>
      <c r="G15" s="420"/>
      <c r="H15" s="420"/>
      <c r="I15" s="420"/>
      <c r="J15" s="420"/>
      <c r="K15" s="420"/>
    </row>
    <row r="16" spans="1:11" x14ac:dyDescent="0.35">
      <c r="A16" s="1" t="s">
        <v>1281</v>
      </c>
      <c r="B16" s="2" t="str">
        <f t="shared" si="0"/>
        <v>SI</v>
      </c>
      <c r="C16" s="390" t="s">
        <v>609</v>
      </c>
      <c r="D16" s="417" t="s">
        <v>769</v>
      </c>
      <c r="E16" s="391" t="s">
        <v>1300</v>
      </c>
      <c r="F16" s="422">
        <v>6</v>
      </c>
      <c r="G16" s="420">
        <v>0</v>
      </c>
      <c r="H16" s="420">
        <v>0</v>
      </c>
      <c r="I16" s="420">
        <v>0</v>
      </c>
      <c r="J16" s="420">
        <v>0</v>
      </c>
      <c r="K16" s="420">
        <v>0</v>
      </c>
    </row>
    <row r="17" spans="1:11" x14ac:dyDescent="0.35">
      <c r="A17" s="1" t="s">
        <v>1281</v>
      </c>
      <c r="B17" s="2" t="str">
        <f t="shared" si="0"/>
        <v>NO</v>
      </c>
      <c r="C17" s="390" t="s">
        <v>610</v>
      </c>
      <c r="D17" s="417" t="s">
        <v>1404</v>
      </c>
      <c r="E17" s="391" t="s">
        <v>1301</v>
      </c>
      <c r="F17" s="422"/>
      <c r="G17" s="420"/>
      <c r="H17" s="420"/>
      <c r="I17" s="420"/>
      <c r="J17" s="420"/>
      <c r="K17" s="420"/>
    </row>
    <row r="18" spans="1:11" x14ac:dyDescent="0.35">
      <c r="A18" s="1" t="s">
        <v>1281</v>
      </c>
      <c r="B18" s="2" t="str">
        <f t="shared" si="0"/>
        <v>NO</v>
      </c>
      <c r="C18" s="390" t="s">
        <v>611</v>
      </c>
      <c r="D18" s="417" t="s">
        <v>769</v>
      </c>
      <c r="E18" s="391" t="s">
        <v>1302</v>
      </c>
      <c r="F18" s="422"/>
      <c r="G18" s="420"/>
      <c r="H18" s="420"/>
      <c r="I18" s="420"/>
      <c r="J18" s="420"/>
      <c r="K18" s="420"/>
    </row>
    <row r="19" spans="1:11" x14ac:dyDescent="0.35">
      <c r="A19" s="1" t="s">
        <v>1281</v>
      </c>
      <c r="B19" s="2" t="str">
        <f t="shared" si="0"/>
        <v>NO</v>
      </c>
      <c r="C19" s="390" t="s">
        <v>615</v>
      </c>
      <c r="D19" s="417" t="s">
        <v>769</v>
      </c>
      <c r="E19" s="391" t="s">
        <v>1303</v>
      </c>
      <c r="F19" s="422"/>
      <c r="G19" s="420"/>
      <c r="H19" s="420"/>
      <c r="I19" s="420"/>
      <c r="J19" s="420"/>
      <c r="K19" s="420"/>
    </row>
    <row r="20" spans="1:11" x14ac:dyDescent="0.35">
      <c r="A20" s="1" t="s">
        <v>1281</v>
      </c>
      <c r="B20" s="2" t="str">
        <f t="shared" si="0"/>
        <v>NO</v>
      </c>
      <c r="C20" s="390" t="s">
        <v>616</v>
      </c>
      <c r="D20" s="417" t="s">
        <v>769</v>
      </c>
      <c r="E20" s="391" t="s">
        <v>1304</v>
      </c>
      <c r="F20" s="422"/>
      <c r="G20" s="420"/>
      <c r="H20" s="420"/>
      <c r="I20" s="420"/>
      <c r="J20" s="420"/>
      <c r="K20" s="420"/>
    </row>
    <row r="21" spans="1:11" x14ac:dyDescent="0.35">
      <c r="A21" s="1" t="s">
        <v>1281</v>
      </c>
      <c r="B21" s="2" t="str">
        <f t="shared" si="0"/>
        <v>NO</v>
      </c>
      <c r="C21" s="390" t="s">
        <v>617</v>
      </c>
      <c r="D21" s="417" t="s">
        <v>769</v>
      </c>
      <c r="E21" s="391" t="s">
        <v>1305</v>
      </c>
      <c r="F21" s="422"/>
      <c r="G21" s="420"/>
      <c r="H21" s="420"/>
      <c r="I21" s="420"/>
      <c r="J21" s="420"/>
      <c r="K21" s="420"/>
    </row>
    <row r="22" spans="1:11" x14ac:dyDescent="0.35">
      <c r="A22" s="1" t="s">
        <v>1281</v>
      </c>
      <c r="B22" s="2" t="str">
        <f t="shared" si="0"/>
        <v>NO</v>
      </c>
      <c r="C22" s="390" t="s">
        <v>618</v>
      </c>
      <c r="D22" s="417" t="s">
        <v>769</v>
      </c>
      <c r="E22" s="391" t="s">
        <v>1306</v>
      </c>
      <c r="F22" s="422"/>
      <c r="G22" s="420"/>
      <c r="H22" s="420"/>
      <c r="I22" s="420"/>
      <c r="J22" s="420"/>
      <c r="K22" s="420"/>
    </row>
    <row r="23" spans="1:11" x14ac:dyDescent="0.35">
      <c r="A23" s="1" t="s">
        <v>1281</v>
      </c>
      <c r="B23" s="2" t="str">
        <f t="shared" si="0"/>
        <v>NO</v>
      </c>
      <c r="C23" s="390" t="s">
        <v>1307</v>
      </c>
      <c r="D23" s="417" t="s">
        <v>769</v>
      </c>
      <c r="E23" s="391" t="s">
        <v>1308</v>
      </c>
      <c r="F23" s="422"/>
      <c r="G23" s="420"/>
      <c r="H23" s="420"/>
      <c r="I23" s="420"/>
      <c r="J23" s="420"/>
      <c r="K23" s="420"/>
    </row>
    <row r="24" spans="1:11" x14ac:dyDescent="0.35">
      <c r="A24" s="1" t="s">
        <v>1281</v>
      </c>
      <c r="B24" s="2" t="str">
        <f t="shared" si="0"/>
        <v>NO</v>
      </c>
      <c r="C24" s="390" t="s">
        <v>1309</v>
      </c>
      <c r="D24" s="417" t="s">
        <v>769</v>
      </c>
      <c r="E24" s="391" t="s">
        <v>1310</v>
      </c>
      <c r="F24" s="422"/>
      <c r="G24" s="420"/>
      <c r="H24" s="420"/>
      <c r="I24" s="420"/>
      <c r="J24" s="420"/>
      <c r="K24" s="420"/>
    </row>
    <row r="25" spans="1:11" x14ac:dyDescent="0.35">
      <c r="A25" s="1" t="s">
        <v>1281</v>
      </c>
      <c r="B25" s="2" t="str">
        <f t="shared" si="0"/>
        <v>NO</v>
      </c>
      <c r="C25" s="390" t="s">
        <v>619</v>
      </c>
      <c r="D25" s="417" t="s">
        <v>769</v>
      </c>
      <c r="E25" s="391" t="s">
        <v>1311</v>
      </c>
      <c r="F25" s="422"/>
      <c r="G25" s="420"/>
      <c r="H25" s="420"/>
      <c r="I25" s="420"/>
      <c r="J25" s="420"/>
      <c r="K25" s="420"/>
    </row>
    <row r="26" spans="1:11" ht="14.4" customHeight="1" x14ac:dyDescent="0.35">
      <c r="A26" s="1" t="s">
        <v>1281</v>
      </c>
      <c r="B26" s="2" t="str">
        <f t="shared" si="0"/>
        <v>NO</v>
      </c>
      <c r="C26" s="390" t="s">
        <v>612</v>
      </c>
      <c r="D26" s="417" t="s">
        <v>769</v>
      </c>
      <c r="E26" s="391" t="s">
        <v>1312</v>
      </c>
      <c r="F26" s="422"/>
      <c r="G26" s="420"/>
      <c r="H26" s="420"/>
      <c r="I26" s="420"/>
      <c r="J26" s="420"/>
      <c r="K26" s="420"/>
    </row>
    <row r="27" spans="1:11" ht="14.4" customHeight="1" x14ac:dyDescent="0.35">
      <c r="A27" s="1" t="s">
        <v>1281</v>
      </c>
      <c r="B27" s="2" t="str">
        <f t="shared" si="0"/>
        <v>NO</v>
      </c>
      <c r="C27" s="390" t="s">
        <v>613</v>
      </c>
      <c r="D27" s="417" t="s">
        <v>769</v>
      </c>
      <c r="E27" s="391" t="s">
        <v>1313</v>
      </c>
      <c r="F27" s="422"/>
      <c r="G27" s="420"/>
      <c r="H27" s="420"/>
      <c r="I27" s="420"/>
      <c r="J27" s="420"/>
      <c r="K27" s="420"/>
    </row>
    <row r="28" spans="1:11" ht="14.4" customHeight="1" x14ac:dyDescent="0.35">
      <c r="A28" s="1" t="s">
        <v>1281</v>
      </c>
      <c r="B28" s="2" t="str">
        <f t="shared" si="0"/>
        <v>NO</v>
      </c>
      <c r="C28" s="390" t="s">
        <v>614</v>
      </c>
      <c r="D28" s="417" t="s">
        <v>769</v>
      </c>
      <c r="E28" s="391" t="s">
        <v>1314</v>
      </c>
      <c r="F28" s="422"/>
      <c r="G28" s="420"/>
      <c r="H28" s="420"/>
      <c r="I28" s="420"/>
      <c r="J28" s="420"/>
      <c r="K28" s="420"/>
    </row>
    <row r="29" spans="1:11" ht="14.4" customHeight="1" x14ac:dyDescent="0.35">
      <c r="A29" s="1" t="s">
        <v>1281</v>
      </c>
      <c r="B29" s="2" t="str">
        <f t="shared" si="0"/>
        <v>SI</v>
      </c>
      <c r="C29" s="390" t="s">
        <v>625</v>
      </c>
      <c r="D29" s="417" t="s">
        <v>769</v>
      </c>
      <c r="E29" s="391" t="s">
        <v>1287</v>
      </c>
      <c r="F29" s="422">
        <v>2</v>
      </c>
      <c r="G29" s="420">
        <v>0</v>
      </c>
      <c r="H29" s="420">
        <v>0</v>
      </c>
      <c r="I29" s="420">
        <v>0</v>
      </c>
      <c r="J29" s="420">
        <v>0</v>
      </c>
      <c r="K29" s="420">
        <v>0</v>
      </c>
    </row>
    <row r="30" spans="1:11" ht="14.4" customHeight="1" x14ac:dyDescent="0.35">
      <c r="A30" s="1" t="s">
        <v>1281</v>
      </c>
      <c r="B30" s="2" t="str">
        <f t="shared" si="0"/>
        <v>NO</v>
      </c>
      <c r="C30" s="390" t="s">
        <v>626</v>
      </c>
      <c r="D30" s="417" t="s">
        <v>769</v>
      </c>
      <c r="E30" s="391" t="s">
        <v>1315</v>
      </c>
      <c r="F30" s="422"/>
      <c r="G30" s="420"/>
      <c r="H30" s="420"/>
      <c r="I30" s="420"/>
      <c r="J30" s="420"/>
      <c r="K30" s="420"/>
    </row>
    <row r="31" spans="1:11" ht="14.4" customHeight="1" x14ac:dyDescent="0.35">
      <c r="A31" s="1" t="s">
        <v>1281</v>
      </c>
      <c r="B31" s="2" t="str">
        <f t="shared" si="0"/>
        <v>NO</v>
      </c>
      <c r="C31" s="390" t="s">
        <v>627</v>
      </c>
      <c r="D31" s="417" t="s">
        <v>769</v>
      </c>
      <c r="E31" s="391" t="s">
        <v>1316</v>
      </c>
      <c r="F31" s="422"/>
      <c r="G31" s="420"/>
      <c r="H31" s="420"/>
      <c r="I31" s="420"/>
      <c r="J31" s="420"/>
      <c r="K31" s="420"/>
    </row>
    <row r="32" spans="1:11" ht="14.4" customHeight="1" x14ac:dyDescent="0.35">
      <c r="A32" s="1" t="s">
        <v>1281</v>
      </c>
      <c r="B32" s="2" t="str">
        <f t="shared" si="0"/>
        <v>NO</v>
      </c>
      <c r="C32" s="390" t="s">
        <v>629</v>
      </c>
      <c r="D32" s="417" t="s">
        <v>769</v>
      </c>
      <c r="E32" s="391" t="s">
        <v>1317</v>
      </c>
      <c r="F32" s="422"/>
      <c r="G32" s="420"/>
      <c r="H32" s="420"/>
      <c r="I32" s="420"/>
      <c r="J32" s="420"/>
      <c r="K32" s="420"/>
    </row>
    <row r="33" spans="1:11" ht="14.4" customHeight="1" x14ac:dyDescent="0.35">
      <c r="A33" s="1" t="s">
        <v>1281</v>
      </c>
      <c r="B33" s="2" t="str">
        <f t="shared" si="0"/>
        <v>NO</v>
      </c>
      <c r="C33" s="390" t="s">
        <v>630</v>
      </c>
      <c r="D33" s="417" t="s">
        <v>1404</v>
      </c>
      <c r="E33" s="391" t="s">
        <v>1318</v>
      </c>
      <c r="F33" s="422"/>
      <c r="G33" s="420"/>
      <c r="H33" s="420"/>
      <c r="I33" s="420"/>
      <c r="J33" s="420"/>
      <c r="K33" s="420"/>
    </row>
    <row r="34" spans="1:11" ht="14.4" customHeight="1" x14ac:dyDescent="0.35">
      <c r="A34" s="1" t="s">
        <v>1281</v>
      </c>
      <c r="B34" s="2" t="str">
        <f t="shared" si="0"/>
        <v>NO</v>
      </c>
      <c r="C34" s="390" t="s">
        <v>631</v>
      </c>
      <c r="D34" s="417" t="s">
        <v>769</v>
      </c>
      <c r="E34" s="391" t="s">
        <v>1319</v>
      </c>
      <c r="F34" s="422"/>
      <c r="G34" s="420"/>
      <c r="H34" s="420"/>
      <c r="I34" s="420"/>
      <c r="J34" s="420"/>
      <c r="K34" s="420"/>
    </row>
    <row r="35" spans="1:11" ht="14.4" customHeight="1" x14ac:dyDescent="0.35">
      <c r="A35" s="1" t="s">
        <v>1281</v>
      </c>
      <c r="B35" s="2" t="str">
        <f t="shared" si="0"/>
        <v>NO</v>
      </c>
      <c r="C35" s="390" t="s">
        <v>1395</v>
      </c>
      <c r="D35" s="417" t="s">
        <v>769</v>
      </c>
      <c r="E35" s="391" t="s">
        <v>1320</v>
      </c>
      <c r="F35" s="422"/>
      <c r="G35" s="420"/>
      <c r="H35" s="420"/>
      <c r="I35" s="420"/>
      <c r="J35" s="420"/>
      <c r="K35" s="420"/>
    </row>
    <row r="36" spans="1:11" ht="14.4" customHeight="1" x14ac:dyDescent="0.35">
      <c r="A36" s="1" t="s">
        <v>1281</v>
      </c>
      <c r="B36" s="2" t="str">
        <f t="shared" si="0"/>
        <v>NO</v>
      </c>
      <c r="C36" s="390" t="s">
        <v>1396</v>
      </c>
      <c r="D36" s="417" t="s">
        <v>769</v>
      </c>
      <c r="E36" s="391" t="s">
        <v>1321</v>
      </c>
      <c r="F36" s="422"/>
      <c r="G36" s="420"/>
      <c r="H36" s="420"/>
      <c r="I36" s="420"/>
      <c r="J36" s="420"/>
      <c r="K36" s="420"/>
    </row>
    <row r="37" spans="1:11" x14ac:dyDescent="0.35">
      <c r="A37" s="1" t="s">
        <v>1281</v>
      </c>
      <c r="B37" s="2" t="str">
        <f t="shared" si="0"/>
        <v>NO</v>
      </c>
      <c r="C37" s="390" t="s">
        <v>1397</v>
      </c>
      <c r="D37" s="417" t="s">
        <v>769</v>
      </c>
      <c r="E37" s="391" t="s">
        <v>1322</v>
      </c>
      <c r="F37" s="422"/>
      <c r="G37" s="420"/>
      <c r="H37" s="420"/>
      <c r="I37" s="420"/>
      <c r="J37" s="420"/>
      <c r="K37" s="420"/>
    </row>
    <row r="38" spans="1:11" x14ac:dyDescent="0.35">
      <c r="A38" s="1" t="s">
        <v>1281</v>
      </c>
      <c r="B38" s="2" t="str">
        <f t="shared" si="0"/>
        <v>NO</v>
      </c>
      <c r="C38" s="390" t="s">
        <v>1337</v>
      </c>
      <c r="D38" s="417" t="s">
        <v>769</v>
      </c>
      <c r="E38" s="391" t="s">
        <v>1323</v>
      </c>
      <c r="F38" s="422"/>
      <c r="G38" s="420"/>
      <c r="H38" s="420"/>
      <c r="I38" s="420"/>
      <c r="J38" s="420"/>
      <c r="K38" s="420"/>
    </row>
    <row r="39" spans="1:11" x14ac:dyDescent="0.35">
      <c r="A39" s="1" t="s">
        <v>1281</v>
      </c>
      <c r="B39" s="2" t="str">
        <f t="shared" si="0"/>
        <v>NO</v>
      </c>
      <c r="C39" s="390" t="s">
        <v>1338</v>
      </c>
      <c r="D39" s="417" t="s">
        <v>1404</v>
      </c>
      <c r="E39" s="391" t="s">
        <v>1324</v>
      </c>
      <c r="F39" s="422"/>
      <c r="G39" s="420"/>
      <c r="H39" s="420"/>
      <c r="I39" s="420"/>
      <c r="J39" s="420"/>
      <c r="K39" s="420"/>
    </row>
    <row r="40" spans="1:11" x14ac:dyDescent="0.35">
      <c r="A40" s="1" t="s">
        <v>1281</v>
      </c>
      <c r="B40" s="2" t="str">
        <f t="shared" si="0"/>
        <v>NO</v>
      </c>
      <c r="C40" s="390" t="s">
        <v>1339</v>
      </c>
      <c r="D40" s="417" t="s">
        <v>769</v>
      </c>
      <c r="E40" s="391" t="s">
        <v>1325</v>
      </c>
      <c r="F40" s="422"/>
      <c r="G40" s="420"/>
      <c r="H40" s="420"/>
      <c r="I40" s="420"/>
      <c r="J40" s="420"/>
      <c r="K40" s="420"/>
    </row>
    <row r="41" spans="1:11" x14ac:dyDescent="0.35">
      <c r="A41" s="1" t="s">
        <v>1281</v>
      </c>
      <c r="B41" s="2" t="str">
        <f t="shared" si="0"/>
        <v>NO</v>
      </c>
      <c r="C41" s="390" t="s">
        <v>1398</v>
      </c>
      <c r="D41" s="417" t="s">
        <v>769</v>
      </c>
      <c r="E41" s="391" t="s">
        <v>1325</v>
      </c>
      <c r="F41" s="422"/>
      <c r="G41" s="420"/>
      <c r="H41" s="420"/>
      <c r="I41" s="420"/>
      <c r="J41" s="420"/>
      <c r="K41" s="420"/>
    </row>
    <row r="42" spans="1:11" x14ac:dyDescent="0.35">
      <c r="A42" s="1" t="s">
        <v>1281</v>
      </c>
      <c r="B42" s="2" t="str">
        <f t="shared" si="0"/>
        <v>NO</v>
      </c>
      <c r="C42" s="390" t="s">
        <v>1399</v>
      </c>
      <c r="D42" s="417" t="s">
        <v>769</v>
      </c>
      <c r="E42" s="391" t="s">
        <v>1326</v>
      </c>
      <c r="F42" s="422"/>
      <c r="G42" s="420"/>
      <c r="H42" s="420"/>
      <c r="I42" s="420"/>
      <c r="J42" s="420"/>
      <c r="K42" s="420"/>
    </row>
    <row r="43" spans="1:11" s="392" customFormat="1" x14ac:dyDescent="0.35">
      <c r="B43" s="2" t="str">
        <f>IF(SUM(F$14:K$42)&gt;0,"SI","NO")</f>
        <v>SI</v>
      </c>
      <c r="C43" s="396"/>
      <c r="D43" s="397"/>
      <c r="E43" s="398"/>
      <c r="F43" s="399" t="s">
        <v>1408</v>
      </c>
      <c r="G43" s="421">
        <f>SUMIF($D14:$D42,"+",G14:G42)-SUMIF($D14:$D42,"-",G14:G42)</f>
        <v>0</v>
      </c>
      <c r="H43" s="421">
        <f>SUMIF($D14:$D42,"+",H14:H42)-SUMIF($D14:$D42,"-",H14:H42)</f>
        <v>0</v>
      </c>
      <c r="I43" s="421">
        <f>SUMIF($D14:$D42,"+",I14:I42)-SUMIF($D14:$D42,"-",I14:I42)</f>
        <v>0</v>
      </c>
      <c r="J43" s="421">
        <f>SUMIF($D14:$D42,"+",J14:J42)-SUMIF($D14:$D42,"-",J14:J42)</f>
        <v>0</v>
      </c>
      <c r="K43" s="421">
        <f>SUMIF($D14:$D42,"+",K14:K42)-SUMIF($D14:$D42,"-",K14:K42)</f>
        <v>0</v>
      </c>
    </row>
    <row r="44" spans="1:11" x14ac:dyDescent="0.35">
      <c r="B44" s="2" t="str">
        <f>IF(SUM(F$14:K$42)&gt;0,"SI","NO")</f>
        <v>SI</v>
      </c>
    </row>
    <row r="45" spans="1:11" x14ac:dyDescent="0.35">
      <c r="B45" s="2" t="str">
        <f>IF(SUM(F$47:K$63)&gt;0,"SI","NO")</f>
        <v>SI</v>
      </c>
      <c r="C45" s="386" t="s">
        <v>1284</v>
      </c>
      <c r="D45" s="387"/>
      <c r="E45" s="388"/>
      <c r="F45" s="388"/>
      <c r="G45" s="388"/>
      <c r="H45" s="388"/>
      <c r="I45" s="388"/>
      <c r="J45" s="388"/>
      <c r="K45" s="389"/>
    </row>
    <row r="46" spans="1:11" s="402" customFormat="1" ht="44.15" customHeight="1" x14ac:dyDescent="0.35">
      <c r="B46" s="2" t="str">
        <f>IF(SUM(F$47:K$63)&gt;0,"SI","NO")</f>
        <v>SI</v>
      </c>
      <c r="C46" s="400" t="s">
        <v>1296</v>
      </c>
      <c r="D46" s="400"/>
      <c r="E46" s="401" t="s">
        <v>1282</v>
      </c>
      <c r="F46" s="401" t="s">
        <v>1297</v>
      </c>
      <c r="G46" s="401" t="s">
        <v>1409</v>
      </c>
      <c r="H46" s="401" t="s">
        <v>1410</v>
      </c>
      <c r="I46" s="401" t="s">
        <v>1411</v>
      </c>
      <c r="J46" s="401" t="s">
        <v>1415</v>
      </c>
      <c r="K46" s="401" t="s">
        <v>1298</v>
      </c>
    </row>
    <row r="47" spans="1:11" ht="14.4" customHeight="1" x14ac:dyDescent="0.35">
      <c r="A47" s="1" t="s">
        <v>1284</v>
      </c>
      <c r="B47" s="2" t="str">
        <f t="shared" ref="B47:B62" si="1">IF(SUM(F47:K47)&gt;0,"SI","NO")</f>
        <v>SI</v>
      </c>
      <c r="C47" s="390" t="s">
        <v>610</v>
      </c>
      <c r="D47" s="417" t="s">
        <v>1404</v>
      </c>
      <c r="E47" s="391" t="s">
        <v>1327</v>
      </c>
      <c r="F47" s="422">
        <v>1</v>
      </c>
      <c r="G47" s="420">
        <v>0</v>
      </c>
      <c r="H47" s="420">
        <v>0</v>
      </c>
      <c r="I47" s="420">
        <v>0</v>
      </c>
      <c r="J47" s="420">
        <v>0</v>
      </c>
      <c r="K47" s="420">
        <v>0</v>
      </c>
    </row>
    <row r="48" spans="1:11" ht="14.4" customHeight="1" x14ac:dyDescent="0.35">
      <c r="A48" s="1" t="s">
        <v>1284</v>
      </c>
      <c r="B48" s="2" t="str">
        <f t="shared" si="1"/>
        <v>NO</v>
      </c>
      <c r="C48" s="390" t="s">
        <v>611</v>
      </c>
      <c r="D48" s="390" t="s">
        <v>769</v>
      </c>
      <c r="E48" s="391" t="s">
        <v>1328</v>
      </c>
      <c r="F48" s="422"/>
      <c r="G48" s="420"/>
      <c r="H48" s="420"/>
      <c r="I48" s="420"/>
      <c r="J48" s="420"/>
      <c r="K48" s="420"/>
    </row>
    <row r="49" spans="1:11" ht="14.4" customHeight="1" x14ac:dyDescent="0.35">
      <c r="A49" s="1" t="s">
        <v>1284</v>
      </c>
      <c r="B49" s="2" t="str">
        <f t="shared" si="1"/>
        <v>SI</v>
      </c>
      <c r="C49" s="390" t="s">
        <v>621</v>
      </c>
      <c r="D49" s="390" t="s">
        <v>769</v>
      </c>
      <c r="E49" s="391" t="s">
        <v>1329</v>
      </c>
      <c r="F49" s="422">
        <v>6</v>
      </c>
      <c r="G49" s="420">
        <v>0</v>
      </c>
      <c r="H49" s="420">
        <v>0</v>
      </c>
      <c r="I49" s="420">
        <v>0</v>
      </c>
      <c r="J49" s="420">
        <v>0</v>
      </c>
      <c r="K49" s="420">
        <v>0</v>
      </c>
    </row>
    <row r="50" spans="1:11" ht="14.4" customHeight="1" x14ac:dyDescent="0.35">
      <c r="A50" s="1" t="s">
        <v>1284</v>
      </c>
      <c r="B50" s="2" t="str">
        <f t="shared" si="1"/>
        <v>NO</v>
      </c>
      <c r="C50" s="390" t="s">
        <v>628</v>
      </c>
      <c r="D50" s="390" t="s">
        <v>769</v>
      </c>
      <c r="E50" s="391" t="s">
        <v>1330</v>
      </c>
      <c r="F50" s="422"/>
      <c r="G50" s="420"/>
      <c r="H50" s="420"/>
      <c r="I50" s="420"/>
      <c r="J50" s="420"/>
      <c r="K50" s="420"/>
    </row>
    <row r="51" spans="1:11" ht="14.4" customHeight="1" x14ac:dyDescent="0.35">
      <c r="A51" s="1" t="s">
        <v>1284</v>
      </c>
      <c r="B51" s="2" t="str">
        <f t="shared" si="1"/>
        <v>NO</v>
      </c>
      <c r="C51" s="390" t="s">
        <v>632</v>
      </c>
      <c r="D51" s="390" t="s">
        <v>769</v>
      </c>
      <c r="E51" s="391" t="s">
        <v>1331</v>
      </c>
      <c r="F51" s="422"/>
      <c r="G51" s="420"/>
      <c r="H51" s="420"/>
      <c r="I51" s="420"/>
      <c r="J51" s="420"/>
      <c r="K51" s="420"/>
    </row>
    <row r="52" spans="1:11" ht="14.4" customHeight="1" x14ac:dyDescent="0.35">
      <c r="A52" s="1" t="s">
        <v>1284</v>
      </c>
      <c r="B52" s="2" t="str">
        <f t="shared" si="1"/>
        <v>NO</v>
      </c>
      <c r="C52" s="390" t="s">
        <v>633</v>
      </c>
      <c r="D52" s="390" t="s">
        <v>769</v>
      </c>
      <c r="E52" s="391" t="s">
        <v>1332</v>
      </c>
      <c r="F52" s="422"/>
      <c r="G52" s="420"/>
      <c r="H52" s="420"/>
      <c r="I52" s="420"/>
      <c r="J52" s="420"/>
      <c r="K52" s="420"/>
    </row>
    <row r="53" spans="1:11" ht="14.4" customHeight="1" x14ac:dyDescent="0.35">
      <c r="A53" s="1" t="s">
        <v>1284</v>
      </c>
      <c r="B53" s="2" t="str">
        <f t="shared" si="1"/>
        <v>NO</v>
      </c>
      <c r="C53" s="390" t="s">
        <v>634</v>
      </c>
      <c r="D53" s="417" t="s">
        <v>1404</v>
      </c>
      <c r="E53" s="391" t="s">
        <v>1333</v>
      </c>
      <c r="F53" s="422"/>
      <c r="G53" s="420"/>
      <c r="H53" s="420"/>
      <c r="I53" s="420"/>
      <c r="J53" s="420"/>
      <c r="K53" s="420"/>
    </row>
    <row r="54" spans="1:11" ht="14.4" customHeight="1" x14ac:dyDescent="0.35">
      <c r="A54" s="1" t="s">
        <v>1284</v>
      </c>
      <c r="B54" s="2" t="str">
        <f t="shared" si="1"/>
        <v>NO</v>
      </c>
      <c r="C54" s="390" t="s">
        <v>635</v>
      </c>
      <c r="D54" s="390" t="s">
        <v>769</v>
      </c>
      <c r="E54" s="391" t="s">
        <v>1334</v>
      </c>
      <c r="F54" s="422"/>
      <c r="G54" s="420"/>
      <c r="H54" s="420"/>
      <c r="I54" s="420"/>
      <c r="J54" s="420"/>
      <c r="K54" s="420"/>
    </row>
    <row r="55" spans="1:11" ht="14.4" customHeight="1" x14ac:dyDescent="0.35">
      <c r="A55" s="1" t="s">
        <v>1284</v>
      </c>
      <c r="B55" s="2" t="str">
        <f t="shared" si="1"/>
        <v>NO</v>
      </c>
      <c r="C55" s="390" t="s">
        <v>1335</v>
      </c>
      <c r="D55" s="390" t="s">
        <v>769</v>
      </c>
      <c r="E55" s="391" t="s">
        <v>1336</v>
      </c>
      <c r="F55" s="422"/>
      <c r="G55" s="420"/>
      <c r="H55" s="420"/>
      <c r="I55" s="420"/>
      <c r="J55" s="420"/>
      <c r="K55" s="420"/>
    </row>
    <row r="56" spans="1:11" ht="14.4" customHeight="1" x14ac:dyDescent="0.35">
      <c r="A56" s="1" t="s">
        <v>1284</v>
      </c>
      <c r="B56" s="2" t="str">
        <f t="shared" si="1"/>
        <v>NO</v>
      </c>
      <c r="C56" s="390" t="s">
        <v>1337</v>
      </c>
      <c r="D56" s="390" t="s">
        <v>769</v>
      </c>
      <c r="E56" s="391" t="s">
        <v>1323</v>
      </c>
      <c r="F56" s="422"/>
      <c r="G56" s="420"/>
      <c r="H56" s="420"/>
      <c r="I56" s="420"/>
      <c r="J56" s="420"/>
      <c r="K56" s="420"/>
    </row>
    <row r="57" spans="1:11" ht="14.4" customHeight="1" x14ac:dyDescent="0.35">
      <c r="A57" s="1" t="s">
        <v>1284</v>
      </c>
      <c r="B57" s="2" t="str">
        <f t="shared" si="1"/>
        <v>NO</v>
      </c>
      <c r="C57" s="390" t="s">
        <v>1338</v>
      </c>
      <c r="D57" s="417" t="s">
        <v>1404</v>
      </c>
      <c r="E57" s="391" t="s">
        <v>1324</v>
      </c>
      <c r="F57" s="422"/>
      <c r="G57" s="420"/>
      <c r="H57" s="420"/>
      <c r="I57" s="420"/>
      <c r="J57" s="420"/>
      <c r="K57" s="420"/>
    </row>
    <row r="58" spans="1:11" ht="14.4" customHeight="1" x14ac:dyDescent="0.35">
      <c r="A58" s="1" t="s">
        <v>1284</v>
      </c>
      <c r="B58" s="2" t="str">
        <f t="shared" si="1"/>
        <v>NO</v>
      </c>
      <c r="C58" s="390" t="s">
        <v>1339</v>
      </c>
      <c r="D58" s="390" t="s">
        <v>769</v>
      </c>
      <c r="E58" s="391" t="s">
        <v>1325</v>
      </c>
      <c r="F58" s="422"/>
      <c r="G58" s="420"/>
      <c r="H58" s="420"/>
      <c r="I58" s="420"/>
      <c r="J58" s="420"/>
      <c r="K58" s="420"/>
    </row>
    <row r="59" spans="1:11" s="392" customFormat="1" ht="14.4" customHeight="1" x14ac:dyDescent="0.35">
      <c r="B59" s="2" t="str">
        <f>IF(SUM(F$47:K$58)&gt;0,"SI","NO")</f>
        <v>SI</v>
      </c>
      <c r="C59" s="416" t="s">
        <v>749</v>
      </c>
      <c r="D59" s="416"/>
      <c r="E59" s="398"/>
      <c r="F59" s="399" t="s">
        <v>1408</v>
      </c>
      <c r="G59" s="421">
        <f>SUMIF($D47:$D58,"+",G47:G58)-SUMIF($D47:$D58,"-",G47:G58)</f>
        <v>0</v>
      </c>
      <c r="H59" s="421">
        <f>SUMIF($D47:$D58,"+",H47:H58)-SUMIF($D47:$D58,"-",H47:H58)</f>
        <v>0</v>
      </c>
      <c r="I59" s="421">
        <f>SUMIF($D47:$D58,"+",I47:I58)-SUMIF($D47:$D58,"-",I47:I58)</f>
        <v>0</v>
      </c>
      <c r="J59" s="421">
        <f>SUMIF($D47:$D58,"+",J47:J58)-SUMIF($D47:$D58,"-",J47:J58)</f>
        <v>0</v>
      </c>
      <c r="K59" s="421">
        <f>SUMIF($D47:$D58,"+",K47:K58)-SUMIF($D47:$D58,"-",K47:K58)</f>
        <v>0</v>
      </c>
    </row>
    <row r="60" spans="1:11" x14ac:dyDescent="0.35">
      <c r="A60" s="1" t="s">
        <v>1284</v>
      </c>
      <c r="B60" s="2" t="str">
        <f t="shared" si="1"/>
        <v>NO</v>
      </c>
      <c r="C60" s="390" t="s">
        <v>625</v>
      </c>
      <c r="D60" s="390" t="s">
        <v>769</v>
      </c>
      <c r="E60" s="391" t="s">
        <v>1287</v>
      </c>
      <c r="F60" s="422"/>
      <c r="G60" s="420"/>
      <c r="H60" s="420"/>
      <c r="I60" s="420"/>
      <c r="J60" s="420"/>
      <c r="K60" s="420"/>
    </row>
    <row r="61" spans="1:11" x14ac:dyDescent="0.35">
      <c r="A61" s="1" t="s">
        <v>1284</v>
      </c>
      <c r="B61" s="2" t="str">
        <f t="shared" si="1"/>
        <v>NO</v>
      </c>
      <c r="C61" s="390" t="s">
        <v>630</v>
      </c>
      <c r="D61" s="417" t="s">
        <v>1404</v>
      </c>
      <c r="E61" s="391" t="s">
        <v>1318</v>
      </c>
      <c r="F61" s="422"/>
      <c r="G61" s="420"/>
      <c r="H61" s="420"/>
      <c r="I61" s="420"/>
      <c r="J61" s="420"/>
      <c r="K61" s="420"/>
    </row>
    <row r="62" spans="1:11" x14ac:dyDescent="0.35">
      <c r="A62" s="1" t="s">
        <v>1284</v>
      </c>
      <c r="B62" s="2" t="str">
        <f t="shared" si="1"/>
        <v>NO</v>
      </c>
      <c r="C62" s="390" t="s">
        <v>631</v>
      </c>
      <c r="D62" s="390" t="s">
        <v>769</v>
      </c>
      <c r="E62" s="391" t="s">
        <v>1319</v>
      </c>
      <c r="F62" s="422"/>
      <c r="G62" s="420"/>
      <c r="H62" s="420"/>
      <c r="I62" s="420"/>
      <c r="J62" s="420"/>
      <c r="K62" s="420"/>
    </row>
    <row r="63" spans="1:11" s="392" customFormat="1" x14ac:dyDescent="0.35">
      <c r="B63" s="2" t="str">
        <f>IF(SUM(F$60:K$62)&gt;0,"SI","NO")</f>
        <v>NO</v>
      </c>
      <c r="C63" s="396"/>
      <c r="D63" s="397"/>
      <c r="E63" s="398"/>
      <c r="F63" s="399" t="s">
        <v>1408</v>
      </c>
      <c r="G63" s="421">
        <f>SUMIF($D60:$D62,"+",G60:G62)-SUMIF($D60:$D62,"-",G60:G62)</f>
        <v>0</v>
      </c>
      <c r="H63" s="421">
        <f>SUMIF($D60:$D62,"+",H60:H62)-SUMIF($D60:$D62,"-",H60:H62)</f>
        <v>0</v>
      </c>
      <c r="I63" s="421">
        <f>SUMIF($D60:$D62,"+",I60:I62)-SUMIF($D60:$D62,"-",I60:I62)</f>
        <v>0</v>
      </c>
      <c r="J63" s="421">
        <f>SUMIF($D60:$D62,"+",J60:J62)-SUMIF($D60:$D62,"-",J60:J62)</f>
        <v>0</v>
      </c>
      <c r="K63" s="421">
        <f>SUMIF($D60:$D62,"+",K60:K62)-SUMIF($D60:$D62,"-",K60:K62)</f>
        <v>0</v>
      </c>
    </row>
    <row r="64" spans="1:11" x14ac:dyDescent="0.35">
      <c r="B64" s="2" t="str">
        <f>IF(SUM(F$47:K$63)&gt;0,"SI","NO")</f>
        <v>SI</v>
      </c>
    </row>
    <row r="65" spans="1:11" x14ac:dyDescent="0.35">
      <c r="B65" s="2" t="str">
        <f>IF(SUM(I$67:K$73)&gt;0,"SI","NO")</f>
        <v>NO</v>
      </c>
      <c r="C65" s="386" t="s">
        <v>1285</v>
      </c>
      <c r="D65" s="387"/>
      <c r="E65" s="388"/>
      <c r="F65" s="388"/>
      <c r="G65" s="388"/>
      <c r="H65" s="388"/>
      <c r="I65" s="388"/>
      <c r="J65" s="388"/>
      <c r="K65" s="389"/>
    </row>
    <row r="66" spans="1:11" s="402" customFormat="1" ht="29.15" customHeight="1" x14ac:dyDescent="0.35">
      <c r="B66" s="2" t="str">
        <f>IF(SUM(I$67:K$73)&gt;0,"SI","NO")</f>
        <v>NO</v>
      </c>
      <c r="C66" s="400" t="s">
        <v>1296</v>
      </c>
      <c r="D66" s="400"/>
      <c r="E66" s="1425" t="s">
        <v>1282</v>
      </c>
      <c r="F66" s="1426"/>
      <c r="G66" s="1426"/>
      <c r="H66" s="1427"/>
      <c r="I66" s="401" t="s">
        <v>1297</v>
      </c>
      <c r="J66" s="1420" t="s">
        <v>1340</v>
      </c>
      <c r="K66" s="1422"/>
    </row>
    <row r="67" spans="1:11" x14ac:dyDescent="0.35">
      <c r="A67" s="1" t="s">
        <v>1285</v>
      </c>
      <c r="B67" s="2" t="str">
        <f>IF(SUM(I67:K67)&gt;0,"SI","NO")</f>
        <v>NO</v>
      </c>
      <c r="C67" s="390" t="s">
        <v>607</v>
      </c>
      <c r="D67" s="390" t="s">
        <v>769</v>
      </c>
      <c r="E67" s="1414" t="s">
        <v>1341</v>
      </c>
      <c r="F67" s="1414"/>
      <c r="G67" s="1414"/>
      <c r="H67" s="1414"/>
      <c r="I67" s="423"/>
      <c r="J67" s="1428"/>
      <c r="K67" s="1429"/>
    </row>
    <row r="68" spans="1:11" x14ac:dyDescent="0.35">
      <c r="A68" s="1" t="s">
        <v>1285</v>
      </c>
      <c r="B68" s="2" t="str">
        <f t="shared" ref="B68:B73" si="2">IF(SUM(I68:K68)&gt;0,"SI","NO")</f>
        <v>NO</v>
      </c>
      <c r="C68" s="390" t="s">
        <v>610</v>
      </c>
      <c r="D68" s="417" t="s">
        <v>1404</v>
      </c>
      <c r="E68" s="1414" t="s">
        <v>1342</v>
      </c>
      <c r="F68" s="1414"/>
      <c r="G68" s="1414"/>
      <c r="H68" s="1414"/>
      <c r="I68" s="423"/>
      <c r="J68" s="1428"/>
      <c r="K68" s="1429"/>
    </row>
    <row r="69" spans="1:11" x14ac:dyDescent="0.35">
      <c r="A69" s="1" t="s">
        <v>1285</v>
      </c>
      <c r="B69" s="2" t="str">
        <f t="shared" si="2"/>
        <v>NO</v>
      </c>
      <c r="C69" s="390" t="s">
        <v>611</v>
      </c>
      <c r="D69" s="390" t="s">
        <v>769</v>
      </c>
      <c r="E69" s="1414" t="s">
        <v>1343</v>
      </c>
      <c r="F69" s="1414"/>
      <c r="G69" s="1414"/>
      <c r="H69" s="1414"/>
      <c r="I69" s="423"/>
      <c r="J69" s="1428"/>
      <c r="K69" s="1429"/>
    </row>
    <row r="70" spans="1:11" x14ac:dyDescent="0.35">
      <c r="A70" s="1" t="s">
        <v>1285</v>
      </c>
      <c r="B70" s="2" t="str">
        <f t="shared" si="2"/>
        <v>NO</v>
      </c>
      <c r="C70" s="390" t="s">
        <v>620</v>
      </c>
      <c r="D70" s="390" t="s">
        <v>769</v>
      </c>
      <c r="E70" s="1414" t="s">
        <v>1344</v>
      </c>
      <c r="F70" s="1414"/>
      <c r="G70" s="1414"/>
      <c r="H70" s="1414"/>
      <c r="I70" s="423"/>
      <c r="J70" s="1428"/>
      <c r="K70" s="1429"/>
    </row>
    <row r="71" spans="1:11" x14ac:dyDescent="0.35">
      <c r="A71" s="1" t="s">
        <v>1285</v>
      </c>
      <c r="B71" s="2" t="str">
        <f t="shared" si="2"/>
        <v>NO</v>
      </c>
      <c r="C71" s="390" t="s">
        <v>625</v>
      </c>
      <c r="D71" s="390" t="s">
        <v>769</v>
      </c>
      <c r="E71" s="1414" t="s">
        <v>1287</v>
      </c>
      <c r="F71" s="1414"/>
      <c r="G71" s="1414"/>
      <c r="H71" s="1414"/>
      <c r="I71" s="423"/>
      <c r="J71" s="1428"/>
      <c r="K71" s="1429"/>
    </row>
    <row r="72" spans="1:11" x14ac:dyDescent="0.35">
      <c r="A72" s="1" t="s">
        <v>1285</v>
      </c>
      <c r="B72" s="2" t="str">
        <f t="shared" si="2"/>
        <v>NO</v>
      </c>
      <c r="C72" s="390" t="s">
        <v>630</v>
      </c>
      <c r="D72" s="417" t="s">
        <v>1404</v>
      </c>
      <c r="E72" s="1414" t="s">
        <v>1318</v>
      </c>
      <c r="F72" s="1414"/>
      <c r="G72" s="1414"/>
      <c r="H72" s="1414"/>
      <c r="I72" s="423"/>
      <c r="J72" s="1428"/>
      <c r="K72" s="1429"/>
    </row>
    <row r="73" spans="1:11" x14ac:dyDescent="0.35">
      <c r="A73" s="1" t="s">
        <v>1285</v>
      </c>
      <c r="B73" s="2" t="str">
        <f t="shared" si="2"/>
        <v>NO</v>
      </c>
      <c r="C73" s="390" t="s">
        <v>631</v>
      </c>
      <c r="D73" s="390" t="s">
        <v>769</v>
      </c>
      <c r="E73" s="1414" t="s">
        <v>1319</v>
      </c>
      <c r="F73" s="1414"/>
      <c r="G73" s="1414"/>
      <c r="H73" s="1414"/>
      <c r="I73" s="423"/>
      <c r="J73" s="1428"/>
      <c r="K73" s="1429"/>
    </row>
    <row r="74" spans="1:11" s="392" customFormat="1" x14ac:dyDescent="0.35">
      <c r="B74" s="2" t="str">
        <f>IF(SUM(I$67:K$73)&gt;0,"SI","NO")</f>
        <v>NO</v>
      </c>
      <c r="C74" s="396"/>
      <c r="D74" s="397"/>
      <c r="E74" s="398"/>
      <c r="F74" s="398"/>
      <c r="G74" s="1415"/>
      <c r="H74" s="1416"/>
      <c r="I74" s="399" t="s">
        <v>1408</v>
      </c>
      <c r="J74" s="1430">
        <f>SUMIF($D67:$D73,"+",J67:K73)-SUMIF($D67:$D73,"-",J67:K73)</f>
        <v>0</v>
      </c>
      <c r="K74" s="1431"/>
    </row>
    <row r="75" spans="1:11" x14ac:dyDescent="0.35">
      <c r="B75" s="2" t="str">
        <f>IF(SUM(I$67:K$73)&gt;0,"SI","NO")</f>
        <v>NO</v>
      </c>
    </row>
    <row r="76" spans="1:11" x14ac:dyDescent="0.35">
      <c r="B76" s="2" t="str">
        <f>IF(SUM(I$78:K$78)&gt;0,"SI","NO")</f>
        <v>NO</v>
      </c>
      <c r="C76" s="386" t="s">
        <v>1288</v>
      </c>
      <c r="D76" s="387"/>
      <c r="E76" s="388"/>
      <c r="F76" s="388"/>
      <c r="G76" s="388"/>
      <c r="H76" s="388"/>
      <c r="I76" s="388"/>
      <c r="J76" s="388"/>
      <c r="K76" s="389"/>
    </row>
    <row r="77" spans="1:11" ht="7.5" customHeight="1" x14ac:dyDescent="0.35">
      <c r="B77" s="2" t="str">
        <f>IF(SUM(I$78:K$78)&gt;0,"SI","NO")</f>
        <v>NO</v>
      </c>
    </row>
    <row r="78" spans="1:11" x14ac:dyDescent="0.35">
      <c r="A78" s="1" t="s">
        <v>1465</v>
      </c>
      <c r="B78" s="2" t="str">
        <f>IF(SUM(I$78:K$78)&gt;0,"SI","NO")</f>
        <v>NO</v>
      </c>
      <c r="C78" s="403" t="s">
        <v>1345</v>
      </c>
      <c r="D78" s="403"/>
      <c r="E78" s="404"/>
      <c r="F78" s="404"/>
      <c r="G78" s="405"/>
      <c r="H78" s="410"/>
      <c r="I78" s="408">
        <v>0</v>
      </c>
      <c r="J78" s="408"/>
      <c r="K78" s="407"/>
    </row>
    <row r="79" spans="1:11" x14ac:dyDescent="0.35">
      <c r="B79" s="2" t="str">
        <f>IF(SUM(I$78:K$78)&gt;0,"SI","NO")</f>
        <v>NO</v>
      </c>
    </row>
    <row r="80" spans="1:11" s="383" customFormat="1" ht="21.65" customHeight="1" x14ac:dyDescent="0.35">
      <c r="B80" s="2" t="str">
        <f>IF(SUM(I$84:K$238)&gt;0,"SI","NO")</f>
        <v>SI</v>
      </c>
      <c r="C80" s="1439" t="s">
        <v>1346</v>
      </c>
      <c r="D80" s="1440"/>
      <c r="E80" s="1440"/>
      <c r="F80" s="1440"/>
      <c r="G80" s="1440"/>
      <c r="H80" s="1440"/>
      <c r="I80" s="1440"/>
      <c r="J80" s="1440"/>
      <c r="K80" s="1441"/>
    </row>
    <row r="81" spans="1:11" x14ac:dyDescent="0.35">
      <c r="B81" s="2" t="str">
        <f>IF(SUM(I$84:K$238)&gt;0,"SI","NO")</f>
        <v>SI</v>
      </c>
    </row>
    <row r="82" spans="1:11" x14ac:dyDescent="0.35">
      <c r="B82" s="2" t="str">
        <f>IF(SUM(I$84:K$220)&gt;0,"SI","NO")</f>
        <v>SI</v>
      </c>
      <c r="C82" s="1417" t="s">
        <v>1347</v>
      </c>
      <c r="D82" s="1418"/>
      <c r="E82" s="1418"/>
      <c r="F82" s="1418"/>
      <c r="G82" s="1418"/>
      <c r="H82" s="1418"/>
      <c r="I82" s="1418"/>
      <c r="J82" s="1418"/>
      <c r="K82" s="1419"/>
    </row>
    <row r="83" spans="1:11" s="402" customFormat="1" ht="29" x14ac:dyDescent="0.35">
      <c r="B83" s="2" t="str">
        <f>IF(SUM(I$84:K$220)&gt;0,"SI","NO")</f>
        <v>SI</v>
      </c>
      <c r="C83" s="400" t="s">
        <v>1296</v>
      </c>
      <c r="D83" s="400"/>
      <c r="E83" s="1425" t="s">
        <v>1348</v>
      </c>
      <c r="F83" s="1426"/>
      <c r="G83" s="1426"/>
      <c r="H83" s="1427"/>
      <c r="I83" s="401" t="s">
        <v>1297</v>
      </c>
      <c r="J83" s="401" t="s">
        <v>1349</v>
      </c>
      <c r="K83" s="401" t="s">
        <v>1034</v>
      </c>
    </row>
    <row r="84" spans="1:11" ht="14.4" customHeight="1" x14ac:dyDescent="0.35">
      <c r="A84" s="1" t="s">
        <v>1451</v>
      </c>
      <c r="B84" s="2" t="str">
        <f>IF(SUM(I84:K84)&gt;0,"SI","NO")</f>
        <v>NO</v>
      </c>
      <c r="C84" s="390" t="s">
        <v>2310</v>
      </c>
      <c r="D84" s="390" t="s">
        <v>769</v>
      </c>
      <c r="E84" s="1432" t="s">
        <v>2311</v>
      </c>
      <c r="F84" s="1433"/>
      <c r="G84" s="1433"/>
      <c r="H84" s="1434"/>
      <c r="I84" s="423"/>
      <c r="J84" s="420"/>
      <c r="K84" s="420"/>
    </row>
    <row r="85" spans="1:11" ht="14.4" customHeight="1" x14ac:dyDescent="0.35">
      <c r="A85" s="1" t="s">
        <v>1451</v>
      </c>
      <c r="B85" s="2" t="str">
        <f t="shared" ref="B85:B149" si="3">IF(SUM(I85:K85)&gt;0,"SI","NO")</f>
        <v>SI</v>
      </c>
      <c r="C85" s="390" t="s">
        <v>1418</v>
      </c>
      <c r="D85" s="390" t="s">
        <v>769</v>
      </c>
      <c r="E85" s="1432" t="s">
        <v>80</v>
      </c>
      <c r="F85" s="1433"/>
      <c r="G85" s="1433"/>
      <c r="H85" s="1434"/>
      <c r="I85" s="423">
        <v>15</v>
      </c>
      <c r="J85" s="420">
        <v>18429.91</v>
      </c>
      <c r="K85" s="420">
        <v>1842.99</v>
      </c>
    </row>
    <row r="86" spans="1:11" ht="14.4" customHeight="1" x14ac:dyDescent="0.35">
      <c r="A86" s="1" t="s">
        <v>1451</v>
      </c>
      <c r="B86" s="2" t="str">
        <f t="shared" si="3"/>
        <v>SI</v>
      </c>
      <c r="C86" s="390" t="s">
        <v>2200</v>
      </c>
      <c r="D86" s="390" t="s">
        <v>769</v>
      </c>
      <c r="E86" s="1432" t="s">
        <v>2201</v>
      </c>
      <c r="F86" s="1433"/>
      <c r="G86" s="1433"/>
      <c r="H86" s="1434"/>
      <c r="I86" s="423">
        <v>6</v>
      </c>
      <c r="J86" s="420">
        <v>3202.48</v>
      </c>
      <c r="K86" s="420">
        <v>96.06</v>
      </c>
    </row>
    <row r="87" spans="1:11" ht="14.4" customHeight="1" x14ac:dyDescent="0.35">
      <c r="A87" s="1" t="s">
        <v>1451</v>
      </c>
      <c r="B87" s="2" t="str">
        <f t="shared" si="3"/>
        <v>NO</v>
      </c>
      <c r="C87" s="390" t="s">
        <v>1400</v>
      </c>
      <c r="D87" s="390" t="s">
        <v>769</v>
      </c>
      <c r="E87" s="1411" t="s">
        <v>81</v>
      </c>
      <c r="F87" s="1412"/>
      <c r="G87" s="1412"/>
      <c r="H87" s="1413"/>
      <c r="I87" s="423"/>
      <c r="J87" s="420"/>
      <c r="K87" s="420"/>
    </row>
    <row r="88" spans="1:11" ht="14.4" customHeight="1" x14ac:dyDescent="0.35">
      <c r="A88" s="1" t="s">
        <v>1451</v>
      </c>
      <c r="B88" s="2" t="str">
        <f t="shared" si="3"/>
        <v>NO</v>
      </c>
      <c r="C88" s="390" t="s">
        <v>82</v>
      </c>
      <c r="D88" s="390" t="s">
        <v>769</v>
      </c>
      <c r="E88" s="1411" t="s">
        <v>83</v>
      </c>
      <c r="F88" s="1412"/>
      <c r="G88" s="1412"/>
      <c r="H88" s="1413"/>
      <c r="I88" s="423"/>
      <c r="J88" s="420"/>
      <c r="K88" s="420"/>
    </row>
    <row r="89" spans="1:11" ht="14.4" customHeight="1" x14ac:dyDescent="0.35">
      <c r="A89" s="1" t="s">
        <v>1451</v>
      </c>
      <c r="B89" s="2" t="str">
        <f t="shared" si="3"/>
        <v>NO</v>
      </c>
      <c r="C89" s="390" t="s">
        <v>84</v>
      </c>
      <c r="D89" s="390" t="s">
        <v>769</v>
      </c>
      <c r="E89" s="1411" t="s">
        <v>85</v>
      </c>
      <c r="F89" s="1412"/>
      <c r="G89" s="1412"/>
      <c r="H89" s="1413"/>
      <c r="I89" s="423"/>
      <c r="J89" s="420"/>
      <c r="K89" s="420"/>
    </row>
    <row r="90" spans="1:11" ht="14.4" customHeight="1" x14ac:dyDescent="0.35">
      <c r="A90" s="1" t="s">
        <v>1451</v>
      </c>
      <c r="B90" s="2" t="str">
        <f t="shared" si="3"/>
        <v>NO</v>
      </c>
      <c r="C90" s="390" t="s">
        <v>86</v>
      </c>
      <c r="D90" s="390" t="s">
        <v>769</v>
      </c>
      <c r="E90" s="1411" t="s">
        <v>87</v>
      </c>
      <c r="F90" s="1412"/>
      <c r="G90" s="1412"/>
      <c r="H90" s="1413"/>
      <c r="I90" s="423"/>
      <c r="J90" s="420"/>
      <c r="K90" s="420"/>
    </row>
    <row r="91" spans="1:11" ht="14.4" customHeight="1" x14ac:dyDescent="0.35">
      <c r="A91" s="1" t="s">
        <v>1451</v>
      </c>
      <c r="B91" s="2" t="str">
        <f t="shared" si="3"/>
        <v>NO</v>
      </c>
      <c r="C91" s="390" t="s">
        <v>88</v>
      </c>
      <c r="D91" s="390" t="s">
        <v>769</v>
      </c>
      <c r="E91" s="1411" t="s">
        <v>89</v>
      </c>
      <c r="F91" s="1412"/>
      <c r="G91" s="1412"/>
      <c r="H91" s="1413"/>
      <c r="I91" s="423"/>
      <c r="J91" s="420"/>
      <c r="K91" s="420"/>
    </row>
    <row r="92" spans="1:11" ht="14.4" customHeight="1" x14ac:dyDescent="0.35">
      <c r="A92" s="1" t="s">
        <v>1451</v>
      </c>
      <c r="B92" s="2" t="str">
        <f t="shared" si="3"/>
        <v>NO</v>
      </c>
      <c r="C92" s="390" t="s">
        <v>90</v>
      </c>
      <c r="D92" s="390" t="s">
        <v>769</v>
      </c>
      <c r="E92" s="1411" t="s">
        <v>91</v>
      </c>
      <c r="F92" s="1412"/>
      <c r="G92" s="1412"/>
      <c r="H92" s="1413"/>
      <c r="I92" s="423"/>
      <c r="J92" s="420"/>
      <c r="K92" s="420"/>
    </row>
    <row r="93" spans="1:11" ht="14.4" customHeight="1" x14ac:dyDescent="0.35">
      <c r="A93" s="1" t="s">
        <v>1451</v>
      </c>
      <c r="B93" s="2" t="str">
        <f t="shared" si="3"/>
        <v>SI</v>
      </c>
      <c r="C93" s="390" t="s">
        <v>1419</v>
      </c>
      <c r="D93" s="390" t="s">
        <v>769</v>
      </c>
      <c r="E93" s="1411" t="s">
        <v>92</v>
      </c>
      <c r="F93" s="1412"/>
      <c r="G93" s="1412"/>
      <c r="H93" s="1413"/>
      <c r="I93" s="423">
        <v>3</v>
      </c>
      <c r="J93" s="420">
        <v>1105</v>
      </c>
      <c r="K93" s="420">
        <v>22.1</v>
      </c>
    </row>
    <row r="94" spans="1:11" ht="14.4" customHeight="1" x14ac:dyDescent="0.35">
      <c r="A94" s="1" t="s">
        <v>1451</v>
      </c>
      <c r="B94" s="2" t="str">
        <f t="shared" si="3"/>
        <v>NO</v>
      </c>
      <c r="C94" s="390" t="s">
        <v>1420</v>
      </c>
      <c r="D94" s="390" t="s">
        <v>769</v>
      </c>
      <c r="E94" s="1411" t="s">
        <v>2368</v>
      </c>
      <c r="F94" s="1412"/>
      <c r="G94" s="1412"/>
      <c r="H94" s="1413"/>
      <c r="I94" s="423"/>
      <c r="J94" s="420"/>
      <c r="K94" s="420"/>
    </row>
    <row r="95" spans="1:11" ht="14.4" customHeight="1" x14ac:dyDescent="0.35">
      <c r="A95" s="1" t="s">
        <v>1451</v>
      </c>
      <c r="B95" s="2" t="str">
        <f t="shared" si="3"/>
        <v>NO</v>
      </c>
      <c r="C95" s="390" t="s">
        <v>1421</v>
      </c>
      <c r="D95" s="390" t="s">
        <v>769</v>
      </c>
      <c r="E95" s="1411" t="s">
        <v>93</v>
      </c>
      <c r="F95" s="1412"/>
      <c r="G95" s="1412"/>
      <c r="H95" s="1413"/>
      <c r="I95" s="423"/>
      <c r="J95" s="420"/>
      <c r="K95" s="420"/>
    </row>
    <row r="96" spans="1:11" ht="14.4" customHeight="1" x14ac:dyDescent="0.35">
      <c r="A96" s="1" t="s">
        <v>1451</v>
      </c>
      <c r="B96" s="2" t="str">
        <f t="shared" si="3"/>
        <v>SI</v>
      </c>
      <c r="C96" s="390" t="s">
        <v>1422</v>
      </c>
      <c r="D96" s="390" t="s">
        <v>769</v>
      </c>
      <c r="E96" s="1411" t="s">
        <v>94</v>
      </c>
      <c r="F96" s="1412"/>
      <c r="G96" s="1412"/>
      <c r="H96" s="1413"/>
      <c r="I96" s="423">
        <v>9</v>
      </c>
      <c r="J96" s="420">
        <v>30331.7</v>
      </c>
      <c r="K96" s="420">
        <v>303.32</v>
      </c>
    </row>
    <row r="97" spans="1:11" ht="14.4" customHeight="1" x14ac:dyDescent="0.35">
      <c r="A97" s="1" t="s">
        <v>1451</v>
      </c>
      <c r="B97" s="2" t="str">
        <f t="shared" si="3"/>
        <v>NO</v>
      </c>
      <c r="C97" s="390" t="s">
        <v>1423</v>
      </c>
      <c r="D97" s="390" t="s">
        <v>769</v>
      </c>
      <c r="E97" s="1411" t="s">
        <v>1120</v>
      </c>
      <c r="F97" s="1412"/>
      <c r="G97" s="1412"/>
      <c r="H97" s="1413"/>
      <c r="I97" s="423"/>
      <c r="J97" s="420"/>
      <c r="K97" s="420"/>
    </row>
    <row r="98" spans="1:11" ht="14.4" customHeight="1" x14ac:dyDescent="0.35">
      <c r="A98" s="1" t="s">
        <v>1451</v>
      </c>
      <c r="B98" s="2" t="str">
        <f t="shared" si="3"/>
        <v>SI</v>
      </c>
      <c r="C98" s="390" t="s">
        <v>1424</v>
      </c>
      <c r="D98" s="390" t="s">
        <v>769</v>
      </c>
      <c r="E98" s="1411" t="s">
        <v>95</v>
      </c>
      <c r="F98" s="1412"/>
      <c r="G98" s="1412"/>
      <c r="H98" s="1413"/>
      <c r="I98" s="423">
        <v>122</v>
      </c>
      <c r="J98" s="420">
        <v>87763.46</v>
      </c>
      <c r="K98" s="420">
        <v>1535.9</v>
      </c>
    </row>
    <row r="99" spans="1:11" ht="14.4" customHeight="1" x14ac:dyDescent="0.35">
      <c r="A99" s="1" t="s">
        <v>1451</v>
      </c>
      <c r="B99" s="2" t="str">
        <f t="shared" si="3"/>
        <v>NO</v>
      </c>
      <c r="C99" s="390" t="s">
        <v>96</v>
      </c>
      <c r="D99" s="390" t="s">
        <v>769</v>
      </c>
      <c r="E99" s="1411" t="s">
        <v>2313</v>
      </c>
      <c r="F99" s="1412"/>
      <c r="G99" s="1412"/>
      <c r="H99" s="1413"/>
      <c r="I99" s="423"/>
      <c r="J99" s="420"/>
      <c r="K99" s="420"/>
    </row>
    <row r="100" spans="1:11" ht="14.4" customHeight="1" x14ac:dyDescent="0.35">
      <c r="A100" s="1" t="s">
        <v>1451</v>
      </c>
      <c r="B100" s="2" t="str">
        <f t="shared" si="3"/>
        <v>NO</v>
      </c>
      <c r="C100" s="390" t="s">
        <v>1039</v>
      </c>
      <c r="D100" s="390" t="s">
        <v>769</v>
      </c>
      <c r="E100" s="1411" t="s">
        <v>1040</v>
      </c>
      <c r="F100" s="1412"/>
      <c r="G100" s="1412"/>
      <c r="H100" s="1413"/>
      <c r="I100" s="423"/>
      <c r="J100" s="420"/>
      <c r="K100" s="420"/>
    </row>
    <row r="101" spans="1:11" ht="14.4" customHeight="1" x14ac:dyDescent="0.35">
      <c r="A101" s="1" t="s">
        <v>1451</v>
      </c>
      <c r="B101" s="2" t="str">
        <f>IF(SUM(I101:K101)&gt;0,"SI","NO")</f>
        <v>NO</v>
      </c>
      <c r="C101" s="390" t="s">
        <v>2205</v>
      </c>
      <c r="D101" s="390" t="s">
        <v>769</v>
      </c>
      <c r="E101" s="1411" t="s">
        <v>2314</v>
      </c>
      <c r="F101" s="1412"/>
      <c r="G101" s="1412"/>
      <c r="H101" s="1413"/>
      <c r="I101" s="423"/>
      <c r="J101" s="420"/>
      <c r="K101" s="420"/>
    </row>
    <row r="102" spans="1:11" ht="14.4" customHeight="1" x14ac:dyDescent="0.35">
      <c r="A102" s="1" t="s">
        <v>1451</v>
      </c>
      <c r="B102" s="2" t="str">
        <f t="shared" si="3"/>
        <v>NO</v>
      </c>
      <c r="C102" s="390" t="s">
        <v>97</v>
      </c>
      <c r="D102" s="390" t="s">
        <v>769</v>
      </c>
      <c r="E102" s="1411" t="s">
        <v>2369</v>
      </c>
      <c r="F102" s="1412"/>
      <c r="G102" s="1412"/>
      <c r="H102" s="1413"/>
      <c r="I102" s="423"/>
      <c r="J102" s="420"/>
      <c r="K102" s="420"/>
    </row>
    <row r="103" spans="1:11" ht="14.4" customHeight="1" x14ac:dyDescent="0.35">
      <c r="A103" s="1" t="s">
        <v>1451</v>
      </c>
      <c r="B103" s="2" t="str">
        <f t="shared" si="3"/>
        <v>NO</v>
      </c>
      <c r="C103" s="390" t="s">
        <v>99</v>
      </c>
      <c r="D103" s="390" t="s">
        <v>769</v>
      </c>
      <c r="E103" s="1411" t="s">
        <v>2370</v>
      </c>
      <c r="F103" s="1412"/>
      <c r="G103" s="1412"/>
      <c r="H103" s="1413"/>
      <c r="I103" s="423"/>
      <c r="J103" s="420"/>
      <c r="K103" s="420"/>
    </row>
    <row r="104" spans="1:11" ht="14.4" customHeight="1" x14ac:dyDescent="0.35">
      <c r="A104" s="1" t="s">
        <v>1451</v>
      </c>
      <c r="B104" s="2" t="str">
        <f t="shared" si="3"/>
        <v>NO</v>
      </c>
      <c r="C104" s="390" t="s">
        <v>101</v>
      </c>
      <c r="D104" s="390" t="s">
        <v>769</v>
      </c>
      <c r="E104" s="1411" t="s">
        <v>2371</v>
      </c>
      <c r="F104" s="1412"/>
      <c r="G104" s="1412"/>
      <c r="H104" s="1413"/>
      <c r="I104" s="423"/>
      <c r="J104" s="420"/>
      <c r="K104" s="420"/>
    </row>
    <row r="105" spans="1:11" ht="14.4" customHeight="1" x14ac:dyDescent="0.35">
      <c r="A105" s="1" t="s">
        <v>1451</v>
      </c>
      <c r="B105" s="2" t="str">
        <f t="shared" si="3"/>
        <v>NO</v>
      </c>
      <c r="C105" s="390" t="s">
        <v>103</v>
      </c>
      <c r="D105" s="390" t="s">
        <v>769</v>
      </c>
      <c r="E105" s="1411" t="s">
        <v>2372</v>
      </c>
      <c r="F105" s="1412"/>
      <c r="G105" s="1412"/>
      <c r="H105" s="1413"/>
      <c r="I105" s="423"/>
      <c r="J105" s="420"/>
      <c r="K105" s="420"/>
    </row>
    <row r="106" spans="1:11" ht="14.4" customHeight="1" x14ac:dyDescent="0.35">
      <c r="A106" s="1" t="s">
        <v>1451</v>
      </c>
      <c r="B106" s="2" t="str">
        <f t="shared" si="3"/>
        <v>NO</v>
      </c>
      <c r="C106" s="390" t="s">
        <v>1425</v>
      </c>
      <c r="D106" s="390" t="s">
        <v>769</v>
      </c>
      <c r="E106" s="1411" t="s">
        <v>1121</v>
      </c>
      <c r="F106" s="1412"/>
      <c r="G106" s="1412"/>
      <c r="H106" s="1413"/>
      <c r="I106" s="423"/>
      <c r="J106" s="420"/>
      <c r="K106" s="420"/>
    </row>
    <row r="107" spans="1:11" ht="14.4" customHeight="1" x14ac:dyDescent="0.35">
      <c r="A107" s="1" t="s">
        <v>1451</v>
      </c>
      <c r="B107" s="2" t="str">
        <f t="shared" si="3"/>
        <v>NO</v>
      </c>
      <c r="C107" s="390" t="s">
        <v>1426</v>
      </c>
      <c r="D107" s="390" t="s">
        <v>769</v>
      </c>
      <c r="E107" s="1411" t="s">
        <v>1122</v>
      </c>
      <c r="F107" s="1412"/>
      <c r="G107" s="1412"/>
      <c r="H107" s="1413"/>
      <c r="I107" s="423"/>
      <c r="J107" s="420"/>
      <c r="K107" s="420"/>
    </row>
    <row r="108" spans="1:11" ht="14.4" customHeight="1" x14ac:dyDescent="0.35">
      <c r="A108" s="1" t="s">
        <v>1451</v>
      </c>
      <c r="B108" s="2" t="str">
        <f t="shared" si="3"/>
        <v>NO</v>
      </c>
      <c r="C108" s="390" t="s">
        <v>1427</v>
      </c>
      <c r="D108" s="390" t="s">
        <v>769</v>
      </c>
      <c r="E108" s="1411" t="s">
        <v>105</v>
      </c>
      <c r="F108" s="1412"/>
      <c r="G108" s="1412"/>
      <c r="H108" s="1413"/>
      <c r="I108" s="423"/>
      <c r="J108" s="420"/>
      <c r="K108" s="420"/>
    </row>
    <row r="109" spans="1:11" ht="14.4" customHeight="1" x14ac:dyDescent="0.35">
      <c r="A109" s="1" t="s">
        <v>1451</v>
      </c>
      <c r="B109" s="2" t="str">
        <f t="shared" si="3"/>
        <v>NO</v>
      </c>
      <c r="C109" s="390" t="s">
        <v>1401</v>
      </c>
      <c r="D109" s="390" t="s">
        <v>769</v>
      </c>
      <c r="E109" s="1411" t="s">
        <v>1123</v>
      </c>
      <c r="F109" s="1412"/>
      <c r="G109" s="1412"/>
      <c r="H109" s="1413"/>
      <c r="I109" s="423"/>
      <c r="J109" s="420"/>
      <c r="K109" s="420"/>
    </row>
    <row r="110" spans="1:11" ht="14.4" customHeight="1" x14ac:dyDescent="0.35">
      <c r="A110" s="1" t="s">
        <v>1451</v>
      </c>
      <c r="B110" s="2" t="str">
        <f t="shared" si="3"/>
        <v>NO</v>
      </c>
      <c r="C110" s="390" t="s">
        <v>107</v>
      </c>
      <c r="D110" s="390" t="s">
        <v>769</v>
      </c>
      <c r="E110" s="1411" t="s">
        <v>1124</v>
      </c>
      <c r="F110" s="1412"/>
      <c r="G110" s="1412"/>
      <c r="H110" s="1413"/>
      <c r="I110" s="423"/>
      <c r="J110" s="420"/>
      <c r="K110" s="420"/>
    </row>
    <row r="111" spans="1:11" ht="14.4" customHeight="1" x14ac:dyDescent="0.35">
      <c r="A111" s="1" t="s">
        <v>1451</v>
      </c>
      <c r="B111" s="2" t="str">
        <f t="shared" si="3"/>
        <v>NO</v>
      </c>
      <c r="C111" s="390" t="s">
        <v>109</v>
      </c>
      <c r="D111" s="390" t="s">
        <v>769</v>
      </c>
      <c r="E111" s="1411" t="s">
        <v>1125</v>
      </c>
      <c r="F111" s="1412"/>
      <c r="G111" s="1412"/>
      <c r="H111" s="1413"/>
      <c r="I111" s="423"/>
      <c r="J111" s="420"/>
      <c r="K111" s="420"/>
    </row>
    <row r="112" spans="1:11" ht="14.4" customHeight="1" x14ac:dyDescent="0.35">
      <c r="A112" s="1" t="s">
        <v>1451</v>
      </c>
      <c r="B112" s="2" t="str">
        <f t="shared" si="3"/>
        <v>NO</v>
      </c>
      <c r="C112" s="390" t="s">
        <v>111</v>
      </c>
      <c r="D112" s="390" t="s">
        <v>769</v>
      </c>
      <c r="E112" s="1411" t="s">
        <v>1126</v>
      </c>
      <c r="F112" s="1412"/>
      <c r="G112" s="1412"/>
      <c r="H112" s="1413"/>
      <c r="I112" s="423"/>
      <c r="J112" s="420"/>
      <c r="K112" s="420"/>
    </row>
    <row r="113" spans="1:11" ht="14.4" customHeight="1" x14ac:dyDescent="0.35">
      <c r="A113" s="1" t="s">
        <v>1451</v>
      </c>
      <c r="B113" s="2" t="str">
        <f t="shared" si="3"/>
        <v>NO</v>
      </c>
      <c r="C113" s="390" t="s">
        <v>113</v>
      </c>
      <c r="D113" s="390" t="s">
        <v>769</v>
      </c>
      <c r="E113" s="1411" t="s">
        <v>1127</v>
      </c>
      <c r="F113" s="1412"/>
      <c r="G113" s="1412"/>
      <c r="H113" s="1413"/>
      <c r="I113" s="423"/>
      <c r="J113" s="420"/>
      <c r="K113" s="420"/>
    </row>
    <row r="114" spans="1:11" ht="14.4" customHeight="1" x14ac:dyDescent="0.35">
      <c r="A114" s="1" t="s">
        <v>1451</v>
      </c>
      <c r="B114" s="2" t="str">
        <f t="shared" si="3"/>
        <v>NO</v>
      </c>
      <c r="C114" s="390" t="s">
        <v>115</v>
      </c>
      <c r="D114" s="390" t="s">
        <v>769</v>
      </c>
      <c r="E114" s="1411" t="s">
        <v>1128</v>
      </c>
      <c r="F114" s="1412"/>
      <c r="G114" s="1412"/>
      <c r="H114" s="1413"/>
      <c r="I114" s="423"/>
      <c r="J114" s="420"/>
      <c r="K114" s="420"/>
    </row>
    <row r="115" spans="1:11" ht="14.4" customHeight="1" x14ac:dyDescent="0.35">
      <c r="A115" s="1" t="s">
        <v>1451</v>
      </c>
      <c r="B115" s="2" t="str">
        <f t="shared" si="3"/>
        <v>NO</v>
      </c>
      <c r="C115" s="390" t="s">
        <v>117</v>
      </c>
      <c r="D115" s="390" t="s">
        <v>769</v>
      </c>
      <c r="E115" s="1411" t="s">
        <v>1129</v>
      </c>
      <c r="F115" s="1412"/>
      <c r="G115" s="1412"/>
      <c r="H115" s="1413"/>
      <c r="I115" s="423"/>
      <c r="J115" s="420"/>
      <c r="K115" s="420"/>
    </row>
    <row r="116" spans="1:11" ht="14.4" customHeight="1" x14ac:dyDescent="0.35">
      <c r="A116" s="1" t="s">
        <v>1451</v>
      </c>
      <c r="B116" s="2" t="str">
        <f t="shared" si="3"/>
        <v>NO</v>
      </c>
      <c r="C116" s="390" t="s">
        <v>119</v>
      </c>
      <c r="D116" s="390" t="s">
        <v>769</v>
      </c>
      <c r="E116" s="1411" t="s">
        <v>1130</v>
      </c>
      <c r="F116" s="1412"/>
      <c r="G116" s="1412"/>
      <c r="H116" s="1413"/>
      <c r="I116" s="423"/>
      <c r="J116" s="420"/>
      <c r="K116" s="420"/>
    </row>
    <row r="117" spans="1:11" ht="14.4" customHeight="1" x14ac:dyDescent="0.35">
      <c r="A117" s="1" t="s">
        <v>1451</v>
      </c>
      <c r="B117" s="2" t="str">
        <f t="shared" si="3"/>
        <v>NO</v>
      </c>
      <c r="C117" s="390" t="s">
        <v>121</v>
      </c>
      <c r="D117" s="390" t="s">
        <v>769</v>
      </c>
      <c r="E117" s="1411" t="s">
        <v>1131</v>
      </c>
      <c r="F117" s="1412"/>
      <c r="G117" s="1412"/>
      <c r="H117" s="1413"/>
      <c r="I117" s="423"/>
      <c r="J117" s="420"/>
      <c r="K117" s="420"/>
    </row>
    <row r="118" spans="1:11" ht="14.4" customHeight="1" x14ac:dyDescent="0.35">
      <c r="A118" s="1" t="s">
        <v>1451</v>
      </c>
      <c r="B118" s="2" t="str">
        <f t="shared" si="3"/>
        <v>NO</v>
      </c>
      <c r="C118" s="390" t="s">
        <v>123</v>
      </c>
      <c r="D118" s="390" t="s">
        <v>769</v>
      </c>
      <c r="E118" s="1411" t="s">
        <v>1132</v>
      </c>
      <c r="F118" s="1412"/>
      <c r="G118" s="1412"/>
      <c r="H118" s="1413"/>
      <c r="I118" s="423"/>
      <c r="J118" s="420"/>
      <c r="K118" s="420"/>
    </row>
    <row r="119" spans="1:11" ht="14.4" customHeight="1" x14ac:dyDescent="0.35">
      <c r="A119" s="1" t="s">
        <v>1451</v>
      </c>
      <c r="B119" s="2" t="str">
        <f t="shared" si="3"/>
        <v>NO</v>
      </c>
      <c r="C119" s="390" t="s">
        <v>125</v>
      </c>
      <c r="D119" s="390" t="s">
        <v>769</v>
      </c>
      <c r="E119" s="1411" t="s">
        <v>1133</v>
      </c>
      <c r="F119" s="1412"/>
      <c r="G119" s="1412"/>
      <c r="H119" s="1413"/>
      <c r="I119" s="423"/>
      <c r="J119" s="420"/>
      <c r="K119" s="420"/>
    </row>
    <row r="120" spans="1:11" ht="14.4" customHeight="1" x14ac:dyDescent="0.35">
      <c r="A120" s="1" t="s">
        <v>1451</v>
      </c>
      <c r="B120" s="2" t="str">
        <f t="shared" si="3"/>
        <v>NO</v>
      </c>
      <c r="C120" s="390" t="s">
        <v>127</v>
      </c>
      <c r="D120" s="390" t="s">
        <v>769</v>
      </c>
      <c r="E120" s="1411" t="s">
        <v>1134</v>
      </c>
      <c r="F120" s="1412"/>
      <c r="G120" s="1412"/>
      <c r="H120" s="1413"/>
      <c r="I120" s="423"/>
      <c r="J120" s="420"/>
      <c r="K120" s="420"/>
    </row>
    <row r="121" spans="1:11" ht="14.4" customHeight="1" x14ac:dyDescent="0.35">
      <c r="A121" s="1" t="s">
        <v>1451</v>
      </c>
      <c r="B121" s="2" t="str">
        <f t="shared" si="3"/>
        <v>NO</v>
      </c>
      <c r="C121" s="390" t="s">
        <v>129</v>
      </c>
      <c r="D121" s="390" t="s">
        <v>769</v>
      </c>
      <c r="E121" s="1411" t="s">
        <v>1135</v>
      </c>
      <c r="F121" s="1412"/>
      <c r="G121" s="1412"/>
      <c r="H121" s="1413"/>
      <c r="I121" s="423"/>
      <c r="J121" s="420"/>
      <c r="K121" s="420"/>
    </row>
    <row r="122" spans="1:11" ht="14.4" customHeight="1" x14ac:dyDescent="0.35">
      <c r="A122" s="1" t="s">
        <v>1451</v>
      </c>
      <c r="B122" s="2" t="str">
        <f t="shared" si="3"/>
        <v>NO</v>
      </c>
      <c r="C122" s="390" t="s">
        <v>131</v>
      </c>
      <c r="D122" s="390" t="s">
        <v>769</v>
      </c>
      <c r="E122" s="1411" t="s">
        <v>1136</v>
      </c>
      <c r="F122" s="1412"/>
      <c r="G122" s="1412"/>
      <c r="H122" s="1413"/>
      <c r="I122" s="423"/>
      <c r="J122" s="420"/>
      <c r="K122" s="420"/>
    </row>
    <row r="123" spans="1:11" ht="14.4" customHeight="1" x14ac:dyDescent="0.35">
      <c r="A123" s="1" t="s">
        <v>1451</v>
      </c>
      <c r="B123" s="2" t="str">
        <f t="shared" si="3"/>
        <v>NO</v>
      </c>
      <c r="C123" s="390" t="s">
        <v>133</v>
      </c>
      <c r="D123" s="390" t="s">
        <v>769</v>
      </c>
      <c r="E123" s="1411" t="s">
        <v>1137</v>
      </c>
      <c r="F123" s="1412"/>
      <c r="G123" s="1412"/>
      <c r="H123" s="1413"/>
      <c r="I123" s="423"/>
      <c r="J123" s="420"/>
      <c r="K123" s="420"/>
    </row>
    <row r="124" spans="1:11" ht="14.4" customHeight="1" x14ac:dyDescent="0.35">
      <c r="A124" s="1" t="s">
        <v>1451</v>
      </c>
      <c r="B124" s="2" t="str">
        <f t="shared" si="3"/>
        <v>NO</v>
      </c>
      <c r="C124" s="390" t="s">
        <v>1041</v>
      </c>
      <c r="D124" s="390" t="s">
        <v>769</v>
      </c>
      <c r="E124" s="1411" t="s">
        <v>1042</v>
      </c>
      <c r="F124" s="1412"/>
      <c r="G124" s="1412"/>
      <c r="H124" s="1413"/>
      <c r="I124" s="423"/>
      <c r="J124" s="420"/>
      <c r="K124" s="420"/>
    </row>
    <row r="125" spans="1:11" ht="14.4" customHeight="1" x14ac:dyDescent="0.35">
      <c r="A125" s="1" t="s">
        <v>1451</v>
      </c>
      <c r="B125" s="2" t="str">
        <f t="shared" si="3"/>
        <v>NO</v>
      </c>
      <c r="C125" s="390" t="s">
        <v>1043</v>
      </c>
      <c r="D125" s="390" t="s">
        <v>769</v>
      </c>
      <c r="E125" s="1411" t="s">
        <v>1044</v>
      </c>
      <c r="F125" s="1412"/>
      <c r="G125" s="1412"/>
      <c r="H125" s="1413"/>
      <c r="I125" s="423"/>
      <c r="J125" s="420"/>
      <c r="K125" s="420"/>
    </row>
    <row r="126" spans="1:11" ht="14.4" customHeight="1" x14ac:dyDescent="0.35">
      <c r="A126" s="1" t="s">
        <v>1451</v>
      </c>
      <c r="B126" s="2" t="str">
        <f t="shared" si="3"/>
        <v>NO</v>
      </c>
      <c r="C126" s="390" t="s">
        <v>1045</v>
      </c>
      <c r="D126" s="390" t="s">
        <v>769</v>
      </c>
      <c r="E126" s="1411" t="s">
        <v>1046</v>
      </c>
      <c r="F126" s="1412"/>
      <c r="G126" s="1412"/>
      <c r="H126" s="1413"/>
      <c r="I126" s="423"/>
      <c r="J126" s="420"/>
      <c r="K126" s="420"/>
    </row>
    <row r="127" spans="1:11" ht="14.4" customHeight="1" x14ac:dyDescent="0.35">
      <c r="A127" s="1" t="s">
        <v>1451</v>
      </c>
      <c r="B127" s="2" t="str">
        <f t="shared" si="3"/>
        <v>NO</v>
      </c>
      <c r="C127" s="390" t="s">
        <v>135</v>
      </c>
      <c r="D127" s="390" t="s">
        <v>769</v>
      </c>
      <c r="E127" s="1411" t="s">
        <v>1138</v>
      </c>
      <c r="F127" s="1412"/>
      <c r="G127" s="1412"/>
      <c r="H127" s="1413"/>
      <c r="I127" s="423"/>
      <c r="J127" s="420"/>
      <c r="K127" s="420"/>
    </row>
    <row r="128" spans="1:11" ht="14.4" customHeight="1" x14ac:dyDescent="0.35">
      <c r="A128" s="1" t="s">
        <v>1451</v>
      </c>
      <c r="B128" s="2" t="str">
        <f t="shared" si="3"/>
        <v>NO</v>
      </c>
      <c r="C128" s="390" t="s">
        <v>137</v>
      </c>
      <c r="D128" s="390" t="s">
        <v>769</v>
      </c>
      <c r="E128" s="1411" t="s">
        <v>1139</v>
      </c>
      <c r="F128" s="1412"/>
      <c r="G128" s="1412"/>
      <c r="H128" s="1413"/>
      <c r="I128" s="423"/>
      <c r="J128" s="420"/>
      <c r="K128" s="420"/>
    </row>
    <row r="129" spans="1:11" ht="14.4" customHeight="1" x14ac:dyDescent="0.35">
      <c r="A129" s="1" t="s">
        <v>1451</v>
      </c>
      <c r="B129" s="2" t="str">
        <f t="shared" si="3"/>
        <v>NO</v>
      </c>
      <c r="C129" s="390" t="s">
        <v>1047</v>
      </c>
      <c r="D129" s="390" t="s">
        <v>769</v>
      </c>
      <c r="E129" s="1411" t="s">
        <v>1048</v>
      </c>
      <c r="F129" s="1412"/>
      <c r="G129" s="1412"/>
      <c r="H129" s="1413"/>
      <c r="I129" s="423"/>
      <c r="J129" s="420"/>
      <c r="K129" s="420"/>
    </row>
    <row r="130" spans="1:11" ht="14.4" customHeight="1" x14ac:dyDescent="0.35">
      <c r="A130" s="1" t="s">
        <v>1451</v>
      </c>
      <c r="B130" s="2" t="str">
        <f t="shared" si="3"/>
        <v>NO</v>
      </c>
      <c r="C130" s="390" t="s">
        <v>1428</v>
      </c>
      <c r="D130" s="390" t="s">
        <v>769</v>
      </c>
      <c r="E130" s="1411" t="s">
        <v>139</v>
      </c>
      <c r="F130" s="1412"/>
      <c r="G130" s="1412"/>
      <c r="H130" s="1413"/>
      <c r="I130" s="423"/>
      <c r="J130" s="420"/>
      <c r="K130" s="420"/>
    </row>
    <row r="131" spans="1:11" ht="14.4" customHeight="1" x14ac:dyDescent="0.35">
      <c r="A131" s="1" t="s">
        <v>1451</v>
      </c>
      <c r="B131" s="2" t="str">
        <f t="shared" si="3"/>
        <v>NO</v>
      </c>
      <c r="C131" s="390" t="s">
        <v>140</v>
      </c>
      <c r="D131" s="390" t="s">
        <v>769</v>
      </c>
      <c r="E131" s="1411" t="s">
        <v>2373</v>
      </c>
      <c r="F131" s="1412"/>
      <c r="G131" s="1412"/>
      <c r="H131" s="1413"/>
      <c r="I131" s="423"/>
      <c r="J131" s="420"/>
      <c r="K131" s="420"/>
    </row>
    <row r="132" spans="1:11" ht="14.4" customHeight="1" x14ac:dyDescent="0.35">
      <c r="A132" s="1" t="s">
        <v>1451</v>
      </c>
      <c r="B132" s="2" t="str">
        <f>IF(SUM(I132:K132)&gt;0,"SI","NO")</f>
        <v>NO</v>
      </c>
      <c r="C132" s="390" t="s">
        <v>2426</v>
      </c>
      <c r="D132" s="390" t="s">
        <v>769</v>
      </c>
      <c r="E132" s="1411" t="s">
        <v>2312</v>
      </c>
      <c r="F132" s="1412"/>
      <c r="G132" s="1412"/>
      <c r="H132" s="1413"/>
      <c r="I132" s="423"/>
      <c r="J132" s="420"/>
      <c r="K132" s="420"/>
    </row>
    <row r="133" spans="1:11" ht="14.4" customHeight="1" x14ac:dyDescent="0.35">
      <c r="A133" s="1" t="s">
        <v>1451</v>
      </c>
      <c r="B133" s="2" t="str">
        <f t="shared" si="3"/>
        <v>NO</v>
      </c>
      <c r="C133" s="390" t="s">
        <v>1429</v>
      </c>
      <c r="D133" s="390" t="s">
        <v>769</v>
      </c>
      <c r="E133" s="1411" t="s">
        <v>2374</v>
      </c>
      <c r="F133" s="1412"/>
      <c r="G133" s="1412"/>
      <c r="H133" s="1413"/>
      <c r="I133" s="423"/>
      <c r="J133" s="420"/>
      <c r="K133" s="420"/>
    </row>
    <row r="134" spans="1:11" ht="14.4" customHeight="1" x14ac:dyDescent="0.35">
      <c r="A134" s="1" t="s">
        <v>1451</v>
      </c>
      <c r="B134" s="2" t="str">
        <f t="shared" si="3"/>
        <v>NO</v>
      </c>
      <c r="C134" s="390" t="s">
        <v>1430</v>
      </c>
      <c r="D134" s="390" t="s">
        <v>769</v>
      </c>
      <c r="E134" s="1411" t="s">
        <v>2375</v>
      </c>
      <c r="F134" s="1412"/>
      <c r="G134" s="1412"/>
      <c r="H134" s="1413"/>
      <c r="I134" s="423"/>
      <c r="J134" s="420"/>
      <c r="K134" s="420"/>
    </row>
    <row r="135" spans="1:11" ht="14.4" customHeight="1" x14ac:dyDescent="0.35">
      <c r="A135" s="1" t="s">
        <v>1451</v>
      </c>
      <c r="B135" s="2" t="str">
        <f t="shared" si="3"/>
        <v>NO</v>
      </c>
      <c r="C135" s="390" t="s">
        <v>1431</v>
      </c>
      <c r="D135" s="390" t="s">
        <v>769</v>
      </c>
      <c r="E135" s="1411" t="s">
        <v>142</v>
      </c>
      <c r="F135" s="1412"/>
      <c r="G135" s="1412"/>
      <c r="H135" s="1413"/>
      <c r="I135" s="423"/>
      <c r="J135" s="420"/>
      <c r="K135" s="420"/>
    </row>
    <row r="136" spans="1:11" ht="14.4" customHeight="1" x14ac:dyDescent="0.35">
      <c r="A136" s="1" t="s">
        <v>1451</v>
      </c>
      <c r="B136" s="2" t="str">
        <f t="shared" si="3"/>
        <v>NO</v>
      </c>
      <c r="C136" s="390" t="s">
        <v>1432</v>
      </c>
      <c r="D136" s="390" t="s">
        <v>769</v>
      </c>
      <c r="E136" s="1411" t="s">
        <v>143</v>
      </c>
      <c r="F136" s="1412"/>
      <c r="G136" s="1412"/>
      <c r="H136" s="1413"/>
      <c r="I136" s="423"/>
      <c r="J136" s="420"/>
      <c r="K136" s="420"/>
    </row>
    <row r="137" spans="1:11" ht="14.4" customHeight="1" x14ac:dyDescent="0.35">
      <c r="A137" s="1" t="s">
        <v>1451</v>
      </c>
      <c r="B137" s="2" t="str">
        <f t="shared" si="3"/>
        <v>NO</v>
      </c>
      <c r="C137" s="390" t="s">
        <v>1433</v>
      </c>
      <c r="D137" s="390" t="s">
        <v>769</v>
      </c>
      <c r="E137" s="1411" t="s">
        <v>1161</v>
      </c>
      <c r="F137" s="1412"/>
      <c r="G137" s="1412"/>
      <c r="H137" s="1413"/>
      <c r="I137" s="423"/>
      <c r="J137" s="420"/>
      <c r="K137" s="420"/>
    </row>
    <row r="138" spans="1:11" ht="14.4" customHeight="1" x14ac:dyDescent="0.35">
      <c r="A138" s="1" t="s">
        <v>1451</v>
      </c>
      <c r="B138" s="2" t="str">
        <f t="shared" si="3"/>
        <v>SI</v>
      </c>
      <c r="C138" s="390" t="s">
        <v>1434</v>
      </c>
      <c r="D138" s="390" t="s">
        <v>769</v>
      </c>
      <c r="E138" s="1411" t="s">
        <v>2376</v>
      </c>
      <c r="F138" s="1412"/>
      <c r="G138" s="1412"/>
      <c r="H138" s="1413"/>
      <c r="I138" s="423">
        <v>52</v>
      </c>
      <c r="J138" s="420">
        <v>32078.95</v>
      </c>
      <c r="K138" s="420">
        <v>0</v>
      </c>
    </row>
    <row r="139" spans="1:11" ht="14.4" customHeight="1" x14ac:dyDescent="0.35">
      <c r="A139" s="1" t="s">
        <v>1451</v>
      </c>
      <c r="B139" s="2" t="str">
        <f t="shared" si="3"/>
        <v>NO</v>
      </c>
      <c r="C139" s="390" t="s">
        <v>145</v>
      </c>
      <c r="D139" s="390" t="s">
        <v>769</v>
      </c>
      <c r="E139" s="1411" t="s">
        <v>146</v>
      </c>
      <c r="F139" s="1412"/>
      <c r="G139" s="1412"/>
      <c r="H139" s="1413"/>
      <c r="I139" s="423"/>
      <c r="J139" s="420"/>
      <c r="K139" s="420"/>
    </row>
    <row r="140" spans="1:11" ht="14.4" customHeight="1" x14ac:dyDescent="0.35">
      <c r="A140" s="1" t="s">
        <v>1451</v>
      </c>
      <c r="B140" s="2" t="str">
        <f t="shared" si="3"/>
        <v>NO</v>
      </c>
      <c r="C140" s="390" t="s">
        <v>147</v>
      </c>
      <c r="D140" s="390" t="s">
        <v>769</v>
      </c>
      <c r="E140" s="1411" t="s">
        <v>148</v>
      </c>
      <c r="F140" s="1412"/>
      <c r="G140" s="1412"/>
      <c r="H140" s="1413"/>
      <c r="I140" s="423"/>
      <c r="J140" s="420"/>
      <c r="K140" s="420"/>
    </row>
    <row r="141" spans="1:11" ht="14.4" customHeight="1" x14ac:dyDescent="0.35">
      <c r="A141" s="1" t="s">
        <v>1451</v>
      </c>
      <c r="B141" s="2" t="str">
        <f t="shared" si="3"/>
        <v>NO</v>
      </c>
      <c r="C141" s="390" t="s">
        <v>149</v>
      </c>
      <c r="D141" s="390" t="s">
        <v>769</v>
      </c>
      <c r="E141" s="1411" t="s">
        <v>150</v>
      </c>
      <c r="F141" s="1412"/>
      <c r="G141" s="1412"/>
      <c r="H141" s="1413"/>
      <c r="I141" s="423"/>
      <c r="J141" s="420"/>
      <c r="K141" s="420"/>
    </row>
    <row r="142" spans="1:11" ht="14.4" customHeight="1" x14ac:dyDescent="0.35">
      <c r="A142" s="1" t="s">
        <v>1451</v>
      </c>
      <c r="B142" s="2" t="str">
        <f t="shared" si="3"/>
        <v>NO</v>
      </c>
      <c r="C142" s="390" t="s">
        <v>151</v>
      </c>
      <c r="D142" s="390" t="s">
        <v>769</v>
      </c>
      <c r="E142" s="1411" t="s">
        <v>152</v>
      </c>
      <c r="F142" s="1412"/>
      <c r="G142" s="1412"/>
      <c r="H142" s="1413"/>
      <c r="I142" s="423"/>
      <c r="J142" s="420"/>
      <c r="K142" s="420"/>
    </row>
    <row r="143" spans="1:11" ht="14.4" customHeight="1" x14ac:dyDescent="0.35">
      <c r="A143" s="1" t="s">
        <v>1451</v>
      </c>
      <c r="B143" s="2" t="str">
        <f t="shared" si="3"/>
        <v>NO</v>
      </c>
      <c r="C143" s="390" t="s">
        <v>153</v>
      </c>
      <c r="D143" s="390" t="s">
        <v>769</v>
      </c>
      <c r="E143" s="1411" t="s">
        <v>154</v>
      </c>
      <c r="F143" s="1412"/>
      <c r="G143" s="1412"/>
      <c r="H143" s="1413"/>
      <c r="I143" s="423"/>
      <c r="J143" s="420"/>
      <c r="K143" s="420"/>
    </row>
    <row r="144" spans="1:11" ht="14.4" customHeight="1" x14ac:dyDescent="0.35">
      <c r="A144" s="1" t="s">
        <v>1451</v>
      </c>
      <c r="B144" s="2" t="str">
        <f t="shared" si="3"/>
        <v>NO</v>
      </c>
      <c r="C144" s="390" t="s">
        <v>155</v>
      </c>
      <c r="D144" s="390" t="s">
        <v>769</v>
      </c>
      <c r="E144" s="1411" t="s">
        <v>156</v>
      </c>
      <c r="F144" s="1412"/>
      <c r="G144" s="1412"/>
      <c r="H144" s="1413"/>
      <c r="I144" s="423"/>
      <c r="J144" s="420"/>
      <c r="K144" s="420"/>
    </row>
    <row r="145" spans="1:11" ht="14.4" customHeight="1" x14ac:dyDescent="0.35">
      <c r="A145" s="1" t="s">
        <v>1451</v>
      </c>
      <c r="B145" s="2" t="str">
        <f t="shared" si="3"/>
        <v>NO</v>
      </c>
      <c r="C145" s="390" t="s">
        <v>157</v>
      </c>
      <c r="D145" s="390" t="s">
        <v>769</v>
      </c>
      <c r="E145" s="1411" t="s">
        <v>158</v>
      </c>
      <c r="F145" s="1412"/>
      <c r="G145" s="1412"/>
      <c r="H145" s="1413"/>
      <c r="I145" s="423"/>
      <c r="J145" s="420"/>
      <c r="K145" s="420"/>
    </row>
    <row r="146" spans="1:11" ht="14.4" customHeight="1" x14ac:dyDescent="0.35">
      <c r="A146" s="1" t="s">
        <v>1451</v>
      </c>
      <c r="B146" s="2" t="str">
        <f t="shared" si="3"/>
        <v>NO</v>
      </c>
      <c r="C146" s="390" t="s">
        <v>159</v>
      </c>
      <c r="D146" s="390" t="s">
        <v>769</v>
      </c>
      <c r="E146" s="1411" t="s">
        <v>160</v>
      </c>
      <c r="F146" s="1412"/>
      <c r="G146" s="1412"/>
      <c r="H146" s="1413"/>
      <c r="I146" s="423"/>
      <c r="J146" s="420"/>
      <c r="K146" s="420"/>
    </row>
    <row r="147" spans="1:11" ht="14.4" customHeight="1" x14ac:dyDescent="0.35">
      <c r="A147" s="1" t="s">
        <v>1451</v>
      </c>
      <c r="B147" s="2" t="str">
        <f t="shared" si="3"/>
        <v>NO</v>
      </c>
      <c r="C147" s="390" t="s">
        <v>1435</v>
      </c>
      <c r="D147" s="390" t="s">
        <v>769</v>
      </c>
      <c r="E147" s="1411" t="s">
        <v>1140</v>
      </c>
      <c r="F147" s="1412"/>
      <c r="G147" s="1412"/>
      <c r="H147" s="1413"/>
      <c r="I147" s="423"/>
      <c r="J147" s="420"/>
      <c r="K147" s="420"/>
    </row>
    <row r="148" spans="1:11" ht="14.4" customHeight="1" x14ac:dyDescent="0.35">
      <c r="A148" s="1" t="s">
        <v>1451</v>
      </c>
      <c r="B148" s="2" t="str">
        <f t="shared" si="3"/>
        <v>NO</v>
      </c>
      <c r="C148" s="390" t="s">
        <v>1436</v>
      </c>
      <c r="D148" s="390" t="s">
        <v>769</v>
      </c>
      <c r="E148" s="1411" t="s">
        <v>1141</v>
      </c>
      <c r="F148" s="1412"/>
      <c r="G148" s="1412"/>
      <c r="H148" s="1413"/>
      <c r="I148" s="423"/>
      <c r="J148" s="420"/>
      <c r="K148" s="420"/>
    </row>
    <row r="149" spans="1:11" ht="14.4" customHeight="1" x14ac:dyDescent="0.35">
      <c r="A149" s="1" t="s">
        <v>1451</v>
      </c>
      <c r="B149" s="2" t="str">
        <f t="shared" si="3"/>
        <v>NO</v>
      </c>
      <c r="C149" s="390" t="s">
        <v>1437</v>
      </c>
      <c r="D149" s="390" t="s">
        <v>769</v>
      </c>
      <c r="E149" s="1411" t="s">
        <v>2377</v>
      </c>
      <c r="F149" s="1412"/>
      <c r="G149" s="1412"/>
      <c r="H149" s="1413"/>
      <c r="I149" s="423"/>
      <c r="J149" s="420"/>
      <c r="K149" s="420"/>
    </row>
    <row r="150" spans="1:11" ht="14.4" customHeight="1" x14ac:dyDescent="0.35">
      <c r="A150" s="1" t="s">
        <v>1451</v>
      </c>
      <c r="B150" s="2" t="str">
        <f t="shared" ref="B150:B212" si="4">IF(SUM(I150:K150)&gt;0,"SI","NO")</f>
        <v>NO</v>
      </c>
      <c r="C150" s="390" t="s">
        <v>1438</v>
      </c>
      <c r="D150" s="390" t="s">
        <v>769</v>
      </c>
      <c r="E150" s="1411" t="s">
        <v>1142</v>
      </c>
      <c r="F150" s="1412"/>
      <c r="G150" s="1412"/>
      <c r="H150" s="1413"/>
      <c r="I150" s="423"/>
      <c r="J150" s="420"/>
      <c r="K150" s="420"/>
    </row>
    <row r="151" spans="1:11" ht="14.4" customHeight="1" x14ac:dyDescent="0.35">
      <c r="A151" s="1" t="s">
        <v>1451</v>
      </c>
      <c r="B151" s="2" t="str">
        <f t="shared" si="4"/>
        <v>NO</v>
      </c>
      <c r="C151" s="390" t="s">
        <v>1439</v>
      </c>
      <c r="D151" s="390" t="s">
        <v>769</v>
      </c>
      <c r="E151" s="1411" t="s">
        <v>1143</v>
      </c>
      <c r="F151" s="1412"/>
      <c r="G151" s="1412"/>
      <c r="H151" s="1413"/>
      <c r="I151" s="423"/>
      <c r="J151" s="420"/>
      <c r="K151" s="420"/>
    </row>
    <row r="152" spans="1:11" ht="14.4" customHeight="1" x14ac:dyDescent="0.35">
      <c r="A152" s="1" t="s">
        <v>1451</v>
      </c>
      <c r="B152" s="2" t="str">
        <f t="shared" si="4"/>
        <v>NO</v>
      </c>
      <c r="C152" s="390" t="s">
        <v>1440</v>
      </c>
      <c r="D152" s="390" t="s">
        <v>769</v>
      </c>
      <c r="E152" s="1411" t="s">
        <v>2378</v>
      </c>
      <c r="F152" s="1412"/>
      <c r="G152" s="1412"/>
      <c r="H152" s="1413"/>
      <c r="I152" s="423"/>
      <c r="J152" s="420"/>
      <c r="K152" s="420"/>
    </row>
    <row r="153" spans="1:11" ht="14.4" customHeight="1" x14ac:dyDescent="0.35">
      <c r="A153" s="1" t="s">
        <v>1451</v>
      </c>
      <c r="B153" s="2" t="str">
        <f t="shared" si="4"/>
        <v>NO</v>
      </c>
      <c r="C153" s="390" t="s">
        <v>1441</v>
      </c>
      <c r="D153" s="390" t="s">
        <v>769</v>
      </c>
      <c r="E153" s="1411" t="s">
        <v>161</v>
      </c>
      <c r="F153" s="1412"/>
      <c r="G153" s="1412"/>
      <c r="H153" s="1413"/>
      <c r="I153" s="423"/>
      <c r="J153" s="420"/>
      <c r="K153" s="420"/>
    </row>
    <row r="154" spans="1:11" ht="14.4" customHeight="1" x14ac:dyDescent="0.35">
      <c r="A154" s="1" t="s">
        <v>1451</v>
      </c>
      <c r="B154" s="2" t="str">
        <f t="shared" si="4"/>
        <v>NO</v>
      </c>
      <c r="C154" s="390" t="s">
        <v>1442</v>
      </c>
      <c r="D154" s="390" t="s">
        <v>769</v>
      </c>
      <c r="E154" s="1411" t="s">
        <v>162</v>
      </c>
      <c r="F154" s="1412"/>
      <c r="G154" s="1412"/>
      <c r="H154" s="1413"/>
      <c r="I154" s="423"/>
      <c r="J154" s="420"/>
      <c r="K154" s="420"/>
    </row>
    <row r="155" spans="1:11" ht="14.4" customHeight="1" x14ac:dyDescent="0.35">
      <c r="A155" s="1" t="s">
        <v>1451</v>
      </c>
      <c r="B155" s="2" t="str">
        <f t="shared" si="4"/>
        <v>NO</v>
      </c>
      <c r="C155" s="390" t="s">
        <v>1443</v>
      </c>
      <c r="D155" s="390" t="s">
        <v>769</v>
      </c>
      <c r="E155" s="1411" t="s">
        <v>163</v>
      </c>
      <c r="F155" s="1412"/>
      <c r="G155" s="1412"/>
      <c r="H155" s="1413"/>
      <c r="I155" s="423"/>
      <c r="J155" s="420"/>
      <c r="K155" s="420"/>
    </row>
    <row r="156" spans="1:11" ht="14.4" customHeight="1" x14ac:dyDescent="0.35">
      <c r="A156" s="1" t="s">
        <v>1451</v>
      </c>
      <c r="B156" s="2" t="str">
        <f t="shared" si="4"/>
        <v>NO</v>
      </c>
      <c r="C156" s="390" t="s">
        <v>1444</v>
      </c>
      <c r="D156" s="390" t="s">
        <v>769</v>
      </c>
      <c r="E156" s="1411" t="s">
        <v>164</v>
      </c>
      <c r="F156" s="1412"/>
      <c r="G156" s="1412"/>
      <c r="H156" s="1413"/>
      <c r="I156" s="423"/>
      <c r="J156" s="420"/>
      <c r="K156" s="420"/>
    </row>
    <row r="157" spans="1:11" ht="14.4" customHeight="1" x14ac:dyDescent="0.35">
      <c r="A157" s="1" t="s">
        <v>1451</v>
      </c>
      <c r="B157" s="2" t="str">
        <f t="shared" si="4"/>
        <v>SI</v>
      </c>
      <c r="C157" s="390" t="s">
        <v>1445</v>
      </c>
      <c r="D157" s="390" t="s">
        <v>769</v>
      </c>
      <c r="E157" s="1411" t="s">
        <v>2379</v>
      </c>
      <c r="F157" s="1412"/>
      <c r="G157" s="1412"/>
      <c r="H157" s="1413"/>
      <c r="I157" s="423">
        <v>3</v>
      </c>
      <c r="J157" s="420">
        <v>1810.47</v>
      </c>
      <c r="K157" s="420">
        <v>18.100000000000001</v>
      </c>
    </row>
    <row r="158" spans="1:11" ht="14.4" customHeight="1" x14ac:dyDescent="0.35">
      <c r="A158" s="1" t="s">
        <v>1451</v>
      </c>
      <c r="B158" s="2" t="str">
        <f t="shared" si="4"/>
        <v>NO</v>
      </c>
      <c r="C158" s="390" t="s">
        <v>165</v>
      </c>
      <c r="D158" s="390" t="s">
        <v>769</v>
      </c>
      <c r="E158" s="1411" t="s">
        <v>1144</v>
      </c>
      <c r="F158" s="1412"/>
      <c r="G158" s="1412"/>
      <c r="H158" s="1413"/>
      <c r="I158" s="423"/>
      <c r="J158" s="420"/>
      <c r="K158" s="420"/>
    </row>
    <row r="159" spans="1:11" ht="14.4" customHeight="1" x14ac:dyDescent="0.35">
      <c r="A159" s="1" t="s">
        <v>1451</v>
      </c>
      <c r="B159" s="2" t="str">
        <f t="shared" si="4"/>
        <v>SI</v>
      </c>
      <c r="C159" s="390" t="s">
        <v>166</v>
      </c>
      <c r="D159" s="390" t="s">
        <v>769</v>
      </c>
      <c r="E159" s="1411" t="s">
        <v>1145</v>
      </c>
      <c r="F159" s="1412"/>
      <c r="G159" s="1412"/>
      <c r="H159" s="1413"/>
      <c r="I159" s="423">
        <v>2</v>
      </c>
      <c r="J159" s="420">
        <v>610.67999999999995</v>
      </c>
      <c r="K159" s="420">
        <v>10.68</v>
      </c>
    </row>
    <row r="160" spans="1:11" ht="14.4" customHeight="1" x14ac:dyDescent="0.35">
      <c r="A160" s="1" t="s">
        <v>1451</v>
      </c>
      <c r="B160" s="2" t="str">
        <f t="shared" si="4"/>
        <v>NO</v>
      </c>
      <c r="C160" s="390" t="s">
        <v>1050</v>
      </c>
      <c r="D160" s="390" t="s">
        <v>769</v>
      </c>
      <c r="E160" s="1411" t="s">
        <v>2380</v>
      </c>
      <c r="F160" s="1412"/>
      <c r="G160" s="1412"/>
      <c r="H160" s="1413"/>
      <c r="I160" s="423"/>
      <c r="J160" s="420"/>
      <c r="K160" s="420"/>
    </row>
    <row r="161" spans="1:11" ht="14.4" customHeight="1" x14ac:dyDescent="0.35">
      <c r="A161" s="1" t="s">
        <v>1451</v>
      </c>
      <c r="B161" s="2" t="str">
        <f t="shared" si="4"/>
        <v>NO</v>
      </c>
      <c r="C161" s="390" t="s">
        <v>1396</v>
      </c>
      <c r="D161" s="390" t="s">
        <v>769</v>
      </c>
      <c r="E161" s="1411" t="s">
        <v>168</v>
      </c>
      <c r="F161" s="1412"/>
      <c r="G161" s="1412"/>
      <c r="H161" s="1413"/>
      <c r="I161" s="423"/>
      <c r="J161" s="420"/>
      <c r="K161" s="420"/>
    </row>
    <row r="162" spans="1:11" ht="14.4" customHeight="1" x14ac:dyDescent="0.35">
      <c r="A162" s="1" t="s">
        <v>1451</v>
      </c>
      <c r="B162" s="2" t="str">
        <f t="shared" si="4"/>
        <v>NO</v>
      </c>
      <c r="C162" s="390" t="s">
        <v>169</v>
      </c>
      <c r="D162" s="390" t="s">
        <v>769</v>
      </c>
      <c r="E162" s="1411" t="s">
        <v>1146</v>
      </c>
      <c r="F162" s="1412"/>
      <c r="G162" s="1412"/>
      <c r="H162" s="1413"/>
      <c r="I162" s="423"/>
      <c r="J162" s="420"/>
      <c r="K162" s="420"/>
    </row>
    <row r="163" spans="1:11" ht="14.4" customHeight="1" x14ac:dyDescent="0.35">
      <c r="A163" s="1" t="s">
        <v>1451</v>
      </c>
      <c r="B163" s="2" t="str">
        <f t="shared" si="4"/>
        <v>NO</v>
      </c>
      <c r="C163" s="390" t="s">
        <v>1052</v>
      </c>
      <c r="D163" s="390" t="s">
        <v>769</v>
      </c>
      <c r="E163" s="1411" t="s">
        <v>1053</v>
      </c>
      <c r="F163" s="1412"/>
      <c r="G163" s="1412"/>
      <c r="H163" s="1413"/>
      <c r="I163" s="423"/>
      <c r="J163" s="420"/>
      <c r="K163" s="420"/>
    </row>
    <row r="164" spans="1:11" ht="14.4" customHeight="1" x14ac:dyDescent="0.35">
      <c r="A164" s="1" t="s">
        <v>1451</v>
      </c>
      <c r="B164" s="2" t="str">
        <f t="shared" si="4"/>
        <v>SI</v>
      </c>
      <c r="C164" s="390" t="s">
        <v>1446</v>
      </c>
      <c r="D164" s="390" t="s">
        <v>769</v>
      </c>
      <c r="E164" s="1411" t="s">
        <v>1159</v>
      </c>
      <c r="F164" s="1412"/>
      <c r="G164" s="1412"/>
      <c r="H164" s="1413"/>
      <c r="I164" s="423">
        <v>36</v>
      </c>
      <c r="J164" s="420">
        <v>14004.23</v>
      </c>
      <c r="K164" s="420">
        <v>385.19</v>
      </c>
    </row>
    <row r="165" spans="1:11" ht="14.4" customHeight="1" x14ac:dyDescent="0.35">
      <c r="A165" s="1" t="s">
        <v>1451</v>
      </c>
      <c r="B165" s="2" t="str">
        <f t="shared" si="4"/>
        <v>NO</v>
      </c>
      <c r="C165" s="390" t="s">
        <v>1447</v>
      </c>
      <c r="D165" s="390" t="s">
        <v>769</v>
      </c>
      <c r="E165" s="1411" t="s">
        <v>1054</v>
      </c>
      <c r="F165" s="1412"/>
      <c r="G165" s="1412"/>
      <c r="H165" s="1413"/>
      <c r="I165" s="423"/>
      <c r="J165" s="420"/>
      <c r="K165" s="420"/>
    </row>
    <row r="166" spans="1:11" ht="14.4" customHeight="1" x14ac:dyDescent="0.35">
      <c r="A166" s="1" t="s">
        <v>1451</v>
      </c>
      <c r="B166" s="2" t="str">
        <f t="shared" si="4"/>
        <v>NO</v>
      </c>
      <c r="C166" s="390" t="s">
        <v>1448</v>
      </c>
      <c r="D166" s="390" t="s">
        <v>769</v>
      </c>
      <c r="E166" s="1411" t="s">
        <v>2381</v>
      </c>
      <c r="F166" s="1412"/>
      <c r="G166" s="1412"/>
      <c r="H166" s="1413"/>
      <c r="I166" s="423"/>
      <c r="J166" s="420"/>
      <c r="K166" s="420"/>
    </row>
    <row r="167" spans="1:11" ht="14.4" customHeight="1" x14ac:dyDescent="0.35">
      <c r="A167" s="1" t="s">
        <v>1451</v>
      </c>
      <c r="B167" s="2" t="str">
        <f t="shared" si="4"/>
        <v>NO</v>
      </c>
      <c r="C167" s="390" t="s">
        <v>171</v>
      </c>
      <c r="D167" s="390" t="s">
        <v>769</v>
      </c>
      <c r="E167" s="1411" t="s">
        <v>1075</v>
      </c>
      <c r="F167" s="1412"/>
      <c r="G167" s="1412"/>
      <c r="H167" s="1413"/>
      <c r="I167" s="423"/>
      <c r="J167" s="420"/>
      <c r="K167" s="420"/>
    </row>
    <row r="168" spans="1:11" ht="14.4" customHeight="1" x14ac:dyDescent="0.35">
      <c r="A168" s="1" t="s">
        <v>1451</v>
      </c>
      <c r="B168" s="2" t="str">
        <f t="shared" si="4"/>
        <v>NO</v>
      </c>
      <c r="C168" s="390" t="s">
        <v>1056</v>
      </c>
      <c r="D168" s="390" t="s">
        <v>769</v>
      </c>
      <c r="E168" s="1411" t="s">
        <v>1057</v>
      </c>
      <c r="F168" s="1412"/>
      <c r="G168" s="1412"/>
      <c r="H168" s="1413"/>
      <c r="I168" s="423"/>
      <c r="J168" s="420"/>
      <c r="K168" s="420"/>
    </row>
    <row r="169" spans="1:11" ht="14.4" customHeight="1" x14ac:dyDescent="0.35">
      <c r="A169" s="1" t="s">
        <v>1451</v>
      </c>
      <c r="B169" s="2" t="str">
        <f t="shared" si="4"/>
        <v>NO</v>
      </c>
      <c r="C169" s="390" t="s">
        <v>1058</v>
      </c>
      <c r="D169" s="390" t="s">
        <v>769</v>
      </c>
      <c r="E169" s="1411" t="s">
        <v>2382</v>
      </c>
      <c r="F169" s="1412"/>
      <c r="G169" s="1412"/>
      <c r="H169" s="1413"/>
      <c r="I169" s="423"/>
      <c r="J169" s="420"/>
      <c r="K169" s="420"/>
    </row>
    <row r="170" spans="1:11" ht="14.4" customHeight="1" x14ac:dyDescent="0.35">
      <c r="A170" s="1" t="s">
        <v>1451</v>
      </c>
      <c r="B170" s="2" t="str">
        <f t="shared" si="4"/>
        <v>NO</v>
      </c>
      <c r="C170" s="390" t="s">
        <v>1060</v>
      </c>
      <c r="D170" s="390" t="s">
        <v>769</v>
      </c>
      <c r="E170" s="1411" t="s">
        <v>1061</v>
      </c>
      <c r="F170" s="1412"/>
      <c r="G170" s="1412"/>
      <c r="H170" s="1413"/>
      <c r="I170" s="423"/>
      <c r="J170" s="420"/>
      <c r="K170" s="420"/>
    </row>
    <row r="171" spans="1:11" ht="14.4" customHeight="1" x14ac:dyDescent="0.35">
      <c r="A171" s="1" t="s">
        <v>1451</v>
      </c>
      <c r="B171" s="2" t="str">
        <f t="shared" si="4"/>
        <v>NO</v>
      </c>
      <c r="C171" s="390" t="s">
        <v>1449</v>
      </c>
      <c r="D171" s="390" t="s">
        <v>769</v>
      </c>
      <c r="E171" s="1411" t="s">
        <v>1156</v>
      </c>
      <c r="F171" s="1412"/>
      <c r="G171" s="1412"/>
      <c r="H171" s="1413"/>
      <c r="I171" s="423"/>
      <c r="J171" s="420"/>
      <c r="K171" s="420"/>
    </row>
    <row r="172" spans="1:11" ht="14.4" customHeight="1" x14ac:dyDescent="0.35">
      <c r="A172" s="1" t="s">
        <v>1451</v>
      </c>
      <c r="B172" s="2" t="str">
        <f t="shared" si="4"/>
        <v>NO</v>
      </c>
      <c r="C172" s="390" t="s">
        <v>1450</v>
      </c>
      <c r="D172" s="390" t="s">
        <v>769</v>
      </c>
      <c r="E172" s="1411" t="s">
        <v>2383</v>
      </c>
      <c r="F172" s="1412"/>
      <c r="G172" s="1412"/>
      <c r="H172" s="1413"/>
      <c r="I172" s="423"/>
      <c r="J172" s="420"/>
      <c r="K172" s="420"/>
    </row>
    <row r="173" spans="1:11" ht="14.4" customHeight="1" x14ac:dyDescent="0.35">
      <c r="A173" s="1" t="s">
        <v>1451</v>
      </c>
      <c r="B173" s="2" t="str">
        <f t="shared" si="4"/>
        <v>NO</v>
      </c>
      <c r="C173" s="390" t="s">
        <v>2307</v>
      </c>
      <c r="D173" s="390" t="s">
        <v>769</v>
      </c>
      <c r="E173" s="1411" t="s">
        <v>2304</v>
      </c>
      <c r="F173" s="1412"/>
      <c r="G173" s="1412"/>
      <c r="H173" s="1413"/>
      <c r="I173" s="423"/>
      <c r="J173" s="420"/>
      <c r="K173" s="420"/>
    </row>
    <row r="174" spans="1:11" ht="14.4" customHeight="1" x14ac:dyDescent="0.35">
      <c r="A174" s="1" t="s">
        <v>1451</v>
      </c>
      <c r="B174" s="2" t="str">
        <f t="shared" si="4"/>
        <v>NO</v>
      </c>
      <c r="C174" s="390" t="s">
        <v>2308</v>
      </c>
      <c r="D174" s="390" t="s">
        <v>769</v>
      </c>
      <c r="E174" s="1411" t="s">
        <v>2305</v>
      </c>
      <c r="F174" s="1412"/>
      <c r="G174" s="1412"/>
      <c r="H174" s="1413"/>
      <c r="I174" s="423"/>
      <c r="J174" s="420"/>
      <c r="K174" s="420"/>
    </row>
    <row r="175" spans="1:11" ht="14.4" customHeight="1" x14ac:dyDescent="0.35">
      <c r="A175" s="1" t="s">
        <v>1451</v>
      </c>
      <c r="B175" s="2" t="str">
        <f t="shared" si="4"/>
        <v>NO</v>
      </c>
      <c r="C175" s="390" t="s">
        <v>2309</v>
      </c>
      <c r="D175" s="390" t="s">
        <v>769</v>
      </c>
      <c r="E175" s="1411" t="s">
        <v>2306</v>
      </c>
      <c r="F175" s="1412"/>
      <c r="G175" s="1412"/>
      <c r="H175" s="1413"/>
      <c r="I175" s="423"/>
      <c r="J175" s="420"/>
      <c r="K175" s="420"/>
    </row>
    <row r="176" spans="1:11" ht="14.4" customHeight="1" x14ac:dyDescent="0.35">
      <c r="A176" s="1" t="s">
        <v>1451</v>
      </c>
      <c r="B176" s="2" t="str">
        <f t="shared" si="4"/>
        <v>NO</v>
      </c>
      <c r="C176" s="390" t="s">
        <v>869</v>
      </c>
      <c r="D176" s="390" t="s">
        <v>769</v>
      </c>
      <c r="E176" s="916" t="s">
        <v>2384</v>
      </c>
      <c r="F176" s="917"/>
      <c r="G176" s="917"/>
      <c r="H176" s="918"/>
      <c r="I176" s="423"/>
      <c r="J176" s="420"/>
      <c r="K176" s="420"/>
    </row>
    <row r="177" spans="1:11" ht="14.4" customHeight="1" x14ac:dyDescent="0.35">
      <c r="A177" s="1" t="s">
        <v>1451</v>
      </c>
      <c r="B177" s="2" t="str">
        <f t="shared" si="4"/>
        <v>NO</v>
      </c>
      <c r="C177" s="390" t="s">
        <v>866</v>
      </c>
      <c r="D177" s="390" t="s">
        <v>769</v>
      </c>
      <c r="E177" s="916" t="s">
        <v>2385</v>
      </c>
      <c r="F177" s="917"/>
      <c r="G177" s="917"/>
      <c r="H177" s="918"/>
      <c r="I177" s="423"/>
      <c r="J177" s="420"/>
      <c r="K177" s="420"/>
    </row>
    <row r="178" spans="1:11" ht="14.4" customHeight="1" x14ac:dyDescent="0.35">
      <c r="A178" s="1" t="s">
        <v>1451</v>
      </c>
      <c r="B178" s="2" t="str">
        <f t="shared" si="4"/>
        <v>NO</v>
      </c>
      <c r="C178" s="390" t="s">
        <v>1062</v>
      </c>
      <c r="D178" s="390" t="s">
        <v>769</v>
      </c>
      <c r="E178" s="916" t="s">
        <v>1063</v>
      </c>
      <c r="F178" s="917"/>
      <c r="G178" s="917"/>
      <c r="H178" s="918"/>
      <c r="I178" s="423"/>
      <c r="J178" s="420"/>
      <c r="K178" s="420"/>
    </row>
    <row r="179" spans="1:11" ht="14.4" customHeight="1" x14ac:dyDescent="0.35">
      <c r="A179" s="1" t="s">
        <v>1451</v>
      </c>
      <c r="B179" s="2" t="str">
        <f t="shared" si="4"/>
        <v>NO</v>
      </c>
      <c r="C179" s="390" t="s">
        <v>860</v>
      </c>
      <c r="D179" s="390" t="s">
        <v>769</v>
      </c>
      <c r="E179" s="916" t="s">
        <v>2386</v>
      </c>
      <c r="F179" s="917"/>
      <c r="G179" s="917"/>
      <c r="H179" s="918"/>
      <c r="I179" s="423"/>
      <c r="J179" s="420"/>
      <c r="K179" s="420"/>
    </row>
    <row r="180" spans="1:11" ht="14.4" customHeight="1" x14ac:dyDescent="0.35">
      <c r="A180" s="1" t="s">
        <v>1451</v>
      </c>
      <c r="B180" s="2" t="str">
        <f t="shared" si="4"/>
        <v>NO</v>
      </c>
      <c r="C180" s="390" t="s">
        <v>857</v>
      </c>
      <c r="D180" s="390" t="s">
        <v>769</v>
      </c>
      <c r="E180" s="916" t="s">
        <v>2399</v>
      </c>
      <c r="F180" s="917"/>
      <c r="G180" s="917"/>
      <c r="H180" s="918"/>
      <c r="I180" s="423"/>
      <c r="J180" s="420"/>
      <c r="K180" s="420"/>
    </row>
    <row r="181" spans="1:11" ht="14.4" customHeight="1" x14ac:dyDescent="0.35">
      <c r="A181" s="1" t="s">
        <v>1451</v>
      </c>
      <c r="B181" s="2" t="str">
        <f t="shared" si="4"/>
        <v>NO</v>
      </c>
      <c r="C181" s="390" t="s">
        <v>176</v>
      </c>
      <c r="D181" s="390" t="s">
        <v>769</v>
      </c>
      <c r="E181" s="916" t="s">
        <v>1169</v>
      </c>
      <c r="F181" s="917"/>
      <c r="G181" s="917"/>
      <c r="H181" s="918"/>
      <c r="I181" s="423"/>
      <c r="J181" s="420"/>
      <c r="K181" s="420"/>
    </row>
    <row r="182" spans="1:11" ht="14.4" customHeight="1" x14ac:dyDescent="0.35">
      <c r="A182" s="1" t="s">
        <v>1451</v>
      </c>
      <c r="B182" s="2" t="str">
        <f t="shared" si="4"/>
        <v>NO</v>
      </c>
      <c r="C182" s="390" t="s">
        <v>178</v>
      </c>
      <c r="D182" s="390" t="s">
        <v>769</v>
      </c>
      <c r="E182" s="916" t="s">
        <v>1168</v>
      </c>
      <c r="F182" s="917"/>
      <c r="G182" s="917"/>
      <c r="H182" s="918"/>
      <c r="I182" s="423"/>
      <c r="J182" s="420"/>
      <c r="K182" s="420"/>
    </row>
    <row r="183" spans="1:11" ht="14.4" customHeight="1" x14ac:dyDescent="0.35">
      <c r="A183" s="1" t="s">
        <v>1451</v>
      </c>
      <c r="B183" s="2" t="str">
        <f t="shared" si="4"/>
        <v>NO</v>
      </c>
      <c r="C183" s="390" t="s">
        <v>179</v>
      </c>
      <c r="D183" s="390" t="s">
        <v>769</v>
      </c>
      <c r="E183" s="916" t="s">
        <v>1167</v>
      </c>
      <c r="F183" s="917"/>
      <c r="G183" s="917"/>
      <c r="H183" s="918"/>
      <c r="I183" s="423"/>
      <c r="J183" s="420"/>
      <c r="K183" s="420"/>
    </row>
    <row r="184" spans="1:11" ht="14.4" customHeight="1" x14ac:dyDescent="0.35">
      <c r="A184" s="1" t="s">
        <v>1451</v>
      </c>
      <c r="B184" s="2" t="str">
        <f t="shared" si="4"/>
        <v>NO</v>
      </c>
      <c r="C184" s="390" t="s">
        <v>180</v>
      </c>
      <c r="D184" s="390" t="s">
        <v>769</v>
      </c>
      <c r="E184" s="916" t="s">
        <v>2400</v>
      </c>
      <c r="F184" s="917"/>
      <c r="G184" s="917"/>
      <c r="H184" s="918"/>
      <c r="I184" s="423"/>
      <c r="J184" s="420"/>
      <c r="K184" s="420"/>
    </row>
    <row r="185" spans="1:11" ht="14.4" customHeight="1" x14ac:dyDescent="0.35">
      <c r="A185" s="1" t="s">
        <v>1451</v>
      </c>
      <c r="B185" s="2" t="str">
        <f t="shared" si="4"/>
        <v>NO</v>
      </c>
      <c r="C185" s="390" t="s">
        <v>181</v>
      </c>
      <c r="D185" s="390" t="s">
        <v>769</v>
      </c>
      <c r="E185" s="916" t="s">
        <v>1080</v>
      </c>
      <c r="F185" s="917"/>
      <c r="G185" s="917"/>
      <c r="H185" s="918"/>
      <c r="I185" s="423"/>
      <c r="J185" s="420"/>
      <c r="K185" s="420"/>
    </row>
    <row r="186" spans="1:11" ht="14.4" customHeight="1" x14ac:dyDescent="0.35">
      <c r="A186" s="1" t="s">
        <v>1451</v>
      </c>
      <c r="B186" s="2" t="str">
        <f t="shared" si="4"/>
        <v>NO</v>
      </c>
      <c r="C186" s="390" t="s">
        <v>182</v>
      </c>
      <c r="D186" s="390" t="s">
        <v>769</v>
      </c>
      <c r="E186" s="916" t="s">
        <v>1081</v>
      </c>
      <c r="F186" s="917"/>
      <c r="G186" s="917"/>
      <c r="H186" s="918"/>
      <c r="I186" s="423"/>
      <c r="J186" s="420"/>
      <c r="K186" s="420"/>
    </row>
    <row r="187" spans="1:11" ht="14.4" customHeight="1" x14ac:dyDescent="0.35">
      <c r="A187" s="1" t="s">
        <v>1451</v>
      </c>
      <c r="B187" s="2" t="str">
        <f t="shared" si="4"/>
        <v>NO</v>
      </c>
      <c r="C187" s="390" t="s">
        <v>183</v>
      </c>
      <c r="D187" s="390" t="s">
        <v>769</v>
      </c>
      <c r="E187" s="916" t="s">
        <v>2401</v>
      </c>
      <c r="F187" s="917"/>
      <c r="G187" s="917"/>
      <c r="H187" s="918"/>
      <c r="I187" s="423"/>
      <c r="J187" s="420"/>
      <c r="K187" s="420"/>
    </row>
    <row r="188" spans="1:11" ht="14.4" customHeight="1" x14ac:dyDescent="0.35">
      <c r="A188" s="1" t="s">
        <v>1451</v>
      </c>
      <c r="B188" s="2" t="str">
        <f t="shared" si="4"/>
        <v>NO</v>
      </c>
      <c r="C188" s="390" t="s">
        <v>184</v>
      </c>
      <c r="D188" s="390" t="s">
        <v>769</v>
      </c>
      <c r="E188" s="916" t="s">
        <v>2402</v>
      </c>
      <c r="F188" s="917"/>
      <c r="G188" s="917"/>
      <c r="H188" s="918"/>
      <c r="I188" s="423"/>
      <c r="J188" s="420"/>
      <c r="K188" s="420"/>
    </row>
    <row r="189" spans="1:11" ht="14.4" customHeight="1" x14ac:dyDescent="0.35">
      <c r="A189" s="1" t="s">
        <v>1451</v>
      </c>
      <c r="B189" s="2" t="str">
        <f t="shared" si="4"/>
        <v>NO</v>
      </c>
      <c r="C189" s="390" t="s">
        <v>1064</v>
      </c>
      <c r="D189" s="390" t="s">
        <v>769</v>
      </c>
      <c r="E189" s="916" t="s">
        <v>2403</v>
      </c>
      <c r="F189" s="917"/>
      <c r="G189" s="917"/>
      <c r="H189" s="918"/>
      <c r="I189" s="423"/>
      <c r="J189" s="420"/>
      <c r="K189" s="420"/>
    </row>
    <row r="190" spans="1:11" ht="14.4" customHeight="1" x14ac:dyDescent="0.35">
      <c r="A190" s="1" t="s">
        <v>1451</v>
      </c>
      <c r="B190" s="2" t="str">
        <f t="shared" si="4"/>
        <v>NO</v>
      </c>
      <c r="C190" s="390" t="s">
        <v>1066</v>
      </c>
      <c r="D190" s="390" t="s">
        <v>769</v>
      </c>
      <c r="E190" s="916" t="s">
        <v>2404</v>
      </c>
      <c r="F190" s="917"/>
      <c r="G190" s="917"/>
      <c r="H190" s="918"/>
      <c r="I190" s="423"/>
      <c r="J190" s="420"/>
      <c r="K190" s="420"/>
    </row>
    <row r="191" spans="1:11" ht="14.4" customHeight="1" x14ac:dyDescent="0.35">
      <c r="A191" s="1" t="s">
        <v>1451</v>
      </c>
      <c r="B191" s="2" t="str">
        <f t="shared" si="4"/>
        <v>NO</v>
      </c>
      <c r="C191" s="390" t="s">
        <v>854</v>
      </c>
      <c r="D191" s="390" t="s">
        <v>769</v>
      </c>
      <c r="E191" s="916" t="s">
        <v>1370</v>
      </c>
      <c r="F191" s="917"/>
      <c r="G191" s="917"/>
      <c r="H191" s="918"/>
      <c r="I191" s="423"/>
      <c r="J191" s="420"/>
      <c r="K191" s="420"/>
    </row>
    <row r="192" spans="1:11" ht="14.4" customHeight="1" x14ac:dyDescent="0.35">
      <c r="A192" s="1" t="s">
        <v>1451</v>
      </c>
      <c r="B192" s="2" t="str">
        <f t="shared" si="4"/>
        <v>NO</v>
      </c>
      <c r="C192" s="390" t="s">
        <v>186</v>
      </c>
      <c r="D192" s="390" t="s">
        <v>769</v>
      </c>
      <c r="E192" s="916" t="s">
        <v>1371</v>
      </c>
      <c r="F192" s="917"/>
      <c r="G192" s="917"/>
      <c r="H192" s="918"/>
      <c r="I192" s="423"/>
      <c r="J192" s="420"/>
      <c r="K192" s="420"/>
    </row>
    <row r="193" spans="1:11" ht="14.4" customHeight="1" x14ac:dyDescent="0.35">
      <c r="A193" s="1" t="s">
        <v>1451</v>
      </c>
      <c r="B193" s="2" t="str">
        <f t="shared" si="4"/>
        <v>NO</v>
      </c>
      <c r="C193" s="390" t="s">
        <v>188</v>
      </c>
      <c r="D193" s="390" t="s">
        <v>769</v>
      </c>
      <c r="E193" s="916" t="s">
        <v>1372</v>
      </c>
      <c r="F193" s="917"/>
      <c r="G193" s="917"/>
      <c r="H193" s="918"/>
      <c r="I193" s="423"/>
      <c r="J193" s="420"/>
      <c r="K193" s="420"/>
    </row>
    <row r="194" spans="1:11" ht="14.4" customHeight="1" x14ac:dyDescent="0.35">
      <c r="A194" s="1" t="s">
        <v>1451</v>
      </c>
      <c r="B194" s="2" t="str">
        <f t="shared" si="4"/>
        <v>NO</v>
      </c>
      <c r="C194" s="390" t="s">
        <v>190</v>
      </c>
      <c r="D194" s="390" t="s">
        <v>769</v>
      </c>
      <c r="E194" s="916" t="s">
        <v>1373</v>
      </c>
      <c r="F194" s="917"/>
      <c r="G194" s="917"/>
      <c r="H194" s="918"/>
      <c r="I194" s="423"/>
      <c r="J194" s="420"/>
      <c r="K194" s="420"/>
    </row>
    <row r="195" spans="1:11" ht="14.4" customHeight="1" x14ac:dyDescent="0.35">
      <c r="A195" s="1" t="s">
        <v>1451</v>
      </c>
      <c r="B195" s="2" t="str">
        <f t="shared" si="4"/>
        <v>NO</v>
      </c>
      <c r="C195" s="390" t="s">
        <v>192</v>
      </c>
      <c r="D195" s="390" t="s">
        <v>769</v>
      </c>
      <c r="E195" s="916" t="s">
        <v>1149</v>
      </c>
      <c r="F195" s="917"/>
      <c r="G195" s="917"/>
      <c r="H195" s="918"/>
      <c r="I195" s="423"/>
      <c r="J195" s="420"/>
      <c r="K195" s="420"/>
    </row>
    <row r="196" spans="1:11" ht="14.4" customHeight="1" x14ac:dyDescent="0.35">
      <c r="A196" s="1" t="s">
        <v>1451</v>
      </c>
      <c r="B196" s="2" t="str">
        <f t="shared" si="4"/>
        <v>NO</v>
      </c>
      <c r="C196" s="390" t="s">
        <v>194</v>
      </c>
      <c r="D196" s="390" t="s">
        <v>769</v>
      </c>
      <c r="E196" s="916" t="s">
        <v>1150</v>
      </c>
      <c r="F196" s="917"/>
      <c r="G196" s="917"/>
      <c r="H196" s="918"/>
      <c r="I196" s="423"/>
      <c r="J196" s="420"/>
      <c r="K196" s="420"/>
    </row>
    <row r="197" spans="1:11" ht="14.4" customHeight="1" x14ac:dyDescent="0.35">
      <c r="A197" s="1" t="s">
        <v>1451</v>
      </c>
      <c r="B197" s="2" t="str">
        <f t="shared" si="4"/>
        <v>NO</v>
      </c>
      <c r="C197" s="390" t="s">
        <v>196</v>
      </c>
      <c r="D197" s="390" t="s">
        <v>769</v>
      </c>
      <c r="E197" s="916" t="s">
        <v>1374</v>
      </c>
      <c r="F197" s="917"/>
      <c r="G197" s="917"/>
      <c r="H197" s="918"/>
      <c r="I197" s="423"/>
      <c r="J197" s="420"/>
      <c r="K197" s="420"/>
    </row>
    <row r="198" spans="1:11" ht="14.4" customHeight="1" x14ac:dyDescent="0.35">
      <c r="A198" s="1" t="s">
        <v>1451</v>
      </c>
      <c r="B198" s="2" t="str">
        <f t="shared" si="4"/>
        <v>NO</v>
      </c>
      <c r="C198" s="390" t="s">
        <v>843</v>
      </c>
      <c r="D198" s="390" t="s">
        <v>769</v>
      </c>
      <c r="E198" s="916" t="s">
        <v>2387</v>
      </c>
      <c r="F198" s="917"/>
      <c r="G198" s="917"/>
      <c r="H198" s="918"/>
      <c r="I198" s="423"/>
      <c r="J198" s="420"/>
      <c r="K198" s="420"/>
    </row>
    <row r="199" spans="1:11" ht="14.4" customHeight="1" x14ac:dyDescent="0.35">
      <c r="A199" s="1" t="s">
        <v>1451</v>
      </c>
      <c r="B199" s="2" t="str">
        <f t="shared" si="4"/>
        <v>NO</v>
      </c>
      <c r="C199" s="390" t="s">
        <v>199</v>
      </c>
      <c r="D199" s="390" t="s">
        <v>769</v>
      </c>
      <c r="E199" s="916" t="s">
        <v>2405</v>
      </c>
      <c r="F199" s="917"/>
      <c r="G199" s="917"/>
      <c r="H199" s="918"/>
      <c r="I199" s="423"/>
      <c r="J199" s="420"/>
      <c r="K199" s="420"/>
    </row>
    <row r="200" spans="1:11" ht="14.4" customHeight="1" x14ac:dyDescent="0.35">
      <c r="A200" s="1" t="s">
        <v>1451</v>
      </c>
      <c r="B200" s="2" t="str">
        <f t="shared" si="4"/>
        <v>NO</v>
      </c>
      <c r="C200" s="390" t="s">
        <v>868</v>
      </c>
      <c r="D200" s="390" t="s">
        <v>769</v>
      </c>
      <c r="E200" s="916" t="s">
        <v>2406</v>
      </c>
      <c r="F200" s="917"/>
      <c r="G200" s="917"/>
      <c r="H200" s="918"/>
      <c r="I200" s="423"/>
      <c r="J200" s="420"/>
      <c r="K200" s="420"/>
    </row>
    <row r="201" spans="1:11" ht="14.4" customHeight="1" x14ac:dyDescent="0.35">
      <c r="A201" s="1" t="s">
        <v>1451</v>
      </c>
      <c r="B201" s="2" t="str">
        <f t="shared" si="4"/>
        <v>NO</v>
      </c>
      <c r="C201" s="390" t="s">
        <v>865</v>
      </c>
      <c r="D201" s="390" t="s">
        <v>769</v>
      </c>
      <c r="E201" s="916" t="s">
        <v>2388</v>
      </c>
      <c r="F201" s="917"/>
      <c r="G201" s="917"/>
      <c r="H201" s="918"/>
      <c r="I201" s="423"/>
      <c r="J201" s="420"/>
      <c r="K201" s="420"/>
    </row>
    <row r="202" spans="1:11" ht="14.4" customHeight="1" x14ac:dyDescent="0.35">
      <c r="A202" s="1" t="s">
        <v>1451</v>
      </c>
      <c r="B202" s="2" t="str">
        <f t="shared" si="4"/>
        <v>NO</v>
      </c>
      <c r="C202" s="390" t="s">
        <v>862</v>
      </c>
      <c r="D202" s="390" t="s">
        <v>769</v>
      </c>
      <c r="E202" s="916" t="s">
        <v>2389</v>
      </c>
      <c r="F202" s="917"/>
      <c r="G202" s="917"/>
      <c r="H202" s="918"/>
      <c r="I202" s="423"/>
      <c r="J202" s="420"/>
      <c r="K202" s="420"/>
    </row>
    <row r="203" spans="1:11" ht="14.4" customHeight="1" x14ac:dyDescent="0.35">
      <c r="A203" s="1" t="s">
        <v>1451</v>
      </c>
      <c r="B203" s="2" t="str">
        <f t="shared" si="4"/>
        <v>NO</v>
      </c>
      <c r="C203" s="390" t="s">
        <v>859</v>
      </c>
      <c r="D203" s="390" t="s">
        <v>769</v>
      </c>
      <c r="E203" s="916" t="s">
        <v>2390</v>
      </c>
      <c r="F203" s="917"/>
      <c r="G203" s="917"/>
      <c r="H203" s="918"/>
      <c r="I203" s="423"/>
      <c r="J203" s="420"/>
      <c r="K203" s="420"/>
    </row>
    <row r="204" spans="1:11" ht="14.4" customHeight="1" x14ac:dyDescent="0.35">
      <c r="A204" s="1" t="s">
        <v>1451</v>
      </c>
      <c r="B204" s="2" t="str">
        <f t="shared" si="4"/>
        <v>NO</v>
      </c>
      <c r="C204" s="390" t="s">
        <v>205</v>
      </c>
      <c r="D204" s="390" t="s">
        <v>769</v>
      </c>
      <c r="E204" s="916" t="s">
        <v>2391</v>
      </c>
      <c r="F204" s="917"/>
      <c r="G204" s="917"/>
      <c r="H204" s="918"/>
      <c r="I204" s="423"/>
      <c r="J204" s="420"/>
      <c r="K204" s="420"/>
    </row>
    <row r="205" spans="1:11" ht="14.4" customHeight="1" x14ac:dyDescent="0.35">
      <c r="A205" s="1" t="s">
        <v>1451</v>
      </c>
      <c r="B205" s="2" t="str">
        <f t="shared" si="4"/>
        <v>NO</v>
      </c>
      <c r="C205" s="390" t="s">
        <v>856</v>
      </c>
      <c r="D205" s="390" t="s">
        <v>769</v>
      </c>
      <c r="E205" s="916" t="s">
        <v>2392</v>
      </c>
      <c r="F205" s="917"/>
      <c r="G205" s="917"/>
      <c r="H205" s="918"/>
      <c r="I205" s="423"/>
      <c r="J205" s="420"/>
      <c r="K205" s="420"/>
    </row>
    <row r="206" spans="1:11" ht="14.4" customHeight="1" x14ac:dyDescent="0.35">
      <c r="A206" s="1" t="s">
        <v>1451</v>
      </c>
      <c r="B206" s="2" t="str">
        <f t="shared" si="4"/>
        <v>NO</v>
      </c>
      <c r="C206" s="390" t="s">
        <v>853</v>
      </c>
      <c r="D206" s="390" t="s">
        <v>769</v>
      </c>
      <c r="E206" s="916" t="s">
        <v>2407</v>
      </c>
      <c r="F206" s="917"/>
      <c r="G206" s="917"/>
      <c r="H206" s="918"/>
      <c r="I206" s="423"/>
      <c r="J206" s="420"/>
      <c r="K206" s="420"/>
    </row>
    <row r="207" spans="1:11" ht="14.4" customHeight="1" x14ac:dyDescent="0.35">
      <c r="A207" s="1" t="s">
        <v>1451</v>
      </c>
      <c r="B207" s="2" t="str">
        <f t="shared" si="4"/>
        <v>NO</v>
      </c>
      <c r="C207" s="390" t="s">
        <v>849</v>
      </c>
      <c r="D207" s="390" t="s">
        <v>769</v>
      </c>
      <c r="E207" s="916" t="s">
        <v>2393</v>
      </c>
      <c r="F207" s="917"/>
      <c r="G207" s="917"/>
      <c r="H207" s="918"/>
      <c r="I207" s="423"/>
      <c r="J207" s="420"/>
      <c r="K207" s="420"/>
    </row>
    <row r="208" spans="1:11" ht="14.4" customHeight="1" x14ac:dyDescent="0.35">
      <c r="A208" s="1" t="s">
        <v>1451</v>
      </c>
      <c r="B208" s="2" t="str">
        <f t="shared" si="4"/>
        <v>NO</v>
      </c>
      <c r="C208" s="390" t="s">
        <v>847</v>
      </c>
      <c r="D208" s="390" t="s">
        <v>769</v>
      </c>
      <c r="E208" s="916" t="s">
        <v>2394</v>
      </c>
      <c r="F208" s="917"/>
      <c r="G208" s="917"/>
      <c r="H208" s="918"/>
      <c r="I208" s="423"/>
      <c r="J208" s="420"/>
      <c r="K208" s="420"/>
    </row>
    <row r="209" spans="1:11" ht="14.4" customHeight="1" x14ac:dyDescent="0.35">
      <c r="A209" s="1" t="s">
        <v>1451</v>
      </c>
      <c r="B209" s="2" t="str">
        <f t="shared" si="4"/>
        <v>NO</v>
      </c>
      <c r="C209" s="390" t="s">
        <v>845</v>
      </c>
      <c r="D209" s="390" t="s">
        <v>769</v>
      </c>
      <c r="E209" s="916" t="s">
        <v>2395</v>
      </c>
      <c r="F209" s="917"/>
      <c r="G209" s="917"/>
      <c r="H209" s="918"/>
      <c r="I209" s="423"/>
      <c r="J209" s="420"/>
      <c r="K209" s="420"/>
    </row>
    <row r="210" spans="1:11" ht="14.4" customHeight="1" x14ac:dyDescent="0.35">
      <c r="A210" s="1" t="s">
        <v>1451</v>
      </c>
      <c r="B210" s="2" t="str">
        <f t="shared" si="4"/>
        <v>NO</v>
      </c>
      <c r="C210" s="390" t="s">
        <v>842</v>
      </c>
      <c r="D210" s="390" t="s">
        <v>769</v>
      </c>
      <c r="E210" s="916" t="s">
        <v>2396</v>
      </c>
      <c r="F210" s="917"/>
      <c r="G210" s="917"/>
      <c r="H210" s="918"/>
      <c r="I210" s="423"/>
      <c r="J210" s="420"/>
      <c r="K210" s="420"/>
    </row>
    <row r="211" spans="1:11" ht="14.4" customHeight="1" x14ac:dyDescent="0.35">
      <c r="A211" s="1" t="s">
        <v>1451</v>
      </c>
      <c r="B211" s="2" t="str">
        <f t="shared" si="4"/>
        <v>NO</v>
      </c>
      <c r="C211" s="390" t="s">
        <v>213</v>
      </c>
      <c r="D211" s="390" t="s">
        <v>769</v>
      </c>
      <c r="E211" s="916" t="s">
        <v>2397</v>
      </c>
      <c r="F211" s="917"/>
      <c r="G211" s="917"/>
      <c r="H211" s="918"/>
      <c r="I211" s="423"/>
      <c r="J211" s="420"/>
      <c r="K211" s="420"/>
    </row>
    <row r="212" spans="1:11" ht="14.4" customHeight="1" x14ac:dyDescent="0.35">
      <c r="A212" s="1" t="s">
        <v>1451</v>
      </c>
      <c r="B212" s="2" t="str">
        <f t="shared" si="4"/>
        <v>NO</v>
      </c>
      <c r="C212" s="390" t="s">
        <v>215</v>
      </c>
      <c r="D212" s="390" t="s">
        <v>769</v>
      </c>
      <c r="E212" s="916" t="s">
        <v>2398</v>
      </c>
      <c r="F212" s="917"/>
      <c r="G212" s="917"/>
      <c r="H212" s="918"/>
      <c r="I212" s="423"/>
      <c r="J212" s="420"/>
      <c r="K212" s="420"/>
    </row>
    <row r="213" spans="1:11" ht="14.4" customHeight="1" x14ac:dyDescent="0.35">
      <c r="A213" s="1" t="s">
        <v>1451</v>
      </c>
      <c r="B213" s="2" t="str">
        <f t="shared" ref="B213:B217" si="5">IF(SUM(I213:K213)&gt;0,"SI","NO")</f>
        <v>NO</v>
      </c>
      <c r="C213" s="390" t="s">
        <v>217</v>
      </c>
      <c r="D213" s="390" t="s">
        <v>769</v>
      </c>
      <c r="E213" s="916" t="s">
        <v>2408</v>
      </c>
      <c r="F213" s="917"/>
      <c r="G213" s="917"/>
      <c r="H213" s="918"/>
      <c r="I213" s="423"/>
      <c r="J213" s="420"/>
      <c r="K213" s="420"/>
    </row>
    <row r="214" spans="1:11" ht="14.4" customHeight="1" x14ac:dyDescent="0.35">
      <c r="A214" s="1" t="s">
        <v>1451</v>
      </c>
      <c r="B214" s="2" t="str">
        <f t="shared" si="5"/>
        <v>NO</v>
      </c>
      <c r="C214" s="390" t="s">
        <v>219</v>
      </c>
      <c r="D214" s="390" t="s">
        <v>769</v>
      </c>
      <c r="E214" s="916" t="s">
        <v>1151</v>
      </c>
      <c r="F214" s="917"/>
      <c r="G214" s="917"/>
      <c r="H214" s="918"/>
      <c r="I214" s="423"/>
      <c r="J214" s="420"/>
      <c r="K214" s="420"/>
    </row>
    <row r="215" spans="1:11" ht="14.4" customHeight="1" x14ac:dyDescent="0.35">
      <c r="A215" s="1" t="s">
        <v>1451</v>
      </c>
      <c r="B215" s="2" t="str">
        <f t="shared" si="5"/>
        <v>NO</v>
      </c>
      <c r="C215" s="390" t="s">
        <v>221</v>
      </c>
      <c r="D215" s="390" t="s">
        <v>769</v>
      </c>
      <c r="E215" s="916" t="s">
        <v>2409</v>
      </c>
      <c r="F215" s="917"/>
      <c r="G215" s="917"/>
      <c r="H215" s="918"/>
      <c r="I215" s="423"/>
      <c r="J215" s="420"/>
      <c r="K215" s="420"/>
    </row>
    <row r="216" spans="1:11" ht="14.4" customHeight="1" x14ac:dyDescent="0.35">
      <c r="A216" s="1" t="s">
        <v>1451</v>
      </c>
      <c r="B216" s="2" t="str">
        <f t="shared" si="5"/>
        <v>NO</v>
      </c>
      <c r="C216" s="390" t="s">
        <v>223</v>
      </c>
      <c r="D216" s="390" t="s">
        <v>769</v>
      </c>
      <c r="E216" s="916" t="s">
        <v>2410</v>
      </c>
      <c r="F216" s="917"/>
      <c r="G216" s="917"/>
      <c r="H216" s="918"/>
      <c r="I216" s="423"/>
      <c r="J216" s="420"/>
      <c r="K216" s="420"/>
    </row>
    <row r="217" spans="1:11" ht="14.4" customHeight="1" x14ac:dyDescent="0.35">
      <c r="A217" s="1" t="s">
        <v>1451</v>
      </c>
      <c r="B217" s="2" t="str">
        <f t="shared" si="5"/>
        <v>NO</v>
      </c>
      <c r="C217" s="390" t="s">
        <v>864</v>
      </c>
      <c r="D217" s="390" t="s">
        <v>769</v>
      </c>
      <c r="E217" s="916" t="s">
        <v>2411</v>
      </c>
      <c r="F217" s="917"/>
      <c r="G217" s="917"/>
      <c r="H217" s="918"/>
      <c r="I217" s="423"/>
      <c r="J217" s="420"/>
      <c r="K217" s="420"/>
    </row>
    <row r="218" spans="1:11" ht="14.4" customHeight="1" x14ac:dyDescent="0.35">
      <c r="A218" s="1" t="s">
        <v>1451</v>
      </c>
      <c r="B218" s="2" t="str">
        <f>IF(SUM(I218:K218)&gt;0,"SI","NO")</f>
        <v>NO</v>
      </c>
      <c r="C218" s="390" t="s">
        <v>226</v>
      </c>
      <c r="D218" s="390" t="s">
        <v>769</v>
      </c>
      <c r="E218" s="916" t="s">
        <v>1084</v>
      </c>
      <c r="F218" s="917"/>
      <c r="G218" s="917"/>
      <c r="H218" s="918"/>
      <c r="I218" s="423"/>
      <c r="J218" s="420"/>
      <c r="K218" s="420"/>
    </row>
    <row r="219" spans="1:11" ht="14.4" customHeight="1" x14ac:dyDescent="0.35">
      <c r="A219" s="1" t="s">
        <v>1451</v>
      </c>
      <c r="B219" s="2" t="str">
        <f>IF(SUM(I219:K219)&gt;0,"SI","NO")</f>
        <v>NO</v>
      </c>
      <c r="C219" s="390" t="s">
        <v>855</v>
      </c>
      <c r="D219" s="390" t="s">
        <v>769</v>
      </c>
      <c r="E219" s="916" t="s">
        <v>1152</v>
      </c>
      <c r="F219" s="917"/>
      <c r="G219" s="917"/>
      <c r="H219" s="918"/>
      <c r="I219" s="423"/>
      <c r="J219" s="420"/>
      <c r="K219" s="420"/>
    </row>
    <row r="220" spans="1:11" ht="14.4" customHeight="1" x14ac:dyDescent="0.35">
      <c r="A220" s="1" t="s">
        <v>1451</v>
      </c>
      <c r="B220" s="2" t="str">
        <f>IF(SUM(I220:K220)&gt;0,"SI","NO")</f>
        <v>NO</v>
      </c>
      <c r="C220" s="390" t="s">
        <v>852</v>
      </c>
      <c r="D220" s="390" t="s">
        <v>769</v>
      </c>
      <c r="E220" s="916" t="s">
        <v>2412</v>
      </c>
      <c r="F220" s="917"/>
      <c r="G220" s="917"/>
      <c r="H220" s="918"/>
      <c r="I220" s="423"/>
      <c r="J220" s="420"/>
      <c r="K220" s="420"/>
    </row>
    <row r="221" spans="1:11" s="392" customFormat="1" x14ac:dyDescent="0.35">
      <c r="B221" s="2" t="str">
        <f>IF(SUM(I$84:K$220)&gt;0,"SI","NO")</f>
        <v>SI</v>
      </c>
      <c r="C221" s="396"/>
      <c r="D221" s="397"/>
      <c r="E221" s="398"/>
      <c r="F221" s="398"/>
      <c r="G221" s="1415"/>
      <c r="H221" s="1416"/>
      <c r="I221" s="399" t="s">
        <v>1408</v>
      </c>
      <c r="J221" s="421">
        <f>SUMIF($D84:$D220,"+",J84:J220)-SUMIF($D84:$D220,"-",J84:J220)</f>
        <v>189336.88</v>
      </c>
      <c r="K221" s="421">
        <f>SUMIF($D84:$D220,"+",K84:K220)-SUMIF($D84:$D220,"-",K84:K220)</f>
        <v>4214.3399999999992</v>
      </c>
    </row>
    <row r="222" spans="1:11" x14ac:dyDescent="0.35">
      <c r="B222" s="2" t="str">
        <f>IF(SUM(I$84:K$220)&gt;0,"SI","NO")</f>
        <v>SI</v>
      </c>
    </row>
    <row r="223" spans="1:11" x14ac:dyDescent="0.35">
      <c r="B223" s="2" t="str">
        <f>IF(SUM(I$225:K$231)&gt;0,"SI","NO")</f>
        <v>NO</v>
      </c>
      <c r="C223" s="1417" t="s">
        <v>1350</v>
      </c>
      <c r="D223" s="1418"/>
      <c r="E223" s="1418"/>
      <c r="F223" s="1418"/>
      <c r="G223" s="1418"/>
      <c r="H223" s="1418"/>
      <c r="I223" s="1418"/>
      <c r="J223" s="1418"/>
      <c r="K223" s="1419"/>
    </row>
    <row r="224" spans="1:11" s="402" customFormat="1" x14ac:dyDescent="0.35">
      <c r="B224" s="2" t="str">
        <f>IF(SUM(I$225:K$231)&gt;0,"SI","NO")</f>
        <v>NO</v>
      </c>
      <c r="C224" s="400" t="s">
        <v>1351</v>
      </c>
      <c r="D224" s="400"/>
      <c r="E224" s="1420" t="s">
        <v>1348</v>
      </c>
      <c r="F224" s="1421" t="s">
        <v>749</v>
      </c>
      <c r="G224" s="1422"/>
      <c r="H224" s="400"/>
      <c r="I224" s="1420" t="s">
        <v>1034</v>
      </c>
      <c r="J224" s="1421"/>
      <c r="K224" s="1422"/>
    </row>
    <row r="225" spans="1:11" x14ac:dyDescent="0.35">
      <c r="A225" s="1" t="s">
        <v>1454</v>
      </c>
      <c r="B225" s="2" t="str">
        <f t="shared" ref="B225:B231" si="6">IF(SUM(I225:K225)&gt;0,"SI","NO")</f>
        <v>NO</v>
      </c>
      <c r="C225" s="390" t="s">
        <v>1289</v>
      </c>
      <c r="D225" s="390" t="s">
        <v>769</v>
      </c>
      <c r="E225" s="1423" t="s">
        <v>1290</v>
      </c>
      <c r="F225" s="1424"/>
      <c r="G225" s="1424"/>
      <c r="H225" s="407"/>
      <c r="I225" s="406"/>
      <c r="J225" s="418">
        <v>0</v>
      </c>
      <c r="K225" s="407"/>
    </row>
    <row r="226" spans="1:11" x14ac:dyDescent="0.35">
      <c r="A226" s="1" t="s">
        <v>1455</v>
      </c>
      <c r="B226" s="2" t="str">
        <f t="shared" si="6"/>
        <v>NO</v>
      </c>
      <c r="C226" s="390" t="s">
        <v>1289</v>
      </c>
      <c r="D226" s="390" t="s">
        <v>769</v>
      </c>
      <c r="E226" s="1423" t="s">
        <v>1291</v>
      </c>
      <c r="F226" s="1424"/>
      <c r="G226" s="1424"/>
      <c r="H226" s="407"/>
      <c r="I226" s="406"/>
      <c r="J226" s="418">
        <v>0</v>
      </c>
      <c r="K226" s="407"/>
    </row>
    <row r="227" spans="1:11" x14ac:dyDescent="0.35">
      <c r="A227" s="1" t="s">
        <v>1456</v>
      </c>
      <c r="B227" s="2" t="str">
        <f t="shared" si="6"/>
        <v>NO</v>
      </c>
      <c r="C227" s="390" t="s">
        <v>1289</v>
      </c>
      <c r="D227" s="390" t="s">
        <v>769</v>
      </c>
      <c r="E227" s="1423" t="s">
        <v>1352</v>
      </c>
      <c r="F227" s="1424"/>
      <c r="G227" s="1424"/>
      <c r="H227" s="407"/>
      <c r="I227" s="406"/>
      <c r="J227" s="418">
        <v>0</v>
      </c>
      <c r="K227" s="407"/>
    </row>
    <row r="228" spans="1:11" x14ac:dyDescent="0.35">
      <c r="A228" s="1" t="s">
        <v>1457</v>
      </c>
      <c r="B228" s="2" t="str">
        <f t="shared" si="6"/>
        <v>NO</v>
      </c>
      <c r="C228" s="390" t="s">
        <v>1289</v>
      </c>
      <c r="D228" s="390" t="s">
        <v>769</v>
      </c>
      <c r="E228" s="1423" t="s">
        <v>1292</v>
      </c>
      <c r="F228" s="1424"/>
      <c r="G228" s="1424"/>
      <c r="H228" s="407"/>
      <c r="I228" s="406"/>
      <c r="J228" s="418">
        <v>0</v>
      </c>
      <c r="K228" s="407"/>
    </row>
    <row r="229" spans="1:11" x14ac:dyDescent="0.35">
      <c r="A229" s="1" t="s">
        <v>1458</v>
      </c>
      <c r="B229" s="2" t="str">
        <f t="shared" si="6"/>
        <v>NO</v>
      </c>
      <c r="C229" s="390" t="s">
        <v>1289</v>
      </c>
      <c r="D229" s="390" t="s">
        <v>769</v>
      </c>
      <c r="E229" s="1423" t="s">
        <v>1353</v>
      </c>
      <c r="F229" s="1424"/>
      <c r="G229" s="1424"/>
      <c r="H229" s="407"/>
      <c r="I229" s="406"/>
      <c r="J229" s="418">
        <v>0</v>
      </c>
      <c r="K229" s="407"/>
    </row>
    <row r="230" spans="1:11" x14ac:dyDescent="0.35">
      <c r="A230" s="1" t="s">
        <v>1459</v>
      </c>
      <c r="B230" s="2" t="str">
        <f t="shared" si="6"/>
        <v>NO</v>
      </c>
      <c r="C230" s="390" t="s">
        <v>1289</v>
      </c>
      <c r="D230" s="390" t="s">
        <v>769</v>
      </c>
      <c r="E230" s="1423" t="s">
        <v>1354</v>
      </c>
      <c r="F230" s="1424"/>
      <c r="G230" s="1424"/>
      <c r="H230" s="407"/>
      <c r="I230" s="406"/>
      <c r="J230" s="418">
        <v>0</v>
      </c>
      <c r="K230" s="407"/>
    </row>
    <row r="231" spans="1:11" x14ac:dyDescent="0.35">
      <c r="A231" s="1" t="s">
        <v>1460</v>
      </c>
      <c r="B231" s="2" t="str">
        <f t="shared" si="6"/>
        <v>NO</v>
      </c>
      <c r="C231" s="390" t="s">
        <v>1289</v>
      </c>
      <c r="D231" s="417" t="s">
        <v>1404</v>
      </c>
      <c r="E231" s="1423" t="s">
        <v>1355</v>
      </c>
      <c r="F231" s="1424"/>
      <c r="G231" s="1424"/>
      <c r="H231" s="407"/>
      <c r="I231" s="406"/>
      <c r="J231" s="418">
        <v>0</v>
      </c>
      <c r="K231" s="407"/>
    </row>
    <row r="232" spans="1:11" s="392" customFormat="1" x14ac:dyDescent="0.35">
      <c r="B232" s="2" t="str">
        <f>IF(SUM(I$225:K$231)&gt;0,"SI","NO")</f>
        <v>NO</v>
      </c>
      <c r="C232" s="396"/>
      <c r="D232" s="397"/>
      <c r="E232" s="398"/>
      <c r="F232" s="398"/>
      <c r="G232" s="414"/>
      <c r="H232" s="399" t="s">
        <v>1408</v>
      </c>
      <c r="I232" s="406"/>
      <c r="J232" s="419">
        <f>SUMIF($D225:$D231,"+",J225:J231)-SUMIF($D225:$D231,"-",J225:J231)</f>
        <v>0</v>
      </c>
      <c r="K232" s="409"/>
    </row>
    <row r="233" spans="1:11" x14ac:dyDescent="0.35">
      <c r="B233" s="2" t="str">
        <f>IF(SUM(I$225:K$231)&gt;0,"SI","NO")</f>
        <v>NO</v>
      </c>
    </row>
    <row r="234" spans="1:11" x14ac:dyDescent="0.35">
      <c r="B234" s="2" t="str">
        <f>IF(SUM(I$236:K$237)&gt;0,"SI","NO")</f>
        <v>NO</v>
      </c>
      <c r="C234" s="1417" t="s">
        <v>1356</v>
      </c>
      <c r="D234" s="1418"/>
      <c r="E234" s="1418"/>
      <c r="F234" s="1418"/>
      <c r="G234" s="1418"/>
      <c r="H234" s="1418"/>
      <c r="I234" s="1418"/>
      <c r="J234" s="1418"/>
      <c r="K234" s="1419"/>
    </row>
    <row r="235" spans="1:11" s="402" customFormat="1" x14ac:dyDescent="0.35">
      <c r="B235" s="2" t="str">
        <f>IF(SUM(I$236:K$237)&gt;0,"SI","NO")</f>
        <v>NO</v>
      </c>
      <c r="C235" s="400" t="s">
        <v>1351</v>
      </c>
      <c r="D235" s="400"/>
      <c r="E235" s="1420" t="s">
        <v>1357</v>
      </c>
      <c r="F235" s="1421" t="s">
        <v>749</v>
      </c>
      <c r="G235" s="1421"/>
      <c r="H235" s="415"/>
      <c r="I235" s="1420" t="s">
        <v>1034</v>
      </c>
      <c r="J235" s="1421"/>
      <c r="K235" s="1422"/>
    </row>
    <row r="236" spans="1:11" x14ac:dyDescent="0.35">
      <c r="A236" s="1" t="s">
        <v>1461</v>
      </c>
      <c r="B236" s="2" t="str">
        <f>IF(SUM(I236:K236)&gt;0,"SI","NO")</f>
        <v>NO</v>
      </c>
      <c r="C236" s="390" t="s">
        <v>1293</v>
      </c>
      <c r="D236" s="390" t="s">
        <v>769</v>
      </c>
      <c r="E236" s="1423" t="s">
        <v>1358</v>
      </c>
      <c r="F236" s="1424"/>
      <c r="G236" s="1424"/>
      <c r="H236" s="407"/>
      <c r="I236" s="406"/>
      <c r="J236" s="418">
        <v>0</v>
      </c>
      <c r="K236" s="407"/>
    </row>
    <row r="237" spans="1:11" x14ac:dyDescent="0.35">
      <c r="A237" s="1" t="s">
        <v>1462</v>
      </c>
      <c r="B237" s="2" t="str">
        <f>IF(SUM(I237:K237)&gt;0,"SI","NO")</f>
        <v>NO</v>
      </c>
      <c r="C237" s="390" t="s">
        <v>1293</v>
      </c>
      <c r="D237" s="390" t="s">
        <v>769</v>
      </c>
      <c r="E237" s="1423" t="s">
        <v>1359</v>
      </c>
      <c r="F237" s="1424"/>
      <c r="G237" s="1424"/>
      <c r="H237" s="407"/>
      <c r="I237" s="406"/>
      <c r="J237" s="418">
        <v>0</v>
      </c>
      <c r="K237" s="407"/>
    </row>
    <row r="238" spans="1:11" s="392" customFormat="1" x14ac:dyDescent="0.35">
      <c r="B238" s="2" t="str">
        <f>IF(SUM(I$236:K$237)&gt;0,"SI","NO")</f>
        <v>NO</v>
      </c>
      <c r="C238" s="396"/>
      <c r="D238" s="397"/>
      <c r="E238" s="398"/>
      <c r="F238" s="398"/>
      <c r="G238" s="414"/>
      <c r="H238" s="399" t="s">
        <v>1408</v>
      </c>
      <c r="I238" s="406"/>
      <c r="J238" s="419">
        <f>SUMIF($D236:$D237,"+",J236:J237)-SUMIF($D236:$D237,"-",J236:J237)</f>
        <v>0</v>
      </c>
      <c r="K238" s="407"/>
    </row>
    <row r="239" spans="1:11" x14ac:dyDescent="0.35">
      <c r="B239" s="2" t="str">
        <f>IF(SUM(I$236:K$237)&gt;0,"SI","NO")</f>
        <v>NO</v>
      </c>
    </row>
    <row r="240" spans="1:11" x14ac:dyDescent="0.35">
      <c r="B240" s="2" t="str">
        <f>IF(SUM(I$242:K$244)&gt;0,"SI","NO")</f>
        <v>NO</v>
      </c>
      <c r="C240" s="1417" t="s">
        <v>1360</v>
      </c>
      <c r="D240" s="1418"/>
      <c r="E240" s="1418"/>
      <c r="F240" s="1418"/>
      <c r="G240" s="1418"/>
      <c r="H240" s="1418"/>
      <c r="I240" s="1418"/>
      <c r="J240" s="1418"/>
      <c r="K240" s="1419"/>
    </row>
    <row r="241" spans="1:11" s="402" customFormat="1" ht="29" x14ac:dyDescent="0.35">
      <c r="B241" s="2" t="str">
        <f>IF(SUM(I$242:K$244)&gt;0,"SI","NO")</f>
        <v>NO</v>
      </c>
      <c r="C241" s="400" t="s">
        <v>1296</v>
      </c>
      <c r="D241" s="400"/>
      <c r="E241" s="1425" t="s">
        <v>1282</v>
      </c>
      <c r="F241" s="1426"/>
      <c r="G241" s="1426"/>
      <c r="H241" s="1427"/>
      <c r="I241" s="401" t="s">
        <v>1297</v>
      </c>
      <c r="J241" s="401" t="s">
        <v>1361</v>
      </c>
      <c r="K241" s="401" t="s">
        <v>1298</v>
      </c>
    </row>
    <row r="242" spans="1:11" x14ac:dyDescent="0.35">
      <c r="A242" s="1" t="s">
        <v>1452</v>
      </c>
      <c r="B242" s="2" t="str">
        <f>IF(SUM(I242:K242)&gt;0,"SI","NO")</f>
        <v>NO</v>
      </c>
      <c r="C242" s="390" t="s">
        <v>622</v>
      </c>
      <c r="D242" s="390" t="s">
        <v>769</v>
      </c>
      <c r="E242" s="1414" t="s">
        <v>1362</v>
      </c>
      <c r="F242" s="1414"/>
      <c r="G242" s="1414"/>
      <c r="H242" s="1414"/>
      <c r="I242" s="423"/>
      <c r="J242" s="420"/>
      <c r="K242" s="420"/>
    </row>
    <row r="243" spans="1:11" x14ac:dyDescent="0.35">
      <c r="A243" s="1" t="s">
        <v>1452</v>
      </c>
      <c r="B243" s="2" t="str">
        <f>IF(SUM(I243:K243)&gt;0,"SI","NO")</f>
        <v>NO</v>
      </c>
      <c r="C243" s="390" t="s">
        <v>623</v>
      </c>
      <c r="D243" s="417" t="s">
        <v>1404</v>
      </c>
      <c r="E243" s="1414" t="s">
        <v>1363</v>
      </c>
      <c r="F243" s="1414"/>
      <c r="G243" s="1414"/>
      <c r="H243" s="1414"/>
      <c r="I243" s="423"/>
      <c r="J243" s="420"/>
      <c r="K243" s="420"/>
    </row>
    <row r="244" spans="1:11" x14ac:dyDescent="0.35">
      <c r="A244" s="1" t="s">
        <v>1452</v>
      </c>
      <c r="B244" s="2" t="str">
        <f>IF(SUM(I244:K244)&gt;0,"SI","NO")</f>
        <v>NO</v>
      </c>
      <c r="C244" s="390" t="s">
        <v>624</v>
      </c>
      <c r="D244" s="390" t="s">
        <v>769</v>
      </c>
      <c r="E244" s="1414" t="s">
        <v>1364</v>
      </c>
      <c r="F244" s="1414"/>
      <c r="G244" s="1414"/>
      <c r="H244" s="1414"/>
      <c r="I244" s="423"/>
      <c r="J244" s="420"/>
      <c r="K244" s="420"/>
    </row>
    <row r="245" spans="1:11" s="392" customFormat="1" x14ac:dyDescent="0.35">
      <c r="B245" s="2" t="str">
        <f>IF(SUM(I$242:K$244)&gt;0,"SI","NO")</f>
        <v>NO</v>
      </c>
      <c r="C245" s="396"/>
      <c r="D245" s="397"/>
      <c r="E245" s="398"/>
      <c r="F245" s="398"/>
      <c r="G245" s="398"/>
      <c r="H245" s="399"/>
      <c r="I245" s="399" t="s">
        <v>1408</v>
      </c>
      <c r="J245" s="419">
        <f>SUMIF($D242:$D244,"+",J242:J244)-SUMIF($D242:$D244,"-",J242:J244)</f>
        <v>0</v>
      </c>
      <c r="K245" s="419">
        <f>SUMIF($D242:$D244,"+",K242:K244)-SUMIF($D242:$D244,"-",K242:K244)</f>
        <v>0</v>
      </c>
    </row>
    <row r="246" spans="1:11" x14ac:dyDescent="0.35">
      <c r="B246" s="2" t="str">
        <f>IF(SUM(I$242:K$244)&gt;0,"SI","NO")</f>
        <v>NO</v>
      </c>
    </row>
    <row r="247" spans="1:11" x14ac:dyDescent="0.35">
      <c r="B247" s="2" t="str">
        <f>IF(SUM(I$249:K$250)&gt;0,"SI","NO")</f>
        <v>NO</v>
      </c>
      <c r="C247" s="1417" t="s">
        <v>1365</v>
      </c>
      <c r="D247" s="1418"/>
      <c r="E247" s="1418"/>
      <c r="F247" s="1418"/>
      <c r="G247" s="1418"/>
      <c r="H247" s="1418"/>
      <c r="I247" s="1418"/>
      <c r="J247" s="1418"/>
      <c r="K247" s="1419"/>
    </row>
    <row r="248" spans="1:11" s="402" customFormat="1" x14ac:dyDescent="0.35">
      <c r="B248" s="2" t="str">
        <f>IF(SUM(I$249:K$250)&gt;0,"SI","NO")</f>
        <v>NO</v>
      </c>
      <c r="C248" s="400" t="s">
        <v>1351</v>
      </c>
      <c r="D248" s="400"/>
      <c r="E248" s="1420" t="s">
        <v>1366</v>
      </c>
      <c r="F248" s="1421"/>
      <c r="G248" s="1421"/>
      <c r="H248" s="415"/>
      <c r="I248" s="1420" t="s">
        <v>1034</v>
      </c>
      <c r="J248" s="1421"/>
      <c r="K248" s="1422"/>
    </row>
    <row r="249" spans="1:11" x14ac:dyDescent="0.35">
      <c r="A249" s="1" t="s">
        <v>1463</v>
      </c>
      <c r="B249" s="2" t="str">
        <f>IF(SUM(I249:K249)&gt;0,"SI","NO")</f>
        <v>NO</v>
      </c>
      <c r="C249" s="390" t="s">
        <v>1367</v>
      </c>
      <c r="D249" s="390" t="s">
        <v>769</v>
      </c>
      <c r="E249" s="1423" t="s">
        <v>1368</v>
      </c>
      <c r="F249" s="1424"/>
      <c r="G249" s="1424"/>
      <c r="H249" s="407"/>
      <c r="I249" s="406"/>
      <c r="J249" s="418">
        <v>0</v>
      </c>
      <c r="K249" s="407"/>
    </row>
    <row r="250" spans="1:11" x14ac:dyDescent="0.35">
      <c r="A250" s="1" t="s">
        <v>1464</v>
      </c>
      <c r="B250" s="2" t="str">
        <f>IF(SUM(I250:K250)&gt;0,"SI","NO")</f>
        <v>NO</v>
      </c>
      <c r="C250" s="390" t="s">
        <v>1367</v>
      </c>
      <c r="D250" s="390" t="s">
        <v>769</v>
      </c>
      <c r="E250" s="1423" t="s">
        <v>1369</v>
      </c>
      <c r="F250" s="1424"/>
      <c r="G250" s="1424"/>
      <c r="H250" s="407"/>
      <c r="I250" s="406"/>
      <c r="J250" s="418">
        <v>0</v>
      </c>
      <c r="K250" s="407"/>
    </row>
    <row r="251" spans="1:11" s="392" customFormat="1" x14ac:dyDescent="0.35">
      <c r="B251" s="2" t="str">
        <f>IF(SUM(I$249:K$250)&gt;0,"SI","NO")</f>
        <v>NO</v>
      </c>
      <c r="C251" s="396"/>
      <c r="D251" s="397"/>
      <c r="E251" s="398"/>
      <c r="F251" s="398"/>
      <c r="G251" s="414"/>
      <c r="H251" s="399" t="s">
        <v>1408</v>
      </c>
      <c r="I251" s="406"/>
      <c r="J251" s="419">
        <f>SUMIF($D249:$D250,"+",J249:J250)-SUMIF($D249:$D250,"-",J249:J250)</f>
        <v>0</v>
      </c>
      <c r="K251" s="407"/>
    </row>
    <row r="252" spans="1:11" x14ac:dyDescent="0.35">
      <c r="B252" s="2" t="str">
        <f>IF(SUM(I$249:K$250)&gt;0,"SI","NO")</f>
        <v>NO</v>
      </c>
    </row>
    <row r="253" spans="1:11" x14ac:dyDescent="0.35">
      <c r="B253" s="2" t="str">
        <f>IF(SUM(I$255:K$288)&gt;0,"SI","NO")</f>
        <v>NO</v>
      </c>
      <c r="C253" s="1417" t="s">
        <v>972</v>
      </c>
      <c r="D253" s="1418"/>
      <c r="E253" s="1418"/>
      <c r="F253" s="1418"/>
      <c r="G253" s="1418"/>
      <c r="H253" s="1418"/>
      <c r="I253" s="1418"/>
      <c r="J253" s="1418"/>
      <c r="K253" s="1419"/>
    </row>
    <row r="254" spans="1:11" s="402" customFormat="1" ht="29" x14ac:dyDescent="0.35">
      <c r="B254" s="2" t="str">
        <f>IF(SUM(I$255:K$282)&gt;0,"SI","NO")</f>
        <v>NO</v>
      </c>
      <c r="C254" s="400" t="s">
        <v>1296</v>
      </c>
      <c r="D254" s="400"/>
      <c r="E254" s="1425" t="s">
        <v>1414</v>
      </c>
      <c r="F254" s="1426"/>
      <c r="G254" s="1426"/>
      <c r="H254" s="1427"/>
      <c r="I254" s="401" t="s">
        <v>1297</v>
      </c>
      <c r="J254" s="401" t="s">
        <v>1349</v>
      </c>
      <c r="K254" s="401" t="s">
        <v>1034</v>
      </c>
    </row>
    <row r="255" spans="1:11" x14ac:dyDescent="0.35">
      <c r="A255" s="1" t="s">
        <v>1468</v>
      </c>
      <c r="B255" s="2" t="str">
        <f t="shared" ref="B255:B282" si="7">IF(SUM(I255:K255)&gt;0,"SI","NO")</f>
        <v>NO</v>
      </c>
      <c r="C255" s="390" t="s">
        <v>1401</v>
      </c>
      <c r="D255" s="390" t="s">
        <v>769</v>
      </c>
      <c r="E255" s="1414" t="s">
        <v>1123</v>
      </c>
      <c r="F255" s="1414"/>
      <c r="G255" s="1414"/>
      <c r="H255" s="1414"/>
      <c r="I255" s="423"/>
      <c r="J255" s="420"/>
      <c r="K255" s="420"/>
    </row>
    <row r="256" spans="1:11" x14ac:dyDescent="0.35">
      <c r="A256" s="1" t="s">
        <v>1468</v>
      </c>
      <c r="B256" s="2" t="str">
        <f t="shared" si="7"/>
        <v>NO</v>
      </c>
      <c r="C256" s="390" t="s">
        <v>107</v>
      </c>
      <c r="D256" s="390" t="s">
        <v>769</v>
      </c>
      <c r="E256" s="1414" t="s">
        <v>1124</v>
      </c>
      <c r="F256" s="1414"/>
      <c r="G256" s="1414"/>
      <c r="H256" s="1414"/>
      <c r="I256" s="423"/>
      <c r="J256" s="420"/>
      <c r="K256" s="420"/>
    </row>
    <row r="257" spans="1:11" x14ac:dyDescent="0.35">
      <c r="A257" s="1" t="s">
        <v>1468</v>
      </c>
      <c r="B257" s="2" t="str">
        <f t="shared" si="7"/>
        <v>NO</v>
      </c>
      <c r="C257" s="390" t="s">
        <v>109</v>
      </c>
      <c r="D257" s="390" t="s">
        <v>769</v>
      </c>
      <c r="E257" s="1414" t="s">
        <v>1125</v>
      </c>
      <c r="F257" s="1414"/>
      <c r="G257" s="1414"/>
      <c r="H257" s="1414"/>
      <c r="I257" s="423"/>
      <c r="J257" s="420"/>
      <c r="K257" s="420"/>
    </row>
    <row r="258" spans="1:11" x14ac:dyDescent="0.35">
      <c r="A258" s="1" t="s">
        <v>1468</v>
      </c>
      <c r="B258" s="2" t="str">
        <f t="shared" si="7"/>
        <v>NO</v>
      </c>
      <c r="C258" s="390" t="s">
        <v>111</v>
      </c>
      <c r="D258" s="390" t="s">
        <v>769</v>
      </c>
      <c r="E258" s="1414" t="s">
        <v>1126</v>
      </c>
      <c r="F258" s="1414"/>
      <c r="G258" s="1414"/>
      <c r="H258" s="1414"/>
      <c r="I258" s="423"/>
      <c r="J258" s="420"/>
      <c r="K258" s="420"/>
    </row>
    <row r="259" spans="1:11" x14ac:dyDescent="0.35">
      <c r="A259" s="1" t="s">
        <v>1468</v>
      </c>
      <c r="B259" s="2" t="str">
        <f t="shared" si="7"/>
        <v>NO</v>
      </c>
      <c r="C259" s="390" t="s">
        <v>113</v>
      </c>
      <c r="D259" s="390" t="s">
        <v>769</v>
      </c>
      <c r="E259" s="1414" t="s">
        <v>1127</v>
      </c>
      <c r="F259" s="1414"/>
      <c r="G259" s="1414"/>
      <c r="H259" s="1414"/>
      <c r="I259" s="423"/>
      <c r="J259" s="420"/>
      <c r="K259" s="420"/>
    </row>
    <row r="260" spans="1:11" x14ac:dyDescent="0.35">
      <c r="A260" s="1" t="s">
        <v>1468</v>
      </c>
      <c r="B260" s="2" t="str">
        <f t="shared" si="7"/>
        <v>NO</v>
      </c>
      <c r="C260" s="390" t="s">
        <v>115</v>
      </c>
      <c r="D260" s="390" t="s">
        <v>769</v>
      </c>
      <c r="E260" s="1414" t="s">
        <v>1128</v>
      </c>
      <c r="F260" s="1414"/>
      <c r="G260" s="1414"/>
      <c r="H260" s="1414"/>
      <c r="I260" s="423"/>
      <c r="J260" s="420"/>
      <c r="K260" s="420"/>
    </row>
    <row r="261" spans="1:11" x14ac:dyDescent="0.35">
      <c r="A261" s="1" t="s">
        <v>1468</v>
      </c>
      <c r="B261" s="2" t="str">
        <f t="shared" si="7"/>
        <v>NO</v>
      </c>
      <c r="C261" s="390" t="s">
        <v>117</v>
      </c>
      <c r="D261" s="390" t="s">
        <v>769</v>
      </c>
      <c r="E261" s="1414" t="s">
        <v>1129</v>
      </c>
      <c r="F261" s="1414"/>
      <c r="G261" s="1414"/>
      <c r="H261" s="1414"/>
      <c r="I261" s="423"/>
      <c r="J261" s="420"/>
      <c r="K261" s="420"/>
    </row>
    <row r="262" spans="1:11" x14ac:dyDescent="0.35">
      <c r="A262" s="1" t="s">
        <v>1468</v>
      </c>
      <c r="B262" s="2" t="str">
        <f t="shared" si="7"/>
        <v>NO</v>
      </c>
      <c r="C262" s="390" t="s">
        <v>119</v>
      </c>
      <c r="D262" s="390" t="s">
        <v>769</v>
      </c>
      <c r="E262" s="1414" t="s">
        <v>1130</v>
      </c>
      <c r="F262" s="1414"/>
      <c r="G262" s="1414"/>
      <c r="H262" s="1414"/>
      <c r="I262" s="423"/>
      <c r="J262" s="420"/>
      <c r="K262" s="420"/>
    </row>
    <row r="263" spans="1:11" x14ac:dyDescent="0.35">
      <c r="A263" s="1" t="s">
        <v>1468</v>
      </c>
      <c r="B263" s="2" t="str">
        <f t="shared" si="7"/>
        <v>NO</v>
      </c>
      <c r="C263" s="390" t="s">
        <v>121</v>
      </c>
      <c r="D263" s="390" t="s">
        <v>769</v>
      </c>
      <c r="E263" s="1414" t="s">
        <v>1131</v>
      </c>
      <c r="F263" s="1414"/>
      <c r="G263" s="1414"/>
      <c r="H263" s="1414"/>
      <c r="I263" s="423"/>
      <c r="J263" s="420"/>
      <c r="K263" s="420"/>
    </row>
    <row r="264" spans="1:11" x14ac:dyDescent="0.35">
      <c r="A264" s="1" t="s">
        <v>1468</v>
      </c>
      <c r="B264" s="2" t="str">
        <f t="shared" si="7"/>
        <v>NO</v>
      </c>
      <c r="C264" s="390" t="s">
        <v>123</v>
      </c>
      <c r="D264" s="390" t="s">
        <v>769</v>
      </c>
      <c r="E264" s="1414" t="s">
        <v>1132</v>
      </c>
      <c r="F264" s="1414"/>
      <c r="G264" s="1414"/>
      <c r="H264" s="1414"/>
      <c r="I264" s="423"/>
      <c r="J264" s="420"/>
      <c r="K264" s="420"/>
    </row>
    <row r="265" spans="1:11" x14ac:dyDescent="0.35">
      <c r="A265" s="1" t="s">
        <v>1468</v>
      </c>
      <c r="B265" s="2" t="str">
        <f t="shared" si="7"/>
        <v>NO</v>
      </c>
      <c r="C265" s="390" t="s">
        <v>125</v>
      </c>
      <c r="D265" s="390" t="s">
        <v>769</v>
      </c>
      <c r="E265" s="1414" t="s">
        <v>1133</v>
      </c>
      <c r="F265" s="1414"/>
      <c r="G265" s="1414"/>
      <c r="H265" s="1414"/>
      <c r="I265" s="423"/>
      <c r="J265" s="420"/>
      <c r="K265" s="420"/>
    </row>
    <row r="266" spans="1:11" x14ac:dyDescent="0.35">
      <c r="A266" s="1" t="s">
        <v>1468</v>
      </c>
      <c r="B266" s="2" t="str">
        <f t="shared" si="7"/>
        <v>NO</v>
      </c>
      <c r="C266" s="390" t="s">
        <v>127</v>
      </c>
      <c r="D266" s="390" t="s">
        <v>769</v>
      </c>
      <c r="E266" s="1414" t="s">
        <v>1134</v>
      </c>
      <c r="F266" s="1414"/>
      <c r="G266" s="1414"/>
      <c r="H266" s="1414"/>
      <c r="I266" s="423"/>
      <c r="J266" s="420"/>
      <c r="K266" s="420"/>
    </row>
    <row r="267" spans="1:11" x14ac:dyDescent="0.35">
      <c r="A267" s="1" t="s">
        <v>1468</v>
      </c>
      <c r="B267" s="2" t="str">
        <f t="shared" si="7"/>
        <v>NO</v>
      </c>
      <c r="C267" s="390" t="s">
        <v>129</v>
      </c>
      <c r="D267" s="390" t="s">
        <v>769</v>
      </c>
      <c r="E267" s="1414" t="s">
        <v>1135</v>
      </c>
      <c r="F267" s="1414"/>
      <c r="G267" s="1414"/>
      <c r="H267" s="1414"/>
      <c r="I267" s="423"/>
      <c r="J267" s="420"/>
      <c r="K267" s="420"/>
    </row>
    <row r="268" spans="1:11" x14ac:dyDescent="0.35">
      <c r="A268" s="1" t="s">
        <v>1468</v>
      </c>
      <c r="B268" s="2" t="str">
        <f t="shared" si="7"/>
        <v>NO</v>
      </c>
      <c r="C268" s="390" t="s">
        <v>131</v>
      </c>
      <c r="D268" s="390" t="s">
        <v>769</v>
      </c>
      <c r="E268" s="1414" t="s">
        <v>1136</v>
      </c>
      <c r="F268" s="1414"/>
      <c r="G268" s="1414"/>
      <c r="H268" s="1414"/>
      <c r="I268" s="423"/>
      <c r="J268" s="420"/>
      <c r="K268" s="420"/>
    </row>
    <row r="269" spans="1:11" x14ac:dyDescent="0.35">
      <c r="A269" s="1" t="s">
        <v>1468</v>
      </c>
      <c r="B269" s="2" t="str">
        <f t="shared" si="7"/>
        <v>NO</v>
      </c>
      <c r="C269" s="390" t="s">
        <v>133</v>
      </c>
      <c r="D269" s="390" t="s">
        <v>769</v>
      </c>
      <c r="E269" s="1414" t="s">
        <v>1137</v>
      </c>
      <c r="F269" s="1414"/>
      <c r="G269" s="1414"/>
      <c r="H269" s="1414"/>
      <c r="I269" s="423"/>
      <c r="J269" s="420"/>
      <c r="K269" s="420"/>
    </row>
    <row r="270" spans="1:11" x14ac:dyDescent="0.35">
      <c r="A270" s="1" t="s">
        <v>1468</v>
      </c>
      <c r="B270" s="2" t="str">
        <f t="shared" si="7"/>
        <v>NO</v>
      </c>
      <c r="C270" s="390" t="s">
        <v>1041</v>
      </c>
      <c r="D270" s="390" t="s">
        <v>769</v>
      </c>
      <c r="E270" s="1414" t="s">
        <v>1042</v>
      </c>
      <c r="F270" s="1414"/>
      <c r="G270" s="1414"/>
      <c r="H270" s="1414"/>
      <c r="I270" s="423"/>
      <c r="J270" s="420"/>
      <c r="K270" s="420"/>
    </row>
    <row r="271" spans="1:11" x14ac:dyDescent="0.35">
      <c r="A271" s="1" t="s">
        <v>1468</v>
      </c>
      <c r="B271" s="2" t="str">
        <f t="shared" si="7"/>
        <v>NO</v>
      </c>
      <c r="C271" s="390" t="s">
        <v>1043</v>
      </c>
      <c r="D271" s="390" t="s">
        <v>769</v>
      </c>
      <c r="E271" s="1414" t="s">
        <v>1044</v>
      </c>
      <c r="F271" s="1414"/>
      <c r="G271" s="1414"/>
      <c r="H271" s="1414"/>
      <c r="I271" s="423"/>
      <c r="J271" s="420"/>
      <c r="K271" s="420"/>
    </row>
    <row r="272" spans="1:11" x14ac:dyDescent="0.35">
      <c r="A272" s="1" t="s">
        <v>1468</v>
      </c>
      <c r="B272" s="2" t="str">
        <f t="shared" si="7"/>
        <v>NO</v>
      </c>
      <c r="C272" s="390" t="s">
        <v>1045</v>
      </c>
      <c r="D272" s="390" t="s">
        <v>769</v>
      </c>
      <c r="E272" s="1414" t="s">
        <v>1046</v>
      </c>
      <c r="F272" s="1414"/>
      <c r="G272" s="1414"/>
      <c r="H272" s="1414"/>
      <c r="I272" s="423"/>
      <c r="J272" s="420"/>
      <c r="K272" s="420"/>
    </row>
    <row r="273" spans="1:11" x14ac:dyDescent="0.35">
      <c r="A273" s="1" t="s">
        <v>1468</v>
      </c>
      <c r="B273" s="2" t="str">
        <f t="shared" si="7"/>
        <v>NO</v>
      </c>
      <c r="C273" s="390" t="s">
        <v>135</v>
      </c>
      <c r="D273" s="390" t="s">
        <v>769</v>
      </c>
      <c r="E273" s="1414" t="s">
        <v>1138</v>
      </c>
      <c r="F273" s="1414"/>
      <c r="G273" s="1414"/>
      <c r="H273" s="1414"/>
      <c r="I273" s="423"/>
      <c r="J273" s="420"/>
      <c r="K273" s="420"/>
    </row>
    <row r="274" spans="1:11" x14ac:dyDescent="0.35">
      <c r="A274" s="1" t="s">
        <v>1468</v>
      </c>
      <c r="B274" s="2" t="str">
        <f t="shared" si="7"/>
        <v>NO</v>
      </c>
      <c r="C274" s="390" t="s">
        <v>137</v>
      </c>
      <c r="D274" s="390" t="s">
        <v>769</v>
      </c>
      <c r="E274" s="1414" t="s">
        <v>1139</v>
      </c>
      <c r="F274" s="1414"/>
      <c r="G274" s="1414"/>
      <c r="H274" s="1414"/>
      <c r="I274" s="423"/>
      <c r="J274" s="420"/>
      <c r="K274" s="420"/>
    </row>
    <row r="275" spans="1:11" x14ac:dyDescent="0.35">
      <c r="A275" s="1" t="s">
        <v>1468</v>
      </c>
      <c r="B275" s="2" t="str">
        <f t="shared" si="7"/>
        <v>NO</v>
      </c>
      <c r="C275" s="390" t="s">
        <v>1047</v>
      </c>
      <c r="D275" s="390" t="s">
        <v>769</v>
      </c>
      <c r="E275" s="1414" t="s">
        <v>1048</v>
      </c>
      <c r="F275" s="1414"/>
      <c r="G275" s="1414"/>
      <c r="H275" s="1414"/>
      <c r="I275" s="423"/>
      <c r="J275" s="420"/>
      <c r="K275" s="420"/>
    </row>
    <row r="276" spans="1:11" x14ac:dyDescent="0.35">
      <c r="A276" s="1" t="s">
        <v>1468</v>
      </c>
      <c r="B276" s="2" t="str">
        <f t="shared" si="7"/>
        <v>NO</v>
      </c>
      <c r="C276" s="390" t="s">
        <v>854</v>
      </c>
      <c r="D276" s="390" t="s">
        <v>769</v>
      </c>
      <c r="E276" s="1414" t="s">
        <v>1370</v>
      </c>
      <c r="F276" s="1414"/>
      <c r="G276" s="1414"/>
      <c r="H276" s="1414"/>
      <c r="I276" s="423"/>
      <c r="J276" s="420"/>
      <c r="K276" s="420"/>
    </row>
    <row r="277" spans="1:11" x14ac:dyDescent="0.35">
      <c r="A277" s="1" t="s">
        <v>1468</v>
      </c>
      <c r="B277" s="2" t="str">
        <f t="shared" si="7"/>
        <v>NO</v>
      </c>
      <c r="C277" s="390" t="s">
        <v>186</v>
      </c>
      <c r="D277" s="390" t="s">
        <v>769</v>
      </c>
      <c r="E277" s="1414" t="s">
        <v>1371</v>
      </c>
      <c r="F277" s="1414"/>
      <c r="G277" s="1414"/>
      <c r="H277" s="1414"/>
      <c r="I277" s="423"/>
      <c r="J277" s="420"/>
      <c r="K277" s="420"/>
    </row>
    <row r="278" spans="1:11" x14ac:dyDescent="0.35">
      <c r="A278" s="1" t="s">
        <v>1468</v>
      </c>
      <c r="B278" s="2" t="str">
        <f t="shared" si="7"/>
        <v>NO</v>
      </c>
      <c r="C278" s="390" t="s">
        <v>188</v>
      </c>
      <c r="D278" s="390" t="s">
        <v>769</v>
      </c>
      <c r="E278" s="1414" t="s">
        <v>1372</v>
      </c>
      <c r="F278" s="1414"/>
      <c r="G278" s="1414"/>
      <c r="H278" s="1414"/>
      <c r="I278" s="423"/>
      <c r="J278" s="420"/>
      <c r="K278" s="420"/>
    </row>
    <row r="279" spans="1:11" x14ac:dyDescent="0.35">
      <c r="A279" s="1" t="s">
        <v>1468</v>
      </c>
      <c r="B279" s="2" t="str">
        <f t="shared" si="7"/>
        <v>NO</v>
      </c>
      <c r="C279" s="390" t="s">
        <v>190</v>
      </c>
      <c r="D279" s="390" t="s">
        <v>769</v>
      </c>
      <c r="E279" s="1414" t="s">
        <v>1373</v>
      </c>
      <c r="F279" s="1414"/>
      <c r="G279" s="1414"/>
      <c r="H279" s="1414"/>
      <c r="I279" s="423"/>
      <c r="J279" s="420"/>
      <c r="K279" s="420"/>
    </row>
    <row r="280" spans="1:11" x14ac:dyDescent="0.35">
      <c r="A280" s="1" t="s">
        <v>1468</v>
      </c>
      <c r="B280" s="2" t="str">
        <f t="shared" si="7"/>
        <v>NO</v>
      </c>
      <c r="C280" s="390" t="s">
        <v>192</v>
      </c>
      <c r="D280" s="390" t="s">
        <v>769</v>
      </c>
      <c r="E280" s="1414" t="s">
        <v>1149</v>
      </c>
      <c r="F280" s="1414"/>
      <c r="G280" s="1414"/>
      <c r="H280" s="1414"/>
      <c r="I280" s="423"/>
      <c r="J280" s="420"/>
      <c r="K280" s="420"/>
    </row>
    <row r="281" spans="1:11" x14ac:dyDescent="0.35">
      <c r="A281" s="1" t="s">
        <v>1468</v>
      </c>
      <c r="B281" s="2" t="str">
        <f t="shared" si="7"/>
        <v>NO</v>
      </c>
      <c r="C281" s="390" t="s">
        <v>194</v>
      </c>
      <c r="D281" s="390" t="s">
        <v>769</v>
      </c>
      <c r="E281" s="1414" t="s">
        <v>1150</v>
      </c>
      <c r="F281" s="1414"/>
      <c r="G281" s="1414"/>
      <c r="H281" s="1414"/>
      <c r="I281" s="423"/>
      <c r="J281" s="420"/>
      <c r="K281" s="420"/>
    </row>
    <row r="282" spans="1:11" x14ac:dyDescent="0.35">
      <c r="A282" s="1" t="s">
        <v>1468</v>
      </c>
      <c r="B282" s="2" t="str">
        <f t="shared" si="7"/>
        <v>NO</v>
      </c>
      <c r="C282" s="390" t="s">
        <v>196</v>
      </c>
      <c r="D282" s="390" t="s">
        <v>769</v>
      </c>
      <c r="E282" s="1414" t="s">
        <v>1374</v>
      </c>
      <c r="F282" s="1414"/>
      <c r="G282" s="1414"/>
      <c r="H282" s="1414"/>
      <c r="I282" s="423"/>
      <c r="J282" s="420"/>
      <c r="K282" s="420"/>
    </row>
    <row r="283" spans="1:11" s="392" customFormat="1" x14ac:dyDescent="0.35">
      <c r="B283" s="2" t="str">
        <f>IF(SUM(I$255:K$282)&gt;0,"SI","NO")</f>
        <v>NO</v>
      </c>
      <c r="C283" s="396"/>
      <c r="D283" s="397"/>
      <c r="E283" s="398"/>
      <c r="F283" s="398"/>
      <c r="G283" s="398"/>
      <c r="H283" s="398"/>
      <c r="I283" s="399" t="s">
        <v>1283</v>
      </c>
      <c r="J283" s="419">
        <f>SUMIF($D255:$D282,"+",J255:J282)-SUMIF($D255:$D282,"-",J255:J282)</f>
        <v>0</v>
      </c>
      <c r="K283" s="419">
        <f>SUMIF($D255:$D282,"+",K255:K282)-SUMIF($D255:$D282,"-",K255:K282)</f>
        <v>0</v>
      </c>
    </row>
    <row r="284" spans="1:11" x14ac:dyDescent="0.35">
      <c r="B284" s="2" t="str">
        <f>IF(SUM(I$255:K$282)&gt;0,"SI","NO")</f>
        <v>NO</v>
      </c>
    </row>
    <row r="285" spans="1:11" s="411" customFormat="1" x14ac:dyDescent="0.35">
      <c r="B285" s="2" t="str">
        <f>IF(SUM(I$286:K$287)&gt;0,"SI","NO")</f>
        <v>NO</v>
      </c>
      <c r="C285" s="400" t="s">
        <v>1296</v>
      </c>
      <c r="D285" s="400"/>
      <c r="E285" s="1420" t="s">
        <v>1375</v>
      </c>
      <c r="F285" s="1421"/>
      <c r="G285" s="1421"/>
      <c r="H285" s="1422"/>
      <c r="I285" s="401" t="s">
        <v>1412</v>
      </c>
      <c r="J285" s="1420" t="s">
        <v>1413</v>
      </c>
      <c r="K285" s="1421"/>
    </row>
    <row r="286" spans="1:11" x14ac:dyDescent="0.35">
      <c r="A286" s="1" t="s">
        <v>1467</v>
      </c>
      <c r="B286" s="2" t="str">
        <f>IF(SUM(I286:K286)&gt;0,"SI","NO")</f>
        <v>NO</v>
      </c>
      <c r="C286" s="390"/>
      <c r="D286" s="390" t="s">
        <v>769</v>
      </c>
      <c r="E286" s="1423" t="s">
        <v>1376</v>
      </c>
      <c r="F286" s="1424"/>
      <c r="G286" s="1424"/>
      <c r="H286" s="1438"/>
      <c r="I286" s="420">
        <v>0</v>
      </c>
      <c r="J286" s="1428">
        <v>0</v>
      </c>
      <c r="K286" s="1429"/>
    </row>
    <row r="287" spans="1:11" x14ac:dyDescent="0.35">
      <c r="A287" s="1" t="s">
        <v>1466</v>
      </c>
      <c r="B287" s="2" t="str">
        <f>IF(SUM(I287:K287)&gt;0,"SI","NO")</f>
        <v>NO</v>
      </c>
      <c r="C287" s="390"/>
      <c r="D287" s="390" t="s">
        <v>769</v>
      </c>
      <c r="E287" s="1423" t="s">
        <v>1377</v>
      </c>
      <c r="F287" s="1424"/>
      <c r="G287" s="1424"/>
      <c r="H287" s="1438"/>
      <c r="I287" s="420">
        <v>0</v>
      </c>
      <c r="J287" s="1428">
        <v>0</v>
      </c>
      <c r="K287" s="1429"/>
    </row>
    <row r="288" spans="1:11" s="392" customFormat="1" x14ac:dyDescent="0.35">
      <c r="B288" s="2" t="str">
        <f>IF(SUM(I$286:K$287)&gt;0,"SI","NO")</f>
        <v>NO</v>
      </c>
      <c r="C288" s="1435" t="s">
        <v>1378</v>
      </c>
      <c r="D288" s="1436"/>
      <c r="E288" s="1436"/>
      <c r="F288" s="1436"/>
      <c r="G288" s="1436"/>
      <c r="H288" s="1437"/>
      <c r="I288" s="419">
        <f>SUMIF($D286:$D287,"+",I286:I287)-SUMIF($D286:$D287,"-",I286:I287)</f>
        <v>0</v>
      </c>
      <c r="J288" s="1430">
        <f>SUMIF($D286:$D287,"+",J286:K287)-SUMIF($D286:$D287,"-",J286:K287)</f>
        <v>0</v>
      </c>
      <c r="K288" s="1431"/>
    </row>
    <row r="289" spans="1:11" x14ac:dyDescent="0.35">
      <c r="B289" s="2" t="str">
        <f>IF(SUM(I$286:K$287)&gt;0,"SI","NO")</f>
        <v>NO</v>
      </c>
    </row>
    <row r="290" spans="1:11" x14ac:dyDescent="0.35">
      <c r="B290" s="2" t="str">
        <f>IF(SUM(I$292:K$304)&gt;0,"SI","NO")</f>
        <v>NO</v>
      </c>
      <c r="C290" s="1417" t="s">
        <v>1379</v>
      </c>
      <c r="D290" s="1418"/>
      <c r="E290" s="1418"/>
      <c r="F290" s="1418"/>
      <c r="G290" s="1418"/>
      <c r="H290" s="1418"/>
      <c r="I290" s="1418"/>
      <c r="J290" s="1418"/>
      <c r="K290" s="1419"/>
    </row>
    <row r="291" spans="1:11" s="402" customFormat="1" ht="43.5" x14ac:dyDescent="0.35">
      <c r="B291" s="2" t="str">
        <f>IF(SUM(I$292:K$304)&gt;0,"SI","NO")</f>
        <v>NO</v>
      </c>
      <c r="C291" s="400" t="s">
        <v>1296</v>
      </c>
      <c r="D291" s="400"/>
      <c r="E291" s="1425" t="s">
        <v>1380</v>
      </c>
      <c r="F291" s="1426"/>
      <c r="G291" s="1426"/>
      <c r="H291" s="1427"/>
      <c r="I291" s="401" t="s">
        <v>1297</v>
      </c>
      <c r="J291" s="401" t="s">
        <v>1381</v>
      </c>
      <c r="K291" s="401" t="s">
        <v>1034</v>
      </c>
    </row>
    <row r="292" spans="1:11" x14ac:dyDescent="0.35">
      <c r="A292" s="1" t="s">
        <v>1453</v>
      </c>
      <c r="B292" s="2" t="str">
        <f t="shared" ref="B292:B304" si="8">IF(SUM(I292:K292)&gt;0,"SI","NO")</f>
        <v>NO</v>
      </c>
      <c r="C292" s="390" t="s">
        <v>1469</v>
      </c>
      <c r="D292" s="390" t="s">
        <v>769</v>
      </c>
      <c r="E292" s="1414" t="s">
        <v>1382</v>
      </c>
      <c r="F292" s="1414"/>
      <c r="G292" s="1414"/>
      <c r="H292" s="1414"/>
      <c r="I292" s="423"/>
      <c r="J292" s="420"/>
      <c r="K292" s="420"/>
    </row>
    <row r="293" spans="1:11" x14ac:dyDescent="0.35">
      <c r="A293" s="1" t="s">
        <v>1453</v>
      </c>
      <c r="B293" s="2" t="str">
        <f t="shared" si="8"/>
        <v>NO</v>
      </c>
      <c r="C293" s="390" t="s">
        <v>1470</v>
      </c>
      <c r="D293" s="390" t="s">
        <v>769</v>
      </c>
      <c r="E293" s="1414" t="s">
        <v>1383</v>
      </c>
      <c r="F293" s="1414"/>
      <c r="G293" s="1414"/>
      <c r="H293" s="1414"/>
      <c r="I293" s="423"/>
      <c r="J293" s="420"/>
      <c r="K293" s="420"/>
    </row>
    <row r="294" spans="1:11" x14ac:dyDescent="0.35">
      <c r="A294" s="1" t="s">
        <v>1453</v>
      </c>
      <c r="B294" s="2" t="str">
        <f t="shared" si="8"/>
        <v>NO</v>
      </c>
      <c r="C294" s="390" t="s">
        <v>1471</v>
      </c>
      <c r="D294" s="390" t="s">
        <v>769</v>
      </c>
      <c r="E294" s="1414" t="s">
        <v>1384</v>
      </c>
      <c r="F294" s="1414"/>
      <c r="G294" s="1414"/>
      <c r="H294" s="1414"/>
      <c r="I294" s="423"/>
      <c r="J294" s="420"/>
      <c r="K294" s="420"/>
    </row>
    <row r="295" spans="1:11" x14ac:dyDescent="0.35">
      <c r="A295" s="1" t="s">
        <v>1453</v>
      </c>
      <c r="B295" s="2" t="str">
        <f t="shared" si="8"/>
        <v>NO</v>
      </c>
      <c r="C295" s="390" t="s">
        <v>1472</v>
      </c>
      <c r="D295" s="390" t="s">
        <v>769</v>
      </c>
      <c r="E295" s="1414" t="s">
        <v>1385</v>
      </c>
      <c r="F295" s="1414"/>
      <c r="G295" s="1414"/>
      <c r="H295" s="1414"/>
      <c r="I295" s="423"/>
      <c r="J295" s="420"/>
      <c r="K295" s="420"/>
    </row>
    <row r="296" spans="1:11" x14ac:dyDescent="0.35">
      <c r="A296" s="1" t="s">
        <v>1453</v>
      </c>
      <c r="B296" s="2" t="str">
        <f t="shared" si="8"/>
        <v>NO</v>
      </c>
      <c r="C296" s="390" t="s">
        <v>1402</v>
      </c>
      <c r="D296" s="390" t="s">
        <v>769</v>
      </c>
      <c r="E296" s="1414" t="s">
        <v>1386</v>
      </c>
      <c r="F296" s="1414"/>
      <c r="G296" s="1414"/>
      <c r="H296" s="1414"/>
      <c r="I296" s="423"/>
      <c r="J296" s="420"/>
      <c r="K296" s="420"/>
    </row>
    <row r="297" spans="1:11" x14ac:dyDescent="0.35">
      <c r="A297" s="1" t="s">
        <v>1453</v>
      </c>
      <c r="B297" s="2" t="str">
        <f t="shared" si="8"/>
        <v>NO</v>
      </c>
      <c r="C297" s="390" t="s">
        <v>617</v>
      </c>
      <c r="D297" s="390" t="s">
        <v>769</v>
      </c>
      <c r="E297" s="1414" t="s">
        <v>1387</v>
      </c>
      <c r="F297" s="1414"/>
      <c r="G297" s="1414"/>
      <c r="H297" s="1414"/>
      <c r="I297" s="423"/>
      <c r="J297" s="420"/>
      <c r="K297" s="420"/>
    </row>
    <row r="298" spans="1:11" x14ac:dyDescent="0.35">
      <c r="A298" s="1" t="s">
        <v>1453</v>
      </c>
      <c r="B298" s="2" t="str">
        <f t="shared" si="8"/>
        <v>NO</v>
      </c>
      <c r="C298" s="390" t="s">
        <v>1307</v>
      </c>
      <c r="D298" s="390" t="s">
        <v>769</v>
      </c>
      <c r="E298" s="1414" t="s">
        <v>1388</v>
      </c>
      <c r="F298" s="1414"/>
      <c r="G298" s="1414"/>
      <c r="H298" s="1414"/>
      <c r="I298" s="423"/>
      <c r="J298" s="420"/>
      <c r="K298" s="420"/>
    </row>
    <row r="299" spans="1:11" x14ac:dyDescent="0.35">
      <c r="A299" s="1" t="s">
        <v>1453</v>
      </c>
      <c r="B299" s="2" t="str">
        <f t="shared" si="8"/>
        <v>NO</v>
      </c>
      <c r="C299" s="390" t="s">
        <v>1309</v>
      </c>
      <c r="D299" s="390" t="s">
        <v>769</v>
      </c>
      <c r="E299" s="1414" t="s">
        <v>1389</v>
      </c>
      <c r="F299" s="1414"/>
      <c r="G299" s="1414"/>
      <c r="H299" s="1414"/>
      <c r="I299" s="423"/>
      <c r="J299" s="420"/>
      <c r="K299" s="420"/>
    </row>
    <row r="300" spans="1:11" x14ac:dyDescent="0.35">
      <c r="A300" s="1" t="s">
        <v>1453</v>
      </c>
      <c r="B300" s="2" t="str">
        <f t="shared" si="8"/>
        <v>NO</v>
      </c>
      <c r="C300" s="390" t="s">
        <v>619</v>
      </c>
      <c r="D300" s="390" t="s">
        <v>769</v>
      </c>
      <c r="E300" s="1414" t="s">
        <v>1390</v>
      </c>
      <c r="F300" s="1414"/>
      <c r="G300" s="1414"/>
      <c r="H300" s="1414"/>
      <c r="I300" s="423"/>
      <c r="J300" s="420"/>
      <c r="K300" s="420"/>
    </row>
    <row r="301" spans="1:11" x14ac:dyDescent="0.35">
      <c r="A301" s="1" t="s">
        <v>1453</v>
      </c>
      <c r="B301" s="2" t="str">
        <f t="shared" si="8"/>
        <v>NO</v>
      </c>
      <c r="C301" s="390" t="s">
        <v>620</v>
      </c>
      <c r="D301" s="390" t="s">
        <v>769</v>
      </c>
      <c r="E301" s="1414" t="s">
        <v>1391</v>
      </c>
      <c r="F301" s="1414"/>
      <c r="G301" s="1414"/>
      <c r="H301" s="1414"/>
      <c r="I301" s="423"/>
      <c r="J301" s="420"/>
      <c r="K301" s="420"/>
    </row>
    <row r="302" spans="1:11" x14ac:dyDescent="0.35">
      <c r="A302" s="1" t="s">
        <v>1453</v>
      </c>
      <c r="B302" s="2" t="str">
        <f t="shared" si="8"/>
        <v>NO</v>
      </c>
      <c r="C302" s="390" t="s">
        <v>1403</v>
      </c>
      <c r="D302" s="390" t="s">
        <v>769</v>
      </c>
      <c r="E302" s="1414" t="s">
        <v>1383</v>
      </c>
      <c r="F302" s="1414"/>
      <c r="G302" s="1414"/>
      <c r="H302" s="1414"/>
      <c r="I302" s="423"/>
      <c r="J302" s="420"/>
      <c r="K302" s="420"/>
    </row>
    <row r="303" spans="1:11" x14ac:dyDescent="0.35">
      <c r="A303" s="1" t="s">
        <v>1453</v>
      </c>
      <c r="B303" s="2" t="str">
        <f t="shared" si="8"/>
        <v>NO</v>
      </c>
      <c r="C303" s="390" t="s">
        <v>621</v>
      </c>
      <c r="D303" s="390" t="s">
        <v>769</v>
      </c>
      <c r="E303" s="1414" t="s">
        <v>1392</v>
      </c>
      <c r="F303" s="1414"/>
      <c r="G303" s="1414"/>
      <c r="H303" s="1414"/>
      <c r="I303" s="423"/>
      <c r="J303" s="420"/>
      <c r="K303" s="420"/>
    </row>
    <row r="304" spans="1:11" x14ac:dyDescent="0.35">
      <c r="A304" s="1" t="s">
        <v>1453</v>
      </c>
      <c r="B304" s="2" t="str">
        <f t="shared" si="8"/>
        <v>NO</v>
      </c>
      <c r="C304" s="390" t="s">
        <v>612</v>
      </c>
      <c r="D304" s="390" t="s">
        <v>769</v>
      </c>
      <c r="E304" s="1414" t="s">
        <v>1393</v>
      </c>
      <c r="F304" s="1414"/>
      <c r="G304" s="1414"/>
      <c r="H304" s="1414"/>
      <c r="I304" s="423"/>
      <c r="J304" s="420"/>
      <c r="K304" s="420"/>
    </row>
    <row r="305" spans="2:11" s="392" customFormat="1" x14ac:dyDescent="0.35">
      <c r="B305" s="2" t="str">
        <f>IF(SUM(I$292:K$304)&gt;0,"SI","NO")</f>
        <v>NO</v>
      </c>
      <c r="C305" s="396"/>
      <c r="D305" s="397"/>
      <c r="E305" s="398"/>
      <c r="F305" s="398"/>
      <c r="G305" s="398"/>
      <c r="H305" s="398"/>
      <c r="I305" s="399" t="s">
        <v>1283</v>
      </c>
      <c r="J305" s="419">
        <f>SUMIF($D292:$D304,"+",J292:J304)-SUMIF($D292:$D304,"-",J292:J304)</f>
        <v>0</v>
      </c>
      <c r="K305" s="419">
        <f>SUMIF($D292:$D304,"+",K292:K304)-SUMIF($D292:$D304,"-",K292:K304)</f>
        <v>0</v>
      </c>
    </row>
    <row r="307" spans="2:11" ht="29.4" customHeight="1" x14ac:dyDescent="0.35">
      <c r="C307" s="427" t="s">
        <v>1394</v>
      </c>
      <c r="D307" s="425"/>
      <c r="E307" s="426"/>
      <c r="F307" s="426"/>
      <c r="G307" s="426"/>
      <c r="H307" s="426"/>
      <c r="I307" s="426"/>
      <c r="J307" s="426"/>
      <c r="K307" s="426"/>
    </row>
    <row r="312" spans="2:11" s="392" customFormat="1" x14ac:dyDescent="0.35">
      <c r="B312" s="424"/>
      <c r="C312" s="412"/>
      <c r="D312" s="413"/>
      <c r="E312" s="392" t="s">
        <v>1294</v>
      </c>
      <c r="G312" s="392" t="s">
        <v>1295</v>
      </c>
    </row>
    <row r="313" spans="2:11" s="392" customFormat="1" x14ac:dyDescent="0.35">
      <c r="B313" s="424"/>
      <c r="C313" s="412"/>
      <c r="D313" s="413"/>
      <c r="E313" s="392" t="s">
        <v>1473</v>
      </c>
      <c r="G313" s="392" t="s">
        <v>1474</v>
      </c>
    </row>
  </sheetData>
  <mergeCells count="192">
    <mergeCell ref="J71:K71"/>
    <mergeCell ref="J72:K72"/>
    <mergeCell ref="J73:K73"/>
    <mergeCell ref="J74:K74"/>
    <mergeCell ref="C82:K82"/>
    <mergeCell ref="C80:K80"/>
    <mergeCell ref="E72:H72"/>
    <mergeCell ref="E73:H73"/>
    <mergeCell ref="G74:H74"/>
    <mergeCell ref="J66:K66"/>
    <mergeCell ref="J67:K67"/>
    <mergeCell ref="J68:K68"/>
    <mergeCell ref="J69:K69"/>
    <mergeCell ref="J70:K70"/>
    <mergeCell ref="E294:H294"/>
    <mergeCell ref="E295:H295"/>
    <mergeCell ref="E296:H296"/>
    <mergeCell ref="E297:H297"/>
    <mergeCell ref="C288:H288"/>
    <mergeCell ref="C290:K290"/>
    <mergeCell ref="E285:H285"/>
    <mergeCell ref="E286:H286"/>
    <mergeCell ref="E287:H287"/>
    <mergeCell ref="J285:K285"/>
    <mergeCell ref="E282:H282"/>
    <mergeCell ref="E272:H272"/>
    <mergeCell ref="E273:H273"/>
    <mergeCell ref="E274:H274"/>
    <mergeCell ref="E275:H275"/>
    <mergeCell ref="E270:H270"/>
    <mergeCell ref="E271:H271"/>
    <mergeCell ref="E260:H260"/>
    <mergeCell ref="E261:H261"/>
    <mergeCell ref="I248:K248"/>
    <mergeCell ref="E254:H254"/>
    <mergeCell ref="E255:H255"/>
    <mergeCell ref="E94:H94"/>
    <mergeCell ref="E95:H95"/>
    <mergeCell ref="E96:H96"/>
    <mergeCell ref="E97:H97"/>
    <mergeCell ref="E98:H98"/>
    <mergeCell ref="E99:H99"/>
    <mergeCell ref="E107:H107"/>
    <mergeCell ref="E108:H108"/>
    <mergeCell ref="E109:H109"/>
    <mergeCell ref="E110:H110"/>
    <mergeCell ref="E106:H106"/>
    <mergeCell ref="E111:H111"/>
    <mergeCell ref="E112:H112"/>
    <mergeCell ref="E101:H101"/>
    <mergeCell ref="E100:H100"/>
    <mergeCell ref="E102:H102"/>
    <mergeCell ref="E103:H103"/>
    <mergeCell ref="E104:H104"/>
    <mergeCell ref="E105:H105"/>
    <mergeCell ref="E230:G230"/>
    <mergeCell ref="E231:G231"/>
    <mergeCell ref="E228:G228"/>
    <mergeCell ref="E229:G229"/>
    <mergeCell ref="E66:H66"/>
    <mergeCell ref="E67:H67"/>
    <mergeCell ref="E68:H68"/>
    <mergeCell ref="E69:H69"/>
    <mergeCell ref="E70:H70"/>
    <mergeCell ref="E71:H71"/>
    <mergeCell ref="E89:H89"/>
    <mergeCell ref="E90:H90"/>
    <mergeCell ref="E91:H91"/>
    <mergeCell ref="E92:H92"/>
    <mergeCell ref="E93:H93"/>
    <mergeCell ref="E83:H83"/>
    <mergeCell ref="E87:H87"/>
    <mergeCell ref="E88:H88"/>
    <mergeCell ref="E84:H84"/>
    <mergeCell ref="E85:H85"/>
    <mergeCell ref="E86:H86"/>
    <mergeCell ref="E113:H113"/>
    <mergeCell ref="E114:H114"/>
    <mergeCell ref="E115:H115"/>
    <mergeCell ref="E116:H116"/>
    <mergeCell ref="E117:H117"/>
    <mergeCell ref="J287:K287"/>
    <mergeCell ref="J288:K288"/>
    <mergeCell ref="E291:H291"/>
    <mergeCell ref="E292:H292"/>
    <mergeCell ref="E293:H293"/>
    <mergeCell ref="E276:H276"/>
    <mergeCell ref="E277:H277"/>
    <mergeCell ref="E278:H278"/>
    <mergeCell ref="E279:H279"/>
    <mergeCell ref="E280:H280"/>
    <mergeCell ref="E281:H281"/>
    <mergeCell ref="J286:K286"/>
    <mergeCell ref="E298:H298"/>
    <mergeCell ref="E299:H299"/>
    <mergeCell ref="E300:H300"/>
    <mergeCell ref="E301:H301"/>
    <mergeCell ref="E302:H302"/>
    <mergeCell ref="E303:H303"/>
    <mergeCell ref="E264:H264"/>
    <mergeCell ref="E265:H265"/>
    <mergeCell ref="E266:H266"/>
    <mergeCell ref="E267:H267"/>
    <mergeCell ref="E268:H268"/>
    <mergeCell ref="E269:H269"/>
    <mergeCell ref="E262:H262"/>
    <mergeCell ref="E263:H263"/>
    <mergeCell ref="E258:H258"/>
    <mergeCell ref="E259:H259"/>
    <mergeCell ref="C234:K234"/>
    <mergeCell ref="E224:G224"/>
    <mergeCell ref="E225:G225"/>
    <mergeCell ref="E226:G226"/>
    <mergeCell ref="E227:G227"/>
    <mergeCell ref="I224:K224"/>
    <mergeCell ref="I235:K235"/>
    <mergeCell ref="E241:H241"/>
    <mergeCell ref="E242:H242"/>
    <mergeCell ref="C247:K247"/>
    <mergeCell ref="E248:G248"/>
    <mergeCell ref="E249:G249"/>
    <mergeCell ref="E250:G250"/>
    <mergeCell ref="C253:K253"/>
    <mergeCell ref="C240:K240"/>
    <mergeCell ref="E243:H243"/>
    <mergeCell ref="E244:H244"/>
    <mergeCell ref="E235:G235"/>
    <mergeCell ref="E236:G236"/>
    <mergeCell ref="E237:G237"/>
    <mergeCell ref="E118:H118"/>
    <mergeCell ref="E119:H119"/>
    <mergeCell ref="E120:H120"/>
    <mergeCell ref="E304:H304"/>
    <mergeCell ref="E256:H256"/>
    <mergeCell ref="E257:H257"/>
    <mergeCell ref="G221:H221"/>
    <mergeCell ref="C223:K223"/>
    <mergeCell ref="E125:H125"/>
    <mergeCell ref="E126:H126"/>
    <mergeCell ref="E127:H127"/>
    <mergeCell ref="E128:H128"/>
    <mergeCell ref="E129:H129"/>
    <mergeCell ref="E130:H130"/>
    <mergeCell ref="E121:H121"/>
    <mergeCell ref="E122:H122"/>
    <mergeCell ref="E123:H123"/>
    <mergeCell ref="E124:H124"/>
    <mergeCell ref="E137:H137"/>
    <mergeCell ref="E138:H138"/>
    <mergeCell ref="E139:H139"/>
    <mergeCell ref="E140:H140"/>
    <mergeCell ref="E141:H141"/>
    <mergeCell ref="E142:H142"/>
    <mergeCell ref="E131:H131"/>
    <mergeCell ref="E133:H133"/>
    <mergeCell ref="E134:H134"/>
    <mergeCell ref="E135:H135"/>
    <mergeCell ref="E136:H136"/>
    <mergeCell ref="E132:H132"/>
    <mergeCell ref="E151:H151"/>
    <mergeCell ref="E152:H152"/>
    <mergeCell ref="E153:H153"/>
    <mergeCell ref="E154:H154"/>
    <mergeCell ref="E143:H143"/>
    <mergeCell ref="E144:H144"/>
    <mergeCell ref="E145:H145"/>
    <mergeCell ref="E146:H146"/>
    <mergeCell ref="E147:H147"/>
    <mergeCell ref="E148:H148"/>
    <mergeCell ref="E149:H149"/>
    <mergeCell ref="E150:H150"/>
    <mergeCell ref="E173:H173"/>
    <mergeCell ref="E174:H174"/>
    <mergeCell ref="E175:H175"/>
    <mergeCell ref="E167:H167"/>
    <mergeCell ref="E168:H168"/>
    <mergeCell ref="E169:H169"/>
    <mergeCell ref="E170:H170"/>
    <mergeCell ref="E171:H171"/>
    <mergeCell ref="E172:H172"/>
    <mergeCell ref="E161:H161"/>
    <mergeCell ref="E162:H162"/>
    <mergeCell ref="E163:H163"/>
    <mergeCell ref="E164:H164"/>
    <mergeCell ref="E165:H165"/>
    <mergeCell ref="E166:H166"/>
    <mergeCell ref="E155:H155"/>
    <mergeCell ref="E156:H156"/>
    <mergeCell ref="E157:H157"/>
    <mergeCell ref="E158:H158"/>
    <mergeCell ref="E159:H159"/>
    <mergeCell ref="E160:H160"/>
  </mergeCells>
  <pageMargins left="0.19685039370078741" right="0.19685039370078741" top="0.59055118110236227" bottom="0.39370078740157483" header="0.31496062992125984" footer="0.31496062992125984"/>
  <pageSetup paperSize="9" scale="33" fitToHeight="2"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9"/>
  <sheetViews>
    <sheetView showGridLines="0" zoomScaleNormal="100" workbookViewId="0">
      <pane xSplit="2" ySplit="6" topLeftCell="C7" activePane="bottomRight" state="frozen"/>
      <selection activeCell="J18" sqref="J18"/>
      <selection pane="topRight" activeCell="J18" sqref="J18"/>
      <selection pane="bottomLeft" activeCell="J18" sqref="J18"/>
      <selection pane="bottomRight" activeCell="F13" sqref="F13"/>
    </sheetView>
  </sheetViews>
  <sheetFormatPr baseColWidth="10" defaultColWidth="11.453125" defaultRowHeight="11.5" x14ac:dyDescent="0.25"/>
  <cols>
    <col min="1" max="1" width="12.54296875" style="355" customWidth="1"/>
    <col min="2" max="2" width="25.90625" style="355" customWidth="1"/>
    <col min="3" max="3" width="7.453125" style="356" customWidth="1"/>
    <col min="4" max="4" width="11.453125" style="357"/>
    <col min="5" max="5" width="11.08984375" style="355" customWidth="1"/>
    <col min="6" max="6" width="15.6328125" style="355" bestFit="1" customWidth="1"/>
    <col min="7" max="7" width="13.08984375" style="355" customWidth="1"/>
    <col min="8" max="8" width="11.36328125" style="358" customWidth="1"/>
    <col min="9" max="10" width="12.08984375" style="326" customWidth="1"/>
    <col min="11" max="11" width="9.453125" style="326" customWidth="1"/>
    <col min="12" max="12" width="9.08984375" style="326" customWidth="1"/>
    <col min="13" max="13" width="12.08984375" style="326" customWidth="1"/>
    <col min="14" max="14" width="1.453125" style="326" customWidth="1"/>
    <col min="15" max="20" width="12.08984375" style="326" customWidth="1"/>
    <col min="21" max="21" width="12.90625" style="326" customWidth="1"/>
    <col min="22" max="22" width="40.08984375" style="355" customWidth="1"/>
    <col min="23" max="16384" width="11.453125" style="357"/>
  </cols>
  <sheetData>
    <row r="1" spans="1:22" ht="20" x14ac:dyDescent="0.25">
      <c r="A1" s="428" t="str">
        <f>Parametros!D4&amp;" - "&amp;Parametros!D5</f>
        <v>0917809451001 - GARCIA RODRIGUEZ CHARLES MILTON</v>
      </c>
      <c r="I1" s="355"/>
      <c r="J1" s="355"/>
      <c r="K1" s="355"/>
      <c r="L1" s="355"/>
      <c r="M1" s="355"/>
      <c r="N1" s="355"/>
      <c r="O1" s="355"/>
      <c r="P1" s="355"/>
      <c r="Q1" s="355"/>
      <c r="R1" s="355"/>
      <c r="S1" s="355"/>
      <c r="T1" s="355"/>
      <c r="U1" s="355"/>
    </row>
    <row r="2" spans="1:22" ht="18.899999999999999" customHeight="1" x14ac:dyDescent="0.25">
      <c r="A2" s="375" t="s">
        <v>1221</v>
      </c>
      <c r="E2" s="357"/>
      <c r="F2" s="360"/>
      <c r="H2" s="355"/>
      <c r="I2" s="355"/>
      <c r="J2" s="355"/>
      <c r="K2" s="355"/>
      <c r="L2" s="355"/>
      <c r="M2" s="355"/>
      <c r="N2" s="355"/>
    </row>
    <row r="3" spans="1:22" ht="18.899999999999999" customHeight="1" thickBot="1" x14ac:dyDescent="0.3">
      <c r="A3" s="359"/>
      <c r="E3" s="357"/>
      <c r="F3" s="360"/>
      <c r="H3" s="355"/>
      <c r="I3" s="355"/>
      <c r="J3" s="355"/>
      <c r="K3" s="355"/>
      <c r="L3" s="355"/>
      <c r="M3" s="355"/>
      <c r="N3" s="355"/>
      <c r="O3" s="355"/>
      <c r="P3" s="355"/>
      <c r="Q3" s="355"/>
      <c r="R3" s="355"/>
      <c r="S3" s="355"/>
      <c r="T3" s="355"/>
      <c r="U3" s="355"/>
    </row>
    <row r="4" spans="1:22" s="825" customFormat="1" ht="18.899999999999999" customHeight="1" thickBot="1" x14ac:dyDescent="0.4">
      <c r="A4" s="359"/>
      <c r="B4" s="823"/>
      <c r="C4" s="824"/>
      <c r="F4" s="826"/>
      <c r="G4" s="826"/>
      <c r="H4" s="827"/>
      <c r="I4" s="823"/>
      <c r="J4" s="823"/>
      <c r="K4" s="823"/>
      <c r="L4" s="823"/>
      <c r="M4" s="823"/>
      <c r="N4" s="823"/>
      <c r="O4" s="828" t="s">
        <v>2222</v>
      </c>
      <c r="P4" s="829"/>
      <c r="Q4" s="829"/>
      <c r="R4" s="829"/>
      <c r="S4" s="829"/>
      <c r="T4" s="829"/>
      <c r="U4" s="830"/>
      <c r="V4" s="823"/>
    </row>
    <row r="5" spans="1:22" ht="16.5" customHeight="1" thickBot="1" x14ac:dyDescent="0.3">
      <c r="A5" s="794"/>
      <c r="B5" s="795"/>
      <c r="C5" s="796"/>
      <c r="D5" s="797"/>
      <c r="E5" s="797"/>
      <c r="F5" s="798"/>
      <c r="G5" s="798"/>
      <c r="H5" s="799"/>
      <c r="I5" s="902">
        <f>SUBTOTAL(9,I$7:I4875)</f>
        <v>0</v>
      </c>
      <c r="J5" s="902">
        <f>SUBTOTAL(9,J$7:J4875)</f>
        <v>0</v>
      </c>
      <c r="K5" s="902">
        <f>SUBTOTAL(9,K$7:K4875)</f>
        <v>0</v>
      </c>
      <c r="L5" s="902">
        <f>SUBTOTAL(9,L$7:L4875)</f>
        <v>0</v>
      </c>
      <c r="M5" s="903">
        <f>SUBTOTAL(9,M$7:M4875)</f>
        <v>0</v>
      </c>
      <c r="N5" s="901"/>
      <c r="O5" s="831">
        <f>SUBTOTAL(9,O$7:O4875)</f>
        <v>0</v>
      </c>
      <c r="P5" s="831">
        <f>SUBTOTAL(9,P$7:P4875)</f>
        <v>0</v>
      </c>
      <c r="Q5" s="831">
        <f>SUBTOTAL(9,Q$7:Q4875)</f>
        <v>0</v>
      </c>
      <c r="R5" s="831">
        <f>SUBTOTAL(9,R$7:R4875)</f>
        <v>0</v>
      </c>
      <c r="S5" s="831">
        <f>SUBTOTAL(9,S$7:S4875)</f>
        <v>0</v>
      </c>
      <c r="T5" s="831">
        <f>SUBTOTAL(9,T$7:T4875)</f>
        <v>0</v>
      </c>
      <c r="U5" s="831">
        <f>SUBTOTAL(9,U$7:U4875)</f>
        <v>0</v>
      </c>
      <c r="V5" s="1442" t="s">
        <v>742</v>
      </c>
    </row>
    <row r="6" spans="1:22" s="361" customFormat="1" ht="39.9" customHeight="1" x14ac:dyDescent="0.35">
      <c r="A6" s="853" t="s">
        <v>679</v>
      </c>
      <c r="B6" s="853" t="s">
        <v>681</v>
      </c>
      <c r="C6" s="852" t="s">
        <v>999</v>
      </c>
      <c r="D6" s="854" t="s">
        <v>1223</v>
      </c>
      <c r="E6" s="855" t="s">
        <v>684</v>
      </c>
      <c r="F6" s="855" t="s">
        <v>687</v>
      </c>
      <c r="G6" s="855" t="s">
        <v>688</v>
      </c>
      <c r="H6" s="855" t="s">
        <v>689</v>
      </c>
      <c r="I6" s="855" t="s">
        <v>1224</v>
      </c>
      <c r="J6" s="855" t="s">
        <v>1225</v>
      </c>
      <c r="K6" s="855" t="s">
        <v>1226</v>
      </c>
      <c r="L6" s="855" t="s">
        <v>1227</v>
      </c>
      <c r="M6" s="855" t="s">
        <v>702</v>
      </c>
      <c r="N6" s="856"/>
      <c r="O6" s="857" t="s">
        <v>2216</v>
      </c>
      <c r="P6" s="857" t="s">
        <v>2217</v>
      </c>
      <c r="Q6" s="857" t="s">
        <v>2218</v>
      </c>
      <c r="R6" s="857" t="s">
        <v>2219</v>
      </c>
      <c r="S6" s="857" t="s">
        <v>2220</v>
      </c>
      <c r="T6" s="857" t="s">
        <v>2221</v>
      </c>
      <c r="U6" s="858" t="s">
        <v>2223</v>
      </c>
      <c r="V6" s="1443"/>
    </row>
    <row r="7" spans="1:22" x14ac:dyDescent="0.25">
      <c r="A7" s="896"/>
      <c r="B7" s="896"/>
      <c r="C7" s="897">
        <v>1</v>
      </c>
      <c r="D7" s="898" t="s">
        <v>1222</v>
      </c>
      <c r="E7" s="896" t="s">
        <v>1031</v>
      </c>
      <c r="F7" s="896"/>
      <c r="G7" s="896"/>
      <c r="H7" s="899">
        <v>46023</v>
      </c>
      <c r="I7" s="900">
        <v>0</v>
      </c>
      <c r="J7" s="900">
        <v>0</v>
      </c>
      <c r="K7" s="900">
        <v>0</v>
      </c>
      <c r="L7" s="900">
        <v>0</v>
      </c>
      <c r="M7" s="900">
        <f>SUM(I7:L7)</f>
        <v>0</v>
      </c>
      <c r="N7" s="900"/>
      <c r="O7" s="900">
        <v>0</v>
      </c>
      <c r="P7" s="900">
        <v>0</v>
      </c>
      <c r="Q7" s="900">
        <v>0</v>
      </c>
      <c r="R7" s="900">
        <v>0</v>
      </c>
      <c r="S7" s="900">
        <v>0</v>
      </c>
      <c r="T7" s="900">
        <v>0</v>
      </c>
      <c r="U7" s="900">
        <f>SUM(O7:T7)</f>
        <v>0</v>
      </c>
      <c r="V7" s="896"/>
    </row>
    <row r="8" spans="1:22" x14ac:dyDescent="0.25">
      <c r="A8" s="896"/>
      <c r="B8" s="896"/>
      <c r="C8" s="897">
        <v>1</v>
      </c>
      <c r="D8" s="898" t="s">
        <v>1222</v>
      </c>
      <c r="E8" s="896" t="s">
        <v>1031</v>
      </c>
      <c r="F8" s="896"/>
      <c r="G8" s="896"/>
      <c r="H8" s="899">
        <v>46023</v>
      </c>
      <c r="I8" s="900">
        <v>0</v>
      </c>
      <c r="J8" s="900">
        <v>0</v>
      </c>
      <c r="K8" s="900">
        <v>0</v>
      </c>
      <c r="L8" s="900">
        <v>0</v>
      </c>
      <c r="M8" s="900">
        <f>SUM(I8:L8)</f>
        <v>0</v>
      </c>
      <c r="N8" s="900"/>
      <c r="O8" s="900">
        <v>0</v>
      </c>
      <c r="P8" s="900">
        <v>0</v>
      </c>
      <c r="Q8" s="900">
        <v>0</v>
      </c>
      <c r="R8" s="900">
        <v>0</v>
      </c>
      <c r="S8" s="900">
        <v>0</v>
      </c>
      <c r="T8" s="900">
        <v>0</v>
      </c>
      <c r="U8" s="900">
        <f>SUM(O8:T8)</f>
        <v>0</v>
      </c>
      <c r="V8" s="896"/>
    </row>
    <row r="9" spans="1:22" x14ac:dyDescent="0.25">
      <c r="A9" s="891"/>
      <c r="B9" s="891"/>
      <c r="C9" s="892">
        <v>1</v>
      </c>
      <c r="D9" s="893" t="s">
        <v>1222</v>
      </c>
      <c r="E9" s="891" t="s">
        <v>1031</v>
      </c>
      <c r="F9" s="891"/>
      <c r="G9" s="891"/>
      <c r="H9" s="894">
        <v>46023</v>
      </c>
      <c r="I9" s="895">
        <v>0</v>
      </c>
      <c r="J9" s="895">
        <v>0</v>
      </c>
      <c r="K9" s="895">
        <v>0</v>
      </c>
      <c r="L9" s="895">
        <v>0</v>
      </c>
      <c r="M9" s="895">
        <f>SUM(I9:L9)</f>
        <v>0</v>
      </c>
      <c r="N9" s="895"/>
      <c r="O9" s="895">
        <v>0</v>
      </c>
      <c r="P9" s="895">
        <v>0</v>
      </c>
      <c r="Q9" s="895">
        <v>0</v>
      </c>
      <c r="R9" s="895">
        <v>0</v>
      </c>
      <c r="S9" s="895">
        <v>0</v>
      </c>
      <c r="T9" s="895">
        <v>0</v>
      </c>
      <c r="U9" s="895">
        <f>SUM(O9:T9)</f>
        <v>0</v>
      </c>
      <c r="V9" s="891"/>
    </row>
  </sheetData>
  <autoFilter ref="A6:V9" xr:uid="{00000000-0009-0000-0000-000010000000}"/>
  <mergeCells count="1">
    <mergeCell ref="V5:V6"/>
  </mergeCells>
  <conditionalFormatting sqref="A7:V274">
    <cfRule type="expression" dxfId="3" priority="4">
      <formula>ROW()=RowGAS</formula>
    </cfRule>
  </conditionalFormatting>
  <conditionalFormatting sqref="I5:M5">
    <cfRule type="expression" dxfId="2" priority="1">
      <formula>ROW()=RowGAS</formula>
    </cfRule>
  </conditionalFormatting>
  <conditionalFormatting sqref="O5:U5">
    <cfRule type="expression" dxfId="1" priority="2">
      <formula>ROW()=RowGAS</formula>
    </cfRule>
  </conditionalFormatting>
  <conditionalFormatting sqref="P6:T6">
    <cfRule type="expression" dxfId="0" priority="6">
      <formula>ROW()=RowGAS</formula>
    </cfRule>
  </conditionalFormatting>
  <dataValidations count="2">
    <dataValidation type="list" allowBlank="1" showInputMessage="1" showErrorMessage="1" sqref="E7:E1048576" xr:uid="{00000000-0002-0000-1000-000000000000}">
      <formula1>ComprobantesCOM</formula1>
    </dataValidation>
    <dataValidation type="list" allowBlank="1" showInputMessage="1" showErrorMessage="1" sqref="D7:D1048576" xr:uid="{00000000-0002-0000-1000-000001000000}">
      <formula1>"F-Fisico,E-Electronico"</formula1>
    </dataValidation>
  </dataValidations>
  <pageMargins left="0.32" right="0.75" top="0.21" bottom="0.33" header="0" footer="0"/>
  <pageSetup paperSize="9" scale="9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37</vt:i4>
      </vt:variant>
    </vt:vector>
  </HeadingPairs>
  <TitlesOfParts>
    <vt:vector size="54" baseType="lpstr">
      <vt:lpstr>Diario</vt:lpstr>
      <vt:lpstr>Tesoreria</vt:lpstr>
      <vt:lpstr>Detalles</vt:lpstr>
      <vt:lpstr>Articulos</vt:lpstr>
      <vt:lpstr>Contribuyentes</vt:lpstr>
      <vt:lpstr>Parametros</vt:lpstr>
      <vt:lpstr>LIQ_IMPUESTOS</vt:lpstr>
      <vt:lpstr>103</vt:lpstr>
      <vt:lpstr>104</vt:lpstr>
      <vt:lpstr>COMPRAS</vt:lpstr>
      <vt:lpstr>VENTAS</vt:lpstr>
      <vt:lpstr>REEMBOLSOS</vt:lpstr>
      <vt:lpstr>EXPORTACIONES</vt:lpstr>
      <vt:lpstr>ANULADOS</vt:lpstr>
      <vt:lpstr>GUIAS</vt:lpstr>
      <vt:lpstr>TALON</vt:lpstr>
      <vt:lpstr>GASTOSP</vt:lpstr>
      <vt:lpstr>'103'!Área_de_impresión</vt:lpstr>
      <vt:lpstr>'104'!Área_de_impresión</vt:lpstr>
      <vt:lpstr>asiCOM</vt:lpstr>
      <vt:lpstr>cfgEmpresa</vt:lpstr>
      <vt:lpstr>ComprobantesCOM</vt:lpstr>
      <vt:lpstr>ComprobantesEXP</vt:lpstr>
      <vt:lpstr>ComprobantesVEN</vt:lpstr>
      <vt:lpstr>Distritos</vt:lpstr>
      <vt:lpstr>gruContableGAS</vt:lpstr>
      <vt:lpstr>gruContableING</vt:lpstr>
      <vt:lpstr>ingExterior</vt:lpstr>
      <vt:lpstr>IVAs</vt:lpstr>
      <vt:lpstr>LIQ_PER</vt:lpstr>
      <vt:lpstr>ListaActividades</vt:lpstr>
      <vt:lpstr>meses_103</vt:lpstr>
      <vt:lpstr>meses_104</vt:lpstr>
      <vt:lpstr>NumDocs</vt:lpstr>
      <vt:lpstr>pagos</vt:lpstr>
      <vt:lpstr>paises</vt:lpstr>
      <vt:lpstr>paises17a</vt:lpstr>
      <vt:lpstr>paises17b</vt:lpstr>
      <vt:lpstr>paisesEXP</vt:lpstr>
      <vt:lpstr>Regimen</vt:lpstr>
      <vt:lpstr>Regimenes</vt:lpstr>
      <vt:lpstr>Retenciones</vt:lpstr>
      <vt:lpstr>sustentos</vt:lpstr>
      <vt:lpstr>tarifasIVA</vt:lpstr>
      <vt:lpstr>tbIBPs</vt:lpstr>
      <vt:lpstr>tbIBPs2</vt:lpstr>
      <vt:lpstr>tbICEs</vt:lpstr>
      <vt:lpstr>tbICEs2</vt:lpstr>
      <vt:lpstr>tbl_Empre</vt:lpstr>
      <vt:lpstr>tbl_NegPop</vt:lpstr>
      <vt:lpstr>TipoPagos</vt:lpstr>
      <vt:lpstr>tiposexp</vt:lpstr>
      <vt:lpstr>XLSperiodo</vt:lpstr>
      <vt:lpstr>XLSversion</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LOURDES</dc:creator>
  <cp:lastModifiedBy>Usuario</cp:lastModifiedBy>
  <cp:lastPrinted>2026-06-30T18:48:15Z</cp:lastPrinted>
  <dcterms:created xsi:type="dcterms:W3CDTF">2017-05-19T19:55:43Z</dcterms:created>
  <dcterms:modified xsi:type="dcterms:W3CDTF">2026-07-10T21:48:55Z</dcterms:modified>
</cp:coreProperties>
</file>